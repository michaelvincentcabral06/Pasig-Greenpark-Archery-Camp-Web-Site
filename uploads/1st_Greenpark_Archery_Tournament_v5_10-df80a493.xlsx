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chael Cabral\Downloads\"/>
    </mc:Choice>
  </mc:AlternateContent>
  <xr:revisionPtr revIDLastSave="0" documentId="8_{B2ED0C98-9AEC-4A56-AA1C-9A6F911119D0}" xr6:coauthVersionLast="47" xr6:coauthVersionMax="47" xr10:uidLastSave="{00000000-0000-0000-0000-000000000000}"/>
  <bookViews>
    <workbookView xWindow="-110" yWindow="-110" windowWidth="19420" windowHeight="11500" tabRatio="500" xr2:uid="{00000000-000D-0000-FFFF-FFFF00000000}"/>
  </bookViews>
  <sheets>
    <sheet name="Participants" sheetId="1" r:id="rId1"/>
    <sheet name="Settings" sheetId="2" r:id="rId2"/>
    <sheet name="Open 30M - Scoring" sheetId="3" r:id="rId3"/>
    <sheet name="Open 30M - Teams" sheetId="4" r:id="rId4"/>
    <sheet name="Open 30M - Bracket" sheetId="5" r:id="rId5"/>
    <sheet name="Open 30M - Scoresheet" sheetId="6" r:id="rId6"/>
    <sheet name="Open 30M - Olympic Card" sheetId="7" r:id="rId7"/>
    <sheet name="Beginner Adv 15M - Scoring" sheetId="8" r:id="rId8"/>
    <sheet name="Beginner Adv 15M - Teams" sheetId="9" r:id="rId9"/>
    <sheet name="Beginner Adv 15M - Bracket" sheetId="10" r:id="rId10"/>
    <sheet name="Beginner Adv 15M - Scoresheet" sheetId="11" r:id="rId11"/>
    <sheet name="Beginner Adv 15M - Olympic Card" sheetId="12" r:id="rId12"/>
    <sheet name="Novice 15M - Scoring" sheetId="13" r:id="rId13"/>
    <sheet name="Novice 15M - Teams" sheetId="14" r:id="rId14"/>
    <sheet name="Novice 15M - Bracket" sheetId="15" r:id="rId15"/>
    <sheet name="Novice 15M - Scoresheet" sheetId="16" r:id="rId16"/>
    <sheet name="Novice 15M - Olympic Card" sheetId="17" r:id="rId17"/>
  </sheets>
  <definedNames>
    <definedName name="_xlnm.Print_Area" localSheetId="11">'Beginner Adv 15M - Olympic Card'!$A$1:$Q$273</definedName>
    <definedName name="_xlnm.Print_Area" localSheetId="10">'Beginner Adv 15M - Scoresheet'!$A$1:$M$550</definedName>
    <definedName name="_xlnm.Print_Area" localSheetId="16">'Novice 15M - Olympic Card'!$A$1:$Q$273</definedName>
    <definedName name="_xlnm.Print_Area" localSheetId="15">'Novice 15M - Scoresheet'!$A$1:$M$550</definedName>
    <definedName name="_xlnm.Print_Area" localSheetId="6">'Open 30M - Olympic Card'!$A$1:$Q$273</definedName>
    <definedName name="_xlnm.Print_Area" localSheetId="5">'Open 30M - Scoresheet'!$A$1:$M$550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267" i="17" l="1"/>
  <c r="O267" i="17"/>
  <c r="N267" i="17"/>
  <c r="M267" i="17"/>
  <c r="L267" i="17"/>
  <c r="K267" i="17"/>
  <c r="J267" i="17"/>
  <c r="G267" i="17"/>
  <c r="F267" i="17"/>
  <c r="E267" i="17"/>
  <c r="D267" i="17"/>
  <c r="C267" i="17"/>
  <c r="B267" i="17"/>
  <c r="P266" i="17"/>
  <c r="O266" i="17"/>
  <c r="N266" i="17"/>
  <c r="M266" i="17"/>
  <c r="L266" i="17"/>
  <c r="K266" i="17"/>
  <c r="G266" i="17"/>
  <c r="F266" i="17"/>
  <c r="E266" i="17"/>
  <c r="D266" i="17"/>
  <c r="C266" i="17"/>
  <c r="B266" i="17"/>
  <c r="P265" i="17"/>
  <c r="O265" i="17"/>
  <c r="N265" i="17"/>
  <c r="M265" i="17"/>
  <c r="L265" i="17"/>
  <c r="K265" i="17"/>
  <c r="J265" i="17"/>
  <c r="G265" i="17"/>
  <c r="F265" i="17"/>
  <c r="E265" i="17"/>
  <c r="D265" i="17"/>
  <c r="C265" i="17"/>
  <c r="B265" i="17"/>
  <c r="P264" i="17"/>
  <c r="O264" i="17"/>
  <c r="N264" i="17"/>
  <c r="M264" i="17"/>
  <c r="L264" i="17"/>
  <c r="K264" i="17"/>
  <c r="I264" i="17"/>
  <c r="H264" i="17"/>
  <c r="G264" i="17"/>
  <c r="F264" i="17"/>
  <c r="E264" i="17"/>
  <c r="D264" i="17"/>
  <c r="C264" i="17"/>
  <c r="B264" i="17"/>
  <c r="P263" i="17"/>
  <c r="O263" i="17"/>
  <c r="N263" i="17"/>
  <c r="M263" i="17"/>
  <c r="L263" i="17"/>
  <c r="K263" i="17"/>
  <c r="H263" i="17"/>
  <c r="G263" i="17"/>
  <c r="F263" i="17"/>
  <c r="E263" i="17"/>
  <c r="D263" i="17"/>
  <c r="C263" i="17"/>
  <c r="B263" i="17"/>
  <c r="P262" i="17"/>
  <c r="O262" i="17"/>
  <c r="N262" i="17"/>
  <c r="M262" i="17"/>
  <c r="L262" i="17"/>
  <c r="K262" i="17"/>
  <c r="H262" i="17"/>
  <c r="G262" i="17"/>
  <c r="F262" i="17"/>
  <c r="E262" i="17"/>
  <c r="D262" i="17"/>
  <c r="C262" i="17"/>
  <c r="B262" i="17"/>
  <c r="P250" i="17"/>
  <c r="O250" i="17"/>
  <c r="N250" i="17"/>
  <c r="M250" i="17"/>
  <c r="L250" i="17"/>
  <c r="K250" i="17"/>
  <c r="G250" i="17"/>
  <c r="F250" i="17"/>
  <c r="E250" i="17"/>
  <c r="D250" i="17"/>
  <c r="C250" i="17"/>
  <c r="B250" i="17"/>
  <c r="P249" i="17"/>
  <c r="O249" i="17"/>
  <c r="N249" i="17"/>
  <c r="M249" i="17"/>
  <c r="L249" i="17"/>
  <c r="K249" i="17"/>
  <c r="H249" i="17"/>
  <c r="G249" i="17"/>
  <c r="F249" i="17"/>
  <c r="E249" i="17"/>
  <c r="D249" i="17"/>
  <c r="C249" i="17"/>
  <c r="B249" i="17"/>
  <c r="P248" i="17"/>
  <c r="O248" i="17"/>
  <c r="N248" i="17"/>
  <c r="M248" i="17"/>
  <c r="L248" i="17"/>
  <c r="K248" i="17"/>
  <c r="J248" i="17"/>
  <c r="I248" i="17"/>
  <c r="G248" i="17"/>
  <c r="F248" i="17"/>
  <c r="E248" i="17"/>
  <c r="D248" i="17"/>
  <c r="C248" i="17"/>
  <c r="B248" i="17"/>
  <c r="P247" i="17"/>
  <c r="O247" i="17"/>
  <c r="N247" i="17"/>
  <c r="M247" i="17"/>
  <c r="L247" i="17"/>
  <c r="K247" i="17"/>
  <c r="G247" i="17"/>
  <c r="F247" i="17"/>
  <c r="E247" i="17"/>
  <c r="D247" i="17"/>
  <c r="C247" i="17"/>
  <c r="B247" i="17"/>
  <c r="P246" i="17"/>
  <c r="O246" i="17"/>
  <c r="N246" i="17"/>
  <c r="M246" i="17"/>
  <c r="L246" i="17"/>
  <c r="K246" i="17"/>
  <c r="G246" i="17"/>
  <c r="F246" i="17"/>
  <c r="E246" i="17"/>
  <c r="D246" i="17"/>
  <c r="C246" i="17"/>
  <c r="B246" i="17"/>
  <c r="P245" i="17"/>
  <c r="O245" i="17"/>
  <c r="N245" i="17"/>
  <c r="M245" i="17"/>
  <c r="L245" i="17"/>
  <c r="K245" i="17"/>
  <c r="J245" i="17"/>
  <c r="I245" i="17"/>
  <c r="H245" i="17"/>
  <c r="G245" i="17"/>
  <c r="F245" i="17"/>
  <c r="E245" i="17"/>
  <c r="D245" i="17"/>
  <c r="C245" i="17"/>
  <c r="B245" i="17"/>
  <c r="J243" i="17"/>
  <c r="B243" i="17"/>
  <c r="P233" i="17"/>
  <c r="O233" i="17"/>
  <c r="N233" i="17"/>
  <c r="M233" i="17"/>
  <c r="L233" i="17"/>
  <c r="K233" i="17"/>
  <c r="H233" i="17"/>
  <c r="G233" i="17"/>
  <c r="F233" i="17"/>
  <c r="E233" i="17"/>
  <c r="D233" i="17"/>
  <c r="C233" i="17"/>
  <c r="B233" i="17"/>
  <c r="P232" i="17"/>
  <c r="O232" i="17"/>
  <c r="N232" i="17"/>
  <c r="M232" i="17"/>
  <c r="L232" i="17"/>
  <c r="K232" i="17"/>
  <c r="J232" i="17"/>
  <c r="G232" i="17"/>
  <c r="F232" i="17"/>
  <c r="E232" i="17"/>
  <c r="D232" i="17"/>
  <c r="C232" i="17"/>
  <c r="B232" i="17"/>
  <c r="P231" i="17"/>
  <c r="O231" i="17"/>
  <c r="N231" i="17"/>
  <c r="M231" i="17"/>
  <c r="L231" i="17"/>
  <c r="K231" i="17"/>
  <c r="G231" i="17"/>
  <c r="F231" i="17"/>
  <c r="E231" i="17"/>
  <c r="D231" i="17"/>
  <c r="C231" i="17"/>
  <c r="B231" i="17"/>
  <c r="P230" i="17"/>
  <c r="O230" i="17"/>
  <c r="N230" i="17"/>
  <c r="M230" i="17"/>
  <c r="L230" i="17"/>
  <c r="K230" i="17"/>
  <c r="J230" i="17"/>
  <c r="G230" i="17"/>
  <c r="F230" i="17"/>
  <c r="E230" i="17"/>
  <c r="D230" i="17"/>
  <c r="C230" i="17"/>
  <c r="B230" i="17"/>
  <c r="P229" i="17"/>
  <c r="O229" i="17"/>
  <c r="N229" i="17"/>
  <c r="M229" i="17"/>
  <c r="L229" i="17"/>
  <c r="K229" i="17"/>
  <c r="J229" i="17"/>
  <c r="G229" i="17"/>
  <c r="F229" i="17"/>
  <c r="E229" i="17"/>
  <c r="D229" i="17"/>
  <c r="C229" i="17"/>
  <c r="B229" i="17"/>
  <c r="P228" i="17"/>
  <c r="O228" i="17"/>
  <c r="N228" i="17"/>
  <c r="M228" i="17"/>
  <c r="L228" i="17"/>
  <c r="K228" i="17"/>
  <c r="J228" i="17"/>
  <c r="I228" i="17"/>
  <c r="H228" i="17"/>
  <c r="G228" i="17"/>
  <c r="F228" i="17"/>
  <c r="E228" i="17"/>
  <c r="D228" i="17"/>
  <c r="C228" i="17"/>
  <c r="B228" i="17"/>
  <c r="J226" i="17"/>
  <c r="B226" i="17"/>
  <c r="P216" i="17"/>
  <c r="O216" i="17"/>
  <c r="N216" i="17"/>
  <c r="M216" i="17"/>
  <c r="L216" i="17"/>
  <c r="K216" i="17"/>
  <c r="J216" i="17"/>
  <c r="I216" i="17"/>
  <c r="G216" i="17"/>
  <c r="F216" i="17"/>
  <c r="E216" i="17"/>
  <c r="D216" i="17"/>
  <c r="C216" i="17"/>
  <c r="B216" i="17"/>
  <c r="P215" i="17"/>
  <c r="O215" i="17"/>
  <c r="N215" i="17"/>
  <c r="M215" i="17"/>
  <c r="L215" i="17"/>
  <c r="K215" i="17"/>
  <c r="J215" i="17"/>
  <c r="G215" i="17"/>
  <c r="F215" i="17"/>
  <c r="E215" i="17"/>
  <c r="D215" i="17"/>
  <c r="C215" i="17"/>
  <c r="B215" i="17"/>
  <c r="P214" i="17"/>
  <c r="O214" i="17"/>
  <c r="N214" i="17"/>
  <c r="M214" i="17"/>
  <c r="L214" i="17"/>
  <c r="K214" i="17"/>
  <c r="H214" i="17"/>
  <c r="G214" i="17"/>
  <c r="F214" i="17"/>
  <c r="E214" i="17"/>
  <c r="D214" i="17"/>
  <c r="C214" i="17"/>
  <c r="B214" i="17"/>
  <c r="P213" i="17"/>
  <c r="O213" i="17"/>
  <c r="N213" i="17"/>
  <c r="M213" i="17"/>
  <c r="L213" i="17"/>
  <c r="K213" i="17"/>
  <c r="G213" i="17"/>
  <c r="F213" i="17"/>
  <c r="E213" i="17"/>
  <c r="D213" i="17"/>
  <c r="C213" i="17"/>
  <c r="B213" i="17"/>
  <c r="P212" i="17"/>
  <c r="O212" i="17"/>
  <c r="N212" i="17"/>
  <c r="M212" i="17"/>
  <c r="L212" i="17"/>
  <c r="K212" i="17"/>
  <c r="G212" i="17"/>
  <c r="F212" i="17"/>
  <c r="E212" i="17"/>
  <c r="D212" i="17"/>
  <c r="C212" i="17"/>
  <c r="B212" i="17"/>
  <c r="P211" i="17"/>
  <c r="O211" i="17"/>
  <c r="N211" i="17"/>
  <c r="M211" i="17"/>
  <c r="L211" i="17"/>
  <c r="K211" i="17"/>
  <c r="G211" i="17"/>
  <c r="F211" i="17"/>
  <c r="E211" i="17"/>
  <c r="D211" i="17"/>
  <c r="C211" i="17"/>
  <c r="B211" i="17"/>
  <c r="J209" i="17"/>
  <c r="B209" i="17"/>
  <c r="P199" i="17"/>
  <c r="O199" i="17"/>
  <c r="N199" i="17"/>
  <c r="M199" i="17"/>
  <c r="L199" i="17"/>
  <c r="K199" i="17"/>
  <c r="G199" i="17"/>
  <c r="F199" i="17"/>
  <c r="E199" i="17"/>
  <c r="D199" i="17"/>
  <c r="C199" i="17"/>
  <c r="B199" i="17"/>
  <c r="P198" i="17"/>
  <c r="O198" i="17"/>
  <c r="N198" i="17"/>
  <c r="M198" i="17"/>
  <c r="L198" i="17"/>
  <c r="K198" i="17"/>
  <c r="H198" i="17"/>
  <c r="G198" i="17"/>
  <c r="F198" i="17"/>
  <c r="E198" i="17"/>
  <c r="D198" i="17"/>
  <c r="C198" i="17"/>
  <c r="B198" i="17"/>
  <c r="P197" i="17"/>
  <c r="O197" i="17"/>
  <c r="N197" i="17"/>
  <c r="M197" i="17"/>
  <c r="L197" i="17"/>
  <c r="K197" i="17"/>
  <c r="G197" i="17"/>
  <c r="F197" i="17"/>
  <c r="E197" i="17"/>
  <c r="D197" i="17"/>
  <c r="C197" i="17"/>
  <c r="B197" i="17"/>
  <c r="P196" i="17"/>
  <c r="O196" i="17"/>
  <c r="N196" i="17"/>
  <c r="M196" i="17"/>
  <c r="L196" i="17"/>
  <c r="K196" i="17"/>
  <c r="H196" i="17"/>
  <c r="G196" i="17"/>
  <c r="F196" i="17"/>
  <c r="E196" i="17"/>
  <c r="D196" i="17"/>
  <c r="C196" i="17"/>
  <c r="B196" i="17"/>
  <c r="P195" i="17"/>
  <c r="O195" i="17"/>
  <c r="N195" i="17"/>
  <c r="M195" i="17"/>
  <c r="L195" i="17"/>
  <c r="K195" i="17"/>
  <c r="G195" i="17"/>
  <c r="F195" i="17"/>
  <c r="E195" i="17"/>
  <c r="D195" i="17"/>
  <c r="C195" i="17"/>
  <c r="B195" i="17"/>
  <c r="P194" i="17"/>
  <c r="O194" i="17"/>
  <c r="N194" i="17"/>
  <c r="M194" i="17"/>
  <c r="L194" i="17"/>
  <c r="K194" i="17"/>
  <c r="G194" i="17"/>
  <c r="F194" i="17"/>
  <c r="E194" i="17"/>
  <c r="D194" i="17"/>
  <c r="C194" i="17"/>
  <c r="B194" i="17"/>
  <c r="J192" i="17"/>
  <c r="B192" i="17"/>
  <c r="P182" i="17"/>
  <c r="O182" i="17"/>
  <c r="N182" i="17"/>
  <c r="M182" i="17"/>
  <c r="L182" i="17"/>
  <c r="K182" i="17"/>
  <c r="J182" i="17"/>
  <c r="I182" i="17"/>
  <c r="H182" i="17"/>
  <c r="G182" i="17"/>
  <c r="F182" i="17"/>
  <c r="E182" i="17"/>
  <c r="D182" i="17"/>
  <c r="C182" i="17"/>
  <c r="B182" i="17"/>
  <c r="P181" i="17"/>
  <c r="O181" i="17"/>
  <c r="N181" i="17"/>
  <c r="M181" i="17"/>
  <c r="L181" i="17"/>
  <c r="K181" i="17"/>
  <c r="H181" i="17"/>
  <c r="G181" i="17"/>
  <c r="F181" i="17"/>
  <c r="E181" i="17"/>
  <c r="D181" i="17"/>
  <c r="C181" i="17"/>
  <c r="B181" i="17"/>
  <c r="P180" i="17"/>
  <c r="O180" i="17"/>
  <c r="N180" i="17"/>
  <c r="M180" i="17"/>
  <c r="L180" i="17"/>
  <c r="K180" i="17"/>
  <c r="J180" i="17"/>
  <c r="I180" i="17"/>
  <c r="H180" i="17"/>
  <c r="G180" i="17"/>
  <c r="F180" i="17"/>
  <c r="E180" i="17"/>
  <c r="D180" i="17"/>
  <c r="C180" i="17"/>
  <c r="B180" i="17"/>
  <c r="P179" i="17"/>
  <c r="O179" i="17"/>
  <c r="N179" i="17"/>
  <c r="M179" i="17"/>
  <c r="L179" i="17"/>
  <c r="K179" i="17"/>
  <c r="H179" i="17"/>
  <c r="G179" i="17"/>
  <c r="F179" i="17"/>
  <c r="E179" i="17"/>
  <c r="D179" i="17"/>
  <c r="C179" i="17"/>
  <c r="B179" i="17"/>
  <c r="P178" i="17"/>
  <c r="O178" i="17"/>
  <c r="N178" i="17"/>
  <c r="M178" i="17"/>
  <c r="L178" i="17"/>
  <c r="K178" i="17"/>
  <c r="J178" i="17"/>
  <c r="G178" i="17"/>
  <c r="F178" i="17"/>
  <c r="E178" i="17"/>
  <c r="D178" i="17"/>
  <c r="C178" i="17"/>
  <c r="B178" i="17"/>
  <c r="P177" i="17"/>
  <c r="O177" i="17"/>
  <c r="N177" i="17"/>
  <c r="M177" i="17"/>
  <c r="L177" i="17"/>
  <c r="K177" i="17"/>
  <c r="J177" i="17"/>
  <c r="G177" i="17"/>
  <c r="F177" i="17"/>
  <c r="E177" i="17"/>
  <c r="D177" i="17"/>
  <c r="C177" i="17"/>
  <c r="B177" i="17"/>
  <c r="J175" i="17"/>
  <c r="B175" i="17"/>
  <c r="P165" i="17"/>
  <c r="O165" i="17"/>
  <c r="N165" i="17"/>
  <c r="M165" i="17"/>
  <c r="L165" i="17"/>
  <c r="K165" i="17"/>
  <c r="J165" i="17"/>
  <c r="I165" i="17"/>
  <c r="H165" i="17"/>
  <c r="G165" i="17"/>
  <c r="F165" i="17"/>
  <c r="E165" i="17"/>
  <c r="D165" i="17"/>
  <c r="C165" i="17"/>
  <c r="B165" i="17"/>
  <c r="P164" i="17"/>
  <c r="O164" i="17"/>
  <c r="N164" i="17"/>
  <c r="M164" i="17"/>
  <c r="L164" i="17"/>
  <c r="K164" i="17"/>
  <c r="G164" i="17"/>
  <c r="F164" i="17"/>
  <c r="E164" i="17"/>
  <c r="D164" i="17"/>
  <c r="C164" i="17"/>
  <c r="B164" i="17"/>
  <c r="P163" i="17"/>
  <c r="O163" i="17"/>
  <c r="N163" i="17"/>
  <c r="M163" i="17"/>
  <c r="L163" i="17"/>
  <c r="K163" i="17"/>
  <c r="G163" i="17"/>
  <c r="F163" i="17"/>
  <c r="E163" i="17"/>
  <c r="D163" i="17"/>
  <c r="C163" i="17"/>
  <c r="B163" i="17"/>
  <c r="P162" i="17"/>
  <c r="O162" i="17"/>
  <c r="N162" i="17"/>
  <c r="M162" i="17"/>
  <c r="L162" i="17"/>
  <c r="K162" i="17"/>
  <c r="H162" i="17"/>
  <c r="G162" i="17"/>
  <c r="F162" i="17"/>
  <c r="E162" i="17"/>
  <c r="D162" i="17"/>
  <c r="C162" i="17"/>
  <c r="B162" i="17"/>
  <c r="P161" i="17"/>
  <c r="O161" i="17"/>
  <c r="N161" i="17"/>
  <c r="M161" i="17"/>
  <c r="L161" i="17"/>
  <c r="K161" i="17"/>
  <c r="H161" i="17"/>
  <c r="G161" i="17"/>
  <c r="F161" i="17"/>
  <c r="E161" i="17"/>
  <c r="D161" i="17"/>
  <c r="C161" i="17"/>
  <c r="B161" i="17"/>
  <c r="P160" i="17"/>
  <c r="O160" i="17"/>
  <c r="N160" i="17"/>
  <c r="M160" i="17"/>
  <c r="L160" i="17"/>
  <c r="K160" i="17"/>
  <c r="H160" i="17"/>
  <c r="G160" i="17"/>
  <c r="F160" i="17"/>
  <c r="E160" i="17"/>
  <c r="D160" i="17"/>
  <c r="C160" i="17"/>
  <c r="B160" i="17"/>
  <c r="J158" i="17"/>
  <c r="B158" i="17"/>
  <c r="P148" i="17"/>
  <c r="O148" i="17"/>
  <c r="N148" i="17"/>
  <c r="M148" i="17"/>
  <c r="L148" i="17"/>
  <c r="K148" i="17"/>
  <c r="G148" i="17"/>
  <c r="F148" i="17"/>
  <c r="E148" i="17"/>
  <c r="D148" i="17"/>
  <c r="C148" i="17"/>
  <c r="B148" i="17"/>
  <c r="P147" i="17"/>
  <c r="O147" i="17"/>
  <c r="N147" i="17"/>
  <c r="M147" i="17"/>
  <c r="L147" i="17"/>
  <c r="K147" i="17"/>
  <c r="G147" i="17"/>
  <c r="F147" i="17"/>
  <c r="E147" i="17"/>
  <c r="D147" i="17"/>
  <c r="C147" i="17"/>
  <c r="B147" i="17"/>
  <c r="P146" i="17"/>
  <c r="O146" i="17"/>
  <c r="N146" i="17"/>
  <c r="M146" i="17"/>
  <c r="L146" i="17"/>
  <c r="K146" i="17"/>
  <c r="I146" i="17"/>
  <c r="H146" i="17"/>
  <c r="G146" i="17"/>
  <c r="F146" i="17"/>
  <c r="E146" i="17"/>
  <c r="D146" i="17"/>
  <c r="C146" i="17"/>
  <c r="B146" i="17"/>
  <c r="P145" i="17"/>
  <c r="O145" i="17"/>
  <c r="N145" i="17"/>
  <c r="M145" i="17"/>
  <c r="L145" i="17"/>
  <c r="K145" i="17"/>
  <c r="H145" i="17"/>
  <c r="G145" i="17"/>
  <c r="F145" i="17"/>
  <c r="E145" i="17"/>
  <c r="D145" i="17"/>
  <c r="C145" i="17"/>
  <c r="B145" i="17"/>
  <c r="P144" i="17"/>
  <c r="O144" i="17"/>
  <c r="N144" i="17"/>
  <c r="M144" i="17"/>
  <c r="L144" i="17"/>
  <c r="K144" i="17"/>
  <c r="J144" i="17"/>
  <c r="G144" i="17"/>
  <c r="F144" i="17"/>
  <c r="E144" i="17"/>
  <c r="D144" i="17"/>
  <c r="C144" i="17"/>
  <c r="B144" i="17"/>
  <c r="P143" i="17"/>
  <c r="O143" i="17"/>
  <c r="N143" i="17"/>
  <c r="M143" i="17"/>
  <c r="L143" i="17"/>
  <c r="K143" i="17"/>
  <c r="G143" i="17"/>
  <c r="F143" i="17"/>
  <c r="E143" i="17"/>
  <c r="D143" i="17"/>
  <c r="C143" i="17"/>
  <c r="B143" i="17"/>
  <c r="J141" i="17"/>
  <c r="B141" i="17"/>
  <c r="P131" i="17"/>
  <c r="O131" i="17"/>
  <c r="N131" i="17"/>
  <c r="M131" i="17"/>
  <c r="L131" i="17"/>
  <c r="K131" i="17"/>
  <c r="G131" i="17"/>
  <c r="F131" i="17"/>
  <c r="E131" i="17"/>
  <c r="D131" i="17"/>
  <c r="C131" i="17"/>
  <c r="B131" i="17"/>
  <c r="P130" i="17"/>
  <c r="O130" i="17"/>
  <c r="N130" i="17"/>
  <c r="M130" i="17"/>
  <c r="L130" i="17"/>
  <c r="K130" i="17"/>
  <c r="J130" i="17"/>
  <c r="G130" i="17"/>
  <c r="F130" i="17"/>
  <c r="E130" i="17"/>
  <c r="D130" i="17"/>
  <c r="C130" i="17"/>
  <c r="B130" i="17"/>
  <c r="P129" i="17"/>
  <c r="O129" i="17"/>
  <c r="N129" i="17"/>
  <c r="M129" i="17"/>
  <c r="L129" i="17"/>
  <c r="K129" i="17"/>
  <c r="J129" i="17"/>
  <c r="G129" i="17"/>
  <c r="F129" i="17"/>
  <c r="E129" i="17"/>
  <c r="D129" i="17"/>
  <c r="C129" i="17"/>
  <c r="B129" i="17"/>
  <c r="P128" i="17"/>
  <c r="O128" i="17"/>
  <c r="N128" i="17"/>
  <c r="M128" i="17"/>
  <c r="L128" i="17"/>
  <c r="K128" i="17"/>
  <c r="J128" i="17"/>
  <c r="G128" i="17"/>
  <c r="F128" i="17"/>
  <c r="E128" i="17"/>
  <c r="D128" i="17"/>
  <c r="C128" i="17"/>
  <c r="B128" i="17"/>
  <c r="P127" i="17"/>
  <c r="O127" i="17"/>
  <c r="N127" i="17"/>
  <c r="M127" i="17"/>
  <c r="L127" i="17"/>
  <c r="K127" i="17"/>
  <c r="J127" i="17"/>
  <c r="H127" i="17"/>
  <c r="G127" i="17"/>
  <c r="F127" i="17"/>
  <c r="E127" i="17"/>
  <c r="D127" i="17"/>
  <c r="C127" i="17"/>
  <c r="B127" i="17"/>
  <c r="P126" i="17"/>
  <c r="O126" i="17"/>
  <c r="N126" i="17"/>
  <c r="M126" i="17"/>
  <c r="L126" i="17"/>
  <c r="K126" i="17"/>
  <c r="J126" i="17"/>
  <c r="G126" i="17"/>
  <c r="F126" i="17"/>
  <c r="E126" i="17"/>
  <c r="D126" i="17"/>
  <c r="C126" i="17"/>
  <c r="B126" i="17"/>
  <c r="P114" i="17"/>
  <c r="O114" i="17"/>
  <c r="N114" i="17"/>
  <c r="M114" i="17"/>
  <c r="L114" i="17"/>
  <c r="K114" i="17"/>
  <c r="G114" i="17"/>
  <c r="F114" i="17"/>
  <c r="E114" i="17"/>
  <c r="D114" i="17"/>
  <c r="C114" i="17"/>
  <c r="B114" i="17"/>
  <c r="P113" i="17"/>
  <c r="O113" i="17"/>
  <c r="N113" i="17"/>
  <c r="M113" i="17"/>
  <c r="L113" i="17"/>
  <c r="K113" i="17"/>
  <c r="J113" i="17"/>
  <c r="I113" i="17"/>
  <c r="G113" i="17"/>
  <c r="F113" i="17"/>
  <c r="E113" i="17"/>
  <c r="D113" i="17"/>
  <c r="C113" i="17"/>
  <c r="B113" i="17"/>
  <c r="P112" i="17"/>
  <c r="O112" i="17"/>
  <c r="N112" i="17"/>
  <c r="M112" i="17"/>
  <c r="L112" i="17"/>
  <c r="K112" i="17"/>
  <c r="J112" i="17"/>
  <c r="I112" i="17"/>
  <c r="G112" i="17"/>
  <c r="F112" i="17"/>
  <c r="E112" i="17"/>
  <c r="D112" i="17"/>
  <c r="C112" i="17"/>
  <c r="B112" i="17"/>
  <c r="P111" i="17"/>
  <c r="O111" i="17"/>
  <c r="N111" i="17"/>
  <c r="M111" i="17"/>
  <c r="L111" i="17"/>
  <c r="K111" i="17"/>
  <c r="I111" i="17"/>
  <c r="H111" i="17"/>
  <c r="G111" i="17"/>
  <c r="F111" i="17"/>
  <c r="E111" i="17"/>
  <c r="D111" i="17"/>
  <c r="C111" i="17"/>
  <c r="B111" i="17"/>
  <c r="P110" i="17"/>
  <c r="O110" i="17"/>
  <c r="N110" i="17"/>
  <c r="M110" i="17"/>
  <c r="L110" i="17"/>
  <c r="K110" i="17"/>
  <c r="G110" i="17"/>
  <c r="F110" i="17"/>
  <c r="E110" i="17"/>
  <c r="D110" i="17"/>
  <c r="C110" i="17"/>
  <c r="B110" i="17"/>
  <c r="P109" i="17"/>
  <c r="O109" i="17"/>
  <c r="N109" i="17"/>
  <c r="M109" i="17"/>
  <c r="L109" i="17"/>
  <c r="K109" i="17"/>
  <c r="G109" i="17"/>
  <c r="F109" i="17"/>
  <c r="E109" i="17"/>
  <c r="D109" i="17"/>
  <c r="C109" i="17"/>
  <c r="B109" i="17"/>
  <c r="P97" i="17"/>
  <c r="O97" i="17"/>
  <c r="N97" i="17"/>
  <c r="M97" i="17"/>
  <c r="L97" i="17"/>
  <c r="K97" i="17"/>
  <c r="H97" i="17"/>
  <c r="G97" i="17"/>
  <c r="F97" i="17"/>
  <c r="E97" i="17"/>
  <c r="D97" i="17"/>
  <c r="C97" i="17"/>
  <c r="B97" i="17"/>
  <c r="P96" i="17"/>
  <c r="O96" i="17"/>
  <c r="N96" i="17"/>
  <c r="M96" i="17"/>
  <c r="L96" i="17"/>
  <c r="K96" i="17"/>
  <c r="H96" i="17"/>
  <c r="G96" i="17"/>
  <c r="F96" i="17"/>
  <c r="E96" i="17"/>
  <c r="D96" i="17"/>
  <c r="C96" i="17"/>
  <c r="B96" i="17"/>
  <c r="P95" i="17"/>
  <c r="O95" i="17"/>
  <c r="N95" i="17"/>
  <c r="M95" i="17"/>
  <c r="L95" i="17"/>
  <c r="K95" i="17"/>
  <c r="J95" i="17"/>
  <c r="G95" i="17"/>
  <c r="F95" i="17"/>
  <c r="E95" i="17"/>
  <c r="D95" i="17"/>
  <c r="C95" i="17"/>
  <c r="B95" i="17"/>
  <c r="P94" i="17"/>
  <c r="O94" i="17"/>
  <c r="N94" i="17"/>
  <c r="M94" i="17"/>
  <c r="L94" i="17"/>
  <c r="K94" i="17"/>
  <c r="G94" i="17"/>
  <c r="F94" i="17"/>
  <c r="E94" i="17"/>
  <c r="D94" i="17"/>
  <c r="C94" i="17"/>
  <c r="B94" i="17"/>
  <c r="P93" i="17"/>
  <c r="O93" i="17"/>
  <c r="N93" i="17"/>
  <c r="M93" i="17"/>
  <c r="L93" i="17"/>
  <c r="K93" i="17"/>
  <c r="J93" i="17"/>
  <c r="G93" i="17"/>
  <c r="F93" i="17"/>
  <c r="E93" i="17"/>
  <c r="D93" i="17"/>
  <c r="C93" i="17"/>
  <c r="B93" i="17"/>
  <c r="P92" i="17"/>
  <c r="O92" i="17"/>
  <c r="N92" i="17"/>
  <c r="M92" i="17"/>
  <c r="L92" i="17"/>
  <c r="K92" i="17"/>
  <c r="J92" i="17"/>
  <c r="I92" i="17"/>
  <c r="H92" i="17"/>
  <c r="G92" i="17"/>
  <c r="F92" i="17"/>
  <c r="E92" i="17"/>
  <c r="D92" i="17"/>
  <c r="C92" i="17"/>
  <c r="B92" i="17"/>
  <c r="P80" i="17"/>
  <c r="O80" i="17"/>
  <c r="N80" i="17"/>
  <c r="M80" i="17"/>
  <c r="L80" i="17"/>
  <c r="K80" i="17"/>
  <c r="J80" i="17"/>
  <c r="G80" i="17"/>
  <c r="F80" i="17"/>
  <c r="E80" i="17"/>
  <c r="D80" i="17"/>
  <c r="C80" i="17"/>
  <c r="B80" i="17"/>
  <c r="P79" i="17"/>
  <c r="O79" i="17"/>
  <c r="N79" i="17"/>
  <c r="M79" i="17"/>
  <c r="L79" i="17"/>
  <c r="K79" i="17"/>
  <c r="J79" i="17"/>
  <c r="G79" i="17"/>
  <c r="F79" i="17"/>
  <c r="E79" i="17"/>
  <c r="D79" i="17"/>
  <c r="C79" i="17"/>
  <c r="B79" i="17"/>
  <c r="P78" i="17"/>
  <c r="O78" i="17"/>
  <c r="N78" i="17"/>
  <c r="M78" i="17"/>
  <c r="L78" i="17"/>
  <c r="K78" i="17"/>
  <c r="G78" i="17"/>
  <c r="F78" i="17"/>
  <c r="E78" i="17"/>
  <c r="D78" i="17"/>
  <c r="C78" i="17"/>
  <c r="B78" i="17"/>
  <c r="P77" i="17"/>
  <c r="O77" i="17"/>
  <c r="N77" i="17"/>
  <c r="M77" i="17"/>
  <c r="L77" i="17"/>
  <c r="K77" i="17"/>
  <c r="G77" i="17"/>
  <c r="F77" i="17"/>
  <c r="E77" i="17"/>
  <c r="D77" i="17"/>
  <c r="C77" i="17"/>
  <c r="B77" i="17"/>
  <c r="P76" i="17"/>
  <c r="O76" i="17"/>
  <c r="N76" i="17"/>
  <c r="M76" i="17"/>
  <c r="L76" i="17"/>
  <c r="K76" i="17"/>
  <c r="J76" i="17"/>
  <c r="I76" i="17"/>
  <c r="H76" i="17"/>
  <c r="G76" i="17"/>
  <c r="F76" i="17"/>
  <c r="E76" i="17"/>
  <c r="D76" i="17"/>
  <c r="C76" i="17"/>
  <c r="B76" i="17"/>
  <c r="P75" i="17"/>
  <c r="O75" i="17"/>
  <c r="N75" i="17"/>
  <c r="M75" i="17"/>
  <c r="L75" i="17"/>
  <c r="K75" i="17"/>
  <c r="J75" i="17"/>
  <c r="I75" i="17"/>
  <c r="H75" i="17"/>
  <c r="G75" i="17"/>
  <c r="F75" i="17"/>
  <c r="E75" i="17"/>
  <c r="D75" i="17"/>
  <c r="C75" i="17"/>
  <c r="B75" i="17"/>
  <c r="P63" i="17"/>
  <c r="O63" i="17"/>
  <c r="N63" i="17"/>
  <c r="M63" i="17"/>
  <c r="L63" i="17"/>
  <c r="K63" i="17"/>
  <c r="H63" i="17"/>
  <c r="G63" i="17"/>
  <c r="F63" i="17"/>
  <c r="E63" i="17"/>
  <c r="D63" i="17"/>
  <c r="C63" i="17"/>
  <c r="B63" i="17"/>
  <c r="P62" i="17"/>
  <c r="O62" i="17"/>
  <c r="N62" i="17"/>
  <c r="M62" i="17"/>
  <c r="L62" i="17"/>
  <c r="K62" i="17"/>
  <c r="H62" i="17"/>
  <c r="G62" i="17"/>
  <c r="F62" i="17"/>
  <c r="E62" i="17"/>
  <c r="D62" i="17"/>
  <c r="C62" i="17"/>
  <c r="B62" i="17"/>
  <c r="P61" i="17"/>
  <c r="O61" i="17"/>
  <c r="N61" i="17"/>
  <c r="M61" i="17"/>
  <c r="L61" i="17"/>
  <c r="K61" i="17"/>
  <c r="I61" i="17"/>
  <c r="H61" i="17"/>
  <c r="G61" i="17"/>
  <c r="F61" i="17"/>
  <c r="E61" i="17"/>
  <c r="D61" i="17"/>
  <c r="C61" i="17"/>
  <c r="B61" i="17"/>
  <c r="P60" i="17"/>
  <c r="O60" i="17"/>
  <c r="N60" i="17"/>
  <c r="M60" i="17"/>
  <c r="L60" i="17"/>
  <c r="K60" i="17"/>
  <c r="J60" i="17"/>
  <c r="I60" i="17"/>
  <c r="H60" i="17"/>
  <c r="G60" i="17"/>
  <c r="F60" i="17"/>
  <c r="E60" i="17"/>
  <c r="D60" i="17"/>
  <c r="C60" i="17"/>
  <c r="B60" i="17"/>
  <c r="P59" i="17"/>
  <c r="O59" i="17"/>
  <c r="N59" i="17"/>
  <c r="M59" i="17"/>
  <c r="L59" i="17"/>
  <c r="K59" i="17"/>
  <c r="G59" i="17"/>
  <c r="F59" i="17"/>
  <c r="E59" i="17"/>
  <c r="D59" i="17"/>
  <c r="C59" i="17"/>
  <c r="B59" i="17"/>
  <c r="P58" i="17"/>
  <c r="O58" i="17"/>
  <c r="N58" i="17"/>
  <c r="M58" i="17"/>
  <c r="L58" i="17"/>
  <c r="K58" i="17"/>
  <c r="G58" i="17"/>
  <c r="F58" i="17"/>
  <c r="E58" i="17"/>
  <c r="D58" i="17"/>
  <c r="C58" i="17"/>
  <c r="B58" i="17"/>
  <c r="P46" i="17"/>
  <c r="O46" i="17"/>
  <c r="N46" i="17"/>
  <c r="M46" i="17"/>
  <c r="L46" i="17"/>
  <c r="K46" i="17"/>
  <c r="G46" i="17"/>
  <c r="F46" i="17"/>
  <c r="E46" i="17"/>
  <c r="D46" i="17"/>
  <c r="C46" i="17"/>
  <c r="B46" i="17"/>
  <c r="P45" i="17"/>
  <c r="O45" i="17"/>
  <c r="N45" i="17"/>
  <c r="M45" i="17"/>
  <c r="L45" i="17"/>
  <c r="K45" i="17"/>
  <c r="G45" i="17"/>
  <c r="F45" i="17"/>
  <c r="E45" i="17"/>
  <c r="D45" i="17"/>
  <c r="C45" i="17"/>
  <c r="B45" i="17"/>
  <c r="P44" i="17"/>
  <c r="O44" i="17"/>
  <c r="N44" i="17"/>
  <c r="M44" i="17"/>
  <c r="L44" i="17"/>
  <c r="K44" i="17"/>
  <c r="J44" i="17"/>
  <c r="H44" i="17"/>
  <c r="G44" i="17"/>
  <c r="F44" i="17"/>
  <c r="E44" i="17"/>
  <c r="D44" i="17"/>
  <c r="C44" i="17"/>
  <c r="B44" i="17"/>
  <c r="P43" i="17"/>
  <c r="O43" i="17"/>
  <c r="N43" i="17"/>
  <c r="M43" i="17"/>
  <c r="L43" i="17"/>
  <c r="K43" i="17"/>
  <c r="G43" i="17"/>
  <c r="F43" i="17"/>
  <c r="E43" i="17"/>
  <c r="D43" i="17"/>
  <c r="C43" i="17"/>
  <c r="B43" i="17"/>
  <c r="P42" i="17"/>
  <c r="O42" i="17"/>
  <c r="N42" i="17"/>
  <c r="M42" i="17"/>
  <c r="L42" i="17"/>
  <c r="K42" i="17"/>
  <c r="G42" i="17"/>
  <c r="F42" i="17"/>
  <c r="E42" i="17"/>
  <c r="D42" i="17"/>
  <c r="C42" i="17"/>
  <c r="B42" i="17"/>
  <c r="P41" i="17"/>
  <c r="O41" i="17"/>
  <c r="N41" i="17"/>
  <c r="M41" i="17"/>
  <c r="L41" i="17"/>
  <c r="K41" i="17"/>
  <c r="G41" i="17"/>
  <c r="F41" i="17"/>
  <c r="E41" i="17"/>
  <c r="D41" i="17"/>
  <c r="C41" i="17"/>
  <c r="B41" i="17"/>
  <c r="P29" i="17"/>
  <c r="O29" i="17"/>
  <c r="N29" i="17"/>
  <c r="M29" i="17"/>
  <c r="L29" i="17"/>
  <c r="K29" i="17"/>
  <c r="J29" i="17"/>
  <c r="G29" i="17"/>
  <c r="F29" i="17"/>
  <c r="E29" i="17"/>
  <c r="D29" i="17"/>
  <c r="C29" i="17"/>
  <c r="B29" i="17"/>
  <c r="P28" i="17"/>
  <c r="O28" i="17"/>
  <c r="N28" i="17"/>
  <c r="M28" i="17"/>
  <c r="L28" i="17"/>
  <c r="K28" i="17"/>
  <c r="G28" i="17"/>
  <c r="F28" i="17"/>
  <c r="E28" i="17"/>
  <c r="D28" i="17"/>
  <c r="C28" i="17"/>
  <c r="B28" i="17"/>
  <c r="P27" i="17"/>
  <c r="O27" i="17"/>
  <c r="N27" i="17"/>
  <c r="M27" i="17"/>
  <c r="L27" i="17"/>
  <c r="K27" i="17"/>
  <c r="J27" i="17"/>
  <c r="G27" i="17"/>
  <c r="F27" i="17"/>
  <c r="E27" i="17"/>
  <c r="D27" i="17"/>
  <c r="C27" i="17"/>
  <c r="B27" i="17"/>
  <c r="P26" i="17"/>
  <c r="O26" i="17"/>
  <c r="N26" i="17"/>
  <c r="M26" i="17"/>
  <c r="L26" i="17"/>
  <c r="K26" i="17"/>
  <c r="G26" i="17"/>
  <c r="F26" i="17"/>
  <c r="E26" i="17"/>
  <c r="D26" i="17"/>
  <c r="C26" i="17"/>
  <c r="B26" i="17"/>
  <c r="P25" i="17"/>
  <c r="O25" i="17"/>
  <c r="N25" i="17"/>
  <c r="M25" i="17"/>
  <c r="L25" i="17"/>
  <c r="K25" i="17"/>
  <c r="H25" i="17"/>
  <c r="G25" i="17"/>
  <c r="F25" i="17"/>
  <c r="E25" i="17"/>
  <c r="D25" i="17"/>
  <c r="C25" i="17"/>
  <c r="B25" i="17"/>
  <c r="P24" i="17"/>
  <c r="O24" i="17"/>
  <c r="N24" i="17"/>
  <c r="M24" i="17"/>
  <c r="L24" i="17"/>
  <c r="K24" i="17"/>
  <c r="G24" i="17"/>
  <c r="F24" i="17"/>
  <c r="E24" i="17"/>
  <c r="D24" i="17"/>
  <c r="C24" i="17"/>
  <c r="B24" i="17"/>
  <c r="P12" i="17"/>
  <c r="O12" i="17"/>
  <c r="N12" i="17"/>
  <c r="M12" i="17"/>
  <c r="L12" i="17"/>
  <c r="K12" i="17"/>
  <c r="J12" i="17"/>
  <c r="H12" i="17"/>
  <c r="G12" i="17"/>
  <c r="F12" i="17"/>
  <c r="E12" i="17"/>
  <c r="D12" i="17"/>
  <c r="C12" i="17"/>
  <c r="B12" i="17"/>
  <c r="P11" i="17"/>
  <c r="O11" i="17"/>
  <c r="N11" i="17"/>
  <c r="M11" i="17"/>
  <c r="L11" i="17"/>
  <c r="K11" i="17"/>
  <c r="G11" i="17"/>
  <c r="F11" i="17"/>
  <c r="E11" i="17"/>
  <c r="D11" i="17"/>
  <c r="C11" i="17"/>
  <c r="B11" i="17"/>
  <c r="P10" i="17"/>
  <c r="O10" i="17"/>
  <c r="N10" i="17"/>
  <c r="M10" i="17"/>
  <c r="L10" i="17"/>
  <c r="K10" i="17"/>
  <c r="G10" i="17"/>
  <c r="F10" i="17"/>
  <c r="E10" i="17"/>
  <c r="D10" i="17"/>
  <c r="C10" i="17"/>
  <c r="B10" i="17"/>
  <c r="P9" i="17"/>
  <c r="O9" i="17"/>
  <c r="N9" i="17"/>
  <c r="M9" i="17"/>
  <c r="L9" i="17"/>
  <c r="K9" i="17"/>
  <c r="G9" i="17"/>
  <c r="F9" i="17"/>
  <c r="E9" i="17"/>
  <c r="D9" i="17"/>
  <c r="C9" i="17"/>
  <c r="B9" i="17"/>
  <c r="P8" i="17"/>
  <c r="O8" i="17"/>
  <c r="N8" i="17"/>
  <c r="M8" i="17"/>
  <c r="L8" i="17"/>
  <c r="K8" i="17"/>
  <c r="J8" i="17"/>
  <c r="I8" i="17"/>
  <c r="H8" i="17"/>
  <c r="G8" i="17"/>
  <c r="F8" i="17"/>
  <c r="E8" i="17"/>
  <c r="D8" i="17"/>
  <c r="C8" i="17"/>
  <c r="B8" i="17"/>
  <c r="P7" i="17"/>
  <c r="O7" i="17"/>
  <c r="N7" i="17"/>
  <c r="M7" i="17"/>
  <c r="L7" i="17"/>
  <c r="K7" i="17"/>
  <c r="J7" i="17"/>
  <c r="G7" i="17"/>
  <c r="F7" i="17"/>
  <c r="E7" i="17"/>
  <c r="D7" i="17"/>
  <c r="C7" i="17"/>
  <c r="B7" i="17"/>
  <c r="M547" i="16"/>
  <c r="K547" i="16"/>
  <c r="I547" i="16"/>
  <c r="F547" i="16"/>
  <c r="D547" i="16"/>
  <c r="B547" i="16"/>
  <c r="L544" i="16"/>
  <c r="E544" i="16"/>
  <c r="L542" i="16"/>
  <c r="K542" i="16"/>
  <c r="J542" i="16"/>
  <c r="I542" i="16"/>
  <c r="F542" i="16"/>
  <c r="E542" i="16"/>
  <c r="D542" i="16"/>
  <c r="C542" i="16"/>
  <c r="B542" i="16"/>
  <c r="L541" i="16"/>
  <c r="K541" i="16"/>
  <c r="J541" i="16"/>
  <c r="I541" i="16"/>
  <c r="E541" i="16"/>
  <c r="D541" i="16"/>
  <c r="C541" i="16"/>
  <c r="B541" i="16"/>
  <c r="M540" i="16"/>
  <c r="L540" i="16"/>
  <c r="K540" i="16"/>
  <c r="J540" i="16"/>
  <c r="I540" i="16"/>
  <c r="F540" i="16"/>
  <c r="E540" i="16"/>
  <c r="D540" i="16"/>
  <c r="C540" i="16"/>
  <c r="B540" i="16"/>
  <c r="L539" i="16"/>
  <c r="K539" i="16"/>
  <c r="J539" i="16"/>
  <c r="I539" i="16"/>
  <c r="E539" i="16"/>
  <c r="D539" i="16"/>
  <c r="C539" i="16"/>
  <c r="B539" i="16"/>
  <c r="M538" i="16"/>
  <c r="L538" i="16"/>
  <c r="K538" i="16"/>
  <c r="J538" i="16"/>
  <c r="I538" i="16"/>
  <c r="E538" i="16"/>
  <c r="D538" i="16"/>
  <c r="C538" i="16"/>
  <c r="B538" i="16"/>
  <c r="L537" i="16"/>
  <c r="K537" i="16"/>
  <c r="J537" i="16"/>
  <c r="I537" i="16"/>
  <c r="E537" i="16"/>
  <c r="D537" i="16"/>
  <c r="C537" i="16"/>
  <c r="B537" i="16"/>
  <c r="M534" i="16"/>
  <c r="I534" i="16"/>
  <c r="F534" i="16"/>
  <c r="B534" i="16"/>
  <c r="M533" i="16"/>
  <c r="I533" i="16"/>
  <c r="F533" i="16"/>
  <c r="B533" i="16"/>
  <c r="M530" i="16"/>
  <c r="K530" i="16"/>
  <c r="I530" i="16"/>
  <c r="F530" i="16"/>
  <c r="D530" i="16"/>
  <c r="B530" i="16"/>
  <c r="L527" i="16"/>
  <c r="E527" i="16"/>
  <c r="M525" i="16"/>
  <c r="L525" i="16"/>
  <c r="K525" i="16"/>
  <c r="J525" i="16"/>
  <c r="I525" i="16"/>
  <c r="E525" i="16"/>
  <c r="D525" i="16"/>
  <c r="C525" i="16"/>
  <c r="B525" i="16"/>
  <c r="M524" i="16"/>
  <c r="L524" i="16"/>
  <c r="K524" i="16"/>
  <c r="J524" i="16"/>
  <c r="I524" i="16"/>
  <c r="E524" i="16"/>
  <c r="D524" i="16"/>
  <c r="C524" i="16"/>
  <c r="B524" i="16"/>
  <c r="M523" i="16"/>
  <c r="L523" i="16"/>
  <c r="K523" i="16"/>
  <c r="J523" i="16"/>
  <c r="I523" i="16"/>
  <c r="F523" i="16"/>
  <c r="E523" i="16"/>
  <c r="D523" i="16"/>
  <c r="C523" i="16"/>
  <c r="B523" i="16"/>
  <c r="M522" i="16"/>
  <c r="L522" i="16"/>
  <c r="K522" i="16"/>
  <c r="J522" i="16"/>
  <c r="I522" i="16"/>
  <c r="F522" i="16"/>
  <c r="E522" i="16"/>
  <c r="D522" i="16"/>
  <c r="C522" i="16"/>
  <c r="B522" i="16"/>
  <c r="M521" i="16"/>
  <c r="L521" i="16"/>
  <c r="K521" i="16"/>
  <c r="J521" i="16"/>
  <c r="I521" i="16"/>
  <c r="E521" i="16"/>
  <c r="D521" i="16"/>
  <c r="C521" i="16"/>
  <c r="B521" i="16"/>
  <c r="M520" i="16"/>
  <c r="L520" i="16"/>
  <c r="K520" i="16"/>
  <c r="J520" i="16"/>
  <c r="I520" i="16"/>
  <c r="E520" i="16"/>
  <c r="D520" i="16"/>
  <c r="C520" i="16"/>
  <c r="B520" i="16"/>
  <c r="M517" i="16"/>
  <c r="I517" i="16"/>
  <c r="F517" i="16"/>
  <c r="B517" i="16"/>
  <c r="M516" i="16"/>
  <c r="I516" i="16"/>
  <c r="F516" i="16"/>
  <c r="B516" i="16"/>
  <c r="M513" i="16"/>
  <c r="K513" i="16"/>
  <c r="I513" i="16"/>
  <c r="F513" i="16"/>
  <c r="D513" i="16"/>
  <c r="B513" i="16"/>
  <c r="L510" i="16"/>
  <c r="E510" i="16"/>
  <c r="M508" i="16"/>
  <c r="L508" i="16"/>
  <c r="K508" i="16"/>
  <c r="J508" i="16"/>
  <c r="I508" i="16"/>
  <c r="E508" i="16"/>
  <c r="D508" i="16"/>
  <c r="C508" i="16"/>
  <c r="B508" i="16"/>
  <c r="M507" i="16"/>
  <c r="L507" i="16"/>
  <c r="K507" i="16"/>
  <c r="J507" i="16"/>
  <c r="I507" i="16"/>
  <c r="E507" i="16"/>
  <c r="D507" i="16"/>
  <c r="C507" i="16"/>
  <c r="B507" i="16"/>
  <c r="M506" i="16"/>
  <c r="L506" i="16"/>
  <c r="K506" i="16"/>
  <c r="J506" i="16"/>
  <c r="I506" i="16"/>
  <c r="E506" i="16"/>
  <c r="D506" i="16"/>
  <c r="C506" i="16"/>
  <c r="B506" i="16"/>
  <c r="L505" i="16"/>
  <c r="K505" i="16"/>
  <c r="J505" i="16"/>
  <c r="I505" i="16"/>
  <c r="E505" i="16"/>
  <c r="D505" i="16"/>
  <c r="C505" i="16"/>
  <c r="B505" i="16"/>
  <c r="M504" i="16"/>
  <c r="L504" i="16"/>
  <c r="K504" i="16"/>
  <c r="J504" i="16"/>
  <c r="I504" i="16"/>
  <c r="E504" i="16"/>
  <c r="D504" i="16"/>
  <c r="C504" i="16"/>
  <c r="B504" i="16"/>
  <c r="L503" i="16"/>
  <c r="M505" i="16" s="1"/>
  <c r="K503" i="16"/>
  <c r="J503" i="16"/>
  <c r="I503" i="16"/>
  <c r="E503" i="16"/>
  <c r="D503" i="16"/>
  <c r="C503" i="16"/>
  <c r="B503" i="16"/>
  <c r="M500" i="16"/>
  <c r="I500" i="16"/>
  <c r="F500" i="16"/>
  <c r="B500" i="16"/>
  <c r="M499" i="16"/>
  <c r="I499" i="16"/>
  <c r="F499" i="16"/>
  <c r="B499" i="16"/>
  <c r="M496" i="16"/>
  <c r="K496" i="16"/>
  <c r="I496" i="16"/>
  <c r="F496" i="16"/>
  <c r="D496" i="16"/>
  <c r="B496" i="16"/>
  <c r="L493" i="16"/>
  <c r="E493" i="16"/>
  <c r="M491" i="16"/>
  <c r="L491" i="16"/>
  <c r="K491" i="16"/>
  <c r="J491" i="16"/>
  <c r="I491" i="16"/>
  <c r="E491" i="16"/>
  <c r="D491" i="16"/>
  <c r="C491" i="16"/>
  <c r="B491" i="16"/>
  <c r="M490" i="16"/>
  <c r="L490" i="16"/>
  <c r="K490" i="16"/>
  <c r="J490" i="16"/>
  <c r="I490" i="16"/>
  <c r="E490" i="16"/>
  <c r="D490" i="16"/>
  <c r="C490" i="16"/>
  <c r="B490" i="16"/>
  <c r="M489" i="16"/>
  <c r="L489" i="16"/>
  <c r="K489" i="16"/>
  <c r="J489" i="16"/>
  <c r="I489" i="16"/>
  <c r="E489" i="16"/>
  <c r="D489" i="16"/>
  <c r="C489" i="16"/>
  <c r="B489" i="16"/>
  <c r="M488" i="16"/>
  <c r="L488" i="16"/>
  <c r="K488" i="16"/>
  <c r="J488" i="16"/>
  <c r="I488" i="16"/>
  <c r="E488" i="16"/>
  <c r="D488" i="16"/>
  <c r="C488" i="16"/>
  <c r="B488" i="16"/>
  <c r="M487" i="16"/>
  <c r="L487" i="16"/>
  <c r="K487" i="16"/>
  <c r="J487" i="16"/>
  <c r="I487" i="16"/>
  <c r="E487" i="16"/>
  <c r="D487" i="16"/>
  <c r="C487" i="16"/>
  <c r="B487" i="16"/>
  <c r="M486" i="16"/>
  <c r="L486" i="16"/>
  <c r="K486" i="16"/>
  <c r="J486" i="16"/>
  <c r="I486" i="16"/>
  <c r="F486" i="16"/>
  <c r="E486" i="16"/>
  <c r="D486" i="16"/>
  <c r="C486" i="16"/>
  <c r="B486" i="16"/>
  <c r="M483" i="16"/>
  <c r="I483" i="16"/>
  <c r="F483" i="16"/>
  <c r="B483" i="16"/>
  <c r="M482" i="16"/>
  <c r="I482" i="16"/>
  <c r="F482" i="16"/>
  <c r="B482" i="16"/>
  <c r="M479" i="16"/>
  <c r="K479" i="16"/>
  <c r="I479" i="16"/>
  <c r="F479" i="16"/>
  <c r="D479" i="16"/>
  <c r="B479" i="16"/>
  <c r="L476" i="16"/>
  <c r="E476" i="16"/>
  <c r="M474" i="16"/>
  <c r="L474" i="16"/>
  <c r="K474" i="16"/>
  <c r="J474" i="16"/>
  <c r="I474" i="16"/>
  <c r="E474" i="16"/>
  <c r="D474" i="16"/>
  <c r="C474" i="16"/>
  <c r="B474" i="16"/>
  <c r="M473" i="16"/>
  <c r="L473" i="16"/>
  <c r="K473" i="16"/>
  <c r="J473" i="16"/>
  <c r="I473" i="16"/>
  <c r="F473" i="16"/>
  <c r="E473" i="16"/>
  <c r="D473" i="16"/>
  <c r="C473" i="16"/>
  <c r="B473" i="16"/>
  <c r="L472" i="16"/>
  <c r="K472" i="16"/>
  <c r="J472" i="16"/>
  <c r="I472" i="16"/>
  <c r="F472" i="16"/>
  <c r="E472" i="16"/>
  <c r="D472" i="16"/>
  <c r="C472" i="16"/>
  <c r="B472" i="16"/>
  <c r="M471" i="16"/>
  <c r="L471" i="16"/>
  <c r="K471" i="16"/>
  <c r="J471" i="16"/>
  <c r="I471" i="16"/>
  <c r="F471" i="16"/>
  <c r="E471" i="16"/>
  <c r="D471" i="16"/>
  <c r="C471" i="16"/>
  <c r="B471" i="16"/>
  <c r="L470" i="16"/>
  <c r="K470" i="16"/>
  <c r="J470" i="16"/>
  <c r="I470" i="16"/>
  <c r="F470" i="16"/>
  <c r="E470" i="16"/>
  <c r="D470" i="16"/>
  <c r="C470" i="16"/>
  <c r="B470" i="16"/>
  <c r="L469" i="16"/>
  <c r="K469" i="16"/>
  <c r="J469" i="16"/>
  <c r="I469" i="16"/>
  <c r="F469" i="16"/>
  <c r="E469" i="16"/>
  <c r="F474" i="16" s="1"/>
  <c r="D469" i="16"/>
  <c r="C469" i="16"/>
  <c r="B469" i="16"/>
  <c r="M466" i="16"/>
  <c r="I466" i="16"/>
  <c r="F466" i="16"/>
  <c r="B466" i="16"/>
  <c r="M465" i="16"/>
  <c r="I465" i="16"/>
  <c r="F465" i="16"/>
  <c r="B465" i="16"/>
  <c r="M462" i="16"/>
  <c r="K462" i="16"/>
  <c r="I462" i="16"/>
  <c r="F462" i="16"/>
  <c r="D462" i="16"/>
  <c r="B462" i="16"/>
  <c r="L459" i="16"/>
  <c r="E459" i="16"/>
  <c r="L457" i="16"/>
  <c r="K457" i="16"/>
  <c r="J457" i="16"/>
  <c r="I457" i="16"/>
  <c r="F457" i="16"/>
  <c r="E457" i="16"/>
  <c r="D457" i="16"/>
  <c r="C457" i="16"/>
  <c r="B457" i="16"/>
  <c r="M456" i="16"/>
  <c r="L456" i="16"/>
  <c r="K456" i="16"/>
  <c r="J456" i="16"/>
  <c r="I456" i="16"/>
  <c r="F456" i="16"/>
  <c r="E456" i="16"/>
  <c r="D456" i="16"/>
  <c r="C456" i="16"/>
  <c r="B456" i="16"/>
  <c r="L455" i="16"/>
  <c r="K455" i="16"/>
  <c r="J455" i="16"/>
  <c r="I455" i="16"/>
  <c r="E455" i="16"/>
  <c r="D455" i="16"/>
  <c r="C455" i="16"/>
  <c r="B455" i="16"/>
  <c r="M454" i="16"/>
  <c r="L454" i="16"/>
  <c r="K454" i="16"/>
  <c r="J454" i="16"/>
  <c r="I454" i="16"/>
  <c r="F454" i="16"/>
  <c r="E454" i="16"/>
  <c r="D454" i="16"/>
  <c r="C454" i="16"/>
  <c r="B454" i="16"/>
  <c r="M453" i="16"/>
  <c r="L453" i="16"/>
  <c r="K453" i="16"/>
  <c r="J453" i="16"/>
  <c r="I453" i="16"/>
  <c r="F453" i="16"/>
  <c r="E453" i="16"/>
  <c r="D453" i="16"/>
  <c r="C453" i="16"/>
  <c r="B453" i="16"/>
  <c r="L452" i="16"/>
  <c r="K452" i="16"/>
  <c r="J452" i="16"/>
  <c r="I452" i="16"/>
  <c r="F452" i="16"/>
  <c r="E452" i="16"/>
  <c r="F455" i="16" s="1"/>
  <c r="D452" i="16"/>
  <c r="C452" i="16"/>
  <c r="B452" i="16"/>
  <c r="M449" i="16"/>
  <c r="I449" i="16"/>
  <c r="F449" i="16"/>
  <c r="B449" i="16"/>
  <c r="M448" i="16"/>
  <c r="I448" i="16"/>
  <c r="F448" i="16"/>
  <c r="B448" i="16"/>
  <c r="M445" i="16"/>
  <c r="K445" i="16"/>
  <c r="I445" i="16"/>
  <c r="F445" i="16"/>
  <c r="D445" i="16"/>
  <c r="B445" i="16"/>
  <c r="L442" i="16"/>
  <c r="E442" i="16"/>
  <c r="M440" i="16"/>
  <c r="L440" i="16"/>
  <c r="K440" i="16"/>
  <c r="J440" i="16"/>
  <c r="I440" i="16"/>
  <c r="F440" i="16"/>
  <c r="E440" i="16"/>
  <c r="D440" i="16"/>
  <c r="C440" i="16"/>
  <c r="B440" i="16"/>
  <c r="M439" i="16"/>
  <c r="L439" i="16"/>
  <c r="K439" i="16"/>
  <c r="J439" i="16"/>
  <c r="I439" i="16"/>
  <c r="E439" i="16"/>
  <c r="D439" i="16"/>
  <c r="C439" i="16"/>
  <c r="B439" i="16"/>
  <c r="M438" i="16"/>
  <c r="L438" i="16"/>
  <c r="K438" i="16"/>
  <c r="J438" i="16"/>
  <c r="I438" i="16"/>
  <c r="F438" i="16"/>
  <c r="E438" i="16"/>
  <c r="D438" i="16"/>
  <c r="C438" i="16"/>
  <c r="B438" i="16"/>
  <c r="M437" i="16"/>
  <c r="L437" i="16"/>
  <c r="K437" i="16"/>
  <c r="J437" i="16"/>
  <c r="I437" i="16"/>
  <c r="E437" i="16"/>
  <c r="D437" i="16"/>
  <c r="C437" i="16"/>
  <c r="B437" i="16"/>
  <c r="M436" i="16"/>
  <c r="L436" i="16"/>
  <c r="K436" i="16"/>
  <c r="J436" i="16"/>
  <c r="I436" i="16"/>
  <c r="F436" i="16"/>
  <c r="E436" i="16"/>
  <c r="D436" i="16"/>
  <c r="C436" i="16"/>
  <c r="B436" i="16"/>
  <c r="M435" i="16"/>
  <c r="L435" i="16"/>
  <c r="K435" i="16"/>
  <c r="J435" i="16"/>
  <c r="I435" i="16"/>
  <c r="F435" i="16"/>
  <c r="E435" i="16"/>
  <c r="D435" i="16"/>
  <c r="C435" i="16"/>
  <c r="B435" i="16"/>
  <c r="M432" i="16"/>
  <c r="I432" i="16"/>
  <c r="F432" i="16"/>
  <c r="B432" i="16"/>
  <c r="M431" i="16"/>
  <c r="I431" i="16"/>
  <c r="F431" i="16"/>
  <c r="B431" i="16"/>
  <c r="M428" i="16"/>
  <c r="K428" i="16"/>
  <c r="I428" i="16"/>
  <c r="F428" i="16"/>
  <c r="D428" i="16"/>
  <c r="B428" i="16"/>
  <c r="L425" i="16"/>
  <c r="E425" i="16"/>
  <c r="M423" i="16"/>
  <c r="L423" i="16"/>
  <c r="K423" i="16"/>
  <c r="J423" i="16"/>
  <c r="I423" i="16"/>
  <c r="E423" i="16"/>
  <c r="D423" i="16"/>
  <c r="C423" i="16"/>
  <c r="B423" i="16"/>
  <c r="M422" i="16"/>
  <c r="L422" i="16"/>
  <c r="K422" i="16"/>
  <c r="J422" i="16"/>
  <c r="I422" i="16"/>
  <c r="F422" i="16"/>
  <c r="E422" i="16"/>
  <c r="D422" i="16"/>
  <c r="C422" i="16"/>
  <c r="B422" i="16"/>
  <c r="M421" i="16"/>
  <c r="L421" i="16"/>
  <c r="K421" i="16"/>
  <c r="J421" i="16"/>
  <c r="I421" i="16"/>
  <c r="E421" i="16"/>
  <c r="D421" i="16"/>
  <c r="C421" i="16"/>
  <c r="B421" i="16"/>
  <c r="L420" i="16"/>
  <c r="K420" i="16"/>
  <c r="J420" i="16"/>
  <c r="I420" i="16"/>
  <c r="E420" i="16"/>
  <c r="D420" i="16"/>
  <c r="C420" i="16"/>
  <c r="B420" i="16"/>
  <c r="M419" i="16"/>
  <c r="L419" i="16"/>
  <c r="K419" i="16"/>
  <c r="J419" i="16"/>
  <c r="I419" i="16"/>
  <c r="E419" i="16"/>
  <c r="D419" i="16"/>
  <c r="C419" i="16"/>
  <c r="B419" i="16"/>
  <c r="L418" i="16"/>
  <c r="K418" i="16"/>
  <c r="J418" i="16"/>
  <c r="I418" i="16"/>
  <c r="E418" i="16"/>
  <c r="D418" i="16"/>
  <c r="C418" i="16"/>
  <c r="B418" i="16"/>
  <c r="M415" i="16"/>
  <c r="I415" i="16"/>
  <c r="F415" i="16"/>
  <c r="B415" i="16"/>
  <c r="M414" i="16"/>
  <c r="I414" i="16"/>
  <c r="F414" i="16"/>
  <c r="B414" i="16"/>
  <c r="M411" i="16"/>
  <c r="K411" i="16"/>
  <c r="I411" i="16"/>
  <c r="F411" i="16"/>
  <c r="D411" i="16"/>
  <c r="B411" i="16"/>
  <c r="L408" i="16"/>
  <c r="E408" i="16"/>
  <c r="M406" i="16"/>
  <c r="L406" i="16"/>
  <c r="K406" i="16"/>
  <c r="J406" i="16"/>
  <c r="I406" i="16"/>
  <c r="F406" i="16"/>
  <c r="E406" i="16"/>
  <c r="D406" i="16"/>
  <c r="C406" i="16"/>
  <c r="B406" i="16"/>
  <c r="L405" i="16"/>
  <c r="K405" i="16"/>
  <c r="J405" i="16"/>
  <c r="I405" i="16"/>
  <c r="F405" i="16"/>
  <c r="E405" i="16"/>
  <c r="D405" i="16"/>
  <c r="C405" i="16"/>
  <c r="B405" i="16"/>
  <c r="M404" i="16"/>
  <c r="L404" i="16"/>
  <c r="K404" i="16"/>
  <c r="J404" i="16"/>
  <c r="I404" i="16"/>
  <c r="E404" i="16"/>
  <c r="D404" i="16"/>
  <c r="C404" i="16"/>
  <c r="B404" i="16"/>
  <c r="L403" i="16"/>
  <c r="K403" i="16"/>
  <c r="J403" i="16"/>
  <c r="I403" i="16"/>
  <c r="F403" i="16"/>
  <c r="E403" i="16"/>
  <c r="D403" i="16"/>
  <c r="C403" i="16"/>
  <c r="B403" i="16"/>
  <c r="M402" i="16"/>
  <c r="L402" i="16"/>
  <c r="K402" i="16"/>
  <c r="J402" i="16"/>
  <c r="I402" i="16"/>
  <c r="E402" i="16"/>
  <c r="D402" i="16"/>
  <c r="C402" i="16"/>
  <c r="B402" i="16"/>
  <c r="L401" i="16"/>
  <c r="M405" i="16" s="1"/>
  <c r="K401" i="16"/>
  <c r="J401" i="16"/>
  <c r="I401" i="16"/>
  <c r="F401" i="16"/>
  <c r="E401" i="16"/>
  <c r="D401" i="16"/>
  <c r="C401" i="16"/>
  <c r="B401" i="16"/>
  <c r="M398" i="16"/>
  <c r="I398" i="16"/>
  <c r="F398" i="16"/>
  <c r="B398" i="16"/>
  <c r="M397" i="16"/>
  <c r="I397" i="16"/>
  <c r="F397" i="16"/>
  <c r="B397" i="16"/>
  <c r="M394" i="16"/>
  <c r="K394" i="16"/>
  <c r="I394" i="16"/>
  <c r="F394" i="16"/>
  <c r="D394" i="16"/>
  <c r="B394" i="16"/>
  <c r="L391" i="16"/>
  <c r="E391" i="16"/>
  <c r="L389" i="16"/>
  <c r="K389" i="16"/>
  <c r="J389" i="16"/>
  <c r="I389" i="16"/>
  <c r="E389" i="16"/>
  <c r="D389" i="16"/>
  <c r="C389" i="16"/>
  <c r="B389" i="16"/>
  <c r="L388" i="16"/>
  <c r="K388" i="16"/>
  <c r="J388" i="16"/>
  <c r="I388" i="16"/>
  <c r="F388" i="16"/>
  <c r="E388" i="16"/>
  <c r="D388" i="16"/>
  <c r="C388" i="16"/>
  <c r="B388" i="16"/>
  <c r="L387" i="16"/>
  <c r="K387" i="16"/>
  <c r="J387" i="16"/>
  <c r="I387" i="16"/>
  <c r="F387" i="16"/>
  <c r="E387" i="16"/>
  <c r="D387" i="16"/>
  <c r="C387" i="16"/>
  <c r="B387" i="16"/>
  <c r="L386" i="16"/>
  <c r="K386" i="16"/>
  <c r="J386" i="16"/>
  <c r="I386" i="16"/>
  <c r="F386" i="16"/>
  <c r="E386" i="16"/>
  <c r="D386" i="16"/>
  <c r="C386" i="16"/>
  <c r="B386" i="16"/>
  <c r="L385" i="16"/>
  <c r="K385" i="16"/>
  <c r="J385" i="16"/>
  <c r="I385" i="16"/>
  <c r="E385" i="16"/>
  <c r="D385" i="16"/>
  <c r="C385" i="16"/>
  <c r="B385" i="16"/>
  <c r="M384" i="16"/>
  <c r="L384" i="16"/>
  <c r="K384" i="16"/>
  <c r="J384" i="16"/>
  <c r="I384" i="16"/>
  <c r="F384" i="16"/>
  <c r="E384" i="16"/>
  <c r="D384" i="16"/>
  <c r="C384" i="16"/>
  <c r="B384" i="16"/>
  <c r="M381" i="16"/>
  <c r="I381" i="16"/>
  <c r="F381" i="16"/>
  <c r="B381" i="16"/>
  <c r="M380" i="16"/>
  <c r="I380" i="16"/>
  <c r="F380" i="16"/>
  <c r="B380" i="16"/>
  <c r="M377" i="16"/>
  <c r="K377" i="16"/>
  <c r="I377" i="16"/>
  <c r="F377" i="16"/>
  <c r="D377" i="16"/>
  <c r="B377" i="16"/>
  <c r="L374" i="16"/>
  <c r="E374" i="16"/>
  <c r="L372" i="16"/>
  <c r="K372" i="16"/>
  <c r="J372" i="16"/>
  <c r="I372" i="16"/>
  <c r="E372" i="16"/>
  <c r="D372" i="16"/>
  <c r="C372" i="16"/>
  <c r="B372" i="16"/>
  <c r="L371" i="16"/>
  <c r="K371" i="16"/>
  <c r="J371" i="16"/>
  <c r="I371" i="16"/>
  <c r="E371" i="16"/>
  <c r="D371" i="16"/>
  <c r="C371" i="16"/>
  <c r="B371" i="16"/>
  <c r="L370" i="16"/>
  <c r="K370" i="16"/>
  <c r="J370" i="16"/>
  <c r="I370" i="16"/>
  <c r="E370" i="16"/>
  <c r="D370" i="16"/>
  <c r="C370" i="16"/>
  <c r="B370" i="16"/>
  <c r="L369" i="16"/>
  <c r="K369" i="16"/>
  <c r="J369" i="16"/>
  <c r="I369" i="16"/>
  <c r="E369" i="16"/>
  <c r="D369" i="16"/>
  <c r="C369" i="16"/>
  <c r="B369" i="16"/>
  <c r="L368" i="16"/>
  <c r="K368" i="16"/>
  <c r="J368" i="16"/>
  <c r="I368" i="16"/>
  <c r="E368" i="16"/>
  <c r="D368" i="16"/>
  <c r="C368" i="16"/>
  <c r="B368" i="16"/>
  <c r="L367" i="16"/>
  <c r="K367" i="16"/>
  <c r="J367" i="16"/>
  <c r="I367" i="16"/>
  <c r="F367" i="16"/>
  <c r="E367" i="16"/>
  <c r="F371" i="16" s="1"/>
  <c r="D367" i="16"/>
  <c r="C367" i="16"/>
  <c r="B367" i="16"/>
  <c r="M364" i="16"/>
  <c r="I364" i="16"/>
  <c r="F364" i="16"/>
  <c r="B364" i="16"/>
  <c r="M363" i="16"/>
  <c r="I363" i="16"/>
  <c r="F363" i="16"/>
  <c r="B363" i="16"/>
  <c r="M360" i="16"/>
  <c r="K360" i="16"/>
  <c r="I360" i="16"/>
  <c r="F360" i="16"/>
  <c r="D360" i="16"/>
  <c r="B360" i="16"/>
  <c r="L357" i="16"/>
  <c r="E357" i="16"/>
  <c r="L355" i="16"/>
  <c r="K355" i="16"/>
  <c r="J355" i="16"/>
  <c r="I355" i="16"/>
  <c r="E355" i="16"/>
  <c r="D355" i="16"/>
  <c r="C355" i="16"/>
  <c r="B355" i="16"/>
  <c r="L354" i="16"/>
  <c r="K354" i="16"/>
  <c r="J354" i="16"/>
  <c r="I354" i="16"/>
  <c r="F354" i="16"/>
  <c r="E354" i="16"/>
  <c r="D354" i="16"/>
  <c r="C354" i="16"/>
  <c r="B354" i="16"/>
  <c r="M353" i="16"/>
  <c r="L353" i="16"/>
  <c r="K353" i="16"/>
  <c r="J353" i="16"/>
  <c r="I353" i="16"/>
  <c r="E353" i="16"/>
  <c r="D353" i="16"/>
  <c r="C353" i="16"/>
  <c r="B353" i="16"/>
  <c r="L352" i="16"/>
  <c r="K352" i="16"/>
  <c r="J352" i="16"/>
  <c r="I352" i="16"/>
  <c r="E352" i="16"/>
  <c r="D352" i="16"/>
  <c r="C352" i="16"/>
  <c r="B352" i="16"/>
  <c r="M351" i="16"/>
  <c r="L351" i="16"/>
  <c r="K351" i="16"/>
  <c r="J351" i="16"/>
  <c r="I351" i="16"/>
  <c r="E351" i="16"/>
  <c r="D351" i="16"/>
  <c r="C351" i="16"/>
  <c r="B351" i="16"/>
  <c r="L350" i="16"/>
  <c r="M355" i="16" s="1"/>
  <c r="K350" i="16"/>
  <c r="J350" i="16"/>
  <c r="I350" i="16"/>
  <c r="E350" i="16"/>
  <c r="D350" i="16"/>
  <c r="C350" i="16"/>
  <c r="B350" i="16"/>
  <c r="M347" i="16"/>
  <c r="I347" i="16"/>
  <c r="F347" i="16"/>
  <c r="B347" i="16"/>
  <c r="M346" i="16"/>
  <c r="I346" i="16"/>
  <c r="F346" i="16"/>
  <c r="B346" i="16"/>
  <c r="M343" i="16"/>
  <c r="K343" i="16"/>
  <c r="I343" i="16"/>
  <c r="F343" i="16"/>
  <c r="D343" i="16"/>
  <c r="B343" i="16"/>
  <c r="L340" i="16"/>
  <c r="E340" i="16"/>
  <c r="M338" i="16"/>
  <c r="L338" i="16"/>
  <c r="K338" i="16"/>
  <c r="J338" i="16"/>
  <c r="I338" i="16"/>
  <c r="E338" i="16"/>
  <c r="D338" i="16"/>
  <c r="C338" i="16"/>
  <c r="B338" i="16"/>
  <c r="M337" i="16"/>
  <c r="L337" i="16"/>
  <c r="K337" i="16"/>
  <c r="J337" i="16"/>
  <c r="I337" i="16"/>
  <c r="E337" i="16"/>
  <c r="D337" i="16"/>
  <c r="C337" i="16"/>
  <c r="B337" i="16"/>
  <c r="M336" i="16"/>
  <c r="L336" i="16"/>
  <c r="K336" i="16"/>
  <c r="J336" i="16"/>
  <c r="I336" i="16"/>
  <c r="E336" i="16"/>
  <c r="D336" i="16"/>
  <c r="C336" i="16"/>
  <c r="B336" i="16"/>
  <c r="M335" i="16"/>
  <c r="L335" i="16"/>
  <c r="K335" i="16"/>
  <c r="J335" i="16"/>
  <c r="I335" i="16"/>
  <c r="F335" i="16"/>
  <c r="E335" i="16"/>
  <c r="D335" i="16"/>
  <c r="C335" i="16"/>
  <c r="B335" i="16"/>
  <c r="M334" i="16"/>
  <c r="L334" i="16"/>
  <c r="K334" i="16"/>
  <c r="J334" i="16"/>
  <c r="I334" i="16"/>
  <c r="E334" i="16"/>
  <c r="D334" i="16"/>
  <c r="C334" i="16"/>
  <c r="B334" i="16"/>
  <c r="M333" i="16"/>
  <c r="L333" i="16"/>
  <c r="K333" i="16"/>
  <c r="J333" i="16"/>
  <c r="I333" i="16"/>
  <c r="F333" i="16"/>
  <c r="E333" i="16"/>
  <c r="D333" i="16"/>
  <c r="C333" i="16"/>
  <c r="B333" i="16"/>
  <c r="M330" i="16"/>
  <c r="I330" i="16"/>
  <c r="F330" i="16"/>
  <c r="B330" i="16"/>
  <c r="M329" i="16"/>
  <c r="I329" i="16"/>
  <c r="F329" i="16"/>
  <c r="B329" i="16"/>
  <c r="M326" i="16"/>
  <c r="K326" i="16"/>
  <c r="I326" i="16"/>
  <c r="F326" i="16"/>
  <c r="D326" i="16"/>
  <c r="B326" i="16"/>
  <c r="L323" i="16"/>
  <c r="E323" i="16"/>
  <c r="L321" i="16"/>
  <c r="K321" i="16"/>
  <c r="J321" i="16"/>
  <c r="I321" i="16"/>
  <c r="F321" i="16"/>
  <c r="E321" i="16"/>
  <c r="D321" i="16"/>
  <c r="C321" i="16"/>
  <c r="B321" i="16"/>
  <c r="L320" i="16"/>
  <c r="K320" i="16"/>
  <c r="J320" i="16"/>
  <c r="I320" i="16"/>
  <c r="F320" i="16"/>
  <c r="E320" i="16"/>
  <c r="D320" i="16"/>
  <c r="C320" i="16"/>
  <c r="B320" i="16"/>
  <c r="L319" i="16"/>
  <c r="K319" i="16"/>
  <c r="J319" i="16"/>
  <c r="I319" i="16"/>
  <c r="F319" i="16"/>
  <c r="E319" i="16"/>
  <c r="D319" i="16"/>
  <c r="C319" i="16"/>
  <c r="B319" i="16"/>
  <c r="L318" i="16"/>
  <c r="K318" i="16"/>
  <c r="J318" i="16"/>
  <c r="I318" i="16"/>
  <c r="F318" i="16"/>
  <c r="E318" i="16"/>
  <c r="D318" i="16"/>
  <c r="C318" i="16"/>
  <c r="B318" i="16"/>
  <c r="L317" i="16"/>
  <c r="K317" i="16"/>
  <c r="J317" i="16"/>
  <c r="I317" i="16"/>
  <c r="F317" i="16"/>
  <c r="E317" i="16"/>
  <c r="D317" i="16"/>
  <c r="C317" i="16"/>
  <c r="B317" i="16"/>
  <c r="L316" i="16"/>
  <c r="K316" i="16"/>
  <c r="J316" i="16"/>
  <c r="I316" i="16"/>
  <c r="F316" i="16"/>
  <c r="E316" i="16"/>
  <c r="D316" i="16"/>
  <c r="C316" i="16"/>
  <c r="B316" i="16"/>
  <c r="M313" i="16"/>
  <c r="I313" i="16"/>
  <c r="F313" i="16"/>
  <c r="B313" i="16"/>
  <c r="M312" i="16"/>
  <c r="I312" i="16"/>
  <c r="F312" i="16"/>
  <c r="B312" i="16"/>
  <c r="M309" i="16"/>
  <c r="K309" i="16"/>
  <c r="I309" i="16"/>
  <c r="F309" i="16"/>
  <c r="D309" i="16"/>
  <c r="B309" i="16"/>
  <c r="L306" i="16"/>
  <c r="E306" i="16"/>
  <c r="L304" i="16"/>
  <c r="K304" i="16"/>
  <c r="J304" i="16"/>
  <c r="I304" i="16"/>
  <c r="F304" i="16"/>
  <c r="E304" i="16"/>
  <c r="D304" i="16"/>
  <c r="C304" i="16"/>
  <c r="B304" i="16"/>
  <c r="L303" i="16"/>
  <c r="K303" i="16"/>
  <c r="J303" i="16"/>
  <c r="I303" i="16"/>
  <c r="E303" i="16"/>
  <c r="D303" i="16"/>
  <c r="C303" i="16"/>
  <c r="B303" i="16"/>
  <c r="M302" i="16"/>
  <c r="L302" i="16"/>
  <c r="K302" i="16"/>
  <c r="J302" i="16"/>
  <c r="I302" i="16"/>
  <c r="E302" i="16"/>
  <c r="D302" i="16"/>
  <c r="C302" i="16"/>
  <c r="B302" i="16"/>
  <c r="L301" i="16"/>
  <c r="K301" i="16"/>
  <c r="J301" i="16"/>
  <c r="I301" i="16"/>
  <c r="E301" i="16"/>
  <c r="D301" i="16"/>
  <c r="C301" i="16"/>
  <c r="B301" i="16"/>
  <c r="M300" i="16"/>
  <c r="L300" i="16"/>
  <c r="K300" i="16"/>
  <c r="J300" i="16"/>
  <c r="I300" i="16"/>
  <c r="E300" i="16"/>
  <c r="D300" i="16"/>
  <c r="C300" i="16"/>
  <c r="B300" i="16"/>
  <c r="L299" i="16"/>
  <c r="M304" i="16" s="1"/>
  <c r="K299" i="16"/>
  <c r="J299" i="16"/>
  <c r="I299" i="16"/>
  <c r="E299" i="16"/>
  <c r="D299" i="16"/>
  <c r="C299" i="16"/>
  <c r="B299" i="16"/>
  <c r="M296" i="16"/>
  <c r="I296" i="16"/>
  <c r="F296" i="16"/>
  <c r="B296" i="16"/>
  <c r="M295" i="16"/>
  <c r="I295" i="16"/>
  <c r="F295" i="16"/>
  <c r="B295" i="16"/>
  <c r="M292" i="16"/>
  <c r="K292" i="16"/>
  <c r="I292" i="16"/>
  <c r="F292" i="16"/>
  <c r="D292" i="16"/>
  <c r="B292" i="16"/>
  <c r="L289" i="16"/>
  <c r="E289" i="16"/>
  <c r="M287" i="16"/>
  <c r="L287" i="16"/>
  <c r="K287" i="16"/>
  <c r="J287" i="16"/>
  <c r="I287" i="16"/>
  <c r="E287" i="16"/>
  <c r="D287" i="16"/>
  <c r="C287" i="16"/>
  <c r="B287" i="16"/>
  <c r="M286" i="16"/>
  <c r="L286" i="16"/>
  <c r="K286" i="16"/>
  <c r="J286" i="16"/>
  <c r="I286" i="16"/>
  <c r="E286" i="16"/>
  <c r="D286" i="16"/>
  <c r="C286" i="16"/>
  <c r="B286" i="16"/>
  <c r="M285" i="16"/>
  <c r="L285" i="16"/>
  <c r="K285" i="16"/>
  <c r="J285" i="16"/>
  <c r="I285" i="16"/>
  <c r="F285" i="16"/>
  <c r="E285" i="16"/>
  <c r="D285" i="16"/>
  <c r="C285" i="16"/>
  <c r="B285" i="16"/>
  <c r="M284" i="16"/>
  <c r="L284" i="16"/>
  <c r="K284" i="16"/>
  <c r="J284" i="16"/>
  <c r="I284" i="16"/>
  <c r="E284" i="16"/>
  <c r="D284" i="16"/>
  <c r="C284" i="16"/>
  <c r="B284" i="16"/>
  <c r="L283" i="16"/>
  <c r="K283" i="16"/>
  <c r="J283" i="16"/>
  <c r="I283" i="16"/>
  <c r="F283" i="16"/>
  <c r="E283" i="16"/>
  <c r="D283" i="16"/>
  <c r="C283" i="16"/>
  <c r="B283" i="16"/>
  <c r="M282" i="16"/>
  <c r="L282" i="16"/>
  <c r="M283" i="16" s="1"/>
  <c r="K282" i="16"/>
  <c r="J282" i="16"/>
  <c r="I282" i="16"/>
  <c r="E282" i="16"/>
  <c r="D282" i="16"/>
  <c r="C282" i="16"/>
  <c r="B282" i="16"/>
  <c r="M279" i="16"/>
  <c r="I279" i="16"/>
  <c r="F279" i="16"/>
  <c r="B279" i="16"/>
  <c r="M278" i="16"/>
  <c r="I278" i="16"/>
  <c r="F278" i="16"/>
  <c r="B278" i="16"/>
  <c r="M275" i="16"/>
  <c r="K275" i="16"/>
  <c r="I275" i="16"/>
  <c r="F275" i="16"/>
  <c r="D275" i="16"/>
  <c r="B275" i="16"/>
  <c r="L272" i="16"/>
  <c r="E272" i="16"/>
  <c r="L270" i="16"/>
  <c r="K270" i="16"/>
  <c r="J270" i="16"/>
  <c r="I270" i="16"/>
  <c r="F270" i="16"/>
  <c r="E270" i="16"/>
  <c r="D270" i="16"/>
  <c r="C270" i="16"/>
  <c r="B270" i="16"/>
  <c r="M269" i="16"/>
  <c r="L269" i="16"/>
  <c r="K269" i="16"/>
  <c r="J269" i="16"/>
  <c r="I269" i="16"/>
  <c r="F269" i="16"/>
  <c r="E269" i="16"/>
  <c r="D269" i="16"/>
  <c r="C269" i="16"/>
  <c r="B269" i="16"/>
  <c r="M268" i="16"/>
  <c r="L268" i="16"/>
  <c r="K268" i="16"/>
  <c r="J268" i="16"/>
  <c r="I268" i="16"/>
  <c r="F268" i="16"/>
  <c r="E268" i="16"/>
  <c r="D268" i="16"/>
  <c r="C268" i="16"/>
  <c r="B268" i="16"/>
  <c r="L267" i="16"/>
  <c r="K267" i="16"/>
  <c r="J267" i="16"/>
  <c r="I267" i="16"/>
  <c r="E267" i="16"/>
  <c r="D267" i="16"/>
  <c r="C267" i="16"/>
  <c r="B267" i="16"/>
  <c r="M266" i="16"/>
  <c r="L266" i="16"/>
  <c r="K266" i="16"/>
  <c r="J266" i="16"/>
  <c r="I266" i="16"/>
  <c r="F266" i="16"/>
  <c r="E266" i="16"/>
  <c r="D266" i="16"/>
  <c r="C266" i="16"/>
  <c r="B266" i="16"/>
  <c r="L265" i="16"/>
  <c r="M270" i="16" s="1"/>
  <c r="K265" i="16"/>
  <c r="J265" i="16"/>
  <c r="I265" i="16"/>
  <c r="F265" i="16"/>
  <c r="E265" i="16"/>
  <c r="F267" i="16" s="1"/>
  <c r="D265" i="16"/>
  <c r="C265" i="16"/>
  <c r="B265" i="16"/>
  <c r="M262" i="16"/>
  <c r="I262" i="16"/>
  <c r="F262" i="16"/>
  <c r="B262" i="16"/>
  <c r="M261" i="16"/>
  <c r="I261" i="16"/>
  <c r="F261" i="16"/>
  <c r="B261" i="16"/>
  <c r="M258" i="16"/>
  <c r="K258" i="16"/>
  <c r="I258" i="16"/>
  <c r="F258" i="16"/>
  <c r="D258" i="16"/>
  <c r="B258" i="16"/>
  <c r="L255" i="16"/>
  <c r="E255" i="16"/>
  <c r="M253" i="16"/>
  <c r="L253" i="16"/>
  <c r="K253" i="16"/>
  <c r="J253" i="16"/>
  <c r="I253" i="16"/>
  <c r="F253" i="16"/>
  <c r="E253" i="16"/>
  <c r="D253" i="16"/>
  <c r="C253" i="16"/>
  <c r="B253" i="16"/>
  <c r="M252" i="16"/>
  <c r="L252" i="16"/>
  <c r="K252" i="16"/>
  <c r="J252" i="16"/>
  <c r="I252" i="16"/>
  <c r="E252" i="16"/>
  <c r="D252" i="16"/>
  <c r="C252" i="16"/>
  <c r="B252" i="16"/>
  <c r="M251" i="16"/>
  <c r="L251" i="16"/>
  <c r="K251" i="16"/>
  <c r="J251" i="16"/>
  <c r="I251" i="16"/>
  <c r="E251" i="16"/>
  <c r="D251" i="16"/>
  <c r="C251" i="16"/>
  <c r="B251" i="16"/>
  <c r="M250" i="16"/>
  <c r="L250" i="16"/>
  <c r="K250" i="16"/>
  <c r="J250" i="16"/>
  <c r="I250" i="16"/>
  <c r="E250" i="16"/>
  <c r="D250" i="16"/>
  <c r="C250" i="16"/>
  <c r="B250" i="16"/>
  <c r="M249" i="16"/>
  <c r="L249" i="16"/>
  <c r="K249" i="16"/>
  <c r="J249" i="16"/>
  <c r="I249" i="16"/>
  <c r="F249" i="16"/>
  <c r="E249" i="16"/>
  <c r="D249" i="16"/>
  <c r="C249" i="16"/>
  <c r="B249" i="16"/>
  <c r="M248" i="16"/>
  <c r="L248" i="16"/>
  <c r="K248" i="16"/>
  <c r="J248" i="16"/>
  <c r="I248" i="16"/>
  <c r="E248" i="16"/>
  <c r="D248" i="16"/>
  <c r="C248" i="16"/>
  <c r="B248" i="16"/>
  <c r="M245" i="16"/>
  <c r="I245" i="16"/>
  <c r="F245" i="16"/>
  <c r="B245" i="16"/>
  <c r="M244" i="16"/>
  <c r="I244" i="16"/>
  <c r="F244" i="16"/>
  <c r="B244" i="16"/>
  <c r="M241" i="16"/>
  <c r="K241" i="16"/>
  <c r="I241" i="16"/>
  <c r="F241" i="16"/>
  <c r="D241" i="16"/>
  <c r="B241" i="16"/>
  <c r="L238" i="16"/>
  <c r="E238" i="16"/>
  <c r="M236" i="16"/>
  <c r="L236" i="16"/>
  <c r="K236" i="16"/>
  <c r="J236" i="16"/>
  <c r="I236" i="16"/>
  <c r="E236" i="16"/>
  <c r="D236" i="16"/>
  <c r="C236" i="16"/>
  <c r="B236" i="16"/>
  <c r="L235" i="16"/>
  <c r="K235" i="16"/>
  <c r="J235" i="16"/>
  <c r="I235" i="16"/>
  <c r="E235" i="16"/>
  <c r="D235" i="16"/>
  <c r="C235" i="16"/>
  <c r="B235" i="16"/>
  <c r="M234" i="16"/>
  <c r="L234" i="16"/>
  <c r="K234" i="16"/>
  <c r="J234" i="16"/>
  <c r="I234" i="16"/>
  <c r="E234" i="16"/>
  <c r="D234" i="16"/>
  <c r="C234" i="16"/>
  <c r="B234" i="16"/>
  <c r="L233" i="16"/>
  <c r="K233" i="16"/>
  <c r="J233" i="16"/>
  <c r="I233" i="16"/>
  <c r="E233" i="16"/>
  <c r="D233" i="16"/>
  <c r="C233" i="16"/>
  <c r="B233" i="16"/>
  <c r="M232" i="16"/>
  <c r="L232" i="16"/>
  <c r="K232" i="16"/>
  <c r="J232" i="16"/>
  <c r="I232" i="16"/>
  <c r="E232" i="16"/>
  <c r="D232" i="16"/>
  <c r="C232" i="16"/>
  <c r="B232" i="16"/>
  <c r="M231" i="16"/>
  <c r="L231" i="16"/>
  <c r="K231" i="16"/>
  <c r="J231" i="16"/>
  <c r="I231" i="16"/>
  <c r="E231" i="16"/>
  <c r="D231" i="16"/>
  <c r="C231" i="16"/>
  <c r="B231" i="16"/>
  <c r="M228" i="16"/>
  <c r="I228" i="16"/>
  <c r="F228" i="16"/>
  <c r="B228" i="16"/>
  <c r="M227" i="16"/>
  <c r="I227" i="16"/>
  <c r="F227" i="16"/>
  <c r="B227" i="16"/>
  <c r="M224" i="16"/>
  <c r="K224" i="16"/>
  <c r="I224" i="16"/>
  <c r="F224" i="16"/>
  <c r="D224" i="16"/>
  <c r="B224" i="16"/>
  <c r="L221" i="16"/>
  <c r="E221" i="16"/>
  <c r="M219" i="16"/>
  <c r="L219" i="16"/>
  <c r="K219" i="16"/>
  <c r="J219" i="16"/>
  <c r="I219" i="16"/>
  <c r="E219" i="16"/>
  <c r="D219" i="16"/>
  <c r="C219" i="16"/>
  <c r="B219" i="16"/>
  <c r="L218" i="16"/>
  <c r="K218" i="16"/>
  <c r="J218" i="16"/>
  <c r="I218" i="16"/>
  <c r="E218" i="16"/>
  <c r="D218" i="16"/>
  <c r="C218" i="16"/>
  <c r="B218" i="16"/>
  <c r="M217" i="16"/>
  <c r="L217" i="16"/>
  <c r="K217" i="16"/>
  <c r="J217" i="16"/>
  <c r="I217" i="16"/>
  <c r="E217" i="16"/>
  <c r="D217" i="16"/>
  <c r="C217" i="16"/>
  <c r="B217" i="16"/>
  <c r="L216" i="16"/>
  <c r="K216" i="16"/>
  <c r="J216" i="16"/>
  <c r="I216" i="16"/>
  <c r="E216" i="16"/>
  <c r="D216" i="16"/>
  <c r="C216" i="16"/>
  <c r="B216" i="16"/>
  <c r="M215" i="16"/>
  <c r="L215" i="16"/>
  <c r="K215" i="16"/>
  <c r="J215" i="16"/>
  <c r="I215" i="16"/>
  <c r="E215" i="16"/>
  <c r="D215" i="16"/>
  <c r="C215" i="16"/>
  <c r="B215" i="16"/>
  <c r="L214" i="16"/>
  <c r="K214" i="16"/>
  <c r="J214" i="16"/>
  <c r="I214" i="16"/>
  <c r="E214" i="16"/>
  <c r="D214" i="16"/>
  <c r="C214" i="16"/>
  <c r="B214" i="16"/>
  <c r="M211" i="16"/>
  <c r="I211" i="16"/>
  <c r="F211" i="16"/>
  <c r="B211" i="16"/>
  <c r="M210" i="16"/>
  <c r="I210" i="16"/>
  <c r="F210" i="16"/>
  <c r="B210" i="16"/>
  <c r="M207" i="16"/>
  <c r="K207" i="16"/>
  <c r="I207" i="16"/>
  <c r="F207" i="16"/>
  <c r="D207" i="16"/>
  <c r="B207" i="16"/>
  <c r="L204" i="16"/>
  <c r="E204" i="16"/>
  <c r="M202" i="16"/>
  <c r="L202" i="16"/>
  <c r="K202" i="16"/>
  <c r="J202" i="16"/>
  <c r="I202" i="16"/>
  <c r="E202" i="16"/>
  <c r="D202" i="16"/>
  <c r="C202" i="16"/>
  <c r="B202" i="16"/>
  <c r="L201" i="16"/>
  <c r="K201" i="16"/>
  <c r="J201" i="16"/>
  <c r="I201" i="16"/>
  <c r="E201" i="16"/>
  <c r="D201" i="16"/>
  <c r="C201" i="16"/>
  <c r="B201" i="16"/>
  <c r="M200" i="16"/>
  <c r="L200" i="16"/>
  <c r="K200" i="16"/>
  <c r="J200" i="16"/>
  <c r="I200" i="16"/>
  <c r="E200" i="16"/>
  <c r="D200" i="16"/>
  <c r="C200" i="16"/>
  <c r="B200" i="16"/>
  <c r="M199" i="16"/>
  <c r="L199" i="16"/>
  <c r="K199" i="16"/>
  <c r="J199" i="16"/>
  <c r="I199" i="16"/>
  <c r="E199" i="16"/>
  <c r="D199" i="16"/>
  <c r="C199" i="16"/>
  <c r="B199" i="16"/>
  <c r="L198" i="16"/>
  <c r="K198" i="16"/>
  <c r="J198" i="16"/>
  <c r="I198" i="16"/>
  <c r="E198" i="16"/>
  <c r="D198" i="16"/>
  <c r="C198" i="16"/>
  <c r="B198" i="16"/>
  <c r="M197" i="16"/>
  <c r="L197" i="16"/>
  <c r="K197" i="16"/>
  <c r="J197" i="16"/>
  <c r="I197" i="16"/>
  <c r="E197" i="16"/>
  <c r="D197" i="16"/>
  <c r="C197" i="16"/>
  <c r="B197" i="16"/>
  <c r="M194" i="16"/>
  <c r="I194" i="16"/>
  <c r="F194" i="16"/>
  <c r="B194" i="16"/>
  <c r="M193" i="16"/>
  <c r="I193" i="16"/>
  <c r="F193" i="16"/>
  <c r="B193" i="16"/>
  <c r="M190" i="16"/>
  <c r="K190" i="16"/>
  <c r="I190" i="16"/>
  <c r="F190" i="16"/>
  <c r="D190" i="16"/>
  <c r="B190" i="16"/>
  <c r="L187" i="16"/>
  <c r="E187" i="16"/>
  <c r="M185" i="16"/>
  <c r="L185" i="16"/>
  <c r="K185" i="16"/>
  <c r="J185" i="16"/>
  <c r="I185" i="16"/>
  <c r="F185" i="16"/>
  <c r="E185" i="16"/>
  <c r="D185" i="16"/>
  <c r="C185" i="16"/>
  <c r="B185" i="16"/>
  <c r="M184" i="16"/>
  <c r="L184" i="16"/>
  <c r="K184" i="16"/>
  <c r="J184" i="16"/>
  <c r="I184" i="16"/>
  <c r="E184" i="16"/>
  <c r="D184" i="16"/>
  <c r="C184" i="16"/>
  <c r="B184" i="16"/>
  <c r="M183" i="16"/>
  <c r="L183" i="16"/>
  <c r="K183" i="16"/>
  <c r="J183" i="16"/>
  <c r="I183" i="16"/>
  <c r="F183" i="16"/>
  <c r="E183" i="16"/>
  <c r="D183" i="16"/>
  <c r="C183" i="16"/>
  <c r="B183" i="16"/>
  <c r="M182" i="16"/>
  <c r="L182" i="16"/>
  <c r="K182" i="16"/>
  <c r="J182" i="16"/>
  <c r="I182" i="16"/>
  <c r="F182" i="16"/>
  <c r="E182" i="16"/>
  <c r="D182" i="16"/>
  <c r="C182" i="16"/>
  <c r="B182" i="16"/>
  <c r="M181" i="16"/>
  <c r="L181" i="16"/>
  <c r="K181" i="16"/>
  <c r="J181" i="16"/>
  <c r="I181" i="16"/>
  <c r="F181" i="16"/>
  <c r="E181" i="16"/>
  <c r="D181" i="16"/>
  <c r="C181" i="16"/>
  <c r="B181" i="16"/>
  <c r="M180" i="16"/>
  <c r="L180" i="16"/>
  <c r="K180" i="16"/>
  <c r="J180" i="16"/>
  <c r="I180" i="16"/>
  <c r="F180" i="16"/>
  <c r="E180" i="16"/>
  <c r="F184" i="16" s="1"/>
  <c r="D180" i="16"/>
  <c r="C180" i="16"/>
  <c r="B180" i="16"/>
  <c r="M177" i="16"/>
  <c r="I177" i="16"/>
  <c r="F177" i="16"/>
  <c r="B177" i="16"/>
  <c r="M176" i="16"/>
  <c r="I176" i="16"/>
  <c r="F176" i="16"/>
  <c r="B176" i="16"/>
  <c r="M173" i="16"/>
  <c r="K173" i="16"/>
  <c r="I173" i="16"/>
  <c r="F173" i="16"/>
  <c r="D173" i="16"/>
  <c r="B173" i="16"/>
  <c r="L170" i="16"/>
  <c r="E170" i="16"/>
  <c r="L168" i="16"/>
  <c r="K168" i="16"/>
  <c r="J168" i="16"/>
  <c r="I168" i="16"/>
  <c r="F168" i="16"/>
  <c r="E168" i="16"/>
  <c r="D168" i="16"/>
  <c r="C168" i="16"/>
  <c r="B168" i="16"/>
  <c r="L167" i="16"/>
  <c r="K167" i="16"/>
  <c r="J167" i="16"/>
  <c r="I167" i="16"/>
  <c r="F167" i="16"/>
  <c r="E167" i="16"/>
  <c r="D167" i="16"/>
  <c r="C167" i="16"/>
  <c r="B167" i="16"/>
  <c r="L166" i="16"/>
  <c r="K166" i="16"/>
  <c r="J166" i="16"/>
  <c r="I166" i="16"/>
  <c r="F166" i="16"/>
  <c r="E166" i="16"/>
  <c r="D166" i="16"/>
  <c r="C166" i="16"/>
  <c r="B166" i="16"/>
  <c r="M165" i="16"/>
  <c r="L165" i="16"/>
  <c r="K165" i="16"/>
  <c r="J165" i="16"/>
  <c r="I165" i="16"/>
  <c r="E165" i="16"/>
  <c r="D165" i="16"/>
  <c r="C165" i="16"/>
  <c r="B165" i="16"/>
  <c r="M164" i="16"/>
  <c r="L164" i="16"/>
  <c r="K164" i="16"/>
  <c r="J164" i="16"/>
  <c r="I164" i="16"/>
  <c r="F164" i="16"/>
  <c r="E164" i="16"/>
  <c r="D164" i="16"/>
  <c r="C164" i="16"/>
  <c r="B164" i="16"/>
  <c r="L163" i="16"/>
  <c r="K163" i="16"/>
  <c r="J163" i="16"/>
  <c r="I163" i="16"/>
  <c r="E163" i="16"/>
  <c r="F165" i="16" s="1"/>
  <c r="D163" i="16"/>
  <c r="C163" i="16"/>
  <c r="B163" i="16"/>
  <c r="M160" i="16"/>
  <c r="I160" i="16"/>
  <c r="F160" i="16"/>
  <c r="B160" i="16"/>
  <c r="M159" i="16"/>
  <c r="I159" i="16"/>
  <c r="F159" i="16"/>
  <c r="B159" i="16"/>
  <c r="M156" i="16"/>
  <c r="K156" i="16"/>
  <c r="I156" i="16"/>
  <c r="F156" i="16"/>
  <c r="D156" i="16"/>
  <c r="B156" i="16"/>
  <c r="L153" i="16"/>
  <c r="E153" i="16"/>
  <c r="M151" i="16"/>
  <c r="L151" i="16"/>
  <c r="K151" i="16"/>
  <c r="J151" i="16"/>
  <c r="I151" i="16"/>
  <c r="E151" i="16"/>
  <c r="D151" i="16"/>
  <c r="C151" i="16"/>
  <c r="B151" i="16"/>
  <c r="M150" i="16"/>
  <c r="L150" i="16"/>
  <c r="K150" i="16"/>
  <c r="J150" i="16"/>
  <c r="I150" i="16"/>
  <c r="E150" i="16"/>
  <c r="D150" i="16"/>
  <c r="C150" i="16"/>
  <c r="B150" i="16"/>
  <c r="M149" i="16"/>
  <c r="L149" i="16"/>
  <c r="K149" i="16"/>
  <c r="J149" i="16"/>
  <c r="I149" i="16"/>
  <c r="E149" i="16"/>
  <c r="D149" i="16"/>
  <c r="C149" i="16"/>
  <c r="B149" i="16"/>
  <c r="M148" i="16"/>
  <c r="L148" i="16"/>
  <c r="K148" i="16"/>
  <c r="J148" i="16"/>
  <c r="I148" i="16"/>
  <c r="E148" i="16"/>
  <c r="D148" i="16"/>
  <c r="C148" i="16"/>
  <c r="B148" i="16"/>
  <c r="M147" i="16"/>
  <c r="L147" i="16"/>
  <c r="K147" i="16"/>
  <c r="J147" i="16"/>
  <c r="I147" i="16"/>
  <c r="E147" i="16"/>
  <c r="D147" i="16"/>
  <c r="C147" i="16"/>
  <c r="B147" i="16"/>
  <c r="M146" i="16"/>
  <c r="L146" i="16"/>
  <c r="K146" i="16"/>
  <c r="J146" i="16"/>
  <c r="I146" i="16"/>
  <c r="E146" i="16"/>
  <c r="D146" i="16"/>
  <c r="C146" i="16"/>
  <c r="B146" i="16"/>
  <c r="M143" i="16"/>
  <c r="I143" i="16"/>
  <c r="F143" i="16"/>
  <c r="B143" i="16"/>
  <c r="M142" i="16"/>
  <c r="I142" i="16"/>
  <c r="F142" i="16"/>
  <c r="B142" i="16"/>
  <c r="M139" i="16"/>
  <c r="K139" i="16"/>
  <c r="I139" i="16"/>
  <c r="F139" i="16"/>
  <c r="D139" i="16"/>
  <c r="B139" i="16"/>
  <c r="L136" i="16"/>
  <c r="E136" i="16"/>
  <c r="M134" i="16"/>
  <c r="L134" i="16"/>
  <c r="K134" i="16"/>
  <c r="J134" i="16"/>
  <c r="I134" i="16"/>
  <c r="E134" i="16"/>
  <c r="D134" i="16"/>
  <c r="C134" i="16"/>
  <c r="B134" i="16"/>
  <c r="L133" i="16"/>
  <c r="K133" i="16"/>
  <c r="J133" i="16"/>
  <c r="I133" i="16"/>
  <c r="E133" i="16"/>
  <c r="D133" i="16"/>
  <c r="C133" i="16"/>
  <c r="B133" i="16"/>
  <c r="M132" i="16"/>
  <c r="L132" i="16"/>
  <c r="K132" i="16"/>
  <c r="J132" i="16"/>
  <c r="I132" i="16"/>
  <c r="E132" i="16"/>
  <c r="D132" i="16"/>
  <c r="C132" i="16"/>
  <c r="B132" i="16"/>
  <c r="L131" i="16"/>
  <c r="K131" i="16"/>
  <c r="J131" i="16"/>
  <c r="I131" i="16"/>
  <c r="E131" i="16"/>
  <c r="D131" i="16"/>
  <c r="C131" i="16"/>
  <c r="B131" i="16"/>
  <c r="M130" i="16"/>
  <c r="L130" i="16"/>
  <c r="K130" i="16"/>
  <c r="J130" i="16"/>
  <c r="I130" i="16"/>
  <c r="E130" i="16"/>
  <c r="D130" i="16"/>
  <c r="C130" i="16"/>
  <c r="B130" i="16"/>
  <c r="L129" i="16"/>
  <c r="M133" i="16" s="1"/>
  <c r="K129" i="16"/>
  <c r="J129" i="16"/>
  <c r="I129" i="16"/>
  <c r="E129" i="16"/>
  <c r="D129" i="16"/>
  <c r="C129" i="16"/>
  <c r="B129" i="16"/>
  <c r="M126" i="16"/>
  <c r="I126" i="16"/>
  <c r="F126" i="16"/>
  <c r="B126" i="16"/>
  <c r="M125" i="16"/>
  <c r="I125" i="16"/>
  <c r="F125" i="16"/>
  <c r="B125" i="16"/>
  <c r="M122" i="16"/>
  <c r="K122" i="16"/>
  <c r="I122" i="16"/>
  <c r="F122" i="16"/>
  <c r="D122" i="16"/>
  <c r="B122" i="16"/>
  <c r="L119" i="16"/>
  <c r="E119" i="16"/>
  <c r="M117" i="16"/>
  <c r="L117" i="16"/>
  <c r="K117" i="16"/>
  <c r="J117" i="16"/>
  <c r="I117" i="16"/>
  <c r="E117" i="16"/>
  <c r="D117" i="16"/>
  <c r="C117" i="16"/>
  <c r="B117" i="16"/>
  <c r="L116" i="16"/>
  <c r="K116" i="16"/>
  <c r="J116" i="16"/>
  <c r="I116" i="16"/>
  <c r="F116" i="16"/>
  <c r="E116" i="16"/>
  <c r="D116" i="16"/>
  <c r="C116" i="16"/>
  <c r="B116" i="16"/>
  <c r="M115" i="16"/>
  <c r="L115" i="16"/>
  <c r="K115" i="16"/>
  <c r="J115" i="16"/>
  <c r="I115" i="16"/>
  <c r="E115" i="16"/>
  <c r="D115" i="16"/>
  <c r="C115" i="16"/>
  <c r="B115" i="16"/>
  <c r="L114" i="16"/>
  <c r="K114" i="16"/>
  <c r="J114" i="16"/>
  <c r="I114" i="16"/>
  <c r="E114" i="16"/>
  <c r="D114" i="16"/>
  <c r="C114" i="16"/>
  <c r="B114" i="16"/>
  <c r="M113" i="16"/>
  <c r="L113" i="16"/>
  <c r="K113" i="16"/>
  <c r="J113" i="16"/>
  <c r="I113" i="16"/>
  <c r="E113" i="16"/>
  <c r="D113" i="16"/>
  <c r="C113" i="16"/>
  <c r="B113" i="16"/>
  <c r="M112" i="16"/>
  <c r="L112" i="16"/>
  <c r="K112" i="16"/>
  <c r="J112" i="16"/>
  <c r="I112" i="16"/>
  <c r="F112" i="16"/>
  <c r="E112" i="16"/>
  <c r="D112" i="16"/>
  <c r="C112" i="16"/>
  <c r="B112" i="16"/>
  <c r="M109" i="16"/>
  <c r="I109" i="16"/>
  <c r="F109" i="16"/>
  <c r="B109" i="16"/>
  <c r="M108" i="16"/>
  <c r="I108" i="16"/>
  <c r="F108" i="16"/>
  <c r="B108" i="16"/>
  <c r="M105" i="16"/>
  <c r="K105" i="16"/>
  <c r="I105" i="16"/>
  <c r="F105" i="16"/>
  <c r="D105" i="16"/>
  <c r="B105" i="16"/>
  <c r="L102" i="16"/>
  <c r="E102" i="16"/>
  <c r="M100" i="16"/>
  <c r="L100" i="16"/>
  <c r="K100" i="16"/>
  <c r="J100" i="16"/>
  <c r="I100" i="16"/>
  <c r="E100" i="16"/>
  <c r="D100" i="16"/>
  <c r="C100" i="16"/>
  <c r="B100" i="16"/>
  <c r="M99" i="16"/>
  <c r="L99" i="16"/>
  <c r="K99" i="16"/>
  <c r="J99" i="16"/>
  <c r="I99" i="16"/>
  <c r="E99" i="16"/>
  <c r="D99" i="16"/>
  <c r="C99" i="16"/>
  <c r="B99" i="16"/>
  <c r="L98" i="16"/>
  <c r="K98" i="16"/>
  <c r="J98" i="16"/>
  <c r="I98" i="16"/>
  <c r="E98" i="16"/>
  <c r="D98" i="16"/>
  <c r="C98" i="16"/>
  <c r="B98" i="16"/>
  <c r="L97" i="16"/>
  <c r="K97" i="16"/>
  <c r="J97" i="16"/>
  <c r="I97" i="16"/>
  <c r="E97" i="16"/>
  <c r="D97" i="16"/>
  <c r="C97" i="16"/>
  <c r="B97" i="16"/>
  <c r="L96" i="16"/>
  <c r="K96" i="16"/>
  <c r="J96" i="16"/>
  <c r="I96" i="16"/>
  <c r="E96" i="16"/>
  <c r="D96" i="16"/>
  <c r="C96" i="16"/>
  <c r="B96" i="16"/>
  <c r="M95" i="16"/>
  <c r="L95" i="16"/>
  <c r="K95" i="16"/>
  <c r="J95" i="16"/>
  <c r="I95" i="16"/>
  <c r="E95" i="16"/>
  <c r="D95" i="16"/>
  <c r="C95" i="16"/>
  <c r="B95" i="16"/>
  <c r="M92" i="16"/>
  <c r="I92" i="16"/>
  <c r="F92" i="16"/>
  <c r="B92" i="16"/>
  <c r="M91" i="16"/>
  <c r="I91" i="16"/>
  <c r="F91" i="16"/>
  <c r="B91" i="16"/>
  <c r="M88" i="16"/>
  <c r="K88" i="16"/>
  <c r="I88" i="16"/>
  <c r="F88" i="16"/>
  <c r="D88" i="16"/>
  <c r="B88" i="16"/>
  <c r="L85" i="16"/>
  <c r="E85" i="16"/>
  <c r="L83" i="16"/>
  <c r="K83" i="16"/>
  <c r="J83" i="16"/>
  <c r="I83" i="16"/>
  <c r="E83" i="16"/>
  <c r="D83" i="16"/>
  <c r="C83" i="16"/>
  <c r="B83" i="16"/>
  <c r="L82" i="16"/>
  <c r="K82" i="16"/>
  <c r="J82" i="16"/>
  <c r="I82" i="16"/>
  <c r="F82" i="16"/>
  <c r="E82" i="16"/>
  <c r="D82" i="16"/>
  <c r="C82" i="16"/>
  <c r="B82" i="16"/>
  <c r="L81" i="16"/>
  <c r="K81" i="16"/>
  <c r="J81" i="16"/>
  <c r="I81" i="16"/>
  <c r="E81" i="16"/>
  <c r="D81" i="16"/>
  <c r="C81" i="16"/>
  <c r="B81" i="16"/>
  <c r="L80" i="16"/>
  <c r="K80" i="16"/>
  <c r="J80" i="16"/>
  <c r="I80" i="16"/>
  <c r="E80" i="16"/>
  <c r="D80" i="16"/>
  <c r="C80" i="16"/>
  <c r="B80" i="16"/>
  <c r="L79" i="16"/>
  <c r="K79" i="16"/>
  <c r="J79" i="16"/>
  <c r="I79" i="16"/>
  <c r="E79" i="16"/>
  <c r="D79" i="16"/>
  <c r="C79" i="16"/>
  <c r="B79" i="16"/>
  <c r="L78" i="16"/>
  <c r="K78" i="16"/>
  <c r="J78" i="16"/>
  <c r="I78" i="16"/>
  <c r="E78" i="16"/>
  <c r="D78" i="16"/>
  <c r="C78" i="16"/>
  <c r="B78" i="16"/>
  <c r="M75" i="16"/>
  <c r="I75" i="16"/>
  <c r="F75" i="16"/>
  <c r="B75" i="16"/>
  <c r="M74" i="16"/>
  <c r="I74" i="16"/>
  <c r="F74" i="16"/>
  <c r="B74" i="16"/>
  <c r="M71" i="16"/>
  <c r="K71" i="16"/>
  <c r="I71" i="16"/>
  <c r="F71" i="16"/>
  <c r="D71" i="16"/>
  <c r="B71" i="16"/>
  <c r="L68" i="16"/>
  <c r="E68" i="16"/>
  <c r="M66" i="16"/>
  <c r="L66" i="16"/>
  <c r="K66" i="16"/>
  <c r="J66" i="16"/>
  <c r="I66" i="16"/>
  <c r="E66" i="16"/>
  <c r="D66" i="16"/>
  <c r="C66" i="16"/>
  <c r="B66" i="16"/>
  <c r="M65" i="16"/>
  <c r="L65" i="16"/>
  <c r="K65" i="16"/>
  <c r="J65" i="16"/>
  <c r="I65" i="16"/>
  <c r="E65" i="16"/>
  <c r="D65" i="16"/>
  <c r="C65" i="16"/>
  <c r="B65" i="16"/>
  <c r="M64" i="16"/>
  <c r="L64" i="16"/>
  <c r="K64" i="16"/>
  <c r="J64" i="16"/>
  <c r="I64" i="16"/>
  <c r="E64" i="16"/>
  <c r="D64" i="16"/>
  <c r="C64" i="16"/>
  <c r="B64" i="16"/>
  <c r="M63" i="16"/>
  <c r="L63" i="16"/>
  <c r="K63" i="16"/>
  <c r="J63" i="16"/>
  <c r="I63" i="16"/>
  <c r="F63" i="16"/>
  <c r="E63" i="16"/>
  <c r="D63" i="16"/>
  <c r="C63" i="16"/>
  <c r="B63" i="16"/>
  <c r="M62" i="16"/>
  <c r="L62" i="16"/>
  <c r="K62" i="16"/>
  <c r="J62" i="16"/>
  <c r="I62" i="16"/>
  <c r="E62" i="16"/>
  <c r="D62" i="16"/>
  <c r="C62" i="16"/>
  <c r="B62" i="16"/>
  <c r="M61" i="16"/>
  <c r="L61" i="16"/>
  <c r="K61" i="16"/>
  <c r="J61" i="16"/>
  <c r="I61" i="16"/>
  <c r="F61" i="16"/>
  <c r="E61" i="16"/>
  <c r="D61" i="16"/>
  <c r="C61" i="16"/>
  <c r="B61" i="16"/>
  <c r="M58" i="16"/>
  <c r="I58" i="16"/>
  <c r="F58" i="16"/>
  <c r="B58" i="16"/>
  <c r="M57" i="16"/>
  <c r="I57" i="16"/>
  <c r="F57" i="16"/>
  <c r="B57" i="16"/>
  <c r="M54" i="16"/>
  <c r="K54" i="16"/>
  <c r="I54" i="16"/>
  <c r="F54" i="16"/>
  <c r="D54" i="16"/>
  <c r="B54" i="16"/>
  <c r="L51" i="16"/>
  <c r="E51" i="16"/>
  <c r="M49" i="16"/>
  <c r="L49" i="16"/>
  <c r="K49" i="16"/>
  <c r="J49" i="16"/>
  <c r="I49" i="16"/>
  <c r="E49" i="16"/>
  <c r="D49" i="16"/>
  <c r="C49" i="16"/>
  <c r="B49" i="16"/>
  <c r="M48" i="16"/>
  <c r="L48" i="16"/>
  <c r="K48" i="16"/>
  <c r="J48" i="16"/>
  <c r="I48" i="16"/>
  <c r="E48" i="16"/>
  <c r="D48" i="16"/>
  <c r="C48" i="16"/>
  <c r="B48" i="16"/>
  <c r="L47" i="16"/>
  <c r="K47" i="16"/>
  <c r="J47" i="16"/>
  <c r="I47" i="16"/>
  <c r="E47" i="16"/>
  <c r="D47" i="16"/>
  <c r="C47" i="16"/>
  <c r="B47" i="16"/>
  <c r="L46" i="16"/>
  <c r="K46" i="16"/>
  <c r="J46" i="16"/>
  <c r="I46" i="16"/>
  <c r="E46" i="16"/>
  <c r="D46" i="16"/>
  <c r="C46" i="16"/>
  <c r="B46" i="16"/>
  <c r="L45" i="16"/>
  <c r="K45" i="16"/>
  <c r="J45" i="16"/>
  <c r="I45" i="16"/>
  <c r="E45" i="16"/>
  <c r="D45" i="16"/>
  <c r="C45" i="16"/>
  <c r="B45" i="16"/>
  <c r="M44" i="16"/>
  <c r="L44" i="16"/>
  <c r="K44" i="16"/>
  <c r="J44" i="16"/>
  <c r="I44" i="16"/>
  <c r="E44" i="16"/>
  <c r="D44" i="16"/>
  <c r="C44" i="16"/>
  <c r="B44" i="16"/>
  <c r="M41" i="16"/>
  <c r="I41" i="16"/>
  <c r="F41" i="16"/>
  <c r="B41" i="16"/>
  <c r="M40" i="16"/>
  <c r="I40" i="16"/>
  <c r="F40" i="16"/>
  <c r="B40" i="16"/>
  <c r="M37" i="16"/>
  <c r="K37" i="16"/>
  <c r="I37" i="16"/>
  <c r="L34" i="16"/>
  <c r="M32" i="16"/>
  <c r="L32" i="16"/>
  <c r="K32" i="16"/>
  <c r="J32" i="16"/>
  <c r="I32" i="16"/>
  <c r="D32" i="16"/>
  <c r="C32" i="16"/>
  <c r="B32" i="16"/>
  <c r="M31" i="16"/>
  <c r="L31" i="16"/>
  <c r="K31" i="16"/>
  <c r="J31" i="16"/>
  <c r="I31" i="16"/>
  <c r="D31" i="16"/>
  <c r="C31" i="16"/>
  <c r="B31" i="16"/>
  <c r="M30" i="16"/>
  <c r="L30" i="16"/>
  <c r="K30" i="16"/>
  <c r="J30" i="16"/>
  <c r="I30" i="16"/>
  <c r="D30" i="16"/>
  <c r="C30" i="16"/>
  <c r="B30" i="16"/>
  <c r="M29" i="16"/>
  <c r="L29" i="16"/>
  <c r="K29" i="16"/>
  <c r="J29" i="16"/>
  <c r="I29" i="16"/>
  <c r="E29" i="16"/>
  <c r="D29" i="16"/>
  <c r="C29" i="16"/>
  <c r="B29" i="16"/>
  <c r="M28" i="16"/>
  <c r="L28" i="16"/>
  <c r="K28" i="16"/>
  <c r="J28" i="16"/>
  <c r="I28" i="16"/>
  <c r="D28" i="16"/>
  <c r="C28" i="16"/>
  <c r="B28" i="16"/>
  <c r="M27" i="16"/>
  <c r="L27" i="16"/>
  <c r="K27" i="16"/>
  <c r="J27" i="16"/>
  <c r="I27" i="16"/>
  <c r="D27" i="16"/>
  <c r="C27" i="16"/>
  <c r="B27" i="16"/>
  <c r="M24" i="16"/>
  <c r="I24" i="16"/>
  <c r="B24" i="16"/>
  <c r="M23" i="16"/>
  <c r="I23" i="16"/>
  <c r="B23" i="16"/>
  <c r="M20" i="16"/>
  <c r="I20" i="16"/>
  <c r="K15" i="16"/>
  <c r="J15" i="16"/>
  <c r="I15" i="16"/>
  <c r="E15" i="16"/>
  <c r="D15" i="16"/>
  <c r="C15" i="16"/>
  <c r="B15" i="16"/>
  <c r="K14" i="16"/>
  <c r="J14" i="16"/>
  <c r="I14" i="16"/>
  <c r="E14" i="16"/>
  <c r="D14" i="16"/>
  <c r="C14" i="16"/>
  <c r="B14" i="16"/>
  <c r="L13" i="16"/>
  <c r="K13" i="16"/>
  <c r="J13" i="16"/>
  <c r="I13" i="16"/>
  <c r="D13" i="16"/>
  <c r="C13" i="16"/>
  <c r="B13" i="16"/>
  <c r="L12" i="16"/>
  <c r="K12" i="16"/>
  <c r="J12" i="16"/>
  <c r="I12" i="16"/>
  <c r="E12" i="16"/>
  <c r="D12" i="16"/>
  <c r="C12" i="16"/>
  <c r="B12" i="16"/>
  <c r="L11" i="16"/>
  <c r="K11" i="16"/>
  <c r="J11" i="16"/>
  <c r="I11" i="16"/>
  <c r="D11" i="16"/>
  <c r="C11" i="16"/>
  <c r="B11" i="16"/>
  <c r="K10" i="16"/>
  <c r="J10" i="16"/>
  <c r="I10" i="16"/>
  <c r="D10" i="16"/>
  <c r="C10" i="16"/>
  <c r="B10" i="16"/>
  <c r="M7" i="16"/>
  <c r="I7" i="16"/>
  <c r="B7" i="16"/>
  <c r="I6" i="16"/>
  <c r="B6" i="16"/>
  <c r="AW43" i="15"/>
  <c r="J131" i="17" s="1"/>
  <c r="AP43" i="15"/>
  <c r="AI43" i="15"/>
  <c r="AB43" i="15"/>
  <c r="U43" i="15"/>
  <c r="N43" i="15"/>
  <c r="AW41" i="15"/>
  <c r="AP41" i="15"/>
  <c r="AI41" i="15"/>
  <c r="H129" i="17" s="1"/>
  <c r="AB41" i="15"/>
  <c r="U41" i="15"/>
  <c r="I127" i="17" s="1"/>
  <c r="N41" i="15"/>
  <c r="AW38" i="15"/>
  <c r="J114" i="17" s="1"/>
  <c r="AP38" i="15"/>
  <c r="AI38" i="15"/>
  <c r="AB38" i="15"/>
  <c r="J111" i="17" s="1"/>
  <c r="U38" i="15"/>
  <c r="N38" i="15"/>
  <c r="AW36" i="15"/>
  <c r="AP36" i="15"/>
  <c r="H113" i="17" s="1"/>
  <c r="AI36" i="15"/>
  <c r="H112" i="17" s="1"/>
  <c r="AB36" i="15"/>
  <c r="U36" i="15"/>
  <c r="H110" i="17" s="1"/>
  <c r="N36" i="15"/>
  <c r="AW33" i="15"/>
  <c r="J97" i="17" s="1"/>
  <c r="AP33" i="15"/>
  <c r="J96" i="17" s="1"/>
  <c r="AI33" i="15"/>
  <c r="AB33" i="15"/>
  <c r="J94" i="17" s="1"/>
  <c r="U33" i="15"/>
  <c r="N33" i="15"/>
  <c r="AW31" i="15"/>
  <c r="AP31" i="15"/>
  <c r="AI31" i="15"/>
  <c r="I95" i="17" s="1"/>
  <c r="AB31" i="15"/>
  <c r="U31" i="15"/>
  <c r="H93" i="17" s="1"/>
  <c r="N31" i="15"/>
  <c r="AW28" i="15"/>
  <c r="AP28" i="15"/>
  <c r="AI28" i="15"/>
  <c r="J78" i="17" s="1"/>
  <c r="AB28" i="15"/>
  <c r="J77" i="17" s="1"/>
  <c r="U28" i="15"/>
  <c r="N28" i="15"/>
  <c r="AX26" i="15"/>
  <c r="AW26" i="15"/>
  <c r="AP26" i="15"/>
  <c r="AI26" i="15"/>
  <c r="AB26" i="15"/>
  <c r="U26" i="15"/>
  <c r="AX28" i="15" s="1"/>
  <c r="N26" i="15"/>
  <c r="CZ23" i="15"/>
  <c r="J199" i="17" s="1"/>
  <c r="CS23" i="15"/>
  <c r="CL23" i="15"/>
  <c r="J197" i="17" s="1"/>
  <c r="CE23" i="15"/>
  <c r="J196" i="17" s="1"/>
  <c r="BX23" i="15"/>
  <c r="J195" i="17" s="1"/>
  <c r="BQ23" i="15"/>
  <c r="AW23" i="15"/>
  <c r="AP23" i="15"/>
  <c r="J62" i="17" s="1"/>
  <c r="AI23" i="15"/>
  <c r="J61" i="17" s="1"/>
  <c r="AB23" i="15"/>
  <c r="U23" i="15"/>
  <c r="J59" i="17" s="1"/>
  <c r="N23" i="15"/>
  <c r="J58" i="17" s="1"/>
  <c r="CZ21" i="15"/>
  <c r="CS21" i="15"/>
  <c r="CL21" i="15"/>
  <c r="CE21" i="15"/>
  <c r="BX21" i="15"/>
  <c r="BQ21" i="15"/>
  <c r="AW21" i="15"/>
  <c r="AP21" i="15"/>
  <c r="AI21" i="15"/>
  <c r="AB21" i="15"/>
  <c r="U21" i="15"/>
  <c r="N21" i="15"/>
  <c r="H58" i="17" s="1"/>
  <c r="CZ18" i="15"/>
  <c r="CS18" i="15"/>
  <c r="J181" i="17" s="1"/>
  <c r="CL18" i="15"/>
  <c r="CE18" i="15"/>
  <c r="BX18" i="15"/>
  <c r="BQ18" i="15"/>
  <c r="AW18" i="15"/>
  <c r="J46" i="17" s="1"/>
  <c r="AP18" i="15"/>
  <c r="J45" i="17" s="1"/>
  <c r="AI18" i="15"/>
  <c r="AB18" i="15"/>
  <c r="J43" i="17" s="1"/>
  <c r="U18" i="15"/>
  <c r="J42" i="17" s="1"/>
  <c r="N18" i="15"/>
  <c r="CZ16" i="15"/>
  <c r="CS16" i="15"/>
  <c r="I181" i="17" s="1"/>
  <c r="CL16" i="15"/>
  <c r="CE16" i="15"/>
  <c r="BX16" i="15"/>
  <c r="BQ16" i="15"/>
  <c r="AW16" i="15"/>
  <c r="AP16" i="15"/>
  <c r="I45" i="17" s="1"/>
  <c r="AI16" i="15"/>
  <c r="AB16" i="15"/>
  <c r="H43" i="17" s="1"/>
  <c r="U16" i="15"/>
  <c r="N16" i="15"/>
  <c r="HL13" i="15"/>
  <c r="HF13" i="15"/>
  <c r="GY13" i="15"/>
  <c r="GR13" i="15"/>
  <c r="GK13" i="15"/>
  <c r="GD13" i="15"/>
  <c r="FW13" i="15"/>
  <c r="FD13" i="15"/>
  <c r="K235" i="17" s="1"/>
  <c r="FC13" i="15"/>
  <c r="J233" i="17" s="1"/>
  <c r="EV13" i="15"/>
  <c r="EO13" i="15"/>
  <c r="J231" i="17" s="1"/>
  <c r="EH13" i="15"/>
  <c r="EA13" i="15"/>
  <c r="DT13" i="15"/>
  <c r="CZ13" i="15"/>
  <c r="CS13" i="15"/>
  <c r="J164" i="17" s="1"/>
  <c r="CL13" i="15"/>
  <c r="J163" i="17" s="1"/>
  <c r="CE13" i="15"/>
  <c r="J162" i="17" s="1"/>
  <c r="BX13" i="15"/>
  <c r="J161" i="17" s="1"/>
  <c r="BQ13" i="15"/>
  <c r="AW13" i="15"/>
  <c r="AP13" i="15"/>
  <c r="AI13" i="15"/>
  <c r="AB13" i="15"/>
  <c r="U13" i="15"/>
  <c r="N13" i="15"/>
  <c r="HL11" i="15"/>
  <c r="HF11" i="15"/>
  <c r="GY11" i="15"/>
  <c r="GR11" i="15"/>
  <c r="GK11" i="15"/>
  <c r="GD11" i="15"/>
  <c r="HG13" i="15" s="1"/>
  <c r="HI13" i="15" s="1"/>
  <c r="FW11" i="15"/>
  <c r="FC11" i="15"/>
  <c r="I233" i="17" s="1"/>
  <c r="EV11" i="15"/>
  <c r="EO11" i="15"/>
  <c r="EH11" i="15"/>
  <c r="EA11" i="15"/>
  <c r="DT11" i="15"/>
  <c r="CZ11" i="15"/>
  <c r="CS11" i="15"/>
  <c r="CL11" i="15"/>
  <c r="CE11" i="15"/>
  <c r="BX11" i="15"/>
  <c r="BQ11" i="15"/>
  <c r="AW11" i="15"/>
  <c r="AP11" i="15"/>
  <c r="AI11" i="15"/>
  <c r="AB11" i="15"/>
  <c r="U11" i="15"/>
  <c r="N11" i="15"/>
  <c r="H24" i="17" s="1"/>
  <c r="HF8" i="15"/>
  <c r="J250" i="17" s="1"/>
  <c r="GY8" i="15"/>
  <c r="GR8" i="15"/>
  <c r="GK8" i="15"/>
  <c r="J247" i="17" s="1"/>
  <c r="GD8" i="15"/>
  <c r="J246" i="17" s="1"/>
  <c r="FW8" i="15"/>
  <c r="FC8" i="15"/>
  <c r="EV8" i="15"/>
  <c r="EO8" i="15"/>
  <c r="J214" i="17" s="1"/>
  <c r="EH8" i="15"/>
  <c r="J213" i="17" s="1"/>
  <c r="EA8" i="15"/>
  <c r="J212" i="17" s="1"/>
  <c r="DT8" i="15"/>
  <c r="J211" i="17" s="1"/>
  <c r="CZ8" i="15"/>
  <c r="J148" i="17" s="1"/>
  <c r="CS8" i="15"/>
  <c r="J147" i="17" s="1"/>
  <c r="CL8" i="15"/>
  <c r="CE8" i="15"/>
  <c r="J145" i="17" s="1"/>
  <c r="BX8" i="15"/>
  <c r="BQ8" i="15"/>
  <c r="J143" i="17" s="1"/>
  <c r="AW8" i="15"/>
  <c r="AP8" i="15"/>
  <c r="J11" i="17" s="1"/>
  <c r="AI8" i="15"/>
  <c r="J10" i="17" s="1"/>
  <c r="AB8" i="15"/>
  <c r="J9" i="17" s="1"/>
  <c r="U8" i="15"/>
  <c r="N8" i="15"/>
  <c r="HG6" i="15"/>
  <c r="A252" i="17" s="1"/>
  <c r="HF6" i="15"/>
  <c r="GY6" i="15"/>
  <c r="GR6" i="15"/>
  <c r="H248" i="17" s="1"/>
  <c r="GK6" i="15"/>
  <c r="I247" i="17" s="1"/>
  <c r="GD6" i="15"/>
  <c r="I246" i="17" s="1"/>
  <c r="FW6" i="15"/>
  <c r="FC6" i="15"/>
  <c r="H216" i="17" s="1"/>
  <c r="EV6" i="15"/>
  <c r="EO6" i="15"/>
  <c r="EH6" i="15"/>
  <c r="H213" i="17" s="1"/>
  <c r="EA6" i="15"/>
  <c r="DT6" i="15"/>
  <c r="CZ6" i="15"/>
  <c r="CS6" i="15"/>
  <c r="CL6" i="15"/>
  <c r="CE6" i="15"/>
  <c r="I145" i="17" s="1"/>
  <c r="BX6" i="15"/>
  <c r="BQ6" i="15"/>
  <c r="AW6" i="15"/>
  <c r="I12" i="17" s="1"/>
  <c r="AP6" i="15"/>
  <c r="AI6" i="15"/>
  <c r="I10" i="17" s="1"/>
  <c r="AB6" i="15"/>
  <c r="U6" i="15"/>
  <c r="N6" i="15"/>
  <c r="M37" i="14"/>
  <c r="K37" i="14"/>
  <c r="J37" i="14"/>
  <c r="I37" i="14"/>
  <c r="H37" i="14"/>
  <c r="F37" i="14"/>
  <c r="E37" i="14"/>
  <c r="D37" i="14"/>
  <c r="G37" i="14" s="1"/>
  <c r="C37" i="14"/>
  <c r="B37" i="14"/>
  <c r="A37" i="14"/>
  <c r="M36" i="14"/>
  <c r="K36" i="14"/>
  <c r="F36" i="14"/>
  <c r="I36" i="14" s="1"/>
  <c r="E36" i="14"/>
  <c r="H36" i="14" s="1"/>
  <c r="D36" i="14"/>
  <c r="C36" i="14"/>
  <c r="B36" i="14"/>
  <c r="M35" i="14"/>
  <c r="K35" i="14"/>
  <c r="J35" i="14"/>
  <c r="I35" i="14"/>
  <c r="H35" i="14"/>
  <c r="F35" i="14"/>
  <c r="E35" i="14"/>
  <c r="D35" i="14"/>
  <c r="C35" i="14"/>
  <c r="M34" i="14"/>
  <c r="K34" i="14"/>
  <c r="F34" i="14"/>
  <c r="I34" i="14" s="1"/>
  <c r="E34" i="14"/>
  <c r="H34" i="14" s="1"/>
  <c r="D34" i="14"/>
  <c r="C34" i="14"/>
  <c r="B34" i="14"/>
  <c r="A34" i="14"/>
  <c r="M33" i="14"/>
  <c r="K33" i="14"/>
  <c r="J33" i="14"/>
  <c r="I33" i="14"/>
  <c r="F33" i="14"/>
  <c r="E33" i="14"/>
  <c r="H33" i="14" s="1"/>
  <c r="D33" i="14"/>
  <c r="C33" i="14"/>
  <c r="K32" i="14"/>
  <c r="J32" i="14"/>
  <c r="H32" i="14"/>
  <c r="F32" i="14"/>
  <c r="I32" i="14" s="1"/>
  <c r="E32" i="14"/>
  <c r="D32" i="14"/>
  <c r="M32" i="14" s="1"/>
  <c r="C32" i="14"/>
  <c r="B32" i="14"/>
  <c r="A32" i="14"/>
  <c r="J31" i="14"/>
  <c r="I31" i="14"/>
  <c r="F31" i="14"/>
  <c r="E31" i="14"/>
  <c r="H31" i="14" s="1"/>
  <c r="D31" i="14"/>
  <c r="C31" i="14" s="1"/>
  <c r="B31" i="14"/>
  <c r="A31" i="14"/>
  <c r="M30" i="14"/>
  <c r="K30" i="14"/>
  <c r="J30" i="14"/>
  <c r="I30" i="14"/>
  <c r="H30" i="14"/>
  <c r="G30" i="14"/>
  <c r="F30" i="14"/>
  <c r="E30" i="14"/>
  <c r="D30" i="14"/>
  <c r="A30" i="14" s="1"/>
  <c r="C30" i="14"/>
  <c r="B30" i="14"/>
  <c r="F29" i="14"/>
  <c r="I29" i="14" s="1"/>
  <c r="E29" i="14"/>
  <c r="H29" i="14" s="1"/>
  <c r="D29" i="14"/>
  <c r="C29" i="14"/>
  <c r="B29" i="14"/>
  <c r="H28" i="14"/>
  <c r="F28" i="14"/>
  <c r="I28" i="14" s="1"/>
  <c r="E28" i="14"/>
  <c r="D28" i="14"/>
  <c r="F27" i="14"/>
  <c r="I27" i="14" s="1"/>
  <c r="E27" i="14"/>
  <c r="H27" i="14" s="1"/>
  <c r="D27" i="14"/>
  <c r="M26" i="14"/>
  <c r="K26" i="14"/>
  <c r="J26" i="14"/>
  <c r="H26" i="14"/>
  <c r="G26" i="14"/>
  <c r="F26" i="14"/>
  <c r="I26" i="14" s="1"/>
  <c r="E26" i="14"/>
  <c r="D26" i="14"/>
  <c r="A26" i="14"/>
  <c r="I25" i="14"/>
  <c r="F25" i="14"/>
  <c r="E25" i="14"/>
  <c r="H25" i="14" s="1"/>
  <c r="D25" i="14"/>
  <c r="I24" i="14"/>
  <c r="F24" i="14"/>
  <c r="E24" i="14"/>
  <c r="H24" i="14" s="1"/>
  <c r="D24" i="14"/>
  <c r="G23" i="14"/>
  <c r="F23" i="14"/>
  <c r="I23" i="14" s="1"/>
  <c r="E23" i="14"/>
  <c r="H23" i="14" s="1"/>
  <c r="D23" i="14"/>
  <c r="C23" i="14"/>
  <c r="B23" i="14"/>
  <c r="A23" i="14"/>
  <c r="M22" i="14"/>
  <c r="K22" i="14"/>
  <c r="J22" i="14"/>
  <c r="H22" i="14"/>
  <c r="F22" i="14"/>
  <c r="I22" i="14" s="1"/>
  <c r="E22" i="14"/>
  <c r="D22" i="14"/>
  <c r="G22" i="14" s="1"/>
  <c r="C22" i="14"/>
  <c r="B22" i="14"/>
  <c r="A22" i="14"/>
  <c r="H21" i="14"/>
  <c r="F21" i="14"/>
  <c r="I21" i="14" s="1"/>
  <c r="E21" i="14"/>
  <c r="D21" i="14"/>
  <c r="M20" i="14"/>
  <c r="K20" i="14"/>
  <c r="H20" i="14"/>
  <c r="G20" i="14"/>
  <c r="F20" i="14"/>
  <c r="I20" i="14" s="1"/>
  <c r="E20" i="14"/>
  <c r="D20" i="14"/>
  <c r="J20" i="14" s="1"/>
  <c r="B20" i="14"/>
  <c r="A20" i="14"/>
  <c r="M19" i="14"/>
  <c r="K19" i="14"/>
  <c r="J19" i="14"/>
  <c r="H19" i="14"/>
  <c r="F19" i="14"/>
  <c r="I19" i="14" s="1"/>
  <c r="E19" i="14"/>
  <c r="D19" i="14"/>
  <c r="A19" i="14"/>
  <c r="M18" i="14"/>
  <c r="K18" i="14"/>
  <c r="J18" i="14"/>
  <c r="I18" i="14"/>
  <c r="H18" i="14"/>
  <c r="F18" i="14"/>
  <c r="E18" i="14"/>
  <c r="D18" i="14"/>
  <c r="A18" i="14" s="1"/>
  <c r="C18" i="14"/>
  <c r="B18" i="14"/>
  <c r="M17" i="14"/>
  <c r="K17" i="14"/>
  <c r="I17" i="14"/>
  <c r="F17" i="14"/>
  <c r="E17" i="14"/>
  <c r="H17" i="14" s="1"/>
  <c r="D17" i="14"/>
  <c r="B17" i="14" s="1"/>
  <c r="C17" i="14"/>
  <c r="A17" i="14"/>
  <c r="F16" i="14"/>
  <c r="I16" i="14" s="1"/>
  <c r="E16" i="14"/>
  <c r="H16" i="14" s="1"/>
  <c r="D16" i="14"/>
  <c r="K15" i="14"/>
  <c r="J15" i="14"/>
  <c r="G15" i="14"/>
  <c r="F15" i="14"/>
  <c r="I15" i="14" s="1"/>
  <c r="E15" i="14"/>
  <c r="H15" i="14" s="1"/>
  <c r="D15" i="14"/>
  <c r="C15" i="14"/>
  <c r="B15" i="14"/>
  <c r="I14" i="14"/>
  <c r="H14" i="14"/>
  <c r="F14" i="14"/>
  <c r="E14" i="14"/>
  <c r="D14" i="14"/>
  <c r="C14" i="14"/>
  <c r="M13" i="14"/>
  <c r="K13" i="14"/>
  <c r="J13" i="14"/>
  <c r="I13" i="14"/>
  <c r="F13" i="14"/>
  <c r="E13" i="14"/>
  <c r="H13" i="14" s="1"/>
  <c r="D13" i="14"/>
  <c r="C13" i="14"/>
  <c r="B13" i="14"/>
  <c r="M12" i="14"/>
  <c r="H12" i="14"/>
  <c r="G12" i="14"/>
  <c r="F12" i="14"/>
  <c r="I12" i="14" s="1"/>
  <c r="E12" i="14"/>
  <c r="D12" i="14"/>
  <c r="C12" i="14"/>
  <c r="B12" i="14"/>
  <c r="M11" i="14"/>
  <c r="K11" i="14"/>
  <c r="J11" i="14"/>
  <c r="H11" i="14"/>
  <c r="G11" i="14"/>
  <c r="F11" i="14"/>
  <c r="I11" i="14" s="1"/>
  <c r="E11" i="14"/>
  <c r="D11" i="14"/>
  <c r="C11" i="14"/>
  <c r="B11" i="14"/>
  <c r="A11" i="14"/>
  <c r="M10" i="14"/>
  <c r="K10" i="14"/>
  <c r="F10" i="14"/>
  <c r="I10" i="14" s="1"/>
  <c r="E10" i="14"/>
  <c r="H10" i="14" s="1"/>
  <c r="D10" i="14"/>
  <c r="C10" i="14"/>
  <c r="M9" i="14"/>
  <c r="K9" i="14"/>
  <c r="J9" i="14"/>
  <c r="G9" i="14"/>
  <c r="F9" i="14"/>
  <c r="I9" i="14" s="1"/>
  <c r="E9" i="14"/>
  <c r="H9" i="14" s="1"/>
  <c r="D9" i="14"/>
  <c r="A9" i="14" s="1"/>
  <c r="C9" i="14"/>
  <c r="B9" i="14"/>
  <c r="F8" i="14"/>
  <c r="I8" i="14" s="1"/>
  <c r="E8" i="14"/>
  <c r="H8" i="14" s="1"/>
  <c r="H7" i="14"/>
  <c r="F7" i="14"/>
  <c r="I7" i="14" s="1"/>
  <c r="E7" i="14"/>
  <c r="I6" i="14"/>
  <c r="F6" i="14"/>
  <c r="E6" i="14"/>
  <c r="H6" i="14" s="1"/>
  <c r="BB69" i="13"/>
  <c r="AZ69" i="13"/>
  <c r="AY69" i="13"/>
  <c r="AX69" i="13"/>
  <c r="AW69" i="13"/>
  <c r="AV69" i="13"/>
  <c r="AU69" i="13"/>
  <c r="AT69" i="13"/>
  <c r="AS69" i="13"/>
  <c r="AR69" i="13"/>
  <c r="AQ69" i="13"/>
  <c r="AP69" i="13"/>
  <c r="E69" i="13"/>
  <c r="A69" i="13"/>
  <c r="BB68" i="13"/>
  <c r="AZ68" i="13"/>
  <c r="AY68" i="13"/>
  <c r="AX68" i="13"/>
  <c r="AW68" i="13"/>
  <c r="AV68" i="13"/>
  <c r="AU68" i="13"/>
  <c r="AT68" i="13"/>
  <c r="AS68" i="13"/>
  <c r="AR68" i="13"/>
  <c r="AQ68" i="13"/>
  <c r="AP68" i="13"/>
  <c r="E68" i="13"/>
  <c r="A68" i="13"/>
  <c r="BB67" i="13"/>
  <c r="AZ67" i="13"/>
  <c r="AY67" i="13"/>
  <c r="AX67" i="13"/>
  <c r="AW67" i="13"/>
  <c r="AV67" i="13"/>
  <c r="AU67" i="13"/>
  <c r="AT67" i="13"/>
  <c r="AS67" i="13"/>
  <c r="AR67" i="13"/>
  <c r="AQ67" i="13"/>
  <c r="AP67" i="13"/>
  <c r="E67" i="13"/>
  <c r="A67" i="13"/>
  <c r="BB66" i="13"/>
  <c r="AZ66" i="13"/>
  <c r="AY66" i="13"/>
  <c r="AX66" i="13"/>
  <c r="AW66" i="13"/>
  <c r="AV66" i="13"/>
  <c r="AU66" i="13"/>
  <c r="AT66" i="13"/>
  <c r="AS66" i="13"/>
  <c r="AR66" i="13"/>
  <c r="AQ66" i="13"/>
  <c r="AP66" i="13"/>
  <c r="E66" i="13"/>
  <c r="A66" i="13"/>
  <c r="BB65" i="13"/>
  <c r="AZ65" i="13"/>
  <c r="AY65" i="13"/>
  <c r="AX65" i="13"/>
  <c r="AW65" i="13"/>
  <c r="AV65" i="13"/>
  <c r="AU65" i="13"/>
  <c r="AT65" i="13"/>
  <c r="AS65" i="13"/>
  <c r="AR65" i="13"/>
  <c r="AQ65" i="13"/>
  <c r="AP65" i="13"/>
  <c r="E65" i="13"/>
  <c r="A65" i="13"/>
  <c r="BB64" i="13"/>
  <c r="AZ64" i="13"/>
  <c r="AY64" i="13"/>
  <c r="AX64" i="13"/>
  <c r="AW64" i="13"/>
  <c r="AV64" i="13"/>
  <c r="AU64" i="13"/>
  <c r="AT64" i="13"/>
  <c r="AS64" i="13"/>
  <c r="AR64" i="13"/>
  <c r="AQ64" i="13"/>
  <c r="AP64" i="13"/>
  <c r="E64" i="13"/>
  <c r="A64" i="13"/>
  <c r="BB63" i="13"/>
  <c r="AZ63" i="13"/>
  <c r="AY63" i="13"/>
  <c r="AX63" i="13"/>
  <c r="AW63" i="13"/>
  <c r="AV63" i="13"/>
  <c r="AU63" i="13"/>
  <c r="AT63" i="13"/>
  <c r="AS63" i="13"/>
  <c r="AR63" i="13"/>
  <c r="AQ63" i="13"/>
  <c r="AP63" i="13"/>
  <c r="E63" i="13"/>
  <c r="A63" i="13"/>
  <c r="BB62" i="13"/>
  <c r="AZ62" i="13"/>
  <c r="AY62" i="13"/>
  <c r="AX62" i="13"/>
  <c r="AW62" i="13"/>
  <c r="AV62" i="13"/>
  <c r="AU62" i="13"/>
  <c r="AT62" i="13"/>
  <c r="AS62" i="13"/>
  <c r="AR62" i="13"/>
  <c r="AQ62" i="13"/>
  <c r="AP62" i="13"/>
  <c r="E62" i="13"/>
  <c r="A62" i="13"/>
  <c r="BB61" i="13"/>
  <c r="AZ61" i="13"/>
  <c r="AY61" i="13"/>
  <c r="AX61" i="13"/>
  <c r="AW61" i="13"/>
  <c r="AV61" i="13"/>
  <c r="AU61" i="13"/>
  <c r="AT61" i="13"/>
  <c r="AS61" i="13"/>
  <c r="AR61" i="13"/>
  <c r="AQ61" i="13"/>
  <c r="AP61" i="13"/>
  <c r="E61" i="13"/>
  <c r="A61" i="13"/>
  <c r="BB60" i="13"/>
  <c r="AZ60" i="13"/>
  <c r="AY60" i="13"/>
  <c r="AX60" i="13"/>
  <c r="AW60" i="13"/>
  <c r="AV60" i="13"/>
  <c r="AU60" i="13"/>
  <c r="AT60" i="13"/>
  <c r="AS60" i="13"/>
  <c r="AR60" i="13"/>
  <c r="AQ60" i="13"/>
  <c r="AP60" i="13"/>
  <c r="E60" i="13"/>
  <c r="A60" i="13"/>
  <c r="BB59" i="13"/>
  <c r="AZ59" i="13"/>
  <c r="AY59" i="13"/>
  <c r="AX59" i="13"/>
  <c r="AW59" i="13"/>
  <c r="AV59" i="13"/>
  <c r="AU59" i="13"/>
  <c r="AT59" i="13"/>
  <c r="AS59" i="13"/>
  <c r="AR59" i="13"/>
  <c r="AQ59" i="13"/>
  <c r="AP59" i="13"/>
  <c r="E59" i="13"/>
  <c r="A59" i="13"/>
  <c r="BB58" i="13"/>
  <c r="AZ58" i="13"/>
  <c r="AY58" i="13"/>
  <c r="AX58" i="13"/>
  <c r="AW58" i="13"/>
  <c r="AV58" i="13"/>
  <c r="AU58" i="13"/>
  <c r="AT58" i="13"/>
  <c r="AS58" i="13"/>
  <c r="AR58" i="13"/>
  <c r="AQ58" i="13"/>
  <c r="AP58" i="13"/>
  <c r="E58" i="13"/>
  <c r="A58" i="13"/>
  <c r="BB57" i="13"/>
  <c r="AZ57" i="13"/>
  <c r="AY57" i="13"/>
  <c r="AX57" i="13"/>
  <c r="AW57" i="13"/>
  <c r="AV57" i="13"/>
  <c r="AU57" i="13"/>
  <c r="AT57" i="13"/>
  <c r="AS57" i="13"/>
  <c r="AR57" i="13"/>
  <c r="AQ57" i="13"/>
  <c r="AP57" i="13"/>
  <c r="E57" i="13"/>
  <c r="A57" i="13"/>
  <c r="BB56" i="13"/>
  <c r="AZ56" i="13"/>
  <c r="AY56" i="13"/>
  <c r="AX56" i="13"/>
  <c r="AW56" i="13"/>
  <c r="AV56" i="13"/>
  <c r="AU56" i="13"/>
  <c r="AT56" i="13"/>
  <c r="AS56" i="13"/>
  <c r="AR56" i="13"/>
  <c r="AQ56" i="13"/>
  <c r="AP56" i="13"/>
  <c r="E56" i="13"/>
  <c r="A56" i="13"/>
  <c r="BB55" i="13"/>
  <c r="AZ55" i="13"/>
  <c r="AY55" i="13"/>
  <c r="AX55" i="13"/>
  <c r="AW55" i="13"/>
  <c r="AV55" i="13"/>
  <c r="AU55" i="13"/>
  <c r="AT55" i="13"/>
  <c r="AS55" i="13"/>
  <c r="AR55" i="13"/>
  <c r="AQ55" i="13"/>
  <c r="AP55" i="13"/>
  <c r="E55" i="13"/>
  <c r="A55" i="13"/>
  <c r="BB54" i="13"/>
  <c r="AZ54" i="13"/>
  <c r="AY54" i="13"/>
  <c r="AX54" i="13"/>
  <c r="AW54" i="13"/>
  <c r="AV54" i="13"/>
  <c r="AU54" i="13"/>
  <c r="AT54" i="13"/>
  <c r="AS54" i="13"/>
  <c r="AR54" i="13"/>
  <c r="AQ54" i="13"/>
  <c r="AP54" i="13"/>
  <c r="E54" i="13"/>
  <c r="A54" i="13"/>
  <c r="BB53" i="13"/>
  <c r="AZ53" i="13"/>
  <c r="AY53" i="13"/>
  <c r="AX53" i="13"/>
  <c r="AW53" i="13"/>
  <c r="AV53" i="13"/>
  <c r="AU53" i="13"/>
  <c r="AT53" i="13"/>
  <c r="AS53" i="13"/>
  <c r="AR53" i="13"/>
  <c r="AQ53" i="13"/>
  <c r="AP53" i="13"/>
  <c r="E53" i="13"/>
  <c r="A53" i="13"/>
  <c r="BB52" i="13"/>
  <c r="AZ52" i="13"/>
  <c r="AY52" i="13"/>
  <c r="AX52" i="13"/>
  <c r="AW52" i="13"/>
  <c r="AV52" i="13"/>
  <c r="AU52" i="13"/>
  <c r="AT52" i="13"/>
  <c r="AS52" i="13"/>
  <c r="AR52" i="13"/>
  <c r="AQ52" i="13"/>
  <c r="AP52" i="13"/>
  <c r="E52" i="13"/>
  <c r="A52" i="13"/>
  <c r="BB51" i="13"/>
  <c r="AZ51" i="13"/>
  <c r="AY51" i="13"/>
  <c r="AX51" i="13"/>
  <c r="AW51" i="13"/>
  <c r="AV51" i="13"/>
  <c r="AU51" i="13"/>
  <c r="AT51" i="13"/>
  <c r="AS51" i="13"/>
  <c r="AR51" i="13"/>
  <c r="AQ51" i="13"/>
  <c r="AP51" i="13"/>
  <c r="E51" i="13"/>
  <c r="A51" i="13"/>
  <c r="BB50" i="13"/>
  <c r="AZ50" i="13"/>
  <c r="AY50" i="13"/>
  <c r="AX50" i="13"/>
  <c r="AW50" i="13"/>
  <c r="AV50" i="13"/>
  <c r="AU50" i="13"/>
  <c r="AT50" i="13"/>
  <c r="AS50" i="13"/>
  <c r="AR50" i="13"/>
  <c r="AQ50" i="13"/>
  <c r="AP50" i="13"/>
  <c r="E50" i="13"/>
  <c r="A50" i="13"/>
  <c r="BB49" i="13"/>
  <c r="AZ49" i="13"/>
  <c r="AY49" i="13"/>
  <c r="AX49" i="13"/>
  <c r="AW49" i="13"/>
  <c r="AV49" i="13"/>
  <c r="AU49" i="13"/>
  <c r="AT49" i="13"/>
  <c r="AS49" i="13"/>
  <c r="AR49" i="13"/>
  <c r="AQ49" i="13"/>
  <c r="AP49" i="13"/>
  <c r="E49" i="13"/>
  <c r="A49" i="13"/>
  <c r="BB48" i="13"/>
  <c r="AZ48" i="13"/>
  <c r="AY48" i="13"/>
  <c r="AX48" i="13"/>
  <c r="AW48" i="13"/>
  <c r="AV48" i="13"/>
  <c r="AU48" i="13"/>
  <c r="AT48" i="13"/>
  <c r="AS48" i="13"/>
  <c r="AR48" i="13"/>
  <c r="AQ48" i="13"/>
  <c r="AP48" i="13"/>
  <c r="E48" i="13"/>
  <c r="A48" i="13"/>
  <c r="BB47" i="13"/>
  <c r="AZ47" i="13"/>
  <c r="AY47" i="13"/>
  <c r="AX47" i="13"/>
  <c r="AW47" i="13"/>
  <c r="AV47" i="13"/>
  <c r="AU47" i="13"/>
  <c r="AT47" i="13"/>
  <c r="AS47" i="13"/>
  <c r="AR47" i="13"/>
  <c r="AQ47" i="13"/>
  <c r="AP47" i="13"/>
  <c r="E47" i="13"/>
  <c r="A47" i="13"/>
  <c r="BB46" i="13"/>
  <c r="AZ46" i="13"/>
  <c r="AY46" i="13"/>
  <c r="AX46" i="13"/>
  <c r="AW46" i="13"/>
  <c r="AV46" i="13"/>
  <c r="AU46" i="13"/>
  <c r="AT46" i="13"/>
  <c r="AS46" i="13"/>
  <c r="AR46" i="13"/>
  <c r="AQ46" i="13"/>
  <c r="AP46" i="13"/>
  <c r="E46" i="13"/>
  <c r="A46" i="13"/>
  <c r="BB45" i="13"/>
  <c r="AZ45" i="13"/>
  <c r="AY45" i="13"/>
  <c r="AX45" i="13"/>
  <c r="AW45" i="13"/>
  <c r="AV45" i="13"/>
  <c r="AU45" i="13"/>
  <c r="AT45" i="13"/>
  <c r="AS45" i="13"/>
  <c r="AR45" i="13"/>
  <c r="AQ45" i="13"/>
  <c r="AP45" i="13"/>
  <c r="E45" i="13"/>
  <c r="A45" i="13"/>
  <c r="BB44" i="13"/>
  <c r="AZ44" i="13"/>
  <c r="AY44" i="13"/>
  <c r="AX44" i="13"/>
  <c r="AW44" i="13"/>
  <c r="AV44" i="13"/>
  <c r="AU44" i="13"/>
  <c r="AT44" i="13"/>
  <c r="AS44" i="13"/>
  <c r="AR44" i="13"/>
  <c r="AQ44" i="13"/>
  <c r="AP44" i="13"/>
  <c r="E44" i="13"/>
  <c r="A44" i="13"/>
  <c r="BB43" i="13"/>
  <c r="AZ43" i="13"/>
  <c r="AY43" i="13"/>
  <c r="AX43" i="13"/>
  <c r="AW43" i="13"/>
  <c r="AV43" i="13"/>
  <c r="AU43" i="13"/>
  <c r="AT43" i="13"/>
  <c r="AS43" i="13"/>
  <c r="AR43" i="13"/>
  <c r="AQ43" i="13"/>
  <c r="AP43" i="13"/>
  <c r="E43" i="13"/>
  <c r="A43" i="13"/>
  <c r="BB42" i="13"/>
  <c r="AZ42" i="13"/>
  <c r="AY42" i="13"/>
  <c r="AX42" i="13"/>
  <c r="AW42" i="13"/>
  <c r="AV42" i="13"/>
  <c r="AU42" i="13"/>
  <c r="AT42" i="13"/>
  <c r="AS42" i="13"/>
  <c r="AR42" i="13"/>
  <c r="AQ42" i="13"/>
  <c r="AP42" i="13"/>
  <c r="E42" i="13"/>
  <c r="A42" i="13"/>
  <c r="BB41" i="13"/>
  <c r="AZ41" i="13"/>
  <c r="AY41" i="13"/>
  <c r="AX41" i="13"/>
  <c r="AW41" i="13"/>
  <c r="AV41" i="13"/>
  <c r="AU41" i="13"/>
  <c r="AT41" i="13"/>
  <c r="AS41" i="13"/>
  <c r="AR41" i="13"/>
  <c r="AQ41" i="13"/>
  <c r="AP41" i="13"/>
  <c r="E41" i="13"/>
  <c r="A41" i="13"/>
  <c r="BB40" i="13"/>
  <c r="AZ40" i="13"/>
  <c r="AY40" i="13"/>
  <c r="AX40" i="13"/>
  <c r="AW40" i="13"/>
  <c r="AV40" i="13"/>
  <c r="AU40" i="13"/>
  <c r="AT40" i="13"/>
  <c r="AS40" i="13"/>
  <c r="AR40" i="13"/>
  <c r="AQ40" i="13"/>
  <c r="AP40" i="13"/>
  <c r="E40" i="13"/>
  <c r="A40" i="13"/>
  <c r="BB39" i="13"/>
  <c r="AZ39" i="13"/>
  <c r="AY39" i="13"/>
  <c r="AX39" i="13"/>
  <c r="AW39" i="13"/>
  <c r="AV39" i="13"/>
  <c r="AU39" i="13"/>
  <c r="AT39" i="13"/>
  <c r="AS39" i="13"/>
  <c r="AR39" i="13"/>
  <c r="AQ39" i="13"/>
  <c r="AP39" i="13"/>
  <c r="E39" i="13"/>
  <c r="A39" i="13"/>
  <c r="BB38" i="13"/>
  <c r="AZ38" i="13"/>
  <c r="AY38" i="13"/>
  <c r="AX38" i="13"/>
  <c r="AW38" i="13"/>
  <c r="AV38" i="13"/>
  <c r="AU38" i="13"/>
  <c r="AT38" i="13"/>
  <c r="AS38" i="13"/>
  <c r="AR38" i="13"/>
  <c r="AQ38" i="13"/>
  <c r="AP38" i="13"/>
  <c r="E38" i="13"/>
  <c r="A38" i="13"/>
  <c r="BB37" i="13"/>
  <c r="AZ37" i="13"/>
  <c r="AY37" i="13"/>
  <c r="AX37" i="13"/>
  <c r="AW37" i="13"/>
  <c r="AV37" i="13"/>
  <c r="AU37" i="13"/>
  <c r="AT37" i="13"/>
  <c r="AS37" i="13"/>
  <c r="AR37" i="13"/>
  <c r="AQ37" i="13"/>
  <c r="AP37" i="13"/>
  <c r="E37" i="13"/>
  <c r="A37" i="13"/>
  <c r="BB36" i="13"/>
  <c r="AZ36" i="13"/>
  <c r="AY36" i="13"/>
  <c r="AX36" i="13"/>
  <c r="AW36" i="13"/>
  <c r="AV36" i="13"/>
  <c r="AU36" i="13"/>
  <c r="AT36" i="13"/>
  <c r="AS36" i="13"/>
  <c r="AR36" i="13"/>
  <c r="AQ36" i="13"/>
  <c r="AP36" i="13"/>
  <c r="E36" i="13"/>
  <c r="A36" i="13"/>
  <c r="BB35" i="13"/>
  <c r="AZ35" i="13"/>
  <c r="AY35" i="13"/>
  <c r="AX35" i="13"/>
  <c r="AW35" i="13"/>
  <c r="AV35" i="13"/>
  <c r="AU35" i="13"/>
  <c r="AT35" i="13"/>
  <c r="AS35" i="13"/>
  <c r="AR35" i="13"/>
  <c r="AQ35" i="13"/>
  <c r="AP35" i="13"/>
  <c r="E35" i="13"/>
  <c r="A35" i="13"/>
  <c r="BB34" i="13"/>
  <c r="AZ34" i="13"/>
  <c r="AY34" i="13"/>
  <c r="AX34" i="13"/>
  <c r="AW34" i="13"/>
  <c r="AV34" i="13"/>
  <c r="AU34" i="13"/>
  <c r="AT34" i="13"/>
  <c r="AS34" i="13"/>
  <c r="AR34" i="13"/>
  <c r="AQ34" i="13"/>
  <c r="AP34" i="13"/>
  <c r="E34" i="13"/>
  <c r="A34" i="13"/>
  <c r="BB33" i="13"/>
  <c r="AZ33" i="13"/>
  <c r="AY33" i="13"/>
  <c r="AX33" i="13"/>
  <c r="AW33" i="13"/>
  <c r="AV33" i="13"/>
  <c r="AU33" i="13"/>
  <c r="AT33" i="13"/>
  <c r="AS33" i="13"/>
  <c r="AR33" i="13"/>
  <c r="AQ33" i="13"/>
  <c r="AP33" i="13"/>
  <c r="E33" i="13"/>
  <c r="A33" i="13"/>
  <c r="BB32" i="13"/>
  <c r="AZ32" i="13"/>
  <c r="AY32" i="13"/>
  <c r="AX32" i="13"/>
  <c r="AW32" i="13"/>
  <c r="AV32" i="13"/>
  <c r="AU32" i="13"/>
  <c r="AT32" i="13"/>
  <c r="AS32" i="13"/>
  <c r="AR32" i="13"/>
  <c r="AQ32" i="13"/>
  <c r="AP32" i="13"/>
  <c r="E32" i="13"/>
  <c r="A32" i="13"/>
  <c r="BB31" i="13"/>
  <c r="AZ31" i="13"/>
  <c r="AY31" i="13"/>
  <c r="AX31" i="13"/>
  <c r="AW31" i="13"/>
  <c r="AV31" i="13"/>
  <c r="AU31" i="13"/>
  <c r="AT31" i="13"/>
  <c r="AS31" i="13"/>
  <c r="AR31" i="13"/>
  <c r="AQ31" i="13"/>
  <c r="AP31" i="13"/>
  <c r="E31" i="13"/>
  <c r="A31" i="13"/>
  <c r="BB30" i="13"/>
  <c r="AZ30" i="13"/>
  <c r="AY30" i="13"/>
  <c r="AX30" i="13"/>
  <c r="AW30" i="13"/>
  <c r="AV30" i="13"/>
  <c r="AU30" i="13"/>
  <c r="AT30" i="13"/>
  <c r="AS30" i="13"/>
  <c r="AR30" i="13"/>
  <c r="AQ30" i="13"/>
  <c r="AP30" i="13"/>
  <c r="E30" i="13"/>
  <c r="A30" i="13"/>
  <c r="BB29" i="13"/>
  <c r="AZ29" i="13"/>
  <c r="AY29" i="13"/>
  <c r="AX29" i="13"/>
  <c r="AW29" i="13"/>
  <c r="AV29" i="13"/>
  <c r="AU29" i="13"/>
  <c r="AT29" i="13"/>
  <c r="AS29" i="13"/>
  <c r="AR29" i="13"/>
  <c r="AQ29" i="13"/>
  <c r="AP29" i="13"/>
  <c r="E29" i="13"/>
  <c r="A29" i="13"/>
  <c r="BB28" i="13"/>
  <c r="AZ28" i="13"/>
  <c r="AY28" i="13"/>
  <c r="AX28" i="13"/>
  <c r="AW28" i="13"/>
  <c r="AV28" i="13"/>
  <c r="AU28" i="13"/>
  <c r="AT28" i="13"/>
  <c r="AS28" i="13"/>
  <c r="AR28" i="13"/>
  <c r="AQ28" i="13"/>
  <c r="AP28" i="13"/>
  <c r="E28" i="13"/>
  <c r="A28" i="13"/>
  <c r="BB27" i="13"/>
  <c r="AZ27" i="13"/>
  <c r="AY27" i="13"/>
  <c r="AX27" i="13"/>
  <c r="AW27" i="13"/>
  <c r="AV27" i="13"/>
  <c r="AU27" i="13"/>
  <c r="AT27" i="13"/>
  <c r="AS27" i="13"/>
  <c r="AR27" i="13"/>
  <c r="AQ27" i="13"/>
  <c r="AP27" i="13"/>
  <c r="E27" i="13"/>
  <c r="A27" i="13"/>
  <c r="BB26" i="13"/>
  <c r="AZ26" i="13"/>
  <c r="AY26" i="13"/>
  <c r="AX26" i="13"/>
  <c r="AW26" i="13"/>
  <c r="AV26" i="13"/>
  <c r="AU26" i="13"/>
  <c r="AT26" i="13"/>
  <c r="AS26" i="13"/>
  <c r="AR26" i="13"/>
  <c r="AQ26" i="13"/>
  <c r="AP26" i="13"/>
  <c r="E26" i="13"/>
  <c r="A26" i="13"/>
  <c r="BB25" i="13"/>
  <c r="AZ25" i="13"/>
  <c r="AY25" i="13"/>
  <c r="AX25" i="13"/>
  <c r="AW25" i="13"/>
  <c r="AV25" i="13"/>
  <c r="AU25" i="13"/>
  <c r="AT25" i="13"/>
  <c r="AS25" i="13"/>
  <c r="AR25" i="13"/>
  <c r="AQ25" i="13"/>
  <c r="AP25" i="13"/>
  <c r="E25" i="13"/>
  <c r="A25" i="13"/>
  <c r="BB24" i="13"/>
  <c r="AZ24" i="13"/>
  <c r="AY24" i="13"/>
  <c r="AX24" i="13"/>
  <c r="AW24" i="13"/>
  <c r="AV24" i="13"/>
  <c r="AU24" i="13"/>
  <c r="AT24" i="13"/>
  <c r="AS24" i="13"/>
  <c r="AR24" i="13"/>
  <c r="AQ24" i="13"/>
  <c r="AP24" i="13"/>
  <c r="E24" i="13"/>
  <c r="A24" i="13"/>
  <c r="BB23" i="13"/>
  <c r="AZ23" i="13"/>
  <c r="AY23" i="13"/>
  <c r="AX23" i="13"/>
  <c r="AW23" i="13"/>
  <c r="AV23" i="13"/>
  <c r="AU23" i="13"/>
  <c r="AT23" i="13"/>
  <c r="AS23" i="13"/>
  <c r="AR23" i="13"/>
  <c r="AQ23" i="13"/>
  <c r="AP23" i="13"/>
  <c r="E23" i="13"/>
  <c r="A23" i="13"/>
  <c r="BB22" i="13"/>
  <c r="AZ22" i="13"/>
  <c r="AY22" i="13"/>
  <c r="AX22" i="13"/>
  <c r="AW22" i="13"/>
  <c r="AV22" i="13"/>
  <c r="AU22" i="13"/>
  <c r="AT22" i="13"/>
  <c r="AS22" i="13"/>
  <c r="AR22" i="13"/>
  <c r="AQ22" i="13"/>
  <c r="AP22" i="13"/>
  <c r="E22" i="13"/>
  <c r="A22" i="13"/>
  <c r="BB21" i="13"/>
  <c r="AZ21" i="13"/>
  <c r="AY21" i="13"/>
  <c r="AX21" i="13"/>
  <c r="AW21" i="13"/>
  <c r="AV21" i="13"/>
  <c r="AU21" i="13"/>
  <c r="AT21" i="13"/>
  <c r="AS21" i="13"/>
  <c r="AR21" i="13"/>
  <c r="AQ21" i="13"/>
  <c r="AP21" i="13"/>
  <c r="E21" i="13"/>
  <c r="A21" i="13"/>
  <c r="BB20" i="13"/>
  <c r="AZ20" i="13"/>
  <c r="AY20" i="13"/>
  <c r="AX20" i="13"/>
  <c r="AW20" i="13"/>
  <c r="AV20" i="13"/>
  <c r="AU20" i="13"/>
  <c r="AT20" i="13"/>
  <c r="AS20" i="13"/>
  <c r="AR20" i="13"/>
  <c r="AQ20" i="13"/>
  <c r="AP20" i="13"/>
  <c r="E20" i="13"/>
  <c r="A20" i="13"/>
  <c r="BB19" i="13"/>
  <c r="AZ19" i="13"/>
  <c r="AY19" i="13"/>
  <c r="AX19" i="13"/>
  <c r="AW19" i="13"/>
  <c r="AV19" i="13"/>
  <c r="AU19" i="13"/>
  <c r="AT19" i="13"/>
  <c r="AS19" i="13"/>
  <c r="AR19" i="13"/>
  <c r="AQ19" i="13"/>
  <c r="AP19" i="13"/>
  <c r="E19" i="13"/>
  <c r="A19" i="13"/>
  <c r="BB18" i="13"/>
  <c r="AZ18" i="13"/>
  <c r="AY18" i="13"/>
  <c r="AX18" i="13"/>
  <c r="AW18" i="13"/>
  <c r="AV18" i="13"/>
  <c r="AU18" i="13"/>
  <c r="AT18" i="13"/>
  <c r="AS18" i="13"/>
  <c r="AR18" i="13"/>
  <c r="AQ18" i="13"/>
  <c r="AP18" i="13"/>
  <c r="E18" i="13"/>
  <c r="A18" i="13"/>
  <c r="BB17" i="13"/>
  <c r="AZ17" i="13"/>
  <c r="AY17" i="13"/>
  <c r="AX17" i="13"/>
  <c r="AW17" i="13"/>
  <c r="AV17" i="13"/>
  <c r="AU17" i="13"/>
  <c r="AT17" i="13"/>
  <c r="AS17" i="13"/>
  <c r="AR17" i="13"/>
  <c r="AQ17" i="13"/>
  <c r="AP17" i="13"/>
  <c r="E17" i="13"/>
  <c r="A17" i="13"/>
  <c r="BB16" i="13"/>
  <c r="AZ16" i="13"/>
  <c r="AY16" i="13"/>
  <c r="AX16" i="13"/>
  <c r="AW16" i="13"/>
  <c r="AV16" i="13"/>
  <c r="AU16" i="13"/>
  <c r="AT16" i="13"/>
  <c r="AS16" i="13"/>
  <c r="AR16" i="13"/>
  <c r="AQ16" i="13"/>
  <c r="AP16" i="13"/>
  <c r="E16" i="13"/>
  <c r="A16" i="13"/>
  <c r="BB15" i="13"/>
  <c r="AZ15" i="13"/>
  <c r="AY15" i="13"/>
  <c r="AX15" i="13"/>
  <c r="AW15" i="13"/>
  <c r="AV15" i="13"/>
  <c r="AU15" i="13"/>
  <c r="AT15" i="13"/>
  <c r="AS15" i="13"/>
  <c r="AR15" i="13"/>
  <c r="AQ15" i="13"/>
  <c r="AP15" i="13"/>
  <c r="E15" i="13"/>
  <c r="A15" i="13"/>
  <c r="BB14" i="13"/>
  <c r="AZ14" i="13"/>
  <c r="AY14" i="13"/>
  <c r="AX14" i="13"/>
  <c r="AW14" i="13"/>
  <c r="AV14" i="13"/>
  <c r="AU14" i="13"/>
  <c r="AT14" i="13"/>
  <c r="AS14" i="13"/>
  <c r="AR14" i="13"/>
  <c r="AQ14" i="13"/>
  <c r="AP14" i="13"/>
  <c r="E14" i="13"/>
  <c r="A14" i="13"/>
  <c r="BB13" i="13"/>
  <c r="AZ13" i="13"/>
  <c r="AY13" i="13"/>
  <c r="AX13" i="13"/>
  <c r="AW13" i="13"/>
  <c r="AV13" i="13"/>
  <c r="AU13" i="13"/>
  <c r="AT13" i="13"/>
  <c r="AS13" i="13"/>
  <c r="AR13" i="13"/>
  <c r="AQ13" i="13"/>
  <c r="AP13" i="13"/>
  <c r="E13" i="13"/>
  <c r="A13" i="13"/>
  <c r="BB12" i="13"/>
  <c r="AZ12" i="13"/>
  <c r="AY12" i="13"/>
  <c r="AX12" i="13"/>
  <c r="AW12" i="13"/>
  <c r="AV12" i="13"/>
  <c r="AU12" i="13"/>
  <c r="AT12" i="13"/>
  <c r="AS12" i="13"/>
  <c r="AR12" i="13"/>
  <c r="AQ12" i="13"/>
  <c r="AP12" i="13"/>
  <c r="E12" i="13"/>
  <c r="A12" i="13"/>
  <c r="BB11" i="13"/>
  <c r="AZ11" i="13"/>
  <c r="AY11" i="13"/>
  <c r="AX11" i="13"/>
  <c r="AW11" i="13"/>
  <c r="AV11" i="13"/>
  <c r="AU11" i="13"/>
  <c r="AT11" i="13"/>
  <c r="AS11" i="13"/>
  <c r="AR11" i="13"/>
  <c r="AQ11" i="13"/>
  <c r="AP11" i="13"/>
  <c r="E11" i="13"/>
  <c r="A11" i="13"/>
  <c r="BB10" i="13"/>
  <c r="AZ10" i="13"/>
  <c r="AY10" i="13"/>
  <c r="AX10" i="13"/>
  <c r="AW10" i="13"/>
  <c r="AV10" i="13"/>
  <c r="AU10" i="13"/>
  <c r="AT10" i="13"/>
  <c r="AS10" i="13"/>
  <c r="AR10" i="13"/>
  <c r="AQ10" i="13"/>
  <c r="AP10" i="13"/>
  <c r="E10" i="13"/>
  <c r="A10" i="13"/>
  <c r="BB9" i="13"/>
  <c r="AZ9" i="13"/>
  <c r="AY9" i="13"/>
  <c r="AX9" i="13"/>
  <c r="AW9" i="13"/>
  <c r="AV9" i="13"/>
  <c r="AU9" i="13"/>
  <c r="AT9" i="13"/>
  <c r="AS9" i="13"/>
  <c r="AR9" i="13"/>
  <c r="AQ9" i="13"/>
  <c r="AP9" i="13"/>
  <c r="E9" i="13"/>
  <c r="A9" i="13"/>
  <c r="AY8" i="13"/>
  <c r="F37" i="16" s="1"/>
  <c r="AX8" i="13"/>
  <c r="D37" i="16" s="1"/>
  <c r="AW8" i="13"/>
  <c r="B37" i="16" s="1"/>
  <c r="AU8" i="13"/>
  <c r="E32" i="16" s="1"/>
  <c r="AT8" i="13"/>
  <c r="E31" i="16" s="1"/>
  <c r="AS8" i="13"/>
  <c r="E30" i="16" s="1"/>
  <c r="AR8" i="13"/>
  <c r="AQ8" i="13"/>
  <c r="E28" i="16" s="1"/>
  <c r="AP8" i="13"/>
  <c r="A8" i="13"/>
  <c r="E8" i="13" s="1"/>
  <c r="F24" i="16" s="1"/>
  <c r="AY7" i="13"/>
  <c r="AX7" i="13"/>
  <c r="K20" i="16" s="1"/>
  <c r="AW7" i="13"/>
  <c r="AU7" i="13"/>
  <c r="L15" i="16" s="1"/>
  <c r="AT7" i="13"/>
  <c r="L14" i="16" s="1"/>
  <c r="AS7" i="13"/>
  <c r="AR7" i="13"/>
  <c r="AQ7" i="13"/>
  <c r="AP7" i="13"/>
  <c r="E7" i="13"/>
  <c r="A7" i="13"/>
  <c r="AY6" i="13"/>
  <c r="F20" i="16" s="1"/>
  <c r="AX6" i="13"/>
  <c r="D20" i="16" s="1"/>
  <c r="AW6" i="13"/>
  <c r="B20" i="16" s="1"/>
  <c r="AU6" i="13"/>
  <c r="AT6" i="13"/>
  <c r="AS6" i="13"/>
  <c r="E13" i="16" s="1"/>
  <c r="AR6" i="13"/>
  <c r="AQ6" i="13"/>
  <c r="E11" i="16" s="1"/>
  <c r="AP6" i="13"/>
  <c r="A6" i="13"/>
  <c r="E6" i="13" s="1"/>
  <c r="F7" i="16" s="1"/>
  <c r="P267" i="12"/>
  <c r="O267" i="12"/>
  <c r="N267" i="12"/>
  <c r="M267" i="12"/>
  <c r="L267" i="12"/>
  <c r="K267" i="12"/>
  <c r="G267" i="12"/>
  <c r="F267" i="12"/>
  <c r="E267" i="12"/>
  <c r="D267" i="12"/>
  <c r="C267" i="12"/>
  <c r="B267" i="12"/>
  <c r="P266" i="12"/>
  <c r="O266" i="12"/>
  <c r="N266" i="12"/>
  <c r="M266" i="12"/>
  <c r="L266" i="12"/>
  <c r="K266" i="12"/>
  <c r="I266" i="12"/>
  <c r="H266" i="12"/>
  <c r="G266" i="12"/>
  <c r="F266" i="12"/>
  <c r="E266" i="12"/>
  <c r="D266" i="12"/>
  <c r="C266" i="12"/>
  <c r="B266" i="12"/>
  <c r="P265" i="12"/>
  <c r="O265" i="12"/>
  <c r="N265" i="12"/>
  <c r="M265" i="12"/>
  <c r="L265" i="12"/>
  <c r="K265" i="12"/>
  <c r="G265" i="12"/>
  <c r="F265" i="12"/>
  <c r="E265" i="12"/>
  <c r="D265" i="12"/>
  <c r="C265" i="12"/>
  <c r="B265" i="12"/>
  <c r="P264" i="12"/>
  <c r="O264" i="12"/>
  <c r="N264" i="12"/>
  <c r="M264" i="12"/>
  <c r="L264" i="12"/>
  <c r="K264" i="12"/>
  <c r="J264" i="12"/>
  <c r="G264" i="12"/>
  <c r="F264" i="12"/>
  <c r="E264" i="12"/>
  <c r="D264" i="12"/>
  <c r="C264" i="12"/>
  <c r="B264" i="12"/>
  <c r="P263" i="12"/>
  <c r="O263" i="12"/>
  <c r="N263" i="12"/>
  <c r="M263" i="12"/>
  <c r="L263" i="12"/>
  <c r="K263" i="12"/>
  <c r="G263" i="12"/>
  <c r="F263" i="12"/>
  <c r="E263" i="12"/>
  <c r="D263" i="12"/>
  <c r="C263" i="12"/>
  <c r="B263" i="12"/>
  <c r="P262" i="12"/>
  <c r="O262" i="12"/>
  <c r="N262" i="12"/>
  <c r="M262" i="12"/>
  <c r="L262" i="12"/>
  <c r="K262" i="12"/>
  <c r="J262" i="12"/>
  <c r="G262" i="12"/>
  <c r="F262" i="12"/>
  <c r="E262" i="12"/>
  <c r="D262" i="12"/>
  <c r="C262" i="12"/>
  <c r="B262" i="12"/>
  <c r="P250" i="12"/>
  <c r="O250" i="12"/>
  <c r="N250" i="12"/>
  <c r="M250" i="12"/>
  <c r="L250" i="12"/>
  <c r="K250" i="12"/>
  <c r="G250" i="12"/>
  <c r="F250" i="12"/>
  <c r="E250" i="12"/>
  <c r="D250" i="12"/>
  <c r="C250" i="12"/>
  <c r="B250" i="12"/>
  <c r="P249" i="12"/>
  <c r="O249" i="12"/>
  <c r="N249" i="12"/>
  <c r="M249" i="12"/>
  <c r="L249" i="12"/>
  <c r="K249" i="12"/>
  <c r="J249" i="12"/>
  <c r="G249" i="12"/>
  <c r="F249" i="12"/>
  <c r="E249" i="12"/>
  <c r="D249" i="12"/>
  <c r="C249" i="12"/>
  <c r="B249" i="12"/>
  <c r="P248" i="12"/>
  <c r="O248" i="12"/>
  <c r="N248" i="12"/>
  <c r="M248" i="12"/>
  <c r="L248" i="12"/>
  <c r="K248" i="12"/>
  <c r="J248" i="12"/>
  <c r="H248" i="12"/>
  <c r="G248" i="12"/>
  <c r="F248" i="12"/>
  <c r="E248" i="12"/>
  <c r="D248" i="12"/>
  <c r="C248" i="12"/>
  <c r="B248" i="12"/>
  <c r="P247" i="12"/>
  <c r="O247" i="12"/>
  <c r="N247" i="12"/>
  <c r="M247" i="12"/>
  <c r="L247" i="12"/>
  <c r="K247" i="12"/>
  <c r="J247" i="12"/>
  <c r="I247" i="12"/>
  <c r="G247" i="12"/>
  <c r="F247" i="12"/>
  <c r="E247" i="12"/>
  <c r="D247" i="12"/>
  <c r="C247" i="12"/>
  <c r="B247" i="12"/>
  <c r="P246" i="12"/>
  <c r="O246" i="12"/>
  <c r="N246" i="12"/>
  <c r="M246" i="12"/>
  <c r="L246" i="12"/>
  <c r="K246" i="12"/>
  <c r="J246" i="12"/>
  <c r="H246" i="12"/>
  <c r="G246" i="12"/>
  <c r="F246" i="12"/>
  <c r="E246" i="12"/>
  <c r="D246" i="12"/>
  <c r="C246" i="12"/>
  <c r="B246" i="12"/>
  <c r="P245" i="12"/>
  <c r="O245" i="12"/>
  <c r="N245" i="12"/>
  <c r="M245" i="12"/>
  <c r="L245" i="12"/>
  <c r="K245" i="12"/>
  <c r="G245" i="12"/>
  <c r="F245" i="12"/>
  <c r="E245" i="12"/>
  <c r="D245" i="12"/>
  <c r="C245" i="12"/>
  <c r="B245" i="12"/>
  <c r="J243" i="12"/>
  <c r="B243" i="12"/>
  <c r="P233" i="12"/>
  <c r="O233" i="12"/>
  <c r="N233" i="12"/>
  <c r="M233" i="12"/>
  <c r="L233" i="12"/>
  <c r="K233" i="12"/>
  <c r="H233" i="12"/>
  <c r="G233" i="12"/>
  <c r="F233" i="12"/>
  <c r="E233" i="12"/>
  <c r="D233" i="12"/>
  <c r="C233" i="12"/>
  <c r="B233" i="12"/>
  <c r="P232" i="12"/>
  <c r="O232" i="12"/>
  <c r="N232" i="12"/>
  <c r="M232" i="12"/>
  <c r="L232" i="12"/>
  <c r="K232" i="12"/>
  <c r="G232" i="12"/>
  <c r="F232" i="12"/>
  <c r="E232" i="12"/>
  <c r="D232" i="12"/>
  <c r="C232" i="12"/>
  <c r="B232" i="12"/>
  <c r="P231" i="12"/>
  <c r="O231" i="12"/>
  <c r="N231" i="12"/>
  <c r="M231" i="12"/>
  <c r="L231" i="12"/>
  <c r="K231" i="12"/>
  <c r="G231" i="12"/>
  <c r="F231" i="12"/>
  <c r="E231" i="12"/>
  <c r="D231" i="12"/>
  <c r="C231" i="12"/>
  <c r="B231" i="12"/>
  <c r="P230" i="12"/>
  <c r="O230" i="12"/>
  <c r="N230" i="12"/>
  <c r="M230" i="12"/>
  <c r="L230" i="12"/>
  <c r="K230" i="12"/>
  <c r="J230" i="12"/>
  <c r="I230" i="12"/>
  <c r="G230" i="12"/>
  <c r="F230" i="12"/>
  <c r="E230" i="12"/>
  <c r="D230" i="12"/>
  <c r="C230" i="12"/>
  <c r="B230" i="12"/>
  <c r="P229" i="12"/>
  <c r="O229" i="12"/>
  <c r="N229" i="12"/>
  <c r="M229" i="12"/>
  <c r="L229" i="12"/>
  <c r="K229" i="12"/>
  <c r="G229" i="12"/>
  <c r="F229" i="12"/>
  <c r="E229" i="12"/>
  <c r="D229" i="12"/>
  <c r="C229" i="12"/>
  <c r="B229" i="12"/>
  <c r="P228" i="12"/>
  <c r="O228" i="12"/>
  <c r="N228" i="12"/>
  <c r="M228" i="12"/>
  <c r="L228" i="12"/>
  <c r="K228" i="12"/>
  <c r="I228" i="12"/>
  <c r="H228" i="12"/>
  <c r="G228" i="12"/>
  <c r="F228" i="12"/>
  <c r="E228" i="12"/>
  <c r="D228" i="12"/>
  <c r="C228" i="12"/>
  <c r="B228" i="12"/>
  <c r="J226" i="12"/>
  <c r="B226" i="12"/>
  <c r="P216" i="12"/>
  <c r="O216" i="12"/>
  <c r="N216" i="12"/>
  <c r="M216" i="12"/>
  <c r="L216" i="12"/>
  <c r="K216" i="12"/>
  <c r="J216" i="12"/>
  <c r="H216" i="12"/>
  <c r="G216" i="12"/>
  <c r="F216" i="12"/>
  <c r="E216" i="12"/>
  <c r="D216" i="12"/>
  <c r="C216" i="12"/>
  <c r="B216" i="12"/>
  <c r="P215" i="12"/>
  <c r="O215" i="12"/>
  <c r="N215" i="12"/>
  <c r="M215" i="12"/>
  <c r="L215" i="12"/>
  <c r="K215" i="12"/>
  <c r="J215" i="12"/>
  <c r="I215" i="12"/>
  <c r="H215" i="12"/>
  <c r="G215" i="12"/>
  <c r="F215" i="12"/>
  <c r="E215" i="12"/>
  <c r="D215" i="12"/>
  <c r="C215" i="12"/>
  <c r="B215" i="12"/>
  <c r="P214" i="12"/>
  <c r="O214" i="12"/>
  <c r="N214" i="12"/>
  <c r="M214" i="12"/>
  <c r="L214" i="12"/>
  <c r="K214" i="12"/>
  <c r="H214" i="12"/>
  <c r="G214" i="12"/>
  <c r="F214" i="12"/>
  <c r="E214" i="12"/>
  <c r="D214" i="12"/>
  <c r="C214" i="12"/>
  <c r="B214" i="12"/>
  <c r="P213" i="12"/>
  <c r="O213" i="12"/>
  <c r="N213" i="12"/>
  <c r="M213" i="12"/>
  <c r="L213" i="12"/>
  <c r="K213" i="12"/>
  <c r="G213" i="12"/>
  <c r="F213" i="12"/>
  <c r="E213" i="12"/>
  <c r="D213" i="12"/>
  <c r="C213" i="12"/>
  <c r="B213" i="12"/>
  <c r="P212" i="12"/>
  <c r="O212" i="12"/>
  <c r="N212" i="12"/>
  <c r="M212" i="12"/>
  <c r="L212" i="12"/>
  <c r="K212" i="12"/>
  <c r="H212" i="12"/>
  <c r="G212" i="12"/>
  <c r="F212" i="12"/>
  <c r="E212" i="12"/>
  <c r="D212" i="12"/>
  <c r="C212" i="12"/>
  <c r="B212" i="12"/>
  <c r="P211" i="12"/>
  <c r="O211" i="12"/>
  <c r="N211" i="12"/>
  <c r="M211" i="12"/>
  <c r="L211" i="12"/>
  <c r="K211" i="12"/>
  <c r="H211" i="12"/>
  <c r="G211" i="12"/>
  <c r="F211" i="12"/>
  <c r="E211" i="12"/>
  <c r="D211" i="12"/>
  <c r="C211" i="12"/>
  <c r="B211" i="12"/>
  <c r="J209" i="12"/>
  <c r="B209" i="12"/>
  <c r="P199" i="12"/>
  <c r="O199" i="12"/>
  <c r="N199" i="12"/>
  <c r="M199" i="12"/>
  <c r="L199" i="12"/>
  <c r="K199" i="12"/>
  <c r="I199" i="12"/>
  <c r="G199" i="12"/>
  <c r="F199" i="12"/>
  <c r="E199" i="12"/>
  <c r="D199" i="12"/>
  <c r="C199" i="12"/>
  <c r="B199" i="12"/>
  <c r="P198" i="12"/>
  <c r="O198" i="12"/>
  <c r="N198" i="12"/>
  <c r="M198" i="12"/>
  <c r="L198" i="12"/>
  <c r="K198" i="12"/>
  <c r="G198" i="12"/>
  <c r="F198" i="12"/>
  <c r="E198" i="12"/>
  <c r="D198" i="12"/>
  <c r="C198" i="12"/>
  <c r="B198" i="12"/>
  <c r="P197" i="12"/>
  <c r="O197" i="12"/>
  <c r="N197" i="12"/>
  <c r="M197" i="12"/>
  <c r="L197" i="12"/>
  <c r="K197" i="12"/>
  <c r="J197" i="12"/>
  <c r="G197" i="12"/>
  <c r="F197" i="12"/>
  <c r="E197" i="12"/>
  <c r="D197" i="12"/>
  <c r="C197" i="12"/>
  <c r="B197" i="12"/>
  <c r="P196" i="12"/>
  <c r="O196" i="12"/>
  <c r="N196" i="12"/>
  <c r="M196" i="12"/>
  <c r="L196" i="12"/>
  <c r="K196" i="12"/>
  <c r="H196" i="12"/>
  <c r="G196" i="12"/>
  <c r="F196" i="12"/>
  <c r="E196" i="12"/>
  <c r="D196" i="12"/>
  <c r="C196" i="12"/>
  <c r="B196" i="12"/>
  <c r="P195" i="12"/>
  <c r="O195" i="12"/>
  <c r="N195" i="12"/>
  <c r="M195" i="12"/>
  <c r="L195" i="12"/>
  <c r="K195" i="12"/>
  <c r="G195" i="12"/>
  <c r="F195" i="12"/>
  <c r="E195" i="12"/>
  <c r="D195" i="12"/>
  <c r="C195" i="12"/>
  <c r="B195" i="12"/>
  <c r="P194" i="12"/>
  <c r="O194" i="12"/>
  <c r="N194" i="12"/>
  <c r="M194" i="12"/>
  <c r="L194" i="12"/>
  <c r="K194" i="12"/>
  <c r="J194" i="12"/>
  <c r="G194" i="12"/>
  <c r="F194" i="12"/>
  <c r="E194" i="12"/>
  <c r="D194" i="12"/>
  <c r="C194" i="12"/>
  <c r="B194" i="12"/>
  <c r="J192" i="12"/>
  <c r="B192" i="12"/>
  <c r="P182" i="12"/>
  <c r="O182" i="12"/>
  <c r="N182" i="12"/>
  <c r="M182" i="12"/>
  <c r="L182" i="12"/>
  <c r="K182" i="12"/>
  <c r="G182" i="12"/>
  <c r="F182" i="12"/>
  <c r="E182" i="12"/>
  <c r="D182" i="12"/>
  <c r="C182" i="12"/>
  <c r="B182" i="12"/>
  <c r="P181" i="12"/>
  <c r="O181" i="12"/>
  <c r="N181" i="12"/>
  <c r="M181" i="12"/>
  <c r="L181" i="12"/>
  <c r="K181" i="12"/>
  <c r="J181" i="12"/>
  <c r="I181" i="12"/>
  <c r="H181" i="12"/>
  <c r="G181" i="12"/>
  <c r="F181" i="12"/>
  <c r="E181" i="12"/>
  <c r="D181" i="12"/>
  <c r="C181" i="12"/>
  <c r="B181" i="12"/>
  <c r="P180" i="12"/>
  <c r="O180" i="12"/>
  <c r="N180" i="12"/>
  <c r="M180" i="12"/>
  <c r="L180" i="12"/>
  <c r="K180" i="12"/>
  <c r="I180" i="12"/>
  <c r="H180" i="12"/>
  <c r="G180" i="12"/>
  <c r="F180" i="12"/>
  <c r="E180" i="12"/>
  <c r="D180" i="12"/>
  <c r="C180" i="12"/>
  <c r="B180" i="12"/>
  <c r="P179" i="12"/>
  <c r="O179" i="12"/>
  <c r="N179" i="12"/>
  <c r="M179" i="12"/>
  <c r="L179" i="12"/>
  <c r="K179" i="12"/>
  <c r="J179" i="12"/>
  <c r="G179" i="12"/>
  <c r="F179" i="12"/>
  <c r="E179" i="12"/>
  <c r="D179" i="12"/>
  <c r="C179" i="12"/>
  <c r="B179" i="12"/>
  <c r="P178" i="12"/>
  <c r="O178" i="12"/>
  <c r="N178" i="12"/>
  <c r="M178" i="12"/>
  <c r="L178" i="12"/>
  <c r="K178" i="12"/>
  <c r="H178" i="12"/>
  <c r="G178" i="12"/>
  <c r="F178" i="12"/>
  <c r="E178" i="12"/>
  <c r="D178" i="12"/>
  <c r="C178" i="12"/>
  <c r="B178" i="12"/>
  <c r="P177" i="12"/>
  <c r="O177" i="12"/>
  <c r="N177" i="12"/>
  <c r="M177" i="12"/>
  <c r="L177" i="12"/>
  <c r="K177" i="12"/>
  <c r="J177" i="12"/>
  <c r="G177" i="12"/>
  <c r="F177" i="12"/>
  <c r="E177" i="12"/>
  <c r="D177" i="12"/>
  <c r="C177" i="12"/>
  <c r="B177" i="12"/>
  <c r="J175" i="12"/>
  <c r="B175" i="12"/>
  <c r="P165" i="12"/>
  <c r="O165" i="12"/>
  <c r="N165" i="12"/>
  <c r="M165" i="12"/>
  <c r="L165" i="12"/>
  <c r="K165" i="12"/>
  <c r="G165" i="12"/>
  <c r="F165" i="12"/>
  <c r="E165" i="12"/>
  <c r="D165" i="12"/>
  <c r="C165" i="12"/>
  <c r="B165" i="12"/>
  <c r="P164" i="12"/>
  <c r="O164" i="12"/>
  <c r="N164" i="12"/>
  <c r="M164" i="12"/>
  <c r="L164" i="12"/>
  <c r="K164" i="12"/>
  <c r="H164" i="12"/>
  <c r="G164" i="12"/>
  <c r="F164" i="12"/>
  <c r="E164" i="12"/>
  <c r="D164" i="12"/>
  <c r="C164" i="12"/>
  <c r="B164" i="12"/>
  <c r="P163" i="12"/>
  <c r="O163" i="12"/>
  <c r="N163" i="12"/>
  <c r="M163" i="12"/>
  <c r="L163" i="12"/>
  <c r="K163" i="12"/>
  <c r="J163" i="12"/>
  <c r="I163" i="12"/>
  <c r="H163" i="12"/>
  <c r="G163" i="12"/>
  <c r="F163" i="12"/>
  <c r="E163" i="12"/>
  <c r="D163" i="12"/>
  <c r="C163" i="12"/>
  <c r="B163" i="12"/>
  <c r="P162" i="12"/>
  <c r="O162" i="12"/>
  <c r="N162" i="12"/>
  <c r="M162" i="12"/>
  <c r="L162" i="12"/>
  <c r="K162" i="12"/>
  <c r="J162" i="12"/>
  <c r="G162" i="12"/>
  <c r="F162" i="12"/>
  <c r="E162" i="12"/>
  <c r="D162" i="12"/>
  <c r="C162" i="12"/>
  <c r="B162" i="12"/>
  <c r="P161" i="12"/>
  <c r="O161" i="12"/>
  <c r="N161" i="12"/>
  <c r="M161" i="12"/>
  <c r="L161" i="12"/>
  <c r="K161" i="12"/>
  <c r="G161" i="12"/>
  <c r="F161" i="12"/>
  <c r="E161" i="12"/>
  <c r="D161" i="12"/>
  <c r="C161" i="12"/>
  <c r="B161" i="12"/>
  <c r="P160" i="12"/>
  <c r="O160" i="12"/>
  <c r="N160" i="12"/>
  <c r="M160" i="12"/>
  <c r="L160" i="12"/>
  <c r="K160" i="12"/>
  <c r="G160" i="12"/>
  <c r="F160" i="12"/>
  <c r="E160" i="12"/>
  <c r="D160" i="12"/>
  <c r="C160" i="12"/>
  <c r="B160" i="12"/>
  <c r="J158" i="12"/>
  <c r="B158" i="12"/>
  <c r="P148" i="12"/>
  <c r="O148" i="12"/>
  <c r="N148" i="12"/>
  <c r="M148" i="12"/>
  <c r="L148" i="12"/>
  <c r="K148" i="12"/>
  <c r="G148" i="12"/>
  <c r="F148" i="12"/>
  <c r="E148" i="12"/>
  <c r="D148" i="12"/>
  <c r="C148" i="12"/>
  <c r="B148" i="12"/>
  <c r="P147" i="12"/>
  <c r="O147" i="12"/>
  <c r="N147" i="12"/>
  <c r="M147" i="12"/>
  <c r="L147" i="12"/>
  <c r="K147" i="12"/>
  <c r="J147" i="12"/>
  <c r="G147" i="12"/>
  <c r="F147" i="12"/>
  <c r="E147" i="12"/>
  <c r="D147" i="12"/>
  <c r="C147" i="12"/>
  <c r="B147" i="12"/>
  <c r="P146" i="12"/>
  <c r="O146" i="12"/>
  <c r="N146" i="12"/>
  <c r="M146" i="12"/>
  <c r="L146" i="12"/>
  <c r="K146" i="12"/>
  <c r="I146" i="12"/>
  <c r="H146" i="12"/>
  <c r="G146" i="12"/>
  <c r="F146" i="12"/>
  <c r="E146" i="12"/>
  <c r="D146" i="12"/>
  <c r="C146" i="12"/>
  <c r="B146" i="12"/>
  <c r="P145" i="12"/>
  <c r="O145" i="12"/>
  <c r="N145" i="12"/>
  <c r="M145" i="12"/>
  <c r="L145" i="12"/>
  <c r="K145" i="12"/>
  <c r="H145" i="12"/>
  <c r="G145" i="12"/>
  <c r="F145" i="12"/>
  <c r="E145" i="12"/>
  <c r="D145" i="12"/>
  <c r="C145" i="12"/>
  <c r="B145" i="12"/>
  <c r="P144" i="12"/>
  <c r="O144" i="12"/>
  <c r="N144" i="12"/>
  <c r="M144" i="12"/>
  <c r="L144" i="12"/>
  <c r="K144" i="12"/>
  <c r="G144" i="12"/>
  <c r="F144" i="12"/>
  <c r="E144" i="12"/>
  <c r="D144" i="12"/>
  <c r="C144" i="12"/>
  <c r="B144" i="12"/>
  <c r="P143" i="12"/>
  <c r="O143" i="12"/>
  <c r="N143" i="12"/>
  <c r="M143" i="12"/>
  <c r="L143" i="12"/>
  <c r="K143" i="12"/>
  <c r="G143" i="12"/>
  <c r="F143" i="12"/>
  <c r="E143" i="12"/>
  <c r="D143" i="12"/>
  <c r="C143" i="12"/>
  <c r="B143" i="12"/>
  <c r="J141" i="12"/>
  <c r="B141" i="12"/>
  <c r="P131" i="12"/>
  <c r="O131" i="12"/>
  <c r="N131" i="12"/>
  <c r="M131" i="12"/>
  <c r="L131" i="12"/>
  <c r="K131" i="12"/>
  <c r="I131" i="12"/>
  <c r="G131" i="12"/>
  <c r="F131" i="12"/>
  <c r="E131" i="12"/>
  <c r="D131" i="12"/>
  <c r="C131" i="12"/>
  <c r="B131" i="12"/>
  <c r="P130" i="12"/>
  <c r="O130" i="12"/>
  <c r="N130" i="12"/>
  <c r="M130" i="12"/>
  <c r="L130" i="12"/>
  <c r="K130" i="12"/>
  <c r="G130" i="12"/>
  <c r="F130" i="12"/>
  <c r="E130" i="12"/>
  <c r="D130" i="12"/>
  <c r="C130" i="12"/>
  <c r="B130" i="12"/>
  <c r="P129" i="12"/>
  <c r="O129" i="12"/>
  <c r="N129" i="12"/>
  <c r="M129" i="12"/>
  <c r="L129" i="12"/>
  <c r="K129" i="12"/>
  <c r="J129" i="12"/>
  <c r="H129" i="12"/>
  <c r="G129" i="12"/>
  <c r="F129" i="12"/>
  <c r="E129" i="12"/>
  <c r="D129" i="12"/>
  <c r="C129" i="12"/>
  <c r="B129" i="12"/>
  <c r="P128" i="12"/>
  <c r="O128" i="12"/>
  <c r="N128" i="12"/>
  <c r="M128" i="12"/>
  <c r="L128" i="12"/>
  <c r="K128" i="12"/>
  <c r="H128" i="12"/>
  <c r="G128" i="12"/>
  <c r="F128" i="12"/>
  <c r="E128" i="12"/>
  <c r="D128" i="12"/>
  <c r="C128" i="12"/>
  <c r="B128" i="12"/>
  <c r="P127" i="12"/>
  <c r="O127" i="12"/>
  <c r="N127" i="12"/>
  <c r="M127" i="12"/>
  <c r="L127" i="12"/>
  <c r="K127" i="12"/>
  <c r="J127" i="12"/>
  <c r="G127" i="12"/>
  <c r="F127" i="12"/>
  <c r="E127" i="12"/>
  <c r="D127" i="12"/>
  <c r="C127" i="12"/>
  <c r="B127" i="12"/>
  <c r="P126" i="12"/>
  <c r="O126" i="12"/>
  <c r="N126" i="12"/>
  <c r="M126" i="12"/>
  <c r="L126" i="12"/>
  <c r="K126" i="12"/>
  <c r="J126" i="12"/>
  <c r="I126" i="12"/>
  <c r="G126" i="12"/>
  <c r="F126" i="12"/>
  <c r="E126" i="12"/>
  <c r="D126" i="12"/>
  <c r="C126" i="12"/>
  <c r="B126" i="12"/>
  <c r="A116" i="12"/>
  <c r="P114" i="12"/>
  <c r="O114" i="12"/>
  <c r="N114" i="12"/>
  <c r="M114" i="12"/>
  <c r="L114" i="12"/>
  <c r="K114" i="12"/>
  <c r="J114" i="12"/>
  <c r="H114" i="12"/>
  <c r="G114" i="12"/>
  <c r="F114" i="12"/>
  <c r="E114" i="12"/>
  <c r="D114" i="12"/>
  <c r="C114" i="12"/>
  <c r="B114" i="12"/>
  <c r="P113" i="12"/>
  <c r="O113" i="12"/>
  <c r="N113" i="12"/>
  <c r="M113" i="12"/>
  <c r="L113" i="12"/>
  <c r="K113" i="12"/>
  <c r="H113" i="12"/>
  <c r="G113" i="12"/>
  <c r="F113" i="12"/>
  <c r="E113" i="12"/>
  <c r="D113" i="12"/>
  <c r="C113" i="12"/>
  <c r="B113" i="12"/>
  <c r="P112" i="12"/>
  <c r="O112" i="12"/>
  <c r="N112" i="12"/>
  <c r="M112" i="12"/>
  <c r="L112" i="12"/>
  <c r="K112" i="12"/>
  <c r="J112" i="12"/>
  <c r="H112" i="12"/>
  <c r="G112" i="12"/>
  <c r="F112" i="12"/>
  <c r="E112" i="12"/>
  <c r="D112" i="12"/>
  <c r="C112" i="12"/>
  <c r="B112" i="12"/>
  <c r="P111" i="12"/>
  <c r="O111" i="12"/>
  <c r="N111" i="12"/>
  <c r="M111" i="12"/>
  <c r="L111" i="12"/>
  <c r="K111" i="12"/>
  <c r="G111" i="12"/>
  <c r="F111" i="12"/>
  <c r="E111" i="12"/>
  <c r="D111" i="12"/>
  <c r="C111" i="12"/>
  <c r="B111" i="12"/>
  <c r="P110" i="12"/>
  <c r="O110" i="12"/>
  <c r="N110" i="12"/>
  <c r="M110" i="12"/>
  <c r="L110" i="12"/>
  <c r="K110" i="12"/>
  <c r="G110" i="12"/>
  <c r="F110" i="12"/>
  <c r="E110" i="12"/>
  <c r="D110" i="12"/>
  <c r="C110" i="12"/>
  <c r="B110" i="12"/>
  <c r="P109" i="12"/>
  <c r="O109" i="12"/>
  <c r="N109" i="12"/>
  <c r="M109" i="12"/>
  <c r="L109" i="12"/>
  <c r="K109" i="12"/>
  <c r="J109" i="12"/>
  <c r="I109" i="12"/>
  <c r="H109" i="12"/>
  <c r="G109" i="12"/>
  <c r="F109" i="12"/>
  <c r="E109" i="12"/>
  <c r="D109" i="12"/>
  <c r="C109" i="12"/>
  <c r="B109" i="12"/>
  <c r="P97" i="12"/>
  <c r="O97" i="12"/>
  <c r="N97" i="12"/>
  <c r="M97" i="12"/>
  <c r="L97" i="12"/>
  <c r="K97" i="12"/>
  <c r="J97" i="12"/>
  <c r="G97" i="12"/>
  <c r="F97" i="12"/>
  <c r="E97" i="12"/>
  <c r="D97" i="12"/>
  <c r="C97" i="12"/>
  <c r="B97" i="12"/>
  <c r="P96" i="12"/>
  <c r="O96" i="12"/>
  <c r="N96" i="12"/>
  <c r="M96" i="12"/>
  <c r="L96" i="12"/>
  <c r="K96" i="12"/>
  <c r="H96" i="12"/>
  <c r="G96" i="12"/>
  <c r="F96" i="12"/>
  <c r="E96" i="12"/>
  <c r="D96" i="12"/>
  <c r="C96" i="12"/>
  <c r="B96" i="12"/>
  <c r="P95" i="12"/>
  <c r="O95" i="12"/>
  <c r="N95" i="12"/>
  <c r="M95" i="12"/>
  <c r="L95" i="12"/>
  <c r="K95" i="12"/>
  <c r="H95" i="12"/>
  <c r="G95" i="12"/>
  <c r="F95" i="12"/>
  <c r="E95" i="12"/>
  <c r="D95" i="12"/>
  <c r="C95" i="12"/>
  <c r="B95" i="12"/>
  <c r="P94" i="12"/>
  <c r="O94" i="12"/>
  <c r="N94" i="12"/>
  <c r="M94" i="12"/>
  <c r="L94" i="12"/>
  <c r="K94" i="12"/>
  <c r="I94" i="12"/>
  <c r="G94" i="12"/>
  <c r="F94" i="12"/>
  <c r="E94" i="12"/>
  <c r="D94" i="12"/>
  <c r="C94" i="12"/>
  <c r="B94" i="12"/>
  <c r="P93" i="12"/>
  <c r="O93" i="12"/>
  <c r="N93" i="12"/>
  <c r="M93" i="12"/>
  <c r="L93" i="12"/>
  <c r="K93" i="12"/>
  <c r="G93" i="12"/>
  <c r="F93" i="12"/>
  <c r="E93" i="12"/>
  <c r="D93" i="12"/>
  <c r="C93" i="12"/>
  <c r="B93" i="12"/>
  <c r="P92" i="12"/>
  <c r="O92" i="12"/>
  <c r="N92" i="12"/>
  <c r="M92" i="12"/>
  <c r="L92" i="12"/>
  <c r="K92" i="12"/>
  <c r="G92" i="12"/>
  <c r="F92" i="12"/>
  <c r="E92" i="12"/>
  <c r="D92" i="12"/>
  <c r="C92" i="12"/>
  <c r="B92" i="12"/>
  <c r="P80" i="12"/>
  <c r="O80" i="12"/>
  <c r="N80" i="12"/>
  <c r="M80" i="12"/>
  <c r="L80" i="12"/>
  <c r="K80" i="12"/>
  <c r="J80" i="12"/>
  <c r="G80" i="12"/>
  <c r="F80" i="12"/>
  <c r="E80" i="12"/>
  <c r="D80" i="12"/>
  <c r="C80" i="12"/>
  <c r="B80" i="12"/>
  <c r="P79" i="12"/>
  <c r="O79" i="12"/>
  <c r="N79" i="12"/>
  <c r="M79" i="12"/>
  <c r="L79" i="12"/>
  <c r="K79" i="12"/>
  <c r="J79" i="12"/>
  <c r="G79" i="12"/>
  <c r="F79" i="12"/>
  <c r="E79" i="12"/>
  <c r="D79" i="12"/>
  <c r="C79" i="12"/>
  <c r="B79" i="12"/>
  <c r="P78" i="12"/>
  <c r="O78" i="12"/>
  <c r="N78" i="12"/>
  <c r="M78" i="12"/>
  <c r="L78" i="12"/>
  <c r="K78" i="12"/>
  <c r="G78" i="12"/>
  <c r="F78" i="12"/>
  <c r="E78" i="12"/>
  <c r="D78" i="12"/>
  <c r="C78" i="12"/>
  <c r="B78" i="12"/>
  <c r="P77" i="12"/>
  <c r="O77" i="12"/>
  <c r="N77" i="12"/>
  <c r="M77" i="12"/>
  <c r="L77" i="12"/>
  <c r="K77" i="12"/>
  <c r="G77" i="12"/>
  <c r="F77" i="12"/>
  <c r="E77" i="12"/>
  <c r="D77" i="12"/>
  <c r="C77" i="12"/>
  <c r="B77" i="12"/>
  <c r="P76" i="12"/>
  <c r="O76" i="12"/>
  <c r="N76" i="12"/>
  <c r="M76" i="12"/>
  <c r="L76" i="12"/>
  <c r="K76" i="12"/>
  <c r="H76" i="12"/>
  <c r="G76" i="12"/>
  <c r="F76" i="12"/>
  <c r="E76" i="12"/>
  <c r="D76" i="12"/>
  <c r="C76" i="12"/>
  <c r="B76" i="12"/>
  <c r="P75" i="12"/>
  <c r="O75" i="12"/>
  <c r="N75" i="12"/>
  <c r="M75" i="12"/>
  <c r="L75" i="12"/>
  <c r="K75" i="12"/>
  <c r="J75" i="12"/>
  <c r="I75" i="12"/>
  <c r="H75" i="12"/>
  <c r="G75" i="12"/>
  <c r="F75" i="12"/>
  <c r="E75" i="12"/>
  <c r="D75" i="12"/>
  <c r="C75" i="12"/>
  <c r="B75" i="12"/>
  <c r="P63" i="12"/>
  <c r="O63" i="12"/>
  <c r="N63" i="12"/>
  <c r="M63" i="12"/>
  <c r="L63" i="12"/>
  <c r="K63" i="12"/>
  <c r="J63" i="12"/>
  <c r="I63" i="12"/>
  <c r="H63" i="12"/>
  <c r="G63" i="12"/>
  <c r="F63" i="12"/>
  <c r="E63" i="12"/>
  <c r="D63" i="12"/>
  <c r="C63" i="12"/>
  <c r="B63" i="12"/>
  <c r="P62" i="12"/>
  <c r="O62" i="12"/>
  <c r="N62" i="12"/>
  <c r="M62" i="12"/>
  <c r="L62" i="12"/>
  <c r="K62" i="12"/>
  <c r="I62" i="12"/>
  <c r="H62" i="12"/>
  <c r="G62" i="12"/>
  <c r="F62" i="12"/>
  <c r="E62" i="12"/>
  <c r="D62" i="12"/>
  <c r="C62" i="12"/>
  <c r="B62" i="12"/>
  <c r="P61" i="12"/>
  <c r="O61" i="12"/>
  <c r="N61" i="12"/>
  <c r="M61" i="12"/>
  <c r="L61" i="12"/>
  <c r="K61" i="12"/>
  <c r="H61" i="12"/>
  <c r="G61" i="12"/>
  <c r="F61" i="12"/>
  <c r="E61" i="12"/>
  <c r="D61" i="12"/>
  <c r="C61" i="12"/>
  <c r="B61" i="12"/>
  <c r="P60" i="12"/>
  <c r="O60" i="12"/>
  <c r="N60" i="12"/>
  <c r="M60" i="12"/>
  <c r="L60" i="12"/>
  <c r="K60" i="12"/>
  <c r="G60" i="12"/>
  <c r="F60" i="12"/>
  <c r="E60" i="12"/>
  <c r="D60" i="12"/>
  <c r="C60" i="12"/>
  <c r="B60" i="12"/>
  <c r="P59" i="12"/>
  <c r="O59" i="12"/>
  <c r="N59" i="12"/>
  <c r="M59" i="12"/>
  <c r="L59" i="12"/>
  <c r="K59" i="12"/>
  <c r="G59" i="12"/>
  <c r="F59" i="12"/>
  <c r="E59" i="12"/>
  <c r="D59" i="12"/>
  <c r="C59" i="12"/>
  <c r="B59" i="12"/>
  <c r="P58" i="12"/>
  <c r="O58" i="12"/>
  <c r="N58" i="12"/>
  <c r="M58" i="12"/>
  <c r="L58" i="12"/>
  <c r="K58" i="12"/>
  <c r="H58" i="12"/>
  <c r="G58" i="12"/>
  <c r="F58" i="12"/>
  <c r="E58" i="12"/>
  <c r="D58" i="12"/>
  <c r="C58" i="12"/>
  <c r="B58" i="12"/>
  <c r="P46" i="12"/>
  <c r="O46" i="12"/>
  <c r="N46" i="12"/>
  <c r="M46" i="12"/>
  <c r="L46" i="12"/>
  <c r="K46" i="12"/>
  <c r="J46" i="12"/>
  <c r="G46" i="12"/>
  <c r="F46" i="12"/>
  <c r="E46" i="12"/>
  <c r="D46" i="12"/>
  <c r="C46" i="12"/>
  <c r="B46" i="12"/>
  <c r="P45" i="12"/>
  <c r="O45" i="12"/>
  <c r="N45" i="12"/>
  <c r="M45" i="12"/>
  <c r="L45" i="12"/>
  <c r="K45" i="12"/>
  <c r="J45" i="12"/>
  <c r="I45" i="12"/>
  <c r="H45" i="12"/>
  <c r="G45" i="12"/>
  <c r="F45" i="12"/>
  <c r="E45" i="12"/>
  <c r="D45" i="12"/>
  <c r="C45" i="12"/>
  <c r="B45" i="12"/>
  <c r="P44" i="12"/>
  <c r="O44" i="12"/>
  <c r="N44" i="12"/>
  <c r="M44" i="12"/>
  <c r="L44" i="12"/>
  <c r="K44" i="12"/>
  <c r="J44" i="12"/>
  <c r="G44" i="12"/>
  <c r="F44" i="12"/>
  <c r="E44" i="12"/>
  <c r="D44" i="12"/>
  <c r="C44" i="12"/>
  <c r="B44" i="12"/>
  <c r="P43" i="12"/>
  <c r="O43" i="12"/>
  <c r="N43" i="12"/>
  <c r="M43" i="12"/>
  <c r="L43" i="12"/>
  <c r="K43" i="12"/>
  <c r="J43" i="12"/>
  <c r="G43" i="12"/>
  <c r="F43" i="12"/>
  <c r="E43" i="12"/>
  <c r="D43" i="12"/>
  <c r="C43" i="12"/>
  <c r="B43" i="12"/>
  <c r="P42" i="12"/>
  <c r="O42" i="12"/>
  <c r="N42" i="12"/>
  <c r="M42" i="12"/>
  <c r="L42" i="12"/>
  <c r="K42" i="12"/>
  <c r="G42" i="12"/>
  <c r="F42" i="12"/>
  <c r="E42" i="12"/>
  <c r="D42" i="12"/>
  <c r="C42" i="12"/>
  <c r="B42" i="12"/>
  <c r="P41" i="12"/>
  <c r="O41" i="12"/>
  <c r="N41" i="12"/>
  <c r="M41" i="12"/>
  <c r="L41" i="12"/>
  <c r="K41" i="12"/>
  <c r="G41" i="12"/>
  <c r="F41" i="12"/>
  <c r="E41" i="12"/>
  <c r="D41" i="12"/>
  <c r="C41" i="12"/>
  <c r="B41" i="12"/>
  <c r="P29" i="12"/>
  <c r="O29" i="12"/>
  <c r="N29" i="12"/>
  <c r="M29" i="12"/>
  <c r="L29" i="12"/>
  <c r="K29" i="12"/>
  <c r="H29" i="12"/>
  <c r="G29" i="12"/>
  <c r="F29" i="12"/>
  <c r="E29" i="12"/>
  <c r="D29" i="12"/>
  <c r="C29" i="12"/>
  <c r="B29" i="12"/>
  <c r="P28" i="12"/>
  <c r="O28" i="12"/>
  <c r="N28" i="12"/>
  <c r="M28" i="12"/>
  <c r="L28" i="12"/>
  <c r="K28" i="12"/>
  <c r="G28" i="12"/>
  <c r="F28" i="12"/>
  <c r="E28" i="12"/>
  <c r="D28" i="12"/>
  <c r="C28" i="12"/>
  <c r="B28" i="12"/>
  <c r="P27" i="12"/>
  <c r="O27" i="12"/>
  <c r="N27" i="12"/>
  <c r="M27" i="12"/>
  <c r="L27" i="12"/>
  <c r="K27" i="12"/>
  <c r="G27" i="12"/>
  <c r="F27" i="12"/>
  <c r="E27" i="12"/>
  <c r="D27" i="12"/>
  <c r="C27" i="12"/>
  <c r="B27" i="12"/>
  <c r="P26" i="12"/>
  <c r="O26" i="12"/>
  <c r="N26" i="12"/>
  <c r="M26" i="12"/>
  <c r="L26" i="12"/>
  <c r="K26" i="12"/>
  <c r="J26" i="12"/>
  <c r="G26" i="12"/>
  <c r="F26" i="12"/>
  <c r="E26" i="12"/>
  <c r="D26" i="12"/>
  <c r="C26" i="12"/>
  <c r="B26" i="12"/>
  <c r="P25" i="12"/>
  <c r="O25" i="12"/>
  <c r="N25" i="12"/>
  <c r="M25" i="12"/>
  <c r="L25" i="12"/>
  <c r="K25" i="12"/>
  <c r="G25" i="12"/>
  <c r="F25" i="12"/>
  <c r="E25" i="12"/>
  <c r="D25" i="12"/>
  <c r="C25" i="12"/>
  <c r="B25" i="12"/>
  <c r="P24" i="12"/>
  <c r="O24" i="12"/>
  <c r="N24" i="12"/>
  <c r="M24" i="12"/>
  <c r="L24" i="12"/>
  <c r="K24" i="12"/>
  <c r="J24" i="12"/>
  <c r="G24" i="12"/>
  <c r="F24" i="12"/>
  <c r="E24" i="12"/>
  <c r="D24" i="12"/>
  <c r="C24" i="12"/>
  <c r="B24" i="12"/>
  <c r="P12" i="12"/>
  <c r="O12" i="12"/>
  <c r="N12" i="12"/>
  <c r="M12" i="12"/>
  <c r="L12" i="12"/>
  <c r="K12" i="12"/>
  <c r="J12" i="12"/>
  <c r="G12" i="12"/>
  <c r="F12" i="12"/>
  <c r="E12" i="12"/>
  <c r="D12" i="12"/>
  <c r="C12" i="12"/>
  <c r="B12" i="12"/>
  <c r="P11" i="12"/>
  <c r="O11" i="12"/>
  <c r="N11" i="12"/>
  <c r="M11" i="12"/>
  <c r="L11" i="12"/>
  <c r="K11" i="12"/>
  <c r="J11" i="12"/>
  <c r="H11" i="12"/>
  <c r="G11" i="12"/>
  <c r="F11" i="12"/>
  <c r="E11" i="12"/>
  <c r="D11" i="12"/>
  <c r="C11" i="12"/>
  <c r="B11" i="12"/>
  <c r="P10" i="12"/>
  <c r="O10" i="12"/>
  <c r="N10" i="12"/>
  <c r="M10" i="12"/>
  <c r="L10" i="12"/>
  <c r="K10" i="12"/>
  <c r="G10" i="12"/>
  <c r="F10" i="12"/>
  <c r="E10" i="12"/>
  <c r="D10" i="12"/>
  <c r="C10" i="12"/>
  <c r="B10" i="12"/>
  <c r="P9" i="12"/>
  <c r="O9" i="12"/>
  <c r="N9" i="12"/>
  <c r="M9" i="12"/>
  <c r="L9" i="12"/>
  <c r="K9" i="12"/>
  <c r="H9" i="12"/>
  <c r="G9" i="12"/>
  <c r="F9" i="12"/>
  <c r="E9" i="12"/>
  <c r="D9" i="12"/>
  <c r="C9" i="12"/>
  <c r="B9" i="12"/>
  <c r="P8" i="12"/>
  <c r="O8" i="12"/>
  <c r="N8" i="12"/>
  <c r="M8" i="12"/>
  <c r="L8" i="12"/>
  <c r="K8" i="12"/>
  <c r="J8" i="12"/>
  <c r="G8" i="12"/>
  <c r="F8" i="12"/>
  <c r="E8" i="12"/>
  <c r="D8" i="12"/>
  <c r="C8" i="12"/>
  <c r="B8" i="12"/>
  <c r="P7" i="12"/>
  <c r="O7" i="12"/>
  <c r="N7" i="12"/>
  <c r="M7" i="12"/>
  <c r="L7" i="12"/>
  <c r="K7" i="12"/>
  <c r="J7" i="12"/>
  <c r="H7" i="12"/>
  <c r="G7" i="12"/>
  <c r="F7" i="12"/>
  <c r="E7" i="12"/>
  <c r="D7" i="12"/>
  <c r="C7" i="12"/>
  <c r="B7" i="12"/>
  <c r="M547" i="11"/>
  <c r="K547" i="11"/>
  <c r="I547" i="11"/>
  <c r="F547" i="11"/>
  <c r="D547" i="11"/>
  <c r="B547" i="11"/>
  <c r="L544" i="11"/>
  <c r="E544" i="11"/>
  <c r="L542" i="11"/>
  <c r="K542" i="11"/>
  <c r="J542" i="11"/>
  <c r="I542" i="11"/>
  <c r="E542" i="11"/>
  <c r="D542" i="11"/>
  <c r="C542" i="11"/>
  <c r="B542" i="11"/>
  <c r="L541" i="11"/>
  <c r="K541" i="11"/>
  <c r="J541" i="11"/>
  <c r="I541" i="11"/>
  <c r="F541" i="11"/>
  <c r="E541" i="11"/>
  <c r="D541" i="11"/>
  <c r="C541" i="11"/>
  <c r="B541" i="11"/>
  <c r="L540" i="11"/>
  <c r="K540" i="11"/>
  <c r="J540" i="11"/>
  <c r="I540" i="11"/>
  <c r="E540" i="11"/>
  <c r="D540" i="11"/>
  <c r="C540" i="11"/>
  <c r="B540" i="11"/>
  <c r="L539" i="11"/>
  <c r="K539" i="11"/>
  <c r="J539" i="11"/>
  <c r="I539" i="11"/>
  <c r="E539" i="11"/>
  <c r="D539" i="11"/>
  <c r="C539" i="11"/>
  <c r="B539" i="11"/>
  <c r="L538" i="11"/>
  <c r="K538" i="11"/>
  <c r="J538" i="11"/>
  <c r="I538" i="11"/>
  <c r="E538" i="11"/>
  <c r="D538" i="11"/>
  <c r="C538" i="11"/>
  <c r="B538" i="11"/>
  <c r="M537" i="11"/>
  <c r="L537" i="11"/>
  <c r="K537" i="11"/>
  <c r="J537" i="11"/>
  <c r="I537" i="11"/>
  <c r="E537" i="11"/>
  <c r="D537" i="11"/>
  <c r="C537" i="11"/>
  <c r="B537" i="11"/>
  <c r="M534" i="11"/>
  <c r="I534" i="11"/>
  <c r="F534" i="11"/>
  <c r="B534" i="11"/>
  <c r="M533" i="11"/>
  <c r="I533" i="11"/>
  <c r="F533" i="11"/>
  <c r="B533" i="11"/>
  <c r="M530" i="11"/>
  <c r="K530" i="11"/>
  <c r="I530" i="11"/>
  <c r="F530" i="11"/>
  <c r="D530" i="11"/>
  <c r="B530" i="11"/>
  <c r="L527" i="11"/>
  <c r="E527" i="11"/>
  <c r="L525" i="11"/>
  <c r="K525" i="11"/>
  <c r="J525" i="11"/>
  <c r="I525" i="11"/>
  <c r="E525" i="11"/>
  <c r="D525" i="11"/>
  <c r="C525" i="11"/>
  <c r="B525" i="11"/>
  <c r="M524" i="11"/>
  <c r="L524" i="11"/>
  <c r="K524" i="11"/>
  <c r="J524" i="11"/>
  <c r="I524" i="11"/>
  <c r="F524" i="11"/>
  <c r="E524" i="11"/>
  <c r="D524" i="11"/>
  <c r="C524" i="11"/>
  <c r="B524" i="11"/>
  <c r="M523" i="11"/>
  <c r="L523" i="11"/>
  <c r="K523" i="11"/>
  <c r="J523" i="11"/>
  <c r="I523" i="11"/>
  <c r="E523" i="11"/>
  <c r="D523" i="11"/>
  <c r="C523" i="11"/>
  <c r="B523" i="11"/>
  <c r="M522" i="11"/>
  <c r="L522" i="11"/>
  <c r="K522" i="11"/>
  <c r="J522" i="11"/>
  <c r="I522" i="11"/>
  <c r="E522" i="11"/>
  <c r="D522" i="11"/>
  <c r="C522" i="11"/>
  <c r="B522" i="11"/>
  <c r="M521" i="11"/>
  <c r="L521" i="11"/>
  <c r="K521" i="11"/>
  <c r="J521" i="11"/>
  <c r="I521" i="11"/>
  <c r="E521" i="11"/>
  <c r="D521" i="11"/>
  <c r="C521" i="11"/>
  <c r="B521" i="11"/>
  <c r="M520" i="11"/>
  <c r="L520" i="11"/>
  <c r="M525" i="11" s="1"/>
  <c r="K520" i="11"/>
  <c r="J520" i="11"/>
  <c r="I520" i="11"/>
  <c r="F520" i="11"/>
  <c r="E520" i="11"/>
  <c r="D520" i="11"/>
  <c r="C520" i="11"/>
  <c r="B520" i="11"/>
  <c r="M517" i="11"/>
  <c r="I517" i="11"/>
  <c r="F517" i="11"/>
  <c r="B517" i="11"/>
  <c r="M516" i="11"/>
  <c r="I516" i="11"/>
  <c r="F516" i="11"/>
  <c r="B516" i="11"/>
  <c r="M513" i="11"/>
  <c r="K513" i="11"/>
  <c r="I513" i="11"/>
  <c r="F513" i="11"/>
  <c r="D513" i="11"/>
  <c r="B513" i="11"/>
  <c r="L510" i="11"/>
  <c r="E510" i="11"/>
  <c r="L508" i="11"/>
  <c r="K508" i="11"/>
  <c r="J508" i="11"/>
  <c r="I508" i="11"/>
  <c r="E508" i="11"/>
  <c r="D508" i="11"/>
  <c r="C508" i="11"/>
  <c r="B508" i="11"/>
  <c r="M507" i="11"/>
  <c r="L507" i="11"/>
  <c r="K507" i="11"/>
  <c r="J507" i="11"/>
  <c r="I507" i="11"/>
  <c r="F507" i="11"/>
  <c r="E507" i="11"/>
  <c r="D507" i="11"/>
  <c r="C507" i="11"/>
  <c r="B507" i="11"/>
  <c r="M506" i="11"/>
  <c r="L506" i="11"/>
  <c r="K506" i="11"/>
  <c r="J506" i="11"/>
  <c r="I506" i="11"/>
  <c r="F506" i="11"/>
  <c r="E506" i="11"/>
  <c r="D506" i="11"/>
  <c r="C506" i="11"/>
  <c r="B506" i="11"/>
  <c r="M505" i="11"/>
  <c r="L505" i="11"/>
  <c r="K505" i="11"/>
  <c r="J505" i="11"/>
  <c r="I505" i="11"/>
  <c r="E505" i="11"/>
  <c r="D505" i="11"/>
  <c r="C505" i="11"/>
  <c r="B505" i="11"/>
  <c r="M504" i="11"/>
  <c r="L504" i="11"/>
  <c r="K504" i="11"/>
  <c r="J504" i="11"/>
  <c r="I504" i="11"/>
  <c r="F504" i="11"/>
  <c r="E504" i="11"/>
  <c r="D504" i="11"/>
  <c r="C504" i="11"/>
  <c r="B504" i="11"/>
  <c r="L503" i="11"/>
  <c r="K503" i="11"/>
  <c r="J503" i="11"/>
  <c r="I503" i="11"/>
  <c r="E503" i="11"/>
  <c r="F508" i="11" s="1"/>
  <c r="D503" i="11"/>
  <c r="C503" i="11"/>
  <c r="B503" i="11"/>
  <c r="M500" i="11"/>
  <c r="I500" i="11"/>
  <c r="F500" i="11"/>
  <c r="B500" i="11"/>
  <c r="M499" i="11"/>
  <c r="I499" i="11"/>
  <c r="F499" i="11"/>
  <c r="B499" i="11"/>
  <c r="M496" i="11"/>
  <c r="K496" i="11"/>
  <c r="I496" i="11"/>
  <c r="F496" i="11"/>
  <c r="D496" i="11"/>
  <c r="B496" i="11"/>
  <c r="L493" i="11"/>
  <c r="E493" i="11"/>
  <c r="L491" i="11"/>
  <c r="K491" i="11"/>
  <c r="J491" i="11"/>
  <c r="I491" i="11"/>
  <c r="F491" i="11"/>
  <c r="E491" i="11"/>
  <c r="D491" i="11"/>
  <c r="C491" i="11"/>
  <c r="B491" i="11"/>
  <c r="L490" i="11"/>
  <c r="K490" i="11"/>
  <c r="J490" i="11"/>
  <c r="I490" i="11"/>
  <c r="F490" i="11"/>
  <c r="E490" i="11"/>
  <c r="D490" i="11"/>
  <c r="C490" i="11"/>
  <c r="B490" i="11"/>
  <c r="L489" i="11"/>
  <c r="K489" i="11"/>
  <c r="J489" i="11"/>
  <c r="I489" i="11"/>
  <c r="F489" i="11"/>
  <c r="E489" i="11"/>
  <c r="D489" i="11"/>
  <c r="C489" i="11"/>
  <c r="B489" i="11"/>
  <c r="L488" i="11"/>
  <c r="K488" i="11"/>
  <c r="J488" i="11"/>
  <c r="I488" i="11"/>
  <c r="F488" i="11"/>
  <c r="E488" i="11"/>
  <c r="D488" i="11"/>
  <c r="C488" i="11"/>
  <c r="B488" i="11"/>
  <c r="L487" i="11"/>
  <c r="K487" i="11"/>
  <c r="J487" i="11"/>
  <c r="I487" i="11"/>
  <c r="E487" i="11"/>
  <c r="D487" i="11"/>
  <c r="C487" i="11"/>
  <c r="B487" i="11"/>
  <c r="L486" i="11"/>
  <c r="K486" i="11"/>
  <c r="J486" i="11"/>
  <c r="I486" i="11"/>
  <c r="F486" i="11"/>
  <c r="E486" i="11"/>
  <c r="F487" i="11" s="1"/>
  <c r="D486" i="11"/>
  <c r="C486" i="11"/>
  <c r="B486" i="11"/>
  <c r="M483" i="11"/>
  <c r="I483" i="11"/>
  <c r="F483" i="11"/>
  <c r="B483" i="11"/>
  <c r="M482" i="11"/>
  <c r="I482" i="11"/>
  <c r="F482" i="11"/>
  <c r="B482" i="11"/>
  <c r="M479" i="11"/>
  <c r="K479" i="11"/>
  <c r="I479" i="11"/>
  <c r="F479" i="11"/>
  <c r="D479" i="11"/>
  <c r="B479" i="11"/>
  <c r="L476" i="11"/>
  <c r="E476" i="11"/>
  <c r="L474" i="11"/>
  <c r="K474" i="11"/>
  <c r="J474" i="11"/>
  <c r="I474" i="11"/>
  <c r="E474" i="11"/>
  <c r="D474" i="11"/>
  <c r="C474" i="11"/>
  <c r="B474" i="11"/>
  <c r="L473" i="11"/>
  <c r="K473" i="11"/>
  <c r="J473" i="11"/>
  <c r="I473" i="11"/>
  <c r="F473" i="11"/>
  <c r="E473" i="11"/>
  <c r="D473" i="11"/>
  <c r="C473" i="11"/>
  <c r="B473" i="11"/>
  <c r="L472" i="11"/>
  <c r="K472" i="11"/>
  <c r="J472" i="11"/>
  <c r="I472" i="11"/>
  <c r="F472" i="11"/>
  <c r="E472" i="11"/>
  <c r="D472" i="11"/>
  <c r="C472" i="11"/>
  <c r="B472" i="11"/>
  <c r="L471" i="11"/>
  <c r="K471" i="11"/>
  <c r="J471" i="11"/>
  <c r="I471" i="11"/>
  <c r="E471" i="11"/>
  <c r="D471" i="11"/>
  <c r="C471" i="11"/>
  <c r="B471" i="11"/>
  <c r="L470" i="11"/>
  <c r="K470" i="11"/>
  <c r="J470" i="11"/>
  <c r="I470" i="11"/>
  <c r="F470" i="11"/>
  <c r="E470" i="11"/>
  <c r="D470" i="11"/>
  <c r="C470" i="11"/>
  <c r="B470" i="11"/>
  <c r="L469" i="11"/>
  <c r="M469" i="11" s="1"/>
  <c r="K469" i="11"/>
  <c r="J469" i="11"/>
  <c r="I469" i="11"/>
  <c r="E469" i="11"/>
  <c r="D469" i="11"/>
  <c r="C469" i="11"/>
  <c r="B469" i="11"/>
  <c r="M466" i="11"/>
  <c r="I466" i="11"/>
  <c r="F466" i="11"/>
  <c r="B466" i="11"/>
  <c r="M465" i="11"/>
  <c r="I465" i="11"/>
  <c r="F465" i="11"/>
  <c r="B465" i="11"/>
  <c r="M462" i="11"/>
  <c r="K462" i="11"/>
  <c r="I462" i="11"/>
  <c r="F462" i="11"/>
  <c r="D462" i="11"/>
  <c r="B462" i="11"/>
  <c r="L459" i="11"/>
  <c r="E459" i="11"/>
  <c r="L457" i="11"/>
  <c r="K457" i="11"/>
  <c r="J457" i="11"/>
  <c r="I457" i="11"/>
  <c r="F457" i="11"/>
  <c r="E457" i="11"/>
  <c r="D457" i="11"/>
  <c r="C457" i="11"/>
  <c r="B457" i="11"/>
  <c r="L456" i="11"/>
  <c r="K456" i="11"/>
  <c r="J456" i="11"/>
  <c r="I456" i="11"/>
  <c r="F456" i="11"/>
  <c r="E456" i="11"/>
  <c r="D456" i="11"/>
  <c r="C456" i="11"/>
  <c r="B456" i="11"/>
  <c r="L455" i="11"/>
  <c r="K455" i="11"/>
  <c r="J455" i="11"/>
  <c r="I455" i="11"/>
  <c r="F455" i="11"/>
  <c r="E455" i="11"/>
  <c r="D455" i="11"/>
  <c r="C455" i="11"/>
  <c r="B455" i="11"/>
  <c r="L454" i="11"/>
  <c r="K454" i="11"/>
  <c r="J454" i="11"/>
  <c r="I454" i="11"/>
  <c r="F454" i="11"/>
  <c r="E454" i="11"/>
  <c r="D454" i="11"/>
  <c r="C454" i="11"/>
  <c r="B454" i="11"/>
  <c r="L453" i="11"/>
  <c r="K453" i="11"/>
  <c r="J453" i="11"/>
  <c r="I453" i="11"/>
  <c r="F453" i="11"/>
  <c r="E453" i="11"/>
  <c r="D453" i="11"/>
  <c r="C453" i="11"/>
  <c r="B453" i="11"/>
  <c r="L452" i="11"/>
  <c r="K452" i="11"/>
  <c r="J452" i="11"/>
  <c r="I452" i="11"/>
  <c r="E452" i="11"/>
  <c r="F452" i="11" s="1"/>
  <c r="D452" i="11"/>
  <c r="C452" i="11"/>
  <c r="B452" i="11"/>
  <c r="M449" i="11"/>
  <c r="I449" i="11"/>
  <c r="F449" i="11"/>
  <c r="B449" i="11"/>
  <c r="M448" i="11"/>
  <c r="I448" i="11"/>
  <c r="F448" i="11"/>
  <c r="B448" i="11"/>
  <c r="M445" i="11"/>
  <c r="K445" i="11"/>
  <c r="I445" i="11"/>
  <c r="F445" i="11"/>
  <c r="D445" i="11"/>
  <c r="B445" i="11"/>
  <c r="L442" i="11"/>
  <c r="E442" i="11"/>
  <c r="M440" i="11"/>
  <c r="L440" i="11"/>
  <c r="K440" i="11"/>
  <c r="J440" i="11"/>
  <c r="I440" i="11"/>
  <c r="F440" i="11"/>
  <c r="E440" i="11"/>
  <c r="D440" i="11"/>
  <c r="C440" i="11"/>
  <c r="B440" i="11"/>
  <c r="M439" i="11"/>
  <c r="L439" i="11"/>
  <c r="K439" i="11"/>
  <c r="J439" i="11"/>
  <c r="I439" i="11"/>
  <c r="E439" i="11"/>
  <c r="D439" i="11"/>
  <c r="C439" i="11"/>
  <c r="B439" i="11"/>
  <c r="M438" i="11"/>
  <c r="L438" i="11"/>
  <c r="K438" i="11"/>
  <c r="J438" i="11"/>
  <c r="I438" i="11"/>
  <c r="F438" i="11"/>
  <c r="E438" i="11"/>
  <c r="D438" i="11"/>
  <c r="C438" i="11"/>
  <c r="B438" i="11"/>
  <c r="M437" i="11"/>
  <c r="L437" i="11"/>
  <c r="K437" i="11"/>
  <c r="J437" i="11"/>
  <c r="I437" i="11"/>
  <c r="E437" i="11"/>
  <c r="D437" i="11"/>
  <c r="C437" i="11"/>
  <c r="B437" i="11"/>
  <c r="M436" i="11"/>
  <c r="L436" i="11"/>
  <c r="K436" i="11"/>
  <c r="J436" i="11"/>
  <c r="I436" i="11"/>
  <c r="F436" i="11"/>
  <c r="E436" i="11"/>
  <c r="D436" i="11"/>
  <c r="C436" i="11"/>
  <c r="B436" i="11"/>
  <c r="M435" i="11"/>
  <c r="L435" i="11"/>
  <c r="K435" i="11"/>
  <c r="J435" i="11"/>
  <c r="I435" i="11"/>
  <c r="E435" i="11"/>
  <c r="F439" i="11" s="1"/>
  <c r="D435" i="11"/>
  <c r="C435" i="11"/>
  <c r="B435" i="11"/>
  <c r="M432" i="11"/>
  <c r="I432" i="11"/>
  <c r="F432" i="11"/>
  <c r="B432" i="11"/>
  <c r="M431" i="11"/>
  <c r="I431" i="11"/>
  <c r="F431" i="11"/>
  <c r="B431" i="11"/>
  <c r="M428" i="11"/>
  <c r="K428" i="11"/>
  <c r="I428" i="11"/>
  <c r="F428" i="11"/>
  <c r="D428" i="11"/>
  <c r="B428" i="11"/>
  <c r="L425" i="11"/>
  <c r="E425" i="11"/>
  <c r="L423" i="11"/>
  <c r="K423" i="11"/>
  <c r="J423" i="11"/>
  <c r="I423" i="11"/>
  <c r="F423" i="11"/>
  <c r="E423" i="11"/>
  <c r="D423" i="11"/>
  <c r="C423" i="11"/>
  <c r="B423" i="11"/>
  <c r="L422" i="11"/>
  <c r="K422" i="11"/>
  <c r="J422" i="11"/>
  <c r="I422" i="11"/>
  <c r="E422" i="11"/>
  <c r="D422" i="11"/>
  <c r="C422" i="11"/>
  <c r="B422" i="11"/>
  <c r="L421" i="11"/>
  <c r="K421" i="11"/>
  <c r="J421" i="11"/>
  <c r="I421" i="11"/>
  <c r="F421" i="11"/>
  <c r="E421" i="11"/>
  <c r="D421" i="11"/>
  <c r="C421" i="11"/>
  <c r="B421" i="11"/>
  <c r="L420" i="11"/>
  <c r="K420" i="11"/>
  <c r="J420" i="11"/>
  <c r="I420" i="11"/>
  <c r="E420" i="11"/>
  <c r="D420" i="11"/>
  <c r="C420" i="11"/>
  <c r="B420" i="11"/>
  <c r="L419" i="11"/>
  <c r="K419" i="11"/>
  <c r="J419" i="11"/>
  <c r="I419" i="11"/>
  <c r="E419" i="11"/>
  <c r="D419" i="11"/>
  <c r="C419" i="11"/>
  <c r="B419" i="11"/>
  <c r="M418" i="11"/>
  <c r="L418" i="11"/>
  <c r="K418" i="11"/>
  <c r="J418" i="11"/>
  <c r="I418" i="11"/>
  <c r="E418" i="11"/>
  <c r="D418" i="11"/>
  <c r="C418" i="11"/>
  <c r="B418" i="11"/>
  <c r="M415" i="11"/>
  <c r="I415" i="11"/>
  <c r="F415" i="11"/>
  <c r="B415" i="11"/>
  <c r="M414" i="11"/>
  <c r="I414" i="11"/>
  <c r="F414" i="11"/>
  <c r="B414" i="11"/>
  <c r="M411" i="11"/>
  <c r="K411" i="11"/>
  <c r="I411" i="11"/>
  <c r="F411" i="11"/>
  <c r="D411" i="11"/>
  <c r="B411" i="11"/>
  <c r="L408" i="11"/>
  <c r="E408" i="11"/>
  <c r="L406" i="11"/>
  <c r="K406" i="11"/>
  <c r="J406" i="11"/>
  <c r="I406" i="11"/>
  <c r="E406" i="11"/>
  <c r="D406" i="11"/>
  <c r="C406" i="11"/>
  <c r="B406" i="11"/>
  <c r="M405" i="11"/>
  <c r="L405" i="11"/>
  <c r="K405" i="11"/>
  <c r="J405" i="11"/>
  <c r="I405" i="11"/>
  <c r="E405" i="11"/>
  <c r="D405" i="11"/>
  <c r="C405" i="11"/>
  <c r="B405" i="11"/>
  <c r="L404" i="11"/>
  <c r="K404" i="11"/>
  <c r="J404" i="11"/>
  <c r="I404" i="11"/>
  <c r="E404" i="11"/>
  <c r="D404" i="11"/>
  <c r="C404" i="11"/>
  <c r="B404" i="11"/>
  <c r="L403" i="11"/>
  <c r="K403" i="11"/>
  <c r="J403" i="11"/>
  <c r="I403" i="11"/>
  <c r="E403" i="11"/>
  <c r="D403" i="11"/>
  <c r="C403" i="11"/>
  <c r="B403" i="11"/>
  <c r="L402" i="11"/>
  <c r="K402" i="11"/>
  <c r="J402" i="11"/>
  <c r="I402" i="11"/>
  <c r="F402" i="11"/>
  <c r="E402" i="11"/>
  <c r="D402" i="11"/>
  <c r="C402" i="11"/>
  <c r="B402" i="11"/>
  <c r="L401" i="11"/>
  <c r="K401" i="11"/>
  <c r="J401" i="11"/>
  <c r="I401" i="11"/>
  <c r="F401" i="11"/>
  <c r="E401" i="11"/>
  <c r="D401" i="11"/>
  <c r="C401" i="11"/>
  <c r="B401" i="11"/>
  <c r="M398" i="11"/>
  <c r="I398" i="11"/>
  <c r="F398" i="11"/>
  <c r="B398" i="11"/>
  <c r="M397" i="11"/>
  <c r="I397" i="11"/>
  <c r="F397" i="11"/>
  <c r="B397" i="11"/>
  <c r="M394" i="11"/>
  <c r="K394" i="11"/>
  <c r="I394" i="11"/>
  <c r="F394" i="11"/>
  <c r="D394" i="11"/>
  <c r="B394" i="11"/>
  <c r="L391" i="11"/>
  <c r="E391" i="11"/>
  <c r="M389" i="11"/>
  <c r="L389" i="11"/>
  <c r="K389" i="11"/>
  <c r="J389" i="11"/>
  <c r="I389" i="11"/>
  <c r="F389" i="11"/>
  <c r="E389" i="11"/>
  <c r="D389" i="11"/>
  <c r="C389" i="11"/>
  <c r="B389" i="11"/>
  <c r="L388" i="11"/>
  <c r="K388" i="11"/>
  <c r="J388" i="11"/>
  <c r="I388" i="11"/>
  <c r="F388" i="11"/>
  <c r="E388" i="11"/>
  <c r="D388" i="11"/>
  <c r="C388" i="11"/>
  <c r="B388" i="11"/>
  <c r="L387" i="11"/>
  <c r="K387" i="11"/>
  <c r="J387" i="11"/>
  <c r="I387" i="11"/>
  <c r="F387" i="11"/>
  <c r="E387" i="11"/>
  <c r="D387" i="11"/>
  <c r="C387" i="11"/>
  <c r="B387" i="11"/>
  <c r="M386" i="11"/>
  <c r="L386" i="11"/>
  <c r="K386" i="11"/>
  <c r="J386" i="11"/>
  <c r="I386" i="11"/>
  <c r="F386" i="11"/>
  <c r="E386" i="11"/>
  <c r="D386" i="11"/>
  <c r="C386" i="11"/>
  <c r="B386" i="11"/>
  <c r="L385" i="11"/>
  <c r="K385" i="11"/>
  <c r="J385" i="11"/>
  <c r="I385" i="11"/>
  <c r="F385" i="11"/>
  <c r="E385" i="11"/>
  <c r="D385" i="11"/>
  <c r="C385" i="11"/>
  <c r="B385" i="11"/>
  <c r="L384" i="11"/>
  <c r="K384" i="11"/>
  <c r="J384" i="11"/>
  <c r="I384" i="11"/>
  <c r="F384" i="11"/>
  <c r="E384" i="11"/>
  <c r="D384" i="11"/>
  <c r="C384" i="11"/>
  <c r="B384" i="11"/>
  <c r="M381" i="11"/>
  <c r="I381" i="11"/>
  <c r="F381" i="11"/>
  <c r="B381" i="11"/>
  <c r="M380" i="11"/>
  <c r="I380" i="11"/>
  <c r="F380" i="11"/>
  <c r="B380" i="11"/>
  <c r="M377" i="11"/>
  <c r="K377" i="11"/>
  <c r="I377" i="11"/>
  <c r="F377" i="11"/>
  <c r="D377" i="11"/>
  <c r="B377" i="11"/>
  <c r="L374" i="11"/>
  <c r="E374" i="11"/>
  <c r="L372" i="11"/>
  <c r="K372" i="11"/>
  <c r="J372" i="11"/>
  <c r="I372" i="11"/>
  <c r="E372" i="11"/>
  <c r="D372" i="11"/>
  <c r="C372" i="11"/>
  <c r="B372" i="11"/>
  <c r="L371" i="11"/>
  <c r="K371" i="11"/>
  <c r="J371" i="11"/>
  <c r="I371" i="11"/>
  <c r="F371" i="11"/>
  <c r="E371" i="11"/>
  <c r="D371" i="11"/>
  <c r="C371" i="11"/>
  <c r="B371" i="11"/>
  <c r="L370" i="11"/>
  <c r="K370" i="11"/>
  <c r="J370" i="11"/>
  <c r="I370" i="11"/>
  <c r="F370" i="11"/>
  <c r="E370" i="11"/>
  <c r="D370" i="11"/>
  <c r="C370" i="11"/>
  <c r="B370" i="11"/>
  <c r="L369" i="11"/>
  <c r="K369" i="11"/>
  <c r="J369" i="11"/>
  <c r="I369" i="11"/>
  <c r="E369" i="11"/>
  <c r="D369" i="11"/>
  <c r="C369" i="11"/>
  <c r="B369" i="11"/>
  <c r="L368" i="11"/>
  <c r="K368" i="11"/>
  <c r="J368" i="11"/>
  <c r="I368" i="11"/>
  <c r="E368" i="11"/>
  <c r="D368" i="11"/>
  <c r="C368" i="11"/>
  <c r="B368" i="11"/>
  <c r="L367" i="11"/>
  <c r="M371" i="11" s="1"/>
  <c r="K367" i="11"/>
  <c r="J367" i="11"/>
  <c r="I367" i="11"/>
  <c r="E367" i="11"/>
  <c r="D367" i="11"/>
  <c r="C367" i="11"/>
  <c r="B367" i="11"/>
  <c r="M364" i="11"/>
  <c r="I364" i="11"/>
  <c r="F364" i="11"/>
  <c r="B364" i="11"/>
  <c r="M363" i="11"/>
  <c r="I363" i="11"/>
  <c r="F363" i="11"/>
  <c r="B363" i="11"/>
  <c r="M360" i="11"/>
  <c r="K360" i="11"/>
  <c r="I360" i="11"/>
  <c r="F360" i="11"/>
  <c r="D360" i="11"/>
  <c r="B360" i="11"/>
  <c r="L357" i="11"/>
  <c r="E357" i="11"/>
  <c r="L355" i="11"/>
  <c r="K355" i="11"/>
  <c r="J355" i="11"/>
  <c r="I355" i="11"/>
  <c r="E355" i="11"/>
  <c r="D355" i="11"/>
  <c r="C355" i="11"/>
  <c r="B355" i="11"/>
  <c r="L354" i="11"/>
  <c r="K354" i="11"/>
  <c r="J354" i="11"/>
  <c r="I354" i="11"/>
  <c r="E354" i="11"/>
  <c r="D354" i="11"/>
  <c r="C354" i="11"/>
  <c r="B354" i="11"/>
  <c r="L353" i="11"/>
  <c r="K353" i="11"/>
  <c r="J353" i="11"/>
  <c r="I353" i="11"/>
  <c r="E353" i="11"/>
  <c r="D353" i="11"/>
  <c r="C353" i="11"/>
  <c r="B353" i="11"/>
  <c r="L352" i="11"/>
  <c r="K352" i="11"/>
  <c r="J352" i="11"/>
  <c r="I352" i="11"/>
  <c r="E352" i="11"/>
  <c r="D352" i="11"/>
  <c r="C352" i="11"/>
  <c r="B352" i="11"/>
  <c r="L351" i="11"/>
  <c r="K351" i="11"/>
  <c r="J351" i="11"/>
  <c r="I351" i="11"/>
  <c r="E351" i="11"/>
  <c r="D351" i="11"/>
  <c r="C351" i="11"/>
  <c r="B351" i="11"/>
  <c r="L350" i="11"/>
  <c r="K350" i="11"/>
  <c r="J350" i="11"/>
  <c r="I350" i="11"/>
  <c r="E350" i="11"/>
  <c r="F350" i="11" s="1"/>
  <c r="D350" i="11"/>
  <c r="C350" i="11"/>
  <c r="B350" i="11"/>
  <c r="M347" i="11"/>
  <c r="I347" i="11"/>
  <c r="F347" i="11"/>
  <c r="B347" i="11"/>
  <c r="M346" i="11"/>
  <c r="I346" i="11"/>
  <c r="F346" i="11"/>
  <c r="B346" i="11"/>
  <c r="M343" i="11"/>
  <c r="K343" i="11"/>
  <c r="I343" i="11"/>
  <c r="F343" i="11"/>
  <c r="D343" i="11"/>
  <c r="B343" i="11"/>
  <c r="L340" i="11"/>
  <c r="E340" i="11"/>
  <c r="M338" i="11"/>
  <c r="L338" i="11"/>
  <c r="K338" i="11"/>
  <c r="J338" i="11"/>
  <c r="I338" i="11"/>
  <c r="E338" i="11"/>
  <c r="D338" i="11"/>
  <c r="C338" i="11"/>
  <c r="B338" i="11"/>
  <c r="L337" i="11"/>
  <c r="K337" i="11"/>
  <c r="J337" i="11"/>
  <c r="I337" i="11"/>
  <c r="E337" i="11"/>
  <c r="D337" i="11"/>
  <c r="C337" i="11"/>
  <c r="B337" i="11"/>
  <c r="M336" i="11"/>
  <c r="L336" i="11"/>
  <c r="K336" i="11"/>
  <c r="J336" i="11"/>
  <c r="I336" i="11"/>
  <c r="E336" i="11"/>
  <c r="D336" i="11"/>
  <c r="C336" i="11"/>
  <c r="B336" i="11"/>
  <c r="L335" i="11"/>
  <c r="K335" i="11"/>
  <c r="J335" i="11"/>
  <c r="I335" i="11"/>
  <c r="F335" i="11"/>
  <c r="E335" i="11"/>
  <c r="D335" i="11"/>
  <c r="C335" i="11"/>
  <c r="B335" i="11"/>
  <c r="L334" i="11"/>
  <c r="K334" i="11"/>
  <c r="J334" i="11"/>
  <c r="I334" i="11"/>
  <c r="E334" i="11"/>
  <c r="D334" i="11"/>
  <c r="C334" i="11"/>
  <c r="B334" i="11"/>
  <c r="L333" i="11"/>
  <c r="K333" i="11"/>
  <c r="J333" i="11"/>
  <c r="I333" i="11"/>
  <c r="E333" i="11"/>
  <c r="D333" i="11"/>
  <c r="C333" i="11"/>
  <c r="B333" i="11"/>
  <c r="M330" i="11"/>
  <c r="I330" i="11"/>
  <c r="F330" i="11"/>
  <c r="B330" i="11"/>
  <c r="M329" i="11"/>
  <c r="I329" i="11"/>
  <c r="F329" i="11"/>
  <c r="B329" i="11"/>
  <c r="M326" i="11"/>
  <c r="K326" i="11"/>
  <c r="I326" i="11"/>
  <c r="F326" i="11"/>
  <c r="D326" i="11"/>
  <c r="B326" i="11"/>
  <c r="L323" i="11"/>
  <c r="E323" i="11"/>
  <c r="M321" i="11"/>
  <c r="L321" i="11"/>
  <c r="K321" i="11"/>
  <c r="J321" i="11"/>
  <c r="I321" i="11"/>
  <c r="E321" i="11"/>
  <c r="D321" i="11"/>
  <c r="C321" i="11"/>
  <c r="B321" i="11"/>
  <c r="L320" i="11"/>
  <c r="K320" i="11"/>
  <c r="J320" i="11"/>
  <c r="I320" i="11"/>
  <c r="E320" i="11"/>
  <c r="D320" i="11"/>
  <c r="C320" i="11"/>
  <c r="B320" i="11"/>
  <c r="M319" i="11"/>
  <c r="L319" i="11"/>
  <c r="K319" i="11"/>
  <c r="J319" i="11"/>
  <c r="I319" i="11"/>
  <c r="E319" i="11"/>
  <c r="D319" i="11"/>
  <c r="C319" i="11"/>
  <c r="B319" i="11"/>
  <c r="M318" i="11"/>
  <c r="L318" i="11"/>
  <c r="K318" i="11"/>
  <c r="J318" i="11"/>
  <c r="I318" i="11"/>
  <c r="E318" i="11"/>
  <c r="D318" i="11"/>
  <c r="C318" i="11"/>
  <c r="B318" i="11"/>
  <c r="L317" i="11"/>
  <c r="K317" i="11"/>
  <c r="J317" i="11"/>
  <c r="I317" i="11"/>
  <c r="E317" i="11"/>
  <c r="D317" i="11"/>
  <c r="C317" i="11"/>
  <c r="B317" i="11"/>
  <c r="M316" i="11"/>
  <c r="L316" i="11"/>
  <c r="K316" i="11"/>
  <c r="J316" i="11"/>
  <c r="I316" i="11"/>
  <c r="E316" i="11"/>
  <c r="D316" i="11"/>
  <c r="C316" i="11"/>
  <c r="B316" i="11"/>
  <c r="M313" i="11"/>
  <c r="I313" i="11"/>
  <c r="F313" i="11"/>
  <c r="B313" i="11"/>
  <c r="M312" i="11"/>
  <c r="I312" i="11"/>
  <c r="F312" i="11"/>
  <c r="B312" i="11"/>
  <c r="M309" i="11"/>
  <c r="K309" i="11"/>
  <c r="I309" i="11"/>
  <c r="F309" i="11"/>
  <c r="D309" i="11"/>
  <c r="B309" i="11"/>
  <c r="L306" i="11"/>
  <c r="E306" i="11"/>
  <c r="L304" i="11"/>
  <c r="K304" i="11"/>
  <c r="J304" i="11"/>
  <c r="I304" i="11"/>
  <c r="F304" i="11"/>
  <c r="E304" i="11"/>
  <c r="D304" i="11"/>
  <c r="C304" i="11"/>
  <c r="B304" i="11"/>
  <c r="L303" i="11"/>
  <c r="K303" i="11"/>
  <c r="J303" i="11"/>
  <c r="I303" i="11"/>
  <c r="F303" i="11"/>
  <c r="E303" i="11"/>
  <c r="D303" i="11"/>
  <c r="C303" i="11"/>
  <c r="B303" i="11"/>
  <c r="L302" i="11"/>
  <c r="K302" i="11"/>
  <c r="J302" i="11"/>
  <c r="I302" i="11"/>
  <c r="F302" i="11"/>
  <c r="E302" i="11"/>
  <c r="D302" i="11"/>
  <c r="C302" i="11"/>
  <c r="B302" i="11"/>
  <c r="L301" i="11"/>
  <c r="K301" i="11"/>
  <c r="J301" i="11"/>
  <c r="I301" i="11"/>
  <c r="F301" i="11"/>
  <c r="E301" i="11"/>
  <c r="D301" i="11"/>
  <c r="C301" i="11"/>
  <c r="B301" i="11"/>
  <c r="M300" i="11"/>
  <c r="L300" i="11"/>
  <c r="K300" i="11"/>
  <c r="J300" i="11"/>
  <c r="I300" i="11"/>
  <c r="F300" i="11"/>
  <c r="E300" i="11"/>
  <c r="D300" i="11"/>
  <c r="C300" i="11"/>
  <c r="B300" i="11"/>
  <c r="L299" i="11"/>
  <c r="M299" i="11" s="1"/>
  <c r="K299" i="11"/>
  <c r="J299" i="11"/>
  <c r="I299" i="11"/>
  <c r="F299" i="11"/>
  <c r="E299" i="11"/>
  <c r="D299" i="11"/>
  <c r="C299" i="11"/>
  <c r="B299" i="11"/>
  <c r="M296" i="11"/>
  <c r="I296" i="11"/>
  <c r="F296" i="11"/>
  <c r="B296" i="11"/>
  <c r="M295" i="11"/>
  <c r="I295" i="11"/>
  <c r="F295" i="11"/>
  <c r="B295" i="11"/>
  <c r="M292" i="11"/>
  <c r="K292" i="11"/>
  <c r="I292" i="11"/>
  <c r="F292" i="11"/>
  <c r="D292" i="11"/>
  <c r="B292" i="11"/>
  <c r="L289" i="11"/>
  <c r="E289" i="11"/>
  <c r="M287" i="11"/>
  <c r="L287" i="11"/>
  <c r="K287" i="11"/>
  <c r="J287" i="11"/>
  <c r="I287" i="11"/>
  <c r="F287" i="11"/>
  <c r="E287" i="11"/>
  <c r="D287" i="11"/>
  <c r="C287" i="11"/>
  <c r="B287" i="11"/>
  <c r="M286" i="11"/>
  <c r="L286" i="11"/>
  <c r="K286" i="11"/>
  <c r="J286" i="11"/>
  <c r="I286" i="11"/>
  <c r="E286" i="11"/>
  <c r="D286" i="11"/>
  <c r="C286" i="11"/>
  <c r="B286" i="11"/>
  <c r="M285" i="11"/>
  <c r="L285" i="11"/>
  <c r="K285" i="11"/>
  <c r="J285" i="11"/>
  <c r="I285" i="11"/>
  <c r="E285" i="11"/>
  <c r="D285" i="11"/>
  <c r="C285" i="11"/>
  <c r="B285" i="11"/>
  <c r="M284" i="11"/>
  <c r="L284" i="11"/>
  <c r="K284" i="11"/>
  <c r="J284" i="11"/>
  <c r="I284" i="11"/>
  <c r="E284" i="11"/>
  <c r="D284" i="11"/>
  <c r="C284" i="11"/>
  <c r="B284" i="11"/>
  <c r="M283" i="11"/>
  <c r="L283" i="11"/>
  <c r="K283" i="11"/>
  <c r="J283" i="11"/>
  <c r="I283" i="11"/>
  <c r="E283" i="11"/>
  <c r="D283" i="11"/>
  <c r="C283" i="11"/>
  <c r="B283" i="11"/>
  <c r="M282" i="11"/>
  <c r="L282" i="11"/>
  <c r="K282" i="11"/>
  <c r="J282" i="11"/>
  <c r="I282" i="11"/>
  <c r="E282" i="11"/>
  <c r="D282" i="11"/>
  <c r="C282" i="11"/>
  <c r="B282" i="11"/>
  <c r="M279" i="11"/>
  <c r="I279" i="11"/>
  <c r="F279" i="11"/>
  <c r="B279" i="11"/>
  <c r="M278" i="11"/>
  <c r="I278" i="11"/>
  <c r="F278" i="11"/>
  <c r="B278" i="11"/>
  <c r="M275" i="11"/>
  <c r="K275" i="11"/>
  <c r="I275" i="11"/>
  <c r="F275" i="11"/>
  <c r="D275" i="11"/>
  <c r="B275" i="11"/>
  <c r="L272" i="11"/>
  <c r="E272" i="11"/>
  <c r="M270" i="11"/>
  <c r="L270" i="11"/>
  <c r="K270" i="11"/>
  <c r="J270" i="11"/>
  <c r="I270" i="11"/>
  <c r="F270" i="11"/>
  <c r="E270" i="11"/>
  <c r="D270" i="11"/>
  <c r="C270" i="11"/>
  <c r="B270" i="11"/>
  <c r="L269" i="11"/>
  <c r="K269" i="11"/>
  <c r="J269" i="11"/>
  <c r="I269" i="11"/>
  <c r="F269" i="11"/>
  <c r="E269" i="11"/>
  <c r="D269" i="11"/>
  <c r="C269" i="11"/>
  <c r="B269" i="11"/>
  <c r="L268" i="11"/>
  <c r="K268" i="11"/>
  <c r="J268" i="11"/>
  <c r="I268" i="11"/>
  <c r="F268" i="11"/>
  <c r="E268" i="11"/>
  <c r="D268" i="11"/>
  <c r="C268" i="11"/>
  <c r="B268" i="11"/>
  <c r="L267" i="11"/>
  <c r="K267" i="11"/>
  <c r="J267" i="11"/>
  <c r="I267" i="11"/>
  <c r="F267" i="11"/>
  <c r="E267" i="11"/>
  <c r="D267" i="11"/>
  <c r="C267" i="11"/>
  <c r="B267" i="11"/>
  <c r="L266" i="11"/>
  <c r="K266" i="11"/>
  <c r="J266" i="11"/>
  <c r="I266" i="11"/>
  <c r="F266" i="11"/>
  <c r="E266" i="11"/>
  <c r="D266" i="11"/>
  <c r="C266" i="11"/>
  <c r="B266" i="11"/>
  <c r="L265" i="11"/>
  <c r="M269" i="11" s="1"/>
  <c r="K265" i="11"/>
  <c r="J265" i="11"/>
  <c r="I265" i="11"/>
  <c r="F265" i="11"/>
  <c r="E265" i="11"/>
  <c r="D265" i="11"/>
  <c r="C265" i="11"/>
  <c r="B265" i="11"/>
  <c r="M262" i="11"/>
  <c r="I262" i="11"/>
  <c r="F262" i="11"/>
  <c r="B262" i="11"/>
  <c r="M261" i="11"/>
  <c r="I261" i="11"/>
  <c r="F261" i="11"/>
  <c r="B261" i="11"/>
  <c r="M258" i="11"/>
  <c r="K258" i="11"/>
  <c r="I258" i="11"/>
  <c r="F258" i="11"/>
  <c r="D258" i="11"/>
  <c r="B258" i="11"/>
  <c r="L255" i="11"/>
  <c r="E255" i="11"/>
  <c r="L253" i="11"/>
  <c r="K253" i="11"/>
  <c r="J253" i="11"/>
  <c r="I253" i="11"/>
  <c r="F253" i="11"/>
  <c r="E253" i="11"/>
  <c r="D253" i="11"/>
  <c r="C253" i="11"/>
  <c r="B253" i="11"/>
  <c r="M252" i="11"/>
  <c r="L252" i="11"/>
  <c r="K252" i="11"/>
  <c r="J252" i="11"/>
  <c r="I252" i="11"/>
  <c r="F252" i="11"/>
  <c r="E252" i="11"/>
  <c r="D252" i="11"/>
  <c r="C252" i="11"/>
  <c r="B252" i="11"/>
  <c r="M251" i="11"/>
  <c r="L251" i="11"/>
  <c r="K251" i="11"/>
  <c r="J251" i="11"/>
  <c r="I251" i="11"/>
  <c r="E251" i="11"/>
  <c r="D251" i="11"/>
  <c r="C251" i="11"/>
  <c r="B251" i="11"/>
  <c r="M250" i="11"/>
  <c r="L250" i="11"/>
  <c r="K250" i="11"/>
  <c r="J250" i="11"/>
  <c r="I250" i="11"/>
  <c r="E250" i="11"/>
  <c r="D250" i="11"/>
  <c r="C250" i="11"/>
  <c r="B250" i="11"/>
  <c r="M249" i="11"/>
  <c r="L249" i="11"/>
  <c r="K249" i="11"/>
  <c r="J249" i="11"/>
  <c r="I249" i="11"/>
  <c r="F249" i="11"/>
  <c r="E249" i="11"/>
  <c r="D249" i="11"/>
  <c r="C249" i="11"/>
  <c r="B249" i="11"/>
  <c r="M248" i="11"/>
  <c r="L248" i="11"/>
  <c r="M253" i="11" s="1"/>
  <c r="K248" i="11"/>
  <c r="J248" i="11"/>
  <c r="I248" i="11"/>
  <c r="E248" i="11"/>
  <c r="D248" i="11"/>
  <c r="C248" i="11"/>
  <c r="B248" i="11"/>
  <c r="M245" i="11"/>
  <c r="I245" i="11"/>
  <c r="F245" i="11"/>
  <c r="B245" i="11"/>
  <c r="M244" i="11"/>
  <c r="I244" i="11"/>
  <c r="F244" i="11"/>
  <c r="B244" i="11"/>
  <c r="M241" i="11"/>
  <c r="K241" i="11"/>
  <c r="I241" i="11"/>
  <c r="F241" i="11"/>
  <c r="D241" i="11"/>
  <c r="B241" i="11"/>
  <c r="L238" i="11"/>
  <c r="E238" i="11"/>
  <c r="L236" i="11"/>
  <c r="K236" i="11"/>
  <c r="J236" i="11"/>
  <c r="I236" i="11"/>
  <c r="F236" i="11"/>
  <c r="E236" i="11"/>
  <c r="D236" i="11"/>
  <c r="C236" i="11"/>
  <c r="B236" i="11"/>
  <c r="L235" i="11"/>
  <c r="K235" i="11"/>
  <c r="J235" i="11"/>
  <c r="I235" i="11"/>
  <c r="E235" i="11"/>
  <c r="D235" i="11"/>
  <c r="C235" i="11"/>
  <c r="B235" i="11"/>
  <c r="M234" i="11"/>
  <c r="L234" i="11"/>
  <c r="K234" i="11"/>
  <c r="J234" i="11"/>
  <c r="I234" i="11"/>
  <c r="F234" i="11"/>
  <c r="E234" i="11"/>
  <c r="D234" i="11"/>
  <c r="C234" i="11"/>
  <c r="B234" i="11"/>
  <c r="L233" i="11"/>
  <c r="K233" i="11"/>
  <c r="J233" i="11"/>
  <c r="I233" i="11"/>
  <c r="F233" i="11"/>
  <c r="E233" i="11"/>
  <c r="D233" i="11"/>
  <c r="C233" i="11"/>
  <c r="B233" i="11"/>
  <c r="L232" i="11"/>
  <c r="K232" i="11"/>
  <c r="J232" i="11"/>
  <c r="I232" i="11"/>
  <c r="F232" i="11"/>
  <c r="E232" i="11"/>
  <c r="D232" i="11"/>
  <c r="C232" i="11"/>
  <c r="B232" i="11"/>
  <c r="L231" i="11"/>
  <c r="K231" i="11"/>
  <c r="J231" i="11"/>
  <c r="I231" i="11"/>
  <c r="F231" i="11"/>
  <c r="E231" i="11"/>
  <c r="F235" i="11" s="1"/>
  <c r="D231" i="11"/>
  <c r="C231" i="11"/>
  <c r="B231" i="11"/>
  <c r="M228" i="11"/>
  <c r="I228" i="11"/>
  <c r="F228" i="11"/>
  <c r="B228" i="11"/>
  <c r="M227" i="11"/>
  <c r="I227" i="11"/>
  <c r="F227" i="11"/>
  <c r="B227" i="11"/>
  <c r="M224" i="11"/>
  <c r="K224" i="11"/>
  <c r="I224" i="11"/>
  <c r="F224" i="11"/>
  <c r="D224" i="11"/>
  <c r="B224" i="11"/>
  <c r="L221" i="11"/>
  <c r="E221" i="11"/>
  <c r="L219" i="11"/>
  <c r="K219" i="11"/>
  <c r="J219" i="11"/>
  <c r="I219" i="11"/>
  <c r="F219" i="11"/>
  <c r="E219" i="11"/>
  <c r="D219" i="11"/>
  <c r="C219" i="11"/>
  <c r="B219" i="11"/>
  <c r="L218" i="11"/>
  <c r="K218" i="11"/>
  <c r="J218" i="11"/>
  <c r="I218" i="11"/>
  <c r="E218" i="11"/>
  <c r="D218" i="11"/>
  <c r="C218" i="11"/>
  <c r="B218" i="11"/>
  <c r="M217" i="11"/>
  <c r="L217" i="11"/>
  <c r="K217" i="11"/>
  <c r="J217" i="11"/>
  <c r="I217" i="11"/>
  <c r="F217" i="11"/>
  <c r="E217" i="11"/>
  <c r="D217" i="11"/>
  <c r="C217" i="11"/>
  <c r="B217" i="11"/>
  <c r="L216" i="11"/>
  <c r="K216" i="11"/>
  <c r="J216" i="11"/>
  <c r="I216" i="11"/>
  <c r="E216" i="11"/>
  <c r="D216" i="11"/>
  <c r="C216" i="11"/>
  <c r="B216" i="11"/>
  <c r="M215" i="11"/>
  <c r="L215" i="11"/>
  <c r="K215" i="11"/>
  <c r="J215" i="11"/>
  <c r="I215" i="11"/>
  <c r="F215" i="11"/>
  <c r="E215" i="11"/>
  <c r="D215" i="11"/>
  <c r="C215" i="11"/>
  <c r="B215" i="11"/>
  <c r="L214" i="11"/>
  <c r="K214" i="11"/>
  <c r="J214" i="11"/>
  <c r="I214" i="11"/>
  <c r="E214" i="11"/>
  <c r="F216" i="11" s="1"/>
  <c r="D214" i="11"/>
  <c r="C214" i="11"/>
  <c r="B214" i="11"/>
  <c r="M211" i="11"/>
  <c r="I211" i="11"/>
  <c r="F211" i="11"/>
  <c r="B211" i="11"/>
  <c r="M210" i="11"/>
  <c r="I210" i="11"/>
  <c r="F210" i="11"/>
  <c r="B210" i="11"/>
  <c r="M207" i="11"/>
  <c r="K207" i="11"/>
  <c r="I207" i="11"/>
  <c r="F207" i="11"/>
  <c r="D207" i="11"/>
  <c r="B207" i="11"/>
  <c r="L204" i="11"/>
  <c r="E204" i="11"/>
  <c r="M202" i="11"/>
  <c r="L202" i="11"/>
  <c r="K202" i="11"/>
  <c r="J202" i="11"/>
  <c r="I202" i="11"/>
  <c r="F202" i="11"/>
  <c r="E202" i="11"/>
  <c r="D202" i="11"/>
  <c r="C202" i="11"/>
  <c r="B202" i="11"/>
  <c r="L201" i="11"/>
  <c r="K201" i="11"/>
  <c r="J201" i="11"/>
  <c r="I201" i="11"/>
  <c r="E201" i="11"/>
  <c r="D201" i="11"/>
  <c r="C201" i="11"/>
  <c r="B201" i="11"/>
  <c r="M200" i="11"/>
  <c r="L200" i="11"/>
  <c r="K200" i="11"/>
  <c r="J200" i="11"/>
  <c r="I200" i="11"/>
  <c r="F200" i="11"/>
  <c r="E200" i="11"/>
  <c r="D200" i="11"/>
  <c r="C200" i="11"/>
  <c r="B200" i="11"/>
  <c r="M199" i="11"/>
  <c r="L199" i="11"/>
  <c r="K199" i="11"/>
  <c r="J199" i="11"/>
  <c r="I199" i="11"/>
  <c r="E199" i="11"/>
  <c r="D199" i="11"/>
  <c r="C199" i="11"/>
  <c r="B199" i="11"/>
  <c r="M198" i="11"/>
  <c r="L198" i="11"/>
  <c r="K198" i="11"/>
  <c r="J198" i="11"/>
  <c r="I198" i="11"/>
  <c r="F198" i="11"/>
  <c r="E198" i="11"/>
  <c r="D198" i="11"/>
  <c r="C198" i="11"/>
  <c r="B198" i="11"/>
  <c r="L197" i="11"/>
  <c r="K197" i="11"/>
  <c r="J197" i="11"/>
  <c r="I197" i="11"/>
  <c r="F197" i="11"/>
  <c r="E197" i="11"/>
  <c r="F199" i="11" s="1"/>
  <c r="D197" i="11"/>
  <c r="C197" i="11"/>
  <c r="B197" i="11"/>
  <c r="M194" i="11"/>
  <c r="I194" i="11"/>
  <c r="F194" i="11"/>
  <c r="B194" i="11"/>
  <c r="M193" i="11"/>
  <c r="I193" i="11"/>
  <c r="F193" i="11"/>
  <c r="B193" i="11"/>
  <c r="M190" i="11"/>
  <c r="K190" i="11"/>
  <c r="I190" i="11"/>
  <c r="F190" i="11"/>
  <c r="D190" i="11"/>
  <c r="B190" i="11"/>
  <c r="L187" i="11"/>
  <c r="E187" i="11"/>
  <c r="M185" i="11"/>
  <c r="L185" i="11"/>
  <c r="K185" i="11"/>
  <c r="J185" i="11"/>
  <c r="I185" i="11"/>
  <c r="E185" i="11"/>
  <c r="D185" i="11"/>
  <c r="C185" i="11"/>
  <c r="B185" i="11"/>
  <c r="L184" i="11"/>
  <c r="K184" i="11"/>
  <c r="J184" i="11"/>
  <c r="I184" i="11"/>
  <c r="E184" i="11"/>
  <c r="D184" i="11"/>
  <c r="C184" i="11"/>
  <c r="B184" i="11"/>
  <c r="M183" i="11"/>
  <c r="L183" i="11"/>
  <c r="K183" i="11"/>
  <c r="J183" i="11"/>
  <c r="I183" i="11"/>
  <c r="F183" i="11"/>
  <c r="E183" i="11"/>
  <c r="D183" i="11"/>
  <c r="C183" i="11"/>
  <c r="B183" i="11"/>
  <c r="L182" i="11"/>
  <c r="K182" i="11"/>
  <c r="J182" i="11"/>
  <c r="I182" i="11"/>
  <c r="E182" i="11"/>
  <c r="D182" i="11"/>
  <c r="C182" i="11"/>
  <c r="B182" i="11"/>
  <c r="M181" i="11"/>
  <c r="L181" i="11"/>
  <c r="K181" i="11"/>
  <c r="J181" i="11"/>
  <c r="I181" i="11"/>
  <c r="E181" i="11"/>
  <c r="D181" i="11"/>
  <c r="C181" i="11"/>
  <c r="B181" i="11"/>
  <c r="L180" i="11"/>
  <c r="K180" i="11"/>
  <c r="J180" i="11"/>
  <c r="I180" i="11"/>
  <c r="E180" i="11"/>
  <c r="D180" i="11"/>
  <c r="C180" i="11"/>
  <c r="B180" i="11"/>
  <c r="M177" i="11"/>
  <c r="I177" i="11"/>
  <c r="F177" i="11"/>
  <c r="B177" i="11"/>
  <c r="M176" i="11"/>
  <c r="I176" i="11"/>
  <c r="F176" i="11"/>
  <c r="B176" i="11"/>
  <c r="M173" i="11"/>
  <c r="K173" i="11"/>
  <c r="I173" i="11"/>
  <c r="F173" i="11"/>
  <c r="D173" i="11"/>
  <c r="B173" i="11"/>
  <c r="L170" i="11"/>
  <c r="E170" i="11"/>
  <c r="M168" i="11"/>
  <c r="L168" i="11"/>
  <c r="K168" i="11"/>
  <c r="J168" i="11"/>
  <c r="I168" i="11"/>
  <c r="E168" i="11"/>
  <c r="D168" i="11"/>
  <c r="C168" i="11"/>
  <c r="B168" i="11"/>
  <c r="M167" i="11"/>
  <c r="L167" i="11"/>
  <c r="K167" i="11"/>
  <c r="J167" i="11"/>
  <c r="I167" i="11"/>
  <c r="E167" i="11"/>
  <c r="D167" i="11"/>
  <c r="C167" i="11"/>
  <c r="B167" i="11"/>
  <c r="M166" i="11"/>
  <c r="L166" i="11"/>
  <c r="K166" i="11"/>
  <c r="J166" i="11"/>
  <c r="I166" i="11"/>
  <c r="F166" i="11"/>
  <c r="E166" i="11"/>
  <c r="D166" i="11"/>
  <c r="C166" i="11"/>
  <c r="B166" i="11"/>
  <c r="M165" i="11"/>
  <c r="L165" i="11"/>
  <c r="K165" i="11"/>
  <c r="J165" i="11"/>
  <c r="I165" i="11"/>
  <c r="F165" i="11"/>
  <c r="E165" i="11"/>
  <c r="D165" i="11"/>
  <c r="C165" i="11"/>
  <c r="B165" i="11"/>
  <c r="L164" i="11"/>
  <c r="K164" i="11"/>
  <c r="J164" i="11"/>
  <c r="I164" i="11"/>
  <c r="F164" i="11"/>
  <c r="E164" i="11"/>
  <c r="D164" i="11"/>
  <c r="C164" i="11"/>
  <c r="B164" i="11"/>
  <c r="L163" i="11"/>
  <c r="M164" i="11" s="1"/>
  <c r="K163" i="11"/>
  <c r="J163" i="11"/>
  <c r="I163" i="11"/>
  <c r="F163" i="11"/>
  <c r="E163" i="11"/>
  <c r="F168" i="11" s="1"/>
  <c r="D163" i="11"/>
  <c r="C163" i="11"/>
  <c r="B163" i="11"/>
  <c r="M160" i="11"/>
  <c r="I160" i="11"/>
  <c r="F160" i="11"/>
  <c r="B160" i="11"/>
  <c r="M159" i="11"/>
  <c r="I159" i="11"/>
  <c r="F159" i="11"/>
  <c r="B159" i="11"/>
  <c r="M156" i="11"/>
  <c r="K156" i="11"/>
  <c r="I156" i="11"/>
  <c r="F156" i="11"/>
  <c r="D156" i="11"/>
  <c r="B156" i="11"/>
  <c r="L153" i="11"/>
  <c r="E153" i="11"/>
  <c r="L151" i="11"/>
  <c r="K151" i="11"/>
  <c r="J151" i="11"/>
  <c r="I151" i="11"/>
  <c r="F151" i="11"/>
  <c r="E151" i="11"/>
  <c r="D151" i="11"/>
  <c r="C151" i="11"/>
  <c r="B151" i="11"/>
  <c r="M150" i="11"/>
  <c r="L150" i="11"/>
  <c r="K150" i="11"/>
  <c r="J150" i="11"/>
  <c r="I150" i="11"/>
  <c r="F150" i="11"/>
  <c r="E150" i="11"/>
  <c r="D150" i="11"/>
  <c r="C150" i="11"/>
  <c r="B150" i="11"/>
  <c r="L149" i="11"/>
  <c r="K149" i="11"/>
  <c r="J149" i="11"/>
  <c r="I149" i="11"/>
  <c r="F149" i="11"/>
  <c r="E149" i="11"/>
  <c r="D149" i="11"/>
  <c r="C149" i="11"/>
  <c r="B149" i="11"/>
  <c r="L148" i="11"/>
  <c r="K148" i="11"/>
  <c r="J148" i="11"/>
  <c r="I148" i="11"/>
  <c r="F148" i="11"/>
  <c r="E148" i="11"/>
  <c r="D148" i="11"/>
  <c r="C148" i="11"/>
  <c r="B148" i="11"/>
  <c r="M147" i="11"/>
  <c r="L147" i="11"/>
  <c r="K147" i="11"/>
  <c r="J147" i="11"/>
  <c r="I147" i="11"/>
  <c r="F147" i="11"/>
  <c r="E147" i="11"/>
  <c r="D147" i="11"/>
  <c r="C147" i="11"/>
  <c r="B147" i="11"/>
  <c r="M146" i="11"/>
  <c r="L146" i="11"/>
  <c r="K146" i="11"/>
  <c r="J146" i="11"/>
  <c r="I146" i="11"/>
  <c r="F146" i="11"/>
  <c r="E146" i="11"/>
  <c r="D146" i="11"/>
  <c r="C146" i="11"/>
  <c r="B146" i="11"/>
  <c r="M143" i="11"/>
  <c r="I143" i="11"/>
  <c r="F143" i="11"/>
  <c r="B143" i="11"/>
  <c r="M142" i="11"/>
  <c r="I142" i="11"/>
  <c r="F142" i="11"/>
  <c r="B142" i="11"/>
  <c r="M139" i="11"/>
  <c r="K139" i="11"/>
  <c r="I139" i="11"/>
  <c r="F139" i="11"/>
  <c r="D139" i="11"/>
  <c r="B139" i="11"/>
  <c r="L136" i="11"/>
  <c r="E136" i="11"/>
  <c r="M134" i="11"/>
  <c r="L134" i="11"/>
  <c r="K134" i="11"/>
  <c r="J134" i="11"/>
  <c r="I134" i="11"/>
  <c r="E134" i="11"/>
  <c r="D134" i="11"/>
  <c r="C134" i="11"/>
  <c r="B134" i="11"/>
  <c r="M133" i="11"/>
  <c r="L133" i="11"/>
  <c r="K133" i="11"/>
  <c r="J133" i="11"/>
  <c r="I133" i="11"/>
  <c r="E133" i="11"/>
  <c r="D133" i="11"/>
  <c r="C133" i="11"/>
  <c r="B133" i="11"/>
  <c r="M132" i="11"/>
  <c r="L132" i="11"/>
  <c r="K132" i="11"/>
  <c r="J132" i="11"/>
  <c r="I132" i="11"/>
  <c r="E132" i="11"/>
  <c r="D132" i="11"/>
  <c r="C132" i="11"/>
  <c r="B132" i="11"/>
  <c r="M131" i="11"/>
  <c r="L131" i="11"/>
  <c r="K131" i="11"/>
  <c r="J131" i="11"/>
  <c r="I131" i="11"/>
  <c r="E131" i="11"/>
  <c r="D131" i="11"/>
  <c r="C131" i="11"/>
  <c r="B131" i="11"/>
  <c r="M130" i="11"/>
  <c r="L130" i="11"/>
  <c r="K130" i="11"/>
  <c r="J130" i="11"/>
  <c r="I130" i="11"/>
  <c r="E130" i="11"/>
  <c r="D130" i="11"/>
  <c r="C130" i="11"/>
  <c r="B130" i="11"/>
  <c r="M129" i="11"/>
  <c r="L129" i="11"/>
  <c r="K129" i="11"/>
  <c r="J129" i="11"/>
  <c r="I129" i="11"/>
  <c r="E129" i="11"/>
  <c r="D129" i="11"/>
  <c r="C129" i="11"/>
  <c r="B129" i="11"/>
  <c r="M126" i="11"/>
  <c r="I126" i="11"/>
  <c r="F126" i="11"/>
  <c r="B126" i="11"/>
  <c r="M125" i="11"/>
  <c r="I125" i="11"/>
  <c r="F125" i="11"/>
  <c r="B125" i="11"/>
  <c r="M122" i="11"/>
  <c r="K122" i="11"/>
  <c r="I122" i="11"/>
  <c r="F122" i="11"/>
  <c r="D122" i="11"/>
  <c r="B122" i="11"/>
  <c r="L119" i="11"/>
  <c r="E119" i="11"/>
  <c r="M117" i="11"/>
  <c r="L117" i="11"/>
  <c r="K117" i="11"/>
  <c r="J117" i="11"/>
  <c r="I117" i="11"/>
  <c r="E117" i="11"/>
  <c r="D117" i="11"/>
  <c r="C117" i="11"/>
  <c r="B117" i="11"/>
  <c r="M116" i="11"/>
  <c r="L116" i="11"/>
  <c r="K116" i="11"/>
  <c r="J116" i="11"/>
  <c r="I116" i="11"/>
  <c r="E116" i="11"/>
  <c r="D116" i="11"/>
  <c r="C116" i="11"/>
  <c r="B116" i="11"/>
  <c r="M115" i="11"/>
  <c r="L115" i="11"/>
  <c r="K115" i="11"/>
  <c r="J115" i="11"/>
  <c r="I115" i="11"/>
  <c r="E115" i="11"/>
  <c r="D115" i="11"/>
  <c r="C115" i="11"/>
  <c r="B115" i="11"/>
  <c r="L114" i="11"/>
  <c r="K114" i="11"/>
  <c r="J114" i="11"/>
  <c r="I114" i="11"/>
  <c r="E114" i="11"/>
  <c r="D114" i="11"/>
  <c r="C114" i="11"/>
  <c r="B114" i="11"/>
  <c r="M113" i="11"/>
  <c r="L113" i="11"/>
  <c r="K113" i="11"/>
  <c r="J113" i="11"/>
  <c r="I113" i="11"/>
  <c r="E113" i="11"/>
  <c r="D113" i="11"/>
  <c r="C113" i="11"/>
  <c r="B113" i="11"/>
  <c r="M112" i="11"/>
  <c r="L112" i="11"/>
  <c r="M114" i="11" s="1"/>
  <c r="K112" i="11"/>
  <c r="J112" i="11"/>
  <c r="I112" i="11"/>
  <c r="E112" i="11"/>
  <c r="D112" i="11"/>
  <c r="C112" i="11"/>
  <c r="B112" i="11"/>
  <c r="M109" i="11"/>
  <c r="I109" i="11"/>
  <c r="F109" i="11"/>
  <c r="B109" i="11"/>
  <c r="M108" i="11"/>
  <c r="I108" i="11"/>
  <c r="F108" i="11"/>
  <c r="B108" i="11"/>
  <c r="M105" i="11"/>
  <c r="K105" i="11"/>
  <c r="I105" i="11"/>
  <c r="F105" i="11"/>
  <c r="D105" i="11"/>
  <c r="B105" i="11"/>
  <c r="L102" i="11"/>
  <c r="E102" i="11"/>
  <c r="L100" i="11"/>
  <c r="K100" i="11"/>
  <c r="J100" i="11"/>
  <c r="I100" i="11"/>
  <c r="F100" i="11"/>
  <c r="E100" i="11"/>
  <c r="D100" i="11"/>
  <c r="C100" i="11"/>
  <c r="B100" i="11"/>
  <c r="L99" i="11"/>
  <c r="K99" i="11"/>
  <c r="J99" i="11"/>
  <c r="I99" i="11"/>
  <c r="F99" i="11"/>
  <c r="E99" i="11"/>
  <c r="D99" i="11"/>
  <c r="C99" i="11"/>
  <c r="B99" i="11"/>
  <c r="L98" i="11"/>
  <c r="K98" i="11"/>
  <c r="J98" i="11"/>
  <c r="I98" i="11"/>
  <c r="E98" i="11"/>
  <c r="D98" i="11"/>
  <c r="C98" i="11"/>
  <c r="B98" i="11"/>
  <c r="L97" i="11"/>
  <c r="K97" i="11"/>
  <c r="J97" i="11"/>
  <c r="I97" i="11"/>
  <c r="F97" i="11"/>
  <c r="E97" i="11"/>
  <c r="D97" i="11"/>
  <c r="C97" i="11"/>
  <c r="B97" i="11"/>
  <c r="L96" i="11"/>
  <c r="K96" i="11"/>
  <c r="J96" i="11"/>
  <c r="I96" i="11"/>
  <c r="F96" i="11"/>
  <c r="E96" i="11"/>
  <c r="D96" i="11"/>
  <c r="C96" i="11"/>
  <c r="B96" i="11"/>
  <c r="L95" i="11"/>
  <c r="M99" i="11" s="1"/>
  <c r="K95" i="11"/>
  <c r="J95" i="11"/>
  <c r="I95" i="11"/>
  <c r="F95" i="11"/>
  <c r="E95" i="11"/>
  <c r="F98" i="11" s="1"/>
  <c r="D95" i="11"/>
  <c r="C95" i="11"/>
  <c r="B95" i="11"/>
  <c r="M92" i="11"/>
  <c r="I92" i="11"/>
  <c r="F92" i="11"/>
  <c r="B92" i="11"/>
  <c r="M91" i="11"/>
  <c r="I91" i="11"/>
  <c r="F91" i="11"/>
  <c r="B91" i="11"/>
  <c r="M88" i="11"/>
  <c r="K88" i="11"/>
  <c r="I88" i="11"/>
  <c r="F88" i="11"/>
  <c r="D88" i="11"/>
  <c r="B88" i="11"/>
  <c r="L85" i="11"/>
  <c r="E85" i="11"/>
  <c r="L83" i="11"/>
  <c r="K83" i="11"/>
  <c r="J83" i="11"/>
  <c r="I83" i="11"/>
  <c r="F83" i="11"/>
  <c r="E83" i="11"/>
  <c r="D83" i="11"/>
  <c r="C83" i="11"/>
  <c r="B83" i="11"/>
  <c r="L82" i="11"/>
  <c r="K82" i="11"/>
  <c r="J82" i="11"/>
  <c r="I82" i="11"/>
  <c r="F82" i="11"/>
  <c r="E82" i="11"/>
  <c r="D82" i="11"/>
  <c r="C82" i="11"/>
  <c r="B82" i="11"/>
  <c r="L81" i="11"/>
  <c r="K81" i="11"/>
  <c r="J81" i="11"/>
  <c r="I81" i="11"/>
  <c r="F81" i="11"/>
  <c r="E81" i="11"/>
  <c r="D81" i="11"/>
  <c r="C81" i="11"/>
  <c r="B81" i="11"/>
  <c r="L80" i="11"/>
  <c r="K80" i="11"/>
  <c r="J80" i="11"/>
  <c r="I80" i="11"/>
  <c r="F80" i="11"/>
  <c r="E80" i="11"/>
  <c r="D80" i="11"/>
  <c r="C80" i="11"/>
  <c r="B80" i="11"/>
  <c r="L79" i="11"/>
  <c r="K79" i="11"/>
  <c r="J79" i="11"/>
  <c r="I79" i="11"/>
  <c r="E79" i="11"/>
  <c r="D79" i="11"/>
  <c r="C79" i="11"/>
  <c r="B79" i="11"/>
  <c r="L78" i="11"/>
  <c r="K78" i="11"/>
  <c r="J78" i="11"/>
  <c r="I78" i="11"/>
  <c r="F78" i="11"/>
  <c r="E78" i="11"/>
  <c r="F79" i="11" s="1"/>
  <c r="D78" i="11"/>
  <c r="C78" i="11"/>
  <c r="B78" i="11"/>
  <c r="M75" i="11"/>
  <c r="I75" i="11"/>
  <c r="F75" i="11"/>
  <c r="B75" i="11"/>
  <c r="M74" i="11"/>
  <c r="I74" i="11"/>
  <c r="F74" i="11"/>
  <c r="B74" i="11"/>
  <c r="M71" i="11"/>
  <c r="K71" i="11"/>
  <c r="I71" i="11"/>
  <c r="F71" i="11"/>
  <c r="D71" i="11"/>
  <c r="B71" i="11"/>
  <c r="L68" i="11"/>
  <c r="E68" i="11"/>
  <c r="L66" i="11"/>
  <c r="K66" i="11"/>
  <c r="J66" i="11"/>
  <c r="I66" i="11"/>
  <c r="F66" i="11"/>
  <c r="E66" i="11"/>
  <c r="D66" i="11"/>
  <c r="C66" i="11"/>
  <c r="B66" i="11"/>
  <c r="L65" i="11"/>
  <c r="K65" i="11"/>
  <c r="J65" i="11"/>
  <c r="I65" i="11"/>
  <c r="E65" i="11"/>
  <c r="D65" i="11"/>
  <c r="C65" i="11"/>
  <c r="B65" i="11"/>
  <c r="M64" i="11"/>
  <c r="L64" i="11"/>
  <c r="K64" i="11"/>
  <c r="J64" i="11"/>
  <c r="I64" i="11"/>
  <c r="F64" i="11"/>
  <c r="E64" i="11"/>
  <c r="D64" i="11"/>
  <c r="C64" i="11"/>
  <c r="B64" i="11"/>
  <c r="M63" i="11"/>
  <c r="L63" i="11"/>
  <c r="K63" i="11"/>
  <c r="J63" i="11"/>
  <c r="I63" i="11"/>
  <c r="E63" i="11"/>
  <c r="D63" i="11"/>
  <c r="C63" i="11"/>
  <c r="B63" i="11"/>
  <c r="M62" i="11"/>
  <c r="L62" i="11"/>
  <c r="K62" i="11"/>
  <c r="J62" i="11"/>
  <c r="I62" i="11"/>
  <c r="F62" i="11"/>
  <c r="E62" i="11"/>
  <c r="D62" i="11"/>
  <c r="C62" i="11"/>
  <c r="B62" i="11"/>
  <c r="M61" i="11"/>
  <c r="L61" i="11"/>
  <c r="M66" i="11" s="1"/>
  <c r="K61" i="11"/>
  <c r="J61" i="11"/>
  <c r="I61" i="11"/>
  <c r="E61" i="11"/>
  <c r="D61" i="11"/>
  <c r="C61" i="11"/>
  <c r="B61" i="11"/>
  <c r="M58" i="11"/>
  <c r="I58" i="11"/>
  <c r="F58" i="11"/>
  <c r="B58" i="11"/>
  <c r="M57" i="11"/>
  <c r="I57" i="11"/>
  <c r="F57" i="11"/>
  <c r="B57" i="11"/>
  <c r="M54" i="11"/>
  <c r="K54" i="11"/>
  <c r="I54" i="11"/>
  <c r="B54" i="11"/>
  <c r="L51" i="11"/>
  <c r="L49" i="11"/>
  <c r="K49" i="11"/>
  <c r="J49" i="11"/>
  <c r="I49" i="11"/>
  <c r="E49" i="11"/>
  <c r="D49" i="11"/>
  <c r="C49" i="11"/>
  <c r="B49" i="11"/>
  <c r="M48" i="11"/>
  <c r="L48" i="11"/>
  <c r="K48" i="11"/>
  <c r="J48" i="11"/>
  <c r="I48" i="11"/>
  <c r="E48" i="11"/>
  <c r="D48" i="11"/>
  <c r="C48" i="11"/>
  <c r="B48" i="11"/>
  <c r="L47" i="11"/>
  <c r="K47" i="11"/>
  <c r="J47" i="11"/>
  <c r="I47" i="11"/>
  <c r="E47" i="11"/>
  <c r="F47" i="11" s="1"/>
  <c r="D47" i="11"/>
  <c r="C47" i="11"/>
  <c r="B47" i="11"/>
  <c r="M46" i="11"/>
  <c r="L46" i="11"/>
  <c r="K46" i="11"/>
  <c r="J46" i="11"/>
  <c r="I46" i="11"/>
  <c r="D46" i="11"/>
  <c r="C46" i="11"/>
  <c r="B46" i="11"/>
  <c r="L45" i="11"/>
  <c r="K45" i="11"/>
  <c r="J45" i="11"/>
  <c r="I45" i="11"/>
  <c r="E45" i="11"/>
  <c r="F45" i="11" s="1"/>
  <c r="D45" i="11"/>
  <c r="C45" i="11"/>
  <c r="B45" i="11"/>
  <c r="L44" i="11"/>
  <c r="K44" i="11"/>
  <c r="J44" i="11"/>
  <c r="I44" i="11"/>
  <c r="E44" i="11"/>
  <c r="D44" i="11"/>
  <c r="C44" i="11"/>
  <c r="B44" i="11"/>
  <c r="M41" i="11"/>
  <c r="I41" i="11"/>
  <c r="B41" i="11"/>
  <c r="M40" i="11"/>
  <c r="I40" i="11"/>
  <c r="B40" i="11"/>
  <c r="K37" i="11"/>
  <c r="F37" i="11"/>
  <c r="D37" i="11"/>
  <c r="B37" i="11"/>
  <c r="K32" i="11"/>
  <c r="J32" i="11"/>
  <c r="I32" i="11"/>
  <c r="D32" i="11"/>
  <c r="C32" i="11"/>
  <c r="B32" i="11"/>
  <c r="K31" i="11"/>
  <c r="J31" i="11"/>
  <c r="I31" i="11"/>
  <c r="E31" i="11"/>
  <c r="D31" i="11"/>
  <c r="C31" i="11"/>
  <c r="B31" i="11"/>
  <c r="K30" i="11"/>
  <c r="J30" i="11"/>
  <c r="I30" i="11"/>
  <c r="D30" i="11"/>
  <c r="C30" i="11"/>
  <c r="B30" i="11"/>
  <c r="L29" i="11"/>
  <c r="K29" i="11"/>
  <c r="J29" i="11"/>
  <c r="I29" i="11"/>
  <c r="D29" i="11"/>
  <c r="C29" i="11"/>
  <c r="B29" i="11"/>
  <c r="L28" i="11"/>
  <c r="K28" i="11"/>
  <c r="J28" i="11"/>
  <c r="I28" i="11"/>
  <c r="D28" i="11"/>
  <c r="C28" i="11"/>
  <c r="B28" i="11"/>
  <c r="M27" i="11"/>
  <c r="L27" i="11"/>
  <c r="M29" i="11" s="1"/>
  <c r="K27" i="11"/>
  <c r="J27" i="11"/>
  <c r="I27" i="11"/>
  <c r="D27" i="11"/>
  <c r="C27" i="11"/>
  <c r="B27" i="11"/>
  <c r="I24" i="11"/>
  <c r="B24" i="11"/>
  <c r="I23" i="11"/>
  <c r="B23" i="11"/>
  <c r="M20" i="11"/>
  <c r="K20" i="11"/>
  <c r="I20" i="11"/>
  <c r="F20" i="11"/>
  <c r="D20" i="11"/>
  <c r="B20" i="11"/>
  <c r="K15" i="11"/>
  <c r="J15" i="11"/>
  <c r="I15" i="11"/>
  <c r="D15" i="11"/>
  <c r="C15" i="11"/>
  <c r="B15" i="11"/>
  <c r="L14" i="11"/>
  <c r="K14" i="11"/>
  <c r="J14" i="11"/>
  <c r="I14" i="11"/>
  <c r="E14" i="11"/>
  <c r="D14" i="11"/>
  <c r="C14" i="11"/>
  <c r="B14" i="11"/>
  <c r="L13" i="11"/>
  <c r="K13" i="11"/>
  <c r="J13" i="11"/>
  <c r="I13" i="11"/>
  <c r="E13" i="11"/>
  <c r="F14" i="11" s="1"/>
  <c r="D13" i="11"/>
  <c r="C13" i="11"/>
  <c r="B13" i="11"/>
  <c r="K12" i="11"/>
  <c r="J12" i="11"/>
  <c r="I12" i="11"/>
  <c r="E12" i="11"/>
  <c r="D12" i="11"/>
  <c r="C12" i="11"/>
  <c r="B12" i="11"/>
  <c r="K11" i="11"/>
  <c r="J11" i="11"/>
  <c r="I11" i="11"/>
  <c r="E11" i="11"/>
  <c r="D11" i="11"/>
  <c r="C11" i="11"/>
  <c r="B11" i="11"/>
  <c r="M10" i="11"/>
  <c r="L10" i="11"/>
  <c r="K10" i="11"/>
  <c r="J10" i="11"/>
  <c r="I10" i="11"/>
  <c r="E10" i="11"/>
  <c r="F12" i="11" s="1"/>
  <c r="D10" i="11"/>
  <c r="C10" i="11"/>
  <c r="B10" i="11"/>
  <c r="I7" i="11"/>
  <c r="F7" i="11"/>
  <c r="B7" i="11"/>
  <c r="I6" i="11"/>
  <c r="B6" i="11"/>
  <c r="AX43" i="10"/>
  <c r="AW43" i="10"/>
  <c r="J131" i="12" s="1"/>
  <c r="AP43" i="10"/>
  <c r="J130" i="12" s="1"/>
  <c r="AI43" i="10"/>
  <c r="AB43" i="10"/>
  <c r="J128" i="12" s="1"/>
  <c r="U43" i="10"/>
  <c r="N43" i="10"/>
  <c r="AX41" i="10"/>
  <c r="A133" i="12" s="1"/>
  <c r="AW41" i="10"/>
  <c r="H131" i="12" s="1"/>
  <c r="AP41" i="10"/>
  <c r="AI41" i="10"/>
  <c r="AB41" i="10"/>
  <c r="U41" i="10"/>
  <c r="N41" i="10"/>
  <c r="H126" i="12" s="1"/>
  <c r="AX38" i="10"/>
  <c r="AW38" i="10"/>
  <c r="AP38" i="10"/>
  <c r="J113" i="12" s="1"/>
  <c r="AI38" i="10"/>
  <c r="I112" i="12" s="1"/>
  <c r="AB38" i="10"/>
  <c r="J111" i="12" s="1"/>
  <c r="U38" i="10"/>
  <c r="J110" i="12" s="1"/>
  <c r="N38" i="10"/>
  <c r="AX36" i="10" s="1"/>
  <c r="AZ36" i="10" s="1"/>
  <c r="AW36" i="10"/>
  <c r="I114" i="12" s="1"/>
  <c r="AP36" i="10"/>
  <c r="AI36" i="10"/>
  <c r="AB36" i="10"/>
  <c r="U36" i="10"/>
  <c r="N36" i="10"/>
  <c r="AW33" i="10"/>
  <c r="AP33" i="10"/>
  <c r="AI33" i="10"/>
  <c r="J95" i="12" s="1"/>
  <c r="AB33" i="10"/>
  <c r="J94" i="12" s="1"/>
  <c r="U33" i="10"/>
  <c r="N33" i="10"/>
  <c r="J92" i="12" s="1"/>
  <c r="AW31" i="10"/>
  <c r="AP31" i="10"/>
  <c r="AI31" i="10"/>
  <c r="AB31" i="10"/>
  <c r="H94" i="12" s="1"/>
  <c r="U31" i="10"/>
  <c r="H93" i="12" s="1"/>
  <c r="N31" i="10"/>
  <c r="AW28" i="10"/>
  <c r="AP28" i="10"/>
  <c r="AI28" i="10"/>
  <c r="J78" i="12" s="1"/>
  <c r="AB28" i="10"/>
  <c r="J77" i="12" s="1"/>
  <c r="U28" i="10"/>
  <c r="N28" i="10"/>
  <c r="AW26" i="10"/>
  <c r="AP26" i="10"/>
  <c r="AI26" i="10"/>
  <c r="I78" i="12" s="1"/>
  <c r="AB26" i="10"/>
  <c r="U26" i="10"/>
  <c r="N26" i="10"/>
  <c r="CZ23" i="10"/>
  <c r="J199" i="12" s="1"/>
  <c r="CS23" i="10"/>
  <c r="J198" i="12" s="1"/>
  <c r="CL23" i="10"/>
  <c r="CE23" i="10"/>
  <c r="BX23" i="10"/>
  <c r="J195" i="12" s="1"/>
  <c r="BQ23" i="10"/>
  <c r="AW23" i="10"/>
  <c r="AP23" i="10"/>
  <c r="J62" i="12" s="1"/>
  <c r="AI23" i="10"/>
  <c r="J61" i="12" s="1"/>
  <c r="AB23" i="10"/>
  <c r="J60" i="12" s="1"/>
  <c r="U23" i="10"/>
  <c r="N23" i="10"/>
  <c r="J58" i="12" s="1"/>
  <c r="CZ21" i="10"/>
  <c r="H199" i="12" s="1"/>
  <c r="CS21" i="10"/>
  <c r="CL21" i="10"/>
  <c r="CE21" i="10"/>
  <c r="BX21" i="10"/>
  <c r="BQ21" i="10"/>
  <c r="AX21" i="10"/>
  <c r="AW21" i="10"/>
  <c r="AP21" i="10"/>
  <c r="AI21" i="10"/>
  <c r="AB21" i="10"/>
  <c r="U21" i="10"/>
  <c r="N21" i="10"/>
  <c r="I58" i="12" s="1"/>
  <c r="CZ18" i="10"/>
  <c r="J182" i="12" s="1"/>
  <c r="CS18" i="10"/>
  <c r="CL18" i="10"/>
  <c r="J180" i="12" s="1"/>
  <c r="CE18" i="10"/>
  <c r="BX18" i="10"/>
  <c r="J178" i="12" s="1"/>
  <c r="BQ18" i="10"/>
  <c r="I177" i="12" s="1"/>
  <c r="AW18" i="10"/>
  <c r="AP18" i="10"/>
  <c r="AI18" i="10"/>
  <c r="AB18" i="10"/>
  <c r="U18" i="10"/>
  <c r="J42" i="12" s="1"/>
  <c r="N18" i="10"/>
  <c r="J41" i="12" s="1"/>
  <c r="CZ16" i="10"/>
  <c r="CS16" i="10"/>
  <c r="CL16" i="10"/>
  <c r="CE16" i="10"/>
  <c r="I179" i="12" s="1"/>
  <c r="BX16" i="10"/>
  <c r="BQ16" i="10"/>
  <c r="H177" i="12" s="1"/>
  <c r="AW16" i="10"/>
  <c r="AP16" i="10"/>
  <c r="AI16" i="10"/>
  <c r="AB16" i="10"/>
  <c r="U16" i="10"/>
  <c r="N16" i="10"/>
  <c r="HL13" i="10"/>
  <c r="HF13" i="10"/>
  <c r="GY13" i="10"/>
  <c r="GR13" i="10"/>
  <c r="GK13" i="10"/>
  <c r="GD13" i="10"/>
  <c r="FW13" i="10"/>
  <c r="FC13" i="10"/>
  <c r="J233" i="12" s="1"/>
  <c r="EV13" i="10"/>
  <c r="I232" i="12" s="1"/>
  <c r="EO13" i="10"/>
  <c r="J231" i="12" s="1"/>
  <c r="EH13" i="10"/>
  <c r="EA13" i="10"/>
  <c r="J229" i="12" s="1"/>
  <c r="DT13" i="10"/>
  <c r="J228" i="12" s="1"/>
  <c r="CZ13" i="10"/>
  <c r="J165" i="12" s="1"/>
  <c r="CS13" i="10"/>
  <c r="J164" i="12" s="1"/>
  <c r="CL13" i="10"/>
  <c r="CE13" i="10"/>
  <c r="BX13" i="10"/>
  <c r="J161" i="12" s="1"/>
  <c r="BQ13" i="10"/>
  <c r="AW13" i="10"/>
  <c r="J267" i="12" s="1"/>
  <c r="AP13" i="10"/>
  <c r="AI13" i="10"/>
  <c r="J265" i="12" s="1"/>
  <c r="AB13" i="10"/>
  <c r="U13" i="10"/>
  <c r="N13" i="10"/>
  <c r="HL11" i="10"/>
  <c r="HF11" i="10"/>
  <c r="GY11" i="10"/>
  <c r="GR11" i="10"/>
  <c r="GK11" i="10"/>
  <c r="GD11" i="10"/>
  <c r="FW11" i="10"/>
  <c r="FC11" i="10"/>
  <c r="EV11" i="10"/>
  <c r="H232" i="12" s="1"/>
  <c r="EO11" i="10"/>
  <c r="H231" i="12" s="1"/>
  <c r="EH11" i="10"/>
  <c r="H230" i="12" s="1"/>
  <c r="EA11" i="10"/>
  <c r="I229" i="12" s="1"/>
  <c r="DT11" i="10"/>
  <c r="CZ11" i="10"/>
  <c r="CS11" i="10"/>
  <c r="I164" i="12" s="1"/>
  <c r="CL11" i="10"/>
  <c r="CE11" i="10"/>
  <c r="I162" i="12" s="1"/>
  <c r="BX11" i="10"/>
  <c r="BQ11" i="10"/>
  <c r="AW11" i="10"/>
  <c r="H267" i="12" s="1"/>
  <c r="AP11" i="10"/>
  <c r="H28" i="12" s="1"/>
  <c r="AI11" i="10"/>
  <c r="AB11" i="10"/>
  <c r="U11" i="10"/>
  <c r="N11" i="10"/>
  <c r="HF8" i="10"/>
  <c r="J250" i="12" s="1"/>
  <c r="GY8" i="10"/>
  <c r="GR8" i="10"/>
  <c r="GK8" i="10"/>
  <c r="GD8" i="10"/>
  <c r="FW8" i="10"/>
  <c r="J245" i="12" s="1"/>
  <c r="FC8" i="10"/>
  <c r="EV8" i="10"/>
  <c r="EO8" i="10"/>
  <c r="J214" i="12" s="1"/>
  <c r="EH8" i="10"/>
  <c r="J213" i="12" s="1"/>
  <c r="EA8" i="10"/>
  <c r="J212" i="12" s="1"/>
  <c r="DT8" i="10"/>
  <c r="J211" i="12" s="1"/>
  <c r="CZ8" i="10"/>
  <c r="J148" i="12" s="1"/>
  <c r="CS8" i="10"/>
  <c r="CL8" i="10"/>
  <c r="J146" i="12" s="1"/>
  <c r="CE8" i="10"/>
  <c r="BX8" i="10"/>
  <c r="J144" i="12" s="1"/>
  <c r="BQ8" i="10"/>
  <c r="AW8" i="10"/>
  <c r="AP8" i="10"/>
  <c r="AI8" i="10"/>
  <c r="J10" i="12" s="1"/>
  <c r="AB8" i="10"/>
  <c r="J9" i="12" s="1"/>
  <c r="U8" i="10"/>
  <c r="N8" i="10"/>
  <c r="HF6" i="10"/>
  <c r="GY6" i="10"/>
  <c r="GR6" i="10"/>
  <c r="I248" i="12" s="1"/>
  <c r="GK6" i="10"/>
  <c r="H247" i="12" s="1"/>
  <c r="GD6" i="10"/>
  <c r="I246" i="12" s="1"/>
  <c r="FW6" i="10"/>
  <c r="FC6" i="10"/>
  <c r="I216" i="12" s="1"/>
  <c r="EV6" i="10"/>
  <c r="EO6" i="10"/>
  <c r="EH6" i="10"/>
  <c r="EA6" i="10"/>
  <c r="I212" i="12" s="1"/>
  <c r="DT6" i="10"/>
  <c r="CZ6" i="10"/>
  <c r="CS6" i="10"/>
  <c r="I147" i="12" s="1"/>
  <c r="CL6" i="10"/>
  <c r="CE6" i="10"/>
  <c r="BX6" i="10"/>
  <c r="BQ6" i="10"/>
  <c r="AW6" i="10"/>
  <c r="AP6" i="10"/>
  <c r="I11" i="12" s="1"/>
  <c r="AI6" i="10"/>
  <c r="AB6" i="10"/>
  <c r="I9" i="12" s="1"/>
  <c r="U6" i="10"/>
  <c r="I8" i="12" s="1"/>
  <c r="N6" i="10"/>
  <c r="K37" i="9"/>
  <c r="I37" i="9"/>
  <c r="G37" i="9"/>
  <c r="F37" i="9"/>
  <c r="E37" i="9"/>
  <c r="H37" i="9" s="1"/>
  <c r="D37" i="9"/>
  <c r="C37" i="9"/>
  <c r="B37" i="9"/>
  <c r="A37" i="9"/>
  <c r="I36" i="9"/>
  <c r="F36" i="9"/>
  <c r="E36" i="9"/>
  <c r="H36" i="9" s="1"/>
  <c r="D36" i="9"/>
  <c r="M36" i="9" s="1"/>
  <c r="B36" i="9"/>
  <c r="M35" i="9"/>
  <c r="K35" i="9"/>
  <c r="J35" i="9"/>
  <c r="I35" i="9"/>
  <c r="F35" i="9"/>
  <c r="E35" i="9"/>
  <c r="H35" i="9" s="1"/>
  <c r="D35" i="9"/>
  <c r="C35" i="9"/>
  <c r="B35" i="9"/>
  <c r="K34" i="9"/>
  <c r="J34" i="9"/>
  <c r="I34" i="9"/>
  <c r="H34" i="9"/>
  <c r="F34" i="9"/>
  <c r="E34" i="9"/>
  <c r="D34" i="9"/>
  <c r="C34" i="9"/>
  <c r="B34" i="9"/>
  <c r="A34" i="9"/>
  <c r="K33" i="9"/>
  <c r="I33" i="9"/>
  <c r="F33" i="9"/>
  <c r="E33" i="9"/>
  <c r="H33" i="9" s="1"/>
  <c r="D33" i="9"/>
  <c r="C33" i="9"/>
  <c r="B33" i="9"/>
  <c r="A33" i="9"/>
  <c r="K32" i="9"/>
  <c r="I32" i="9"/>
  <c r="F32" i="9"/>
  <c r="E32" i="9"/>
  <c r="H32" i="9" s="1"/>
  <c r="D32" i="9"/>
  <c r="B32" i="9"/>
  <c r="K31" i="9"/>
  <c r="J31" i="9"/>
  <c r="G31" i="9"/>
  <c r="F31" i="9"/>
  <c r="I31" i="9" s="1"/>
  <c r="E31" i="9"/>
  <c r="H31" i="9" s="1"/>
  <c r="D31" i="9"/>
  <c r="M31" i="9" s="1"/>
  <c r="C31" i="9"/>
  <c r="B31" i="9"/>
  <c r="A31" i="9"/>
  <c r="M30" i="9"/>
  <c r="K30" i="9"/>
  <c r="J30" i="9"/>
  <c r="I30" i="9"/>
  <c r="F30" i="9"/>
  <c r="E30" i="9"/>
  <c r="H30" i="9" s="1"/>
  <c r="D30" i="9"/>
  <c r="G30" i="9" s="1"/>
  <c r="C30" i="9"/>
  <c r="B30" i="9"/>
  <c r="A30" i="9"/>
  <c r="H29" i="9"/>
  <c r="F29" i="9"/>
  <c r="I29" i="9" s="1"/>
  <c r="E29" i="9"/>
  <c r="D29" i="9"/>
  <c r="G29" i="9" s="1"/>
  <c r="C29" i="9"/>
  <c r="B29" i="9"/>
  <c r="K28" i="9"/>
  <c r="J28" i="9"/>
  <c r="I28" i="9"/>
  <c r="F28" i="9"/>
  <c r="E28" i="9"/>
  <c r="H28" i="9" s="1"/>
  <c r="D28" i="9"/>
  <c r="C28" i="9"/>
  <c r="B28" i="9"/>
  <c r="M27" i="9"/>
  <c r="J27" i="9"/>
  <c r="I27" i="9"/>
  <c r="F27" i="9"/>
  <c r="E27" i="9"/>
  <c r="H27" i="9" s="1"/>
  <c r="D27" i="9"/>
  <c r="C27" i="9"/>
  <c r="B27" i="9"/>
  <c r="M26" i="9"/>
  <c r="I26" i="9"/>
  <c r="H26" i="9"/>
  <c r="G26" i="9"/>
  <c r="F26" i="9"/>
  <c r="E26" i="9"/>
  <c r="D26" i="9"/>
  <c r="C26" i="9"/>
  <c r="B26" i="9"/>
  <c r="J25" i="9"/>
  <c r="H25" i="9"/>
  <c r="G25" i="9"/>
  <c r="F25" i="9"/>
  <c r="I25" i="9" s="1"/>
  <c r="E25" i="9"/>
  <c r="D25" i="9"/>
  <c r="A25" i="9"/>
  <c r="M24" i="9"/>
  <c r="K24" i="9"/>
  <c r="I24" i="9"/>
  <c r="H24" i="9"/>
  <c r="F24" i="9"/>
  <c r="E24" i="9"/>
  <c r="D24" i="9"/>
  <c r="C24" i="9"/>
  <c r="B24" i="9"/>
  <c r="A24" i="9"/>
  <c r="I23" i="9"/>
  <c r="H23" i="9"/>
  <c r="F23" i="9"/>
  <c r="E23" i="9"/>
  <c r="D23" i="9"/>
  <c r="M23" i="9" s="1"/>
  <c r="B23" i="9"/>
  <c r="K22" i="9"/>
  <c r="J22" i="9"/>
  <c r="I22" i="9"/>
  <c r="H22" i="9"/>
  <c r="F22" i="9"/>
  <c r="E22" i="9"/>
  <c r="D22" i="9"/>
  <c r="B22" i="9"/>
  <c r="A22" i="9"/>
  <c r="I21" i="9"/>
  <c r="F21" i="9"/>
  <c r="E21" i="9"/>
  <c r="H21" i="9" s="1"/>
  <c r="D21" i="9"/>
  <c r="C21" i="9" s="1"/>
  <c r="B21" i="9"/>
  <c r="A21" i="9"/>
  <c r="M20" i="9"/>
  <c r="K20" i="9"/>
  <c r="H20" i="9"/>
  <c r="F20" i="9"/>
  <c r="I20" i="9" s="1"/>
  <c r="E20" i="9"/>
  <c r="D20" i="9"/>
  <c r="G20" i="9" s="1"/>
  <c r="F19" i="9"/>
  <c r="I19" i="9" s="1"/>
  <c r="E19" i="9"/>
  <c r="H19" i="9" s="1"/>
  <c r="D19" i="9"/>
  <c r="C19" i="9"/>
  <c r="B19" i="9"/>
  <c r="A19" i="9"/>
  <c r="M18" i="9"/>
  <c r="K18" i="9"/>
  <c r="J18" i="9"/>
  <c r="I18" i="9"/>
  <c r="H18" i="9"/>
  <c r="F18" i="9"/>
  <c r="E18" i="9"/>
  <c r="D18" i="9"/>
  <c r="B18" i="9"/>
  <c r="A18" i="9"/>
  <c r="J17" i="9"/>
  <c r="G17" i="9"/>
  <c r="F17" i="9"/>
  <c r="I17" i="9" s="1"/>
  <c r="E17" i="9"/>
  <c r="H17" i="9" s="1"/>
  <c r="D17" i="9"/>
  <c r="I16" i="9"/>
  <c r="F16" i="9"/>
  <c r="E16" i="9"/>
  <c r="H16" i="9" s="1"/>
  <c r="D16" i="9"/>
  <c r="C16" i="9" s="1"/>
  <c r="B16" i="9"/>
  <c r="A16" i="9"/>
  <c r="M15" i="9"/>
  <c r="I15" i="9"/>
  <c r="F15" i="9"/>
  <c r="E15" i="9"/>
  <c r="H15" i="9" s="1"/>
  <c r="D15" i="9"/>
  <c r="F14" i="9"/>
  <c r="I14" i="9" s="1"/>
  <c r="E14" i="9"/>
  <c r="H14" i="9" s="1"/>
  <c r="D14" i="9"/>
  <c r="C14" i="9" s="1"/>
  <c r="K13" i="9"/>
  <c r="J13" i="9"/>
  <c r="H13" i="9"/>
  <c r="G13" i="9"/>
  <c r="F13" i="9"/>
  <c r="I13" i="9" s="1"/>
  <c r="E13" i="9"/>
  <c r="D13" i="9"/>
  <c r="M13" i="9" s="1"/>
  <c r="C13" i="9"/>
  <c r="B13" i="9"/>
  <c r="A13" i="9"/>
  <c r="M12" i="9"/>
  <c r="J12" i="9"/>
  <c r="I12" i="9"/>
  <c r="F12" i="9"/>
  <c r="E12" i="9"/>
  <c r="H12" i="9" s="1"/>
  <c r="D12" i="9"/>
  <c r="C12" i="9" s="1"/>
  <c r="A12" i="9"/>
  <c r="M11" i="9"/>
  <c r="K11" i="9"/>
  <c r="H11" i="9"/>
  <c r="F11" i="9"/>
  <c r="I11" i="9" s="1"/>
  <c r="E11" i="9"/>
  <c r="D11" i="9"/>
  <c r="C11" i="9"/>
  <c r="B11" i="9"/>
  <c r="F10" i="9"/>
  <c r="I10" i="9" s="1"/>
  <c r="E10" i="9"/>
  <c r="H10" i="9" s="1"/>
  <c r="I9" i="9"/>
  <c r="H9" i="9"/>
  <c r="F9" i="9"/>
  <c r="E9" i="9"/>
  <c r="I8" i="9"/>
  <c r="H8" i="9"/>
  <c r="F8" i="9"/>
  <c r="E8" i="9"/>
  <c r="I7" i="9"/>
  <c r="H7" i="9"/>
  <c r="F7" i="9"/>
  <c r="E7" i="9"/>
  <c r="I6" i="9"/>
  <c r="H6" i="9"/>
  <c r="F6" i="9"/>
  <c r="E6" i="9"/>
  <c r="BB69" i="8"/>
  <c r="AZ69" i="8"/>
  <c r="AY69" i="8"/>
  <c r="AX69" i="8"/>
  <c r="AW69" i="8"/>
  <c r="AV69" i="8"/>
  <c r="AU69" i="8"/>
  <c r="AT69" i="8"/>
  <c r="AS69" i="8"/>
  <c r="AR69" i="8"/>
  <c r="AQ69" i="8"/>
  <c r="AP69" i="8"/>
  <c r="E69" i="8"/>
  <c r="A69" i="8"/>
  <c r="BB68" i="8"/>
  <c r="AZ68" i="8"/>
  <c r="AY68" i="8"/>
  <c r="AX68" i="8"/>
  <c r="AW68" i="8"/>
  <c r="AV68" i="8"/>
  <c r="AU68" i="8"/>
  <c r="AT68" i="8"/>
  <c r="AS68" i="8"/>
  <c r="AR68" i="8"/>
  <c r="AQ68" i="8"/>
  <c r="AP68" i="8"/>
  <c r="E68" i="8"/>
  <c r="A68" i="8"/>
  <c r="BB67" i="8"/>
  <c r="AZ67" i="8"/>
  <c r="AY67" i="8"/>
  <c r="AX67" i="8"/>
  <c r="AW67" i="8"/>
  <c r="AV67" i="8"/>
  <c r="AU67" i="8"/>
  <c r="AT67" i="8"/>
  <c r="AS67" i="8"/>
  <c r="AR67" i="8"/>
  <c r="AQ67" i="8"/>
  <c r="AP67" i="8"/>
  <c r="E67" i="8"/>
  <c r="A67" i="8"/>
  <c r="BB66" i="8"/>
  <c r="AZ66" i="8"/>
  <c r="AY66" i="8"/>
  <c r="AX66" i="8"/>
  <c r="AW66" i="8"/>
  <c r="AV66" i="8"/>
  <c r="AU66" i="8"/>
  <c r="AT66" i="8"/>
  <c r="AS66" i="8"/>
  <c r="AR66" i="8"/>
  <c r="AQ66" i="8"/>
  <c r="AP66" i="8"/>
  <c r="E66" i="8"/>
  <c r="A66" i="8"/>
  <c r="BB65" i="8"/>
  <c r="AZ65" i="8"/>
  <c r="AY65" i="8"/>
  <c r="AX65" i="8"/>
  <c r="AW65" i="8"/>
  <c r="AV65" i="8"/>
  <c r="AU65" i="8"/>
  <c r="AT65" i="8"/>
  <c r="AS65" i="8"/>
  <c r="AR65" i="8"/>
  <c r="AQ65" i="8"/>
  <c r="AP65" i="8"/>
  <c r="E65" i="8"/>
  <c r="A65" i="8"/>
  <c r="BB64" i="8"/>
  <c r="AZ64" i="8"/>
  <c r="AY64" i="8"/>
  <c r="AX64" i="8"/>
  <c r="AW64" i="8"/>
  <c r="AV64" i="8"/>
  <c r="AU64" i="8"/>
  <c r="AT64" i="8"/>
  <c r="AS64" i="8"/>
  <c r="AR64" i="8"/>
  <c r="AQ64" i="8"/>
  <c r="AP64" i="8"/>
  <c r="E64" i="8"/>
  <c r="A64" i="8"/>
  <c r="BB63" i="8"/>
  <c r="AZ63" i="8"/>
  <c r="AY63" i="8"/>
  <c r="AX63" i="8"/>
  <c r="AW63" i="8"/>
  <c r="AV63" i="8"/>
  <c r="AU63" i="8"/>
  <c r="AT63" i="8"/>
  <c r="AS63" i="8"/>
  <c r="AR63" i="8"/>
  <c r="AQ63" i="8"/>
  <c r="AP63" i="8"/>
  <c r="E63" i="8"/>
  <c r="A63" i="8"/>
  <c r="BB62" i="8"/>
  <c r="AZ62" i="8"/>
  <c r="AY62" i="8"/>
  <c r="AX62" i="8"/>
  <c r="AW62" i="8"/>
  <c r="AV62" i="8"/>
  <c r="AU62" i="8"/>
  <c r="AT62" i="8"/>
  <c r="AS62" i="8"/>
  <c r="AR62" i="8"/>
  <c r="AQ62" i="8"/>
  <c r="AP62" i="8"/>
  <c r="E62" i="8"/>
  <c r="A62" i="8"/>
  <c r="BB61" i="8"/>
  <c r="AZ61" i="8"/>
  <c r="AY61" i="8"/>
  <c r="AX61" i="8"/>
  <c r="AW61" i="8"/>
  <c r="AV61" i="8"/>
  <c r="AU61" i="8"/>
  <c r="AT61" i="8"/>
  <c r="AS61" i="8"/>
  <c r="AR61" i="8"/>
  <c r="AQ61" i="8"/>
  <c r="AP61" i="8"/>
  <c r="E61" i="8"/>
  <c r="A61" i="8"/>
  <c r="BB60" i="8"/>
  <c r="AZ60" i="8"/>
  <c r="AY60" i="8"/>
  <c r="AX60" i="8"/>
  <c r="AW60" i="8"/>
  <c r="AV60" i="8"/>
  <c r="AU60" i="8"/>
  <c r="AT60" i="8"/>
  <c r="AS60" i="8"/>
  <c r="AR60" i="8"/>
  <c r="AQ60" i="8"/>
  <c r="AP60" i="8"/>
  <c r="E60" i="8"/>
  <c r="A60" i="8"/>
  <c r="BB59" i="8"/>
  <c r="AZ59" i="8"/>
  <c r="AY59" i="8"/>
  <c r="AX59" i="8"/>
  <c r="AW59" i="8"/>
  <c r="AV59" i="8"/>
  <c r="AU59" i="8"/>
  <c r="AT59" i="8"/>
  <c r="AS59" i="8"/>
  <c r="AR59" i="8"/>
  <c r="AQ59" i="8"/>
  <c r="AP59" i="8"/>
  <c r="E59" i="8"/>
  <c r="A59" i="8"/>
  <c r="BB58" i="8"/>
  <c r="AZ58" i="8"/>
  <c r="AY58" i="8"/>
  <c r="AX58" i="8"/>
  <c r="AW58" i="8"/>
  <c r="AV58" i="8"/>
  <c r="AU58" i="8"/>
  <c r="AT58" i="8"/>
  <c r="AS58" i="8"/>
  <c r="AR58" i="8"/>
  <c r="AQ58" i="8"/>
  <c r="AP58" i="8"/>
  <c r="E58" i="8"/>
  <c r="A58" i="8"/>
  <c r="BB57" i="8"/>
  <c r="AZ57" i="8"/>
  <c r="AY57" i="8"/>
  <c r="AX57" i="8"/>
  <c r="AW57" i="8"/>
  <c r="AV57" i="8"/>
  <c r="AU57" i="8"/>
  <c r="AT57" i="8"/>
  <c r="AS57" i="8"/>
  <c r="AR57" i="8"/>
  <c r="AQ57" i="8"/>
  <c r="AP57" i="8"/>
  <c r="E57" i="8"/>
  <c r="A57" i="8"/>
  <c r="BB56" i="8"/>
  <c r="AZ56" i="8"/>
  <c r="AY56" i="8"/>
  <c r="AX56" i="8"/>
  <c r="AW56" i="8"/>
  <c r="AV56" i="8"/>
  <c r="AU56" i="8"/>
  <c r="AT56" i="8"/>
  <c r="AS56" i="8"/>
  <c r="AR56" i="8"/>
  <c r="AQ56" i="8"/>
  <c r="AP56" i="8"/>
  <c r="E56" i="8"/>
  <c r="A56" i="8"/>
  <c r="BB55" i="8"/>
  <c r="AZ55" i="8"/>
  <c r="AY55" i="8"/>
  <c r="AX55" i="8"/>
  <c r="AW55" i="8"/>
  <c r="AV55" i="8"/>
  <c r="AU55" i="8"/>
  <c r="AT55" i="8"/>
  <c r="AS55" i="8"/>
  <c r="AR55" i="8"/>
  <c r="AQ55" i="8"/>
  <c r="AP55" i="8"/>
  <c r="E55" i="8"/>
  <c r="A55" i="8"/>
  <c r="BB54" i="8"/>
  <c r="AZ54" i="8"/>
  <c r="AY54" i="8"/>
  <c r="AX54" i="8"/>
  <c r="AW54" i="8"/>
  <c r="AV54" i="8"/>
  <c r="AU54" i="8"/>
  <c r="AT54" i="8"/>
  <c r="AS54" i="8"/>
  <c r="AR54" i="8"/>
  <c r="AQ54" i="8"/>
  <c r="AP54" i="8"/>
  <c r="E54" i="8"/>
  <c r="A54" i="8"/>
  <c r="BB53" i="8"/>
  <c r="AZ53" i="8"/>
  <c r="AY53" i="8"/>
  <c r="AX53" i="8"/>
  <c r="AW53" i="8"/>
  <c r="AV53" i="8"/>
  <c r="AU53" i="8"/>
  <c r="AT53" i="8"/>
  <c r="AS53" i="8"/>
  <c r="AR53" i="8"/>
  <c r="AQ53" i="8"/>
  <c r="AP53" i="8"/>
  <c r="E53" i="8"/>
  <c r="A53" i="8"/>
  <c r="BB52" i="8"/>
  <c r="AZ52" i="8"/>
  <c r="AY52" i="8"/>
  <c r="AX52" i="8"/>
  <c r="AW52" i="8"/>
  <c r="AV52" i="8"/>
  <c r="AU52" i="8"/>
  <c r="AT52" i="8"/>
  <c r="AS52" i="8"/>
  <c r="AR52" i="8"/>
  <c r="AQ52" i="8"/>
  <c r="AP52" i="8"/>
  <c r="E52" i="8"/>
  <c r="A52" i="8"/>
  <c r="BB51" i="8"/>
  <c r="AZ51" i="8"/>
  <c r="AY51" i="8"/>
  <c r="AX51" i="8"/>
  <c r="AW51" i="8"/>
  <c r="AV51" i="8"/>
  <c r="AU51" i="8"/>
  <c r="AT51" i="8"/>
  <c r="AS51" i="8"/>
  <c r="AR51" i="8"/>
  <c r="AQ51" i="8"/>
  <c r="AP51" i="8"/>
  <c r="E51" i="8"/>
  <c r="A51" i="8"/>
  <c r="BB50" i="8"/>
  <c r="AZ50" i="8"/>
  <c r="AY50" i="8"/>
  <c r="AX50" i="8"/>
  <c r="AW50" i="8"/>
  <c r="AV50" i="8"/>
  <c r="AU50" i="8"/>
  <c r="AT50" i="8"/>
  <c r="AS50" i="8"/>
  <c r="AR50" i="8"/>
  <c r="AQ50" i="8"/>
  <c r="AP50" i="8"/>
  <c r="E50" i="8"/>
  <c r="A50" i="8"/>
  <c r="BB49" i="8"/>
  <c r="AZ49" i="8"/>
  <c r="AY49" i="8"/>
  <c r="AX49" i="8"/>
  <c r="AW49" i="8"/>
  <c r="AV49" i="8"/>
  <c r="AU49" i="8"/>
  <c r="AT49" i="8"/>
  <c r="AS49" i="8"/>
  <c r="AR49" i="8"/>
  <c r="AQ49" i="8"/>
  <c r="AP49" i="8"/>
  <c r="E49" i="8"/>
  <c r="A49" i="8"/>
  <c r="BB48" i="8"/>
  <c r="AZ48" i="8"/>
  <c r="AY48" i="8"/>
  <c r="AX48" i="8"/>
  <c r="AW48" i="8"/>
  <c r="AV48" i="8"/>
  <c r="AU48" i="8"/>
  <c r="AT48" i="8"/>
  <c r="AS48" i="8"/>
  <c r="AR48" i="8"/>
  <c r="AQ48" i="8"/>
  <c r="AP48" i="8"/>
  <c r="E48" i="8"/>
  <c r="A48" i="8"/>
  <c r="BB47" i="8"/>
  <c r="AZ47" i="8"/>
  <c r="AY47" i="8"/>
  <c r="AX47" i="8"/>
  <c r="AW47" i="8"/>
  <c r="AV47" i="8"/>
  <c r="AU47" i="8"/>
  <c r="AT47" i="8"/>
  <c r="AS47" i="8"/>
  <c r="AR47" i="8"/>
  <c r="AQ47" i="8"/>
  <c r="AP47" i="8"/>
  <c r="E47" i="8"/>
  <c r="A47" i="8"/>
  <c r="BB46" i="8"/>
  <c r="AZ46" i="8"/>
  <c r="AY46" i="8"/>
  <c r="AX46" i="8"/>
  <c r="AW46" i="8"/>
  <c r="AV46" i="8"/>
  <c r="AU46" i="8"/>
  <c r="AT46" i="8"/>
  <c r="AS46" i="8"/>
  <c r="AR46" i="8"/>
  <c r="AQ46" i="8"/>
  <c r="AP46" i="8"/>
  <c r="E46" i="8"/>
  <c r="A46" i="8"/>
  <c r="BB45" i="8"/>
  <c r="AZ45" i="8"/>
  <c r="AY45" i="8"/>
  <c r="AX45" i="8"/>
  <c r="AW45" i="8"/>
  <c r="AV45" i="8"/>
  <c r="AU45" i="8"/>
  <c r="AT45" i="8"/>
  <c r="AS45" i="8"/>
  <c r="AR45" i="8"/>
  <c r="AQ45" i="8"/>
  <c r="AP45" i="8"/>
  <c r="E45" i="8"/>
  <c r="A45" i="8"/>
  <c r="BB44" i="8"/>
  <c r="AZ44" i="8"/>
  <c r="AY44" i="8"/>
  <c r="AX44" i="8"/>
  <c r="AW44" i="8"/>
  <c r="AV44" i="8"/>
  <c r="AU44" i="8"/>
  <c r="AT44" i="8"/>
  <c r="AS44" i="8"/>
  <c r="AR44" i="8"/>
  <c r="AQ44" i="8"/>
  <c r="AP44" i="8"/>
  <c r="E44" i="8"/>
  <c r="A44" i="8"/>
  <c r="BB43" i="8"/>
  <c r="AZ43" i="8"/>
  <c r="AY43" i="8"/>
  <c r="AX43" i="8"/>
  <c r="AW43" i="8"/>
  <c r="AV43" i="8"/>
  <c r="AU43" i="8"/>
  <c r="AT43" i="8"/>
  <c r="AS43" i="8"/>
  <c r="AR43" i="8"/>
  <c r="AQ43" i="8"/>
  <c r="AP43" i="8"/>
  <c r="E43" i="8"/>
  <c r="A43" i="8"/>
  <c r="BB42" i="8"/>
  <c r="AZ42" i="8"/>
  <c r="AY42" i="8"/>
  <c r="AX42" i="8"/>
  <c r="AW42" i="8"/>
  <c r="AV42" i="8"/>
  <c r="AU42" i="8"/>
  <c r="AT42" i="8"/>
  <c r="AS42" i="8"/>
  <c r="AR42" i="8"/>
  <c r="AQ42" i="8"/>
  <c r="AP42" i="8"/>
  <c r="E42" i="8"/>
  <c r="A42" i="8"/>
  <c r="BB41" i="8"/>
  <c r="AZ41" i="8"/>
  <c r="AY41" i="8"/>
  <c r="AX41" i="8"/>
  <c r="AW41" i="8"/>
  <c r="AV41" i="8"/>
  <c r="AU41" i="8"/>
  <c r="AT41" i="8"/>
  <c r="AS41" i="8"/>
  <c r="AR41" i="8"/>
  <c r="AQ41" i="8"/>
  <c r="AP41" i="8"/>
  <c r="E41" i="8"/>
  <c r="A41" i="8"/>
  <c r="BB40" i="8"/>
  <c r="AZ40" i="8"/>
  <c r="AY40" i="8"/>
  <c r="AX40" i="8"/>
  <c r="AW40" i="8"/>
  <c r="AV40" i="8"/>
  <c r="AU40" i="8"/>
  <c r="AT40" i="8"/>
  <c r="AS40" i="8"/>
  <c r="AR40" i="8"/>
  <c r="AQ40" i="8"/>
  <c r="AP40" i="8"/>
  <c r="E40" i="8"/>
  <c r="A40" i="8"/>
  <c r="BB39" i="8"/>
  <c r="AZ39" i="8"/>
  <c r="AY39" i="8"/>
  <c r="AX39" i="8"/>
  <c r="AW39" i="8"/>
  <c r="AV39" i="8"/>
  <c r="AU39" i="8"/>
  <c r="AT39" i="8"/>
  <c r="AS39" i="8"/>
  <c r="AR39" i="8"/>
  <c r="AQ39" i="8"/>
  <c r="AP39" i="8"/>
  <c r="E39" i="8"/>
  <c r="A39" i="8"/>
  <c r="BB38" i="8"/>
  <c r="AZ38" i="8"/>
  <c r="AY38" i="8"/>
  <c r="AX38" i="8"/>
  <c r="AW38" i="8"/>
  <c r="AV38" i="8"/>
  <c r="AU38" i="8"/>
  <c r="AT38" i="8"/>
  <c r="AS38" i="8"/>
  <c r="AR38" i="8"/>
  <c r="AQ38" i="8"/>
  <c r="AP38" i="8"/>
  <c r="E38" i="8"/>
  <c r="A38" i="8"/>
  <c r="BB37" i="8"/>
  <c r="AZ37" i="8"/>
  <c r="AY37" i="8"/>
  <c r="AX37" i="8"/>
  <c r="AW37" i="8"/>
  <c r="AV37" i="8"/>
  <c r="AU37" i="8"/>
  <c r="AT37" i="8"/>
  <c r="AS37" i="8"/>
  <c r="AR37" i="8"/>
  <c r="AQ37" i="8"/>
  <c r="AP37" i="8"/>
  <c r="E37" i="8"/>
  <c r="A37" i="8"/>
  <c r="BB36" i="8"/>
  <c r="AZ36" i="8"/>
  <c r="AY36" i="8"/>
  <c r="AX36" i="8"/>
  <c r="AW36" i="8"/>
  <c r="AV36" i="8"/>
  <c r="AU36" i="8"/>
  <c r="AT36" i="8"/>
  <c r="AS36" i="8"/>
  <c r="AR36" i="8"/>
  <c r="AQ36" i="8"/>
  <c r="AP36" i="8"/>
  <c r="E36" i="8"/>
  <c r="A36" i="8"/>
  <c r="BB35" i="8"/>
  <c r="AZ35" i="8"/>
  <c r="AY35" i="8"/>
  <c r="AX35" i="8"/>
  <c r="AW35" i="8"/>
  <c r="AV35" i="8"/>
  <c r="AU35" i="8"/>
  <c r="AT35" i="8"/>
  <c r="AS35" i="8"/>
  <c r="AR35" i="8"/>
  <c r="AQ35" i="8"/>
  <c r="AP35" i="8"/>
  <c r="E35" i="8"/>
  <c r="A35" i="8"/>
  <c r="BB34" i="8"/>
  <c r="AZ34" i="8"/>
  <c r="AY34" i="8"/>
  <c r="AX34" i="8"/>
  <c r="AW34" i="8"/>
  <c r="AV34" i="8"/>
  <c r="AU34" i="8"/>
  <c r="AT34" i="8"/>
  <c r="AS34" i="8"/>
  <c r="AR34" i="8"/>
  <c r="AQ34" i="8"/>
  <c r="AP34" i="8"/>
  <c r="E34" i="8"/>
  <c r="A34" i="8"/>
  <c r="BB33" i="8"/>
  <c r="AZ33" i="8"/>
  <c r="AY33" i="8"/>
  <c r="AX33" i="8"/>
  <c r="AW33" i="8"/>
  <c r="AV33" i="8"/>
  <c r="AU33" i="8"/>
  <c r="AT33" i="8"/>
  <c r="AS33" i="8"/>
  <c r="AR33" i="8"/>
  <c r="AQ33" i="8"/>
  <c r="AP33" i="8"/>
  <c r="E33" i="8"/>
  <c r="A33" i="8"/>
  <c r="BB32" i="8"/>
  <c r="AZ32" i="8"/>
  <c r="AY32" i="8"/>
  <c r="AX32" i="8"/>
  <c r="AW32" i="8"/>
  <c r="AV32" i="8"/>
  <c r="AU32" i="8"/>
  <c r="AT32" i="8"/>
  <c r="AS32" i="8"/>
  <c r="AR32" i="8"/>
  <c r="AQ32" i="8"/>
  <c r="AP32" i="8"/>
  <c r="E32" i="8"/>
  <c r="A32" i="8"/>
  <c r="BB31" i="8"/>
  <c r="AZ31" i="8"/>
  <c r="AY31" i="8"/>
  <c r="AX31" i="8"/>
  <c r="AW31" i="8"/>
  <c r="AV31" i="8"/>
  <c r="AU31" i="8"/>
  <c r="AT31" i="8"/>
  <c r="AS31" i="8"/>
  <c r="AR31" i="8"/>
  <c r="AQ31" i="8"/>
  <c r="AP31" i="8"/>
  <c r="E31" i="8"/>
  <c r="A31" i="8"/>
  <c r="BB30" i="8"/>
  <c r="AZ30" i="8"/>
  <c r="AY30" i="8"/>
  <c r="AX30" i="8"/>
  <c r="AW30" i="8"/>
  <c r="AV30" i="8"/>
  <c r="AU30" i="8"/>
  <c r="AT30" i="8"/>
  <c r="AS30" i="8"/>
  <c r="AR30" i="8"/>
  <c r="AQ30" i="8"/>
  <c r="AP30" i="8"/>
  <c r="E30" i="8"/>
  <c r="A30" i="8"/>
  <c r="BB29" i="8"/>
  <c r="AZ29" i="8"/>
  <c r="AY29" i="8"/>
  <c r="AX29" i="8"/>
  <c r="AW29" i="8"/>
  <c r="AV29" i="8"/>
  <c r="AU29" i="8"/>
  <c r="AT29" i="8"/>
  <c r="AS29" i="8"/>
  <c r="AR29" i="8"/>
  <c r="AQ29" i="8"/>
  <c r="AP29" i="8"/>
  <c r="E29" i="8"/>
  <c r="A29" i="8"/>
  <c r="BB28" i="8"/>
  <c r="AZ28" i="8"/>
  <c r="AY28" i="8"/>
  <c r="AX28" i="8"/>
  <c r="AW28" i="8"/>
  <c r="AV28" i="8"/>
  <c r="AU28" i="8"/>
  <c r="AT28" i="8"/>
  <c r="AS28" i="8"/>
  <c r="AR28" i="8"/>
  <c r="AQ28" i="8"/>
  <c r="AP28" i="8"/>
  <c r="E28" i="8"/>
  <c r="A28" i="8"/>
  <c r="BB27" i="8"/>
  <c r="AZ27" i="8"/>
  <c r="AY27" i="8"/>
  <c r="AX27" i="8"/>
  <c r="AW27" i="8"/>
  <c r="AV27" i="8"/>
  <c r="AU27" i="8"/>
  <c r="AT27" i="8"/>
  <c r="AS27" i="8"/>
  <c r="AR27" i="8"/>
  <c r="AQ27" i="8"/>
  <c r="AP27" i="8"/>
  <c r="E27" i="8"/>
  <c r="A27" i="8"/>
  <c r="BB26" i="8"/>
  <c r="AZ26" i="8"/>
  <c r="AY26" i="8"/>
  <c r="AX26" i="8"/>
  <c r="AW26" i="8"/>
  <c r="AV26" i="8"/>
  <c r="AU26" i="8"/>
  <c r="AT26" i="8"/>
  <c r="AS26" i="8"/>
  <c r="AR26" i="8"/>
  <c r="AQ26" i="8"/>
  <c r="AP26" i="8"/>
  <c r="E26" i="8"/>
  <c r="A26" i="8"/>
  <c r="BB25" i="8"/>
  <c r="AZ25" i="8"/>
  <c r="AY25" i="8"/>
  <c r="AX25" i="8"/>
  <c r="AW25" i="8"/>
  <c r="AV25" i="8"/>
  <c r="AU25" i="8"/>
  <c r="AT25" i="8"/>
  <c r="AS25" i="8"/>
  <c r="AR25" i="8"/>
  <c r="AQ25" i="8"/>
  <c r="AP25" i="8"/>
  <c r="E25" i="8"/>
  <c r="A25" i="8"/>
  <c r="BB24" i="8"/>
  <c r="AZ24" i="8"/>
  <c r="AY24" i="8"/>
  <c r="AX24" i="8"/>
  <c r="AW24" i="8"/>
  <c r="AV24" i="8"/>
  <c r="AU24" i="8"/>
  <c r="AT24" i="8"/>
  <c r="AS24" i="8"/>
  <c r="AR24" i="8"/>
  <c r="AQ24" i="8"/>
  <c r="AP24" i="8"/>
  <c r="E24" i="8"/>
  <c r="A24" i="8"/>
  <c r="BB23" i="8"/>
  <c r="AZ23" i="8"/>
  <c r="AY23" i="8"/>
  <c r="AX23" i="8"/>
  <c r="AW23" i="8"/>
  <c r="AV23" i="8"/>
  <c r="AU23" i="8"/>
  <c r="AT23" i="8"/>
  <c r="AS23" i="8"/>
  <c r="AR23" i="8"/>
  <c r="AQ23" i="8"/>
  <c r="AP23" i="8"/>
  <c r="E23" i="8"/>
  <c r="A23" i="8"/>
  <c r="BB22" i="8"/>
  <c r="AZ22" i="8"/>
  <c r="AY22" i="8"/>
  <c r="AX22" i="8"/>
  <c r="AW22" i="8"/>
  <c r="AV22" i="8"/>
  <c r="AU22" i="8"/>
  <c r="AT22" i="8"/>
  <c r="AS22" i="8"/>
  <c r="AR22" i="8"/>
  <c r="AQ22" i="8"/>
  <c r="AP22" i="8"/>
  <c r="E22" i="8"/>
  <c r="A22" i="8"/>
  <c r="BB21" i="8"/>
  <c r="AZ21" i="8"/>
  <c r="AY21" i="8"/>
  <c r="AX21" i="8"/>
  <c r="AW21" i="8"/>
  <c r="AV21" i="8"/>
  <c r="AU21" i="8"/>
  <c r="AT21" i="8"/>
  <c r="AS21" i="8"/>
  <c r="AR21" i="8"/>
  <c r="AQ21" i="8"/>
  <c r="AP21" i="8"/>
  <c r="E21" i="8"/>
  <c r="A21" i="8"/>
  <c r="BB20" i="8"/>
  <c r="AZ20" i="8"/>
  <c r="AY20" i="8"/>
  <c r="AX20" i="8"/>
  <c r="AW20" i="8"/>
  <c r="AV20" i="8"/>
  <c r="AU20" i="8"/>
  <c r="AT20" i="8"/>
  <c r="AS20" i="8"/>
  <c r="AR20" i="8"/>
  <c r="AQ20" i="8"/>
  <c r="AP20" i="8"/>
  <c r="E20" i="8"/>
  <c r="A20" i="8"/>
  <c r="BB19" i="8"/>
  <c r="AZ19" i="8"/>
  <c r="AY19" i="8"/>
  <c r="AX19" i="8"/>
  <c r="AW19" i="8"/>
  <c r="AV19" i="8"/>
  <c r="AU19" i="8"/>
  <c r="AT19" i="8"/>
  <c r="AS19" i="8"/>
  <c r="AR19" i="8"/>
  <c r="AQ19" i="8"/>
  <c r="AP19" i="8"/>
  <c r="E19" i="8"/>
  <c r="A19" i="8"/>
  <c r="BB18" i="8"/>
  <c r="AZ18" i="8"/>
  <c r="AY18" i="8"/>
  <c r="AX18" i="8"/>
  <c r="AW18" i="8"/>
  <c r="AV18" i="8"/>
  <c r="AU18" i="8"/>
  <c r="AT18" i="8"/>
  <c r="AS18" i="8"/>
  <c r="AR18" i="8"/>
  <c r="AQ18" i="8"/>
  <c r="AP18" i="8"/>
  <c r="E18" i="8"/>
  <c r="A18" i="8"/>
  <c r="BB17" i="8"/>
  <c r="AZ17" i="8"/>
  <c r="AY17" i="8"/>
  <c r="AX17" i="8"/>
  <c r="AW17" i="8"/>
  <c r="AV17" i="8"/>
  <c r="AU17" i="8"/>
  <c r="AT17" i="8"/>
  <c r="AS17" i="8"/>
  <c r="AR17" i="8"/>
  <c r="AQ17" i="8"/>
  <c r="AP17" i="8"/>
  <c r="E17" i="8"/>
  <c r="A17" i="8"/>
  <c r="BB16" i="8"/>
  <c r="AZ16" i="8"/>
  <c r="AY16" i="8"/>
  <c r="AX16" i="8"/>
  <c r="AW16" i="8"/>
  <c r="AV16" i="8"/>
  <c r="AU16" i="8"/>
  <c r="AT16" i="8"/>
  <c r="AS16" i="8"/>
  <c r="AR16" i="8"/>
  <c r="AQ16" i="8"/>
  <c r="AP16" i="8"/>
  <c r="E16" i="8"/>
  <c r="A16" i="8"/>
  <c r="BB15" i="8"/>
  <c r="AZ15" i="8"/>
  <c r="AY15" i="8"/>
  <c r="AX15" i="8"/>
  <c r="AW15" i="8"/>
  <c r="AV15" i="8"/>
  <c r="AU15" i="8"/>
  <c r="AT15" i="8"/>
  <c r="AS15" i="8"/>
  <c r="AR15" i="8"/>
  <c r="AQ15" i="8"/>
  <c r="AP15" i="8"/>
  <c r="E15" i="8"/>
  <c r="A15" i="8"/>
  <c r="BB14" i="8"/>
  <c r="AZ14" i="8"/>
  <c r="AY14" i="8"/>
  <c r="AX14" i="8"/>
  <c r="AW14" i="8"/>
  <c r="AV14" i="8"/>
  <c r="AU14" i="8"/>
  <c r="AT14" i="8"/>
  <c r="AS14" i="8"/>
  <c r="AR14" i="8"/>
  <c r="AQ14" i="8"/>
  <c r="AP14" i="8"/>
  <c r="E14" i="8"/>
  <c r="A14" i="8"/>
  <c r="BB13" i="8"/>
  <c r="AZ13" i="8"/>
  <c r="AY13" i="8"/>
  <c r="AX13" i="8"/>
  <c r="AW13" i="8"/>
  <c r="AV13" i="8"/>
  <c r="AU13" i="8"/>
  <c r="AT13" i="8"/>
  <c r="AS13" i="8"/>
  <c r="AR13" i="8"/>
  <c r="AQ13" i="8"/>
  <c r="AP13" i="8"/>
  <c r="E13" i="8"/>
  <c r="A13" i="8"/>
  <c r="BB12" i="8"/>
  <c r="AZ12" i="8"/>
  <c r="AY12" i="8"/>
  <c r="AX12" i="8"/>
  <c r="AW12" i="8"/>
  <c r="AV12" i="8"/>
  <c r="AU12" i="8"/>
  <c r="AT12" i="8"/>
  <c r="AS12" i="8"/>
  <c r="AR12" i="8"/>
  <c r="AQ12" i="8"/>
  <c r="AP12" i="8"/>
  <c r="E12" i="8"/>
  <c r="A12" i="8"/>
  <c r="BB11" i="8"/>
  <c r="AZ11" i="8"/>
  <c r="AY11" i="8"/>
  <c r="AX11" i="8"/>
  <c r="AW11" i="8"/>
  <c r="AV11" i="8"/>
  <c r="AU11" i="8"/>
  <c r="AT11" i="8"/>
  <c r="AS11" i="8"/>
  <c r="AR11" i="8"/>
  <c r="AQ11" i="8"/>
  <c r="AP11" i="8"/>
  <c r="E11" i="8"/>
  <c r="A11" i="8"/>
  <c r="AY10" i="8"/>
  <c r="F54" i="11" s="1"/>
  <c r="AX10" i="8"/>
  <c r="D54" i="11" s="1"/>
  <c r="AW10" i="8"/>
  <c r="AU10" i="8"/>
  <c r="AT10" i="8"/>
  <c r="AS10" i="8"/>
  <c r="AR10" i="8"/>
  <c r="E46" i="11" s="1"/>
  <c r="AQ10" i="8"/>
  <c r="AV10" i="8" s="1"/>
  <c r="AP10" i="8"/>
  <c r="E10" i="8"/>
  <c r="F41" i="11" s="1"/>
  <c r="A10" i="8"/>
  <c r="AY9" i="8"/>
  <c r="M37" i="11" s="1"/>
  <c r="AX9" i="8"/>
  <c r="AW9" i="8"/>
  <c r="I37" i="11" s="1"/>
  <c r="AU9" i="8"/>
  <c r="L32" i="11" s="1"/>
  <c r="M32" i="11" s="1"/>
  <c r="AT9" i="8"/>
  <c r="L31" i="11" s="1"/>
  <c r="AS9" i="8"/>
  <c r="L30" i="11" s="1"/>
  <c r="AR9" i="8"/>
  <c r="AQ9" i="8"/>
  <c r="AP9" i="8"/>
  <c r="A9" i="8"/>
  <c r="E9" i="8" s="1"/>
  <c r="M24" i="11" s="1"/>
  <c r="AY8" i="8"/>
  <c r="AX8" i="8"/>
  <c r="AW8" i="8"/>
  <c r="AU8" i="8"/>
  <c r="E32" i="11" s="1"/>
  <c r="AT8" i="8"/>
  <c r="AS8" i="8"/>
  <c r="E30" i="11" s="1"/>
  <c r="AR8" i="8"/>
  <c r="E29" i="11" s="1"/>
  <c r="AQ8" i="8"/>
  <c r="E28" i="11" s="1"/>
  <c r="AP8" i="8"/>
  <c r="AV8" i="8" s="1"/>
  <c r="E8" i="8"/>
  <c r="F24" i="11" s="1"/>
  <c r="A8" i="8"/>
  <c r="AY7" i="8"/>
  <c r="AX7" i="8"/>
  <c r="AW7" i="8"/>
  <c r="AU7" i="8"/>
  <c r="L15" i="11" s="1"/>
  <c r="AT7" i="8"/>
  <c r="AS7" i="8"/>
  <c r="AR7" i="8"/>
  <c r="L12" i="11" s="1"/>
  <c r="AQ7" i="8"/>
  <c r="L11" i="11" s="1"/>
  <c r="AP7" i="8"/>
  <c r="E7" i="8"/>
  <c r="M7" i="11" s="1"/>
  <c r="A7" i="8"/>
  <c r="AY6" i="8"/>
  <c r="AX6" i="8"/>
  <c r="AW6" i="8"/>
  <c r="AU6" i="8"/>
  <c r="E15" i="11" s="1"/>
  <c r="AT6" i="8"/>
  <c r="AS6" i="8"/>
  <c r="AR6" i="8"/>
  <c r="AV6" i="8" s="1"/>
  <c r="E17" i="11" s="1"/>
  <c r="AQ6" i="8"/>
  <c r="AP6" i="8"/>
  <c r="A6" i="8"/>
  <c r="E6" i="8" s="1"/>
  <c r="P267" i="7"/>
  <c r="O267" i="7"/>
  <c r="N267" i="7"/>
  <c r="M267" i="7"/>
  <c r="L267" i="7"/>
  <c r="K267" i="7"/>
  <c r="H267" i="7"/>
  <c r="G267" i="7"/>
  <c r="F267" i="7"/>
  <c r="E267" i="7"/>
  <c r="D267" i="7"/>
  <c r="C267" i="7"/>
  <c r="B267" i="7"/>
  <c r="P266" i="7"/>
  <c r="O266" i="7"/>
  <c r="N266" i="7"/>
  <c r="M266" i="7"/>
  <c r="L266" i="7"/>
  <c r="K266" i="7"/>
  <c r="G266" i="7"/>
  <c r="F266" i="7"/>
  <c r="E266" i="7"/>
  <c r="D266" i="7"/>
  <c r="C266" i="7"/>
  <c r="B266" i="7"/>
  <c r="P265" i="7"/>
  <c r="O265" i="7"/>
  <c r="N265" i="7"/>
  <c r="M265" i="7"/>
  <c r="L265" i="7"/>
  <c r="K265" i="7"/>
  <c r="H265" i="7"/>
  <c r="G265" i="7"/>
  <c r="F265" i="7"/>
  <c r="E265" i="7"/>
  <c r="D265" i="7"/>
  <c r="C265" i="7"/>
  <c r="B265" i="7"/>
  <c r="P264" i="7"/>
  <c r="O264" i="7"/>
  <c r="N264" i="7"/>
  <c r="M264" i="7"/>
  <c r="L264" i="7"/>
  <c r="K264" i="7"/>
  <c r="J264" i="7"/>
  <c r="G264" i="7"/>
  <c r="F264" i="7"/>
  <c r="E264" i="7"/>
  <c r="D264" i="7"/>
  <c r="C264" i="7"/>
  <c r="B264" i="7"/>
  <c r="P263" i="7"/>
  <c r="O263" i="7"/>
  <c r="N263" i="7"/>
  <c r="M263" i="7"/>
  <c r="L263" i="7"/>
  <c r="K263" i="7"/>
  <c r="G263" i="7"/>
  <c r="F263" i="7"/>
  <c r="E263" i="7"/>
  <c r="D263" i="7"/>
  <c r="C263" i="7"/>
  <c r="B263" i="7"/>
  <c r="P262" i="7"/>
  <c r="O262" i="7"/>
  <c r="N262" i="7"/>
  <c r="M262" i="7"/>
  <c r="L262" i="7"/>
  <c r="K262" i="7"/>
  <c r="I262" i="7"/>
  <c r="G262" i="7"/>
  <c r="F262" i="7"/>
  <c r="E262" i="7"/>
  <c r="D262" i="7"/>
  <c r="C262" i="7"/>
  <c r="B262" i="7"/>
  <c r="P250" i="7"/>
  <c r="O250" i="7"/>
  <c r="N250" i="7"/>
  <c r="M250" i="7"/>
  <c r="L250" i="7"/>
  <c r="K250" i="7"/>
  <c r="G250" i="7"/>
  <c r="F250" i="7"/>
  <c r="E250" i="7"/>
  <c r="D250" i="7"/>
  <c r="C250" i="7"/>
  <c r="B250" i="7"/>
  <c r="P249" i="7"/>
  <c r="O249" i="7"/>
  <c r="N249" i="7"/>
  <c r="M249" i="7"/>
  <c r="L249" i="7"/>
  <c r="K249" i="7"/>
  <c r="G249" i="7"/>
  <c r="F249" i="7"/>
  <c r="E249" i="7"/>
  <c r="D249" i="7"/>
  <c r="C249" i="7"/>
  <c r="B249" i="7"/>
  <c r="P248" i="7"/>
  <c r="O248" i="7"/>
  <c r="N248" i="7"/>
  <c r="M248" i="7"/>
  <c r="L248" i="7"/>
  <c r="K248" i="7"/>
  <c r="J248" i="7"/>
  <c r="I248" i="7"/>
  <c r="G248" i="7"/>
  <c r="F248" i="7"/>
  <c r="E248" i="7"/>
  <c r="D248" i="7"/>
  <c r="C248" i="7"/>
  <c r="B248" i="7"/>
  <c r="P247" i="7"/>
  <c r="O247" i="7"/>
  <c r="N247" i="7"/>
  <c r="M247" i="7"/>
  <c r="L247" i="7"/>
  <c r="K247" i="7"/>
  <c r="G247" i="7"/>
  <c r="F247" i="7"/>
  <c r="E247" i="7"/>
  <c r="D247" i="7"/>
  <c r="C247" i="7"/>
  <c r="B247" i="7"/>
  <c r="P246" i="7"/>
  <c r="O246" i="7"/>
  <c r="N246" i="7"/>
  <c r="M246" i="7"/>
  <c r="L246" i="7"/>
  <c r="K246" i="7"/>
  <c r="G246" i="7"/>
  <c r="F246" i="7"/>
  <c r="E246" i="7"/>
  <c r="D246" i="7"/>
  <c r="C246" i="7"/>
  <c r="B246" i="7"/>
  <c r="P245" i="7"/>
  <c r="O245" i="7"/>
  <c r="N245" i="7"/>
  <c r="M245" i="7"/>
  <c r="L245" i="7"/>
  <c r="K245" i="7"/>
  <c r="J245" i="7"/>
  <c r="G245" i="7"/>
  <c r="F245" i="7"/>
  <c r="E245" i="7"/>
  <c r="D245" i="7"/>
  <c r="C245" i="7"/>
  <c r="B245" i="7"/>
  <c r="J243" i="7"/>
  <c r="B243" i="7"/>
  <c r="P233" i="7"/>
  <c r="O233" i="7"/>
  <c r="N233" i="7"/>
  <c r="M233" i="7"/>
  <c r="L233" i="7"/>
  <c r="K233" i="7"/>
  <c r="G233" i="7"/>
  <c r="F233" i="7"/>
  <c r="E233" i="7"/>
  <c r="D233" i="7"/>
  <c r="C233" i="7"/>
  <c r="B233" i="7"/>
  <c r="P232" i="7"/>
  <c r="O232" i="7"/>
  <c r="N232" i="7"/>
  <c r="M232" i="7"/>
  <c r="L232" i="7"/>
  <c r="K232" i="7"/>
  <c r="J232" i="7"/>
  <c r="G232" i="7"/>
  <c r="F232" i="7"/>
  <c r="E232" i="7"/>
  <c r="D232" i="7"/>
  <c r="C232" i="7"/>
  <c r="B232" i="7"/>
  <c r="P231" i="7"/>
  <c r="O231" i="7"/>
  <c r="N231" i="7"/>
  <c r="M231" i="7"/>
  <c r="L231" i="7"/>
  <c r="K231" i="7"/>
  <c r="G231" i="7"/>
  <c r="F231" i="7"/>
  <c r="E231" i="7"/>
  <c r="D231" i="7"/>
  <c r="C231" i="7"/>
  <c r="B231" i="7"/>
  <c r="P230" i="7"/>
  <c r="O230" i="7"/>
  <c r="N230" i="7"/>
  <c r="M230" i="7"/>
  <c r="L230" i="7"/>
  <c r="K230" i="7"/>
  <c r="G230" i="7"/>
  <c r="F230" i="7"/>
  <c r="E230" i="7"/>
  <c r="D230" i="7"/>
  <c r="C230" i="7"/>
  <c r="B230" i="7"/>
  <c r="P229" i="7"/>
  <c r="O229" i="7"/>
  <c r="N229" i="7"/>
  <c r="M229" i="7"/>
  <c r="L229" i="7"/>
  <c r="K229" i="7"/>
  <c r="G229" i="7"/>
  <c r="F229" i="7"/>
  <c r="E229" i="7"/>
  <c r="D229" i="7"/>
  <c r="C229" i="7"/>
  <c r="B229" i="7"/>
  <c r="P228" i="7"/>
  <c r="O228" i="7"/>
  <c r="N228" i="7"/>
  <c r="M228" i="7"/>
  <c r="L228" i="7"/>
  <c r="K228" i="7"/>
  <c r="H228" i="7"/>
  <c r="G228" i="7"/>
  <c r="F228" i="7"/>
  <c r="E228" i="7"/>
  <c r="D228" i="7"/>
  <c r="C228" i="7"/>
  <c r="B228" i="7"/>
  <c r="J226" i="7"/>
  <c r="B226" i="7"/>
  <c r="P216" i="7"/>
  <c r="O216" i="7"/>
  <c r="N216" i="7"/>
  <c r="M216" i="7"/>
  <c r="L216" i="7"/>
  <c r="K216" i="7"/>
  <c r="I216" i="7"/>
  <c r="H216" i="7"/>
  <c r="G216" i="7"/>
  <c r="F216" i="7"/>
  <c r="E216" i="7"/>
  <c r="D216" i="7"/>
  <c r="C216" i="7"/>
  <c r="B216" i="7"/>
  <c r="P215" i="7"/>
  <c r="O215" i="7"/>
  <c r="N215" i="7"/>
  <c r="M215" i="7"/>
  <c r="L215" i="7"/>
  <c r="K215" i="7"/>
  <c r="I215" i="7"/>
  <c r="G215" i="7"/>
  <c r="F215" i="7"/>
  <c r="E215" i="7"/>
  <c r="D215" i="7"/>
  <c r="C215" i="7"/>
  <c r="B215" i="7"/>
  <c r="P214" i="7"/>
  <c r="O214" i="7"/>
  <c r="N214" i="7"/>
  <c r="M214" i="7"/>
  <c r="L214" i="7"/>
  <c r="K214" i="7"/>
  <c r="H214" i="7"/>
  <c r="G214" i="7"/>
  <c r="F214" i="7"/>
  <c r="E214" i="7"/>
  <c r="D214" i="7"/>
  <c r="C214" i="7"/>
  <c r="B214" i="7"/>
  <c r="P213" i="7"/>
  <c r="O213" i="7"/>
  <c r="N213" i="7"/>
  <c r="M213" i="7"/>
  <c r="L213" i="7"/>
  <c r="K213" i="7"/>
  <c r="H213" i="7"/>
  <c r="G213" i="7"/>
  <c r="F213" i="7"/>
  <c r="E213" i="7"/>
  <c r="D213" i="7"/>
  <c r="C213" i="7"/>
  <c r="B213" i="7"/>
  <c r="P212" i="7"/>
  <c r="O212" i="7"/>
  <c r="N212" i="7"/>
  <c r="M212" i="7"/>
  <c r="L212" i="7"/>
  <c r="K212" i="7"/>
  <c r="J212" i="7"/>
  <c r="I212" i="7"/>
  <c r="H212" i="7"/>
  <c r="G212" i="7"/>
  <c r="F212" i="7"/>
  <c r="E212" i="7"/>
  <c r="D212" i="7"/>
  <c r="C212" i="7"/>
  <c r="B212" i="7"/>
  <c r="P211" i="7"/>
  <c r="O211" i="7"/>
  <c r="N211" i="7"/>
  <c r="M211" i="7"/>
  <c r="L211" i="7"/>
  <c r="K211" i="7"/>
  <c r="J211" i="7"/>
  <c r="G211" i="7"/>
  <c r="F211" i="7"/>
  <c r="E211" i="7"/>
  <c r="D211" i="7"/>
  <c r="C211" i="7"/>
  <c r="B211" i="7"/>
  <c r="J209" i="7"/>
  <c r="B209" i="7"/>
  <c r="P199" i="7"/>
  <c r="O199" i="7"/>
  <c r="N199" i="7"/>
  <c r="M199" i="7"/>
  <c r="L199" i="7"/>
  <c r="K199" i="7"/>
  <c r="J199" i="7"/>
  <c r="G199" i="7"/>
  <c r="F199" i="7"/>
  <c r="E199" i="7"/>
  <c r="D199" i="7"/>
  <c r="C199" i="7"/>
  <c r="B199" i="7"/>
  <c r="P198" i="7"/>
  <c r="O198" i="7"/>
  <c r="N198" i="7"/>
  <c r="M198" i="7"/>
  <c r="L198" i="7"/>
  <c r="K198" i="7"/>
  <c r="J198" i="7"/>
  <c r="G198" i="7"/>
  <c r="F198" i="7"/>
  <c r="E198" i="7"/>
  <c r="D198" i="7"/>
  <c r="C198" i="7"/>
  <c r="B198" i="7"/>
  <c r="P197" i="7"/>
  <c r="O197" i="7"/>
  <c r="N197" i="7"/>
  <c r="M197" i="7"/>
  <c r="L197" i="7"/>
  <c r="K197" i="7"/>
  <c r="G197" i="7"/>
  <c r="F197" i="7"/>
  <c r="E197" i="7"/>
  <c r="D197" i="7"/>
  <c r="C197" i="7"/>
  <c r="B197" i="7"/>
  <c r="P196" i="7"/>
  <c r="O196" i="7"/>
  <c r="N196" i="7"/>
  <c r="M196" i="7"/>
  <c r="L196" i="7"/>
  <c r="K196" i="7"/>
  <c r="G196" i="7"/>
  <c r="F196" i="7"/>
  <c r="E196" i="7"/>
  <c r="D196" i="7"/>
  <c r="C196" i="7"/>
  <c r="B196" i="7"/>
  <c r="P195" i="7"/>
  <c r="O195" i="7"/>
  <c r="N195" i="7"/>
  <c r="M195" i="7"/>
  <c r="L195" i="7"/>
  <c r="K195" i="7"/>
  <c r="J195" i="7"/>
  <c r="G195" i="7"/>
  <c r="F195" i="7"/>
  <c r="E195" i="7"/>
  <c r="D195" i="7"/>
  <c r="C195" i="7"/>
  <c r="B195" i="7"/>
  <c r="P194" i="7"/>
  <c r="O194" i="7"/>
  <c r="N194" i="7"/>
  <c r="M194" i="7"/>
  <c r="L194" i="7"/>
  <c r="K194" i="7"/>
  <c r="G194" i="7"/>
  <c r="F194" i="7"/>
  <c r="E194" i="7"/>
  <c r="D194" i="7"/>
  <c r="C194" i="7"/>
  <c r="B194" i="7"/>
  <c r="J192" i="7"/>
  <c r="B192" i="7"/>
  <c r="P182" i="7"/>
  <c r="O182" i="7"/>
  <c r="N182" i="7"/>
  <c r="M182" i="7"/>
  <c r="L182" i="7"/>
  <c r="K182" i="7"/>
  <c r="G182" i="7"/>
  <c r="F182" i="7"/>
  <c r="E182" i="7"/>
  <c r="D182" i="7"/>
  <c r="C182" i="7"/>
  <c r="B182" i="7"/>
  <c r="P181" i="7"/>
  <c r="O181" i="7"/>
  <c r="N181" i="7"/>
  <c r="M181" i="7"/>
  <c r="L181" i="7"/>
  <c r="K181" i="7"/>
  <c r="J181" i="7"/>
  <c r="I181" i="7"/>
  <c r="G181" i="7"/>
  <c r="F181" i="7"/>
  <c r="E181" i="7"/>
  <c r="D181" i="7"/>
  <c r="C181" i="7"/>
  <c r="B181" i="7"/>
  <c r="P180" i="7"/>
  <c r="O180" i="7"/>
  <c r="N180" i="7"/>
  <c r="M180" i="7"/>
  <c r="L180" i="7"/>
  <c r="K180" i="7"/>
  <c r="J180" i="7"/>
  <c r="H180" i="7"/>
  <c r="G180" i="7"/>
  <c r="F180" i="7"/>
  <c r="E180" i="7"/>
  <c r="D180" i="7"/>
  <c r="C180" i="7"/>
  <c r="B180" i="7"/>
  <c r="P179" i="7"/>
  <c r="O179" i="7"/>
  <c r="N179" i="7"/>
  <c r="M179" i="7"/>
  <c r="L179" i="7"/>
  <c r="K179" i="7"/>
  <c r="G179" i="7"/>
  <c r="F179" i="7"/>
  <c r="E179" i="7"/>
  <c r="D179" i="7"/>
  <c r="C179" i="7"/>
  <c r="B179" i="7"/>
  <c r="P178" i="7"/>
  <c r="O178" i="7"/>
  <c r="N178" i="7"/>
  <c r="M178" i="7"/>
  <c r="L178" i="7"/>
  <c r="K178" i="7"/>
  <c r="J178" i="7"/>
  <c r="G178" i="7"/>
  <c r="F178" i="7"/>
  <c r="E178" i="7"/>
  <c r="D178" i="7"/>
  <c r="C178" i="7"/>
  <c r="B178" i="7"/>
  <c r="P177" i="7"/>
  <c r="O177" i="7"/>
  <c r="N177" i="7"/>
  <c r="M177" i="7"/>
  <c r="L177" i="7"/>
  <c r="K177" i="7"/>
  <c r="J177" i="7"/>
  <c r="G177" i="7"/>
  <c r="F177" i="7"/>
  <c r="E177" i="7"/>
  <c r="D177" i="7"/>
  <c r="C177" i="7"/>
  <c r="B177" i="7"/>
  <c r="J175" i="7"/>
  <c r="B175" i="7"/>
  <c r="P165" i="7"/>
  <c r="O165" i="7"/>
  <c r="N165" i="7"/>
  <c r="M165" i="7"/>
  <c r="L165" i="7"/>
  <c r="K165" i="7"/>
  <c r="J165" i="7"/>
  <c r="G165" i="7"/>
  <c r="F165" i="7"/>
  <c r="E165" i="7"/>
  <c r="D165" i="7"/>
  <c r="C165" i="7"/>
  <c r="B165" i="7"/>
  <c r="P164" i="7"/>
  <c r="O164" i="7"/>
  <c r="N164" i="7"/>
  <c r="M164" i="7"/>
  <c r="L164" i="7"/>
  <c r="K164" i="7"/>
  <c r="J164" i="7"/>
  <c r="I164" i="7"/>
  <c r="H164" i="7"/>
  <c r="G164" i="7"/>
  <c r="F164" i="7"/>
  <c r="E164" i="7"/>
  <c r="D164" i="7"/>
  <c r="C164" i="7"/>
  <c r="B164" i="7"/>
  <c r="P163" i="7"/>
  <c r="O163" i="7"/>
  <c r="N163" i="7"/>
  <c r="M163" i="7"/>
  <c r="L163" i="7"/>
  <c r="K163" i="7"/>
  <c r="I163" i="7"/>
  <c r="H163" i="7"/>
  <c r="G163" i="7"/>
  <c r="F163" i="7"/>
  <c r="E163" i="7"/>
  <c r="D163" i="7"/>
  <c r="C163" i="7"/>
  <c r="B163" i="7"/>
  <c r="P162" i="7"/>
  <c r="O162" i="7"/>
  <c r="N162" i="7"/>
  <c r="M162" i="7"/>
  <c r="L162" i="7"/>
  <c r="K162" i="7"/>
  <c r="G162" i="7"/>
  <c r="F162" i="7"/>
  <c r="E162" i="7"/>
  <c r="D162" i="7"/>
  <c r="C162" i="7"/>
  <c r="B162" i="7"/>
  <c r="P161" i="7"/>
  <c r="O161" i="7"/>
  <c r="N161" i="7"/>
  <c r="M161" i="7"/>
  <c r="L161" i="7"/>
  <c r="K161" i="7"/>
  <c r="J161" i="7"/>
  <c r="G161" i="7"/>
  <c r="F161" i="7"/>
  <c r="E161" i="7"/>
  <c r="D161" i="7"/>
  <c r="C161" i="7"/>
  <c r="B161" i="7"/>
  <c r="P160" i="7"/>
  <c r="O160" i="7"/>
  <c r="N160" i="7"/>
  <c r="M160" i="7"/>
  <c r="L160" i="7"/>
  <c r="K160" i="7"/>
  <c r="G160" i="7"/>
  <c r="F160" i="7"/>
  <c r="E160" i="7"/>
  <c r="D160" i="7"/>
  <c r="C160" i="7"/>
  <c r="B160" i="7"/>
  <c r="J158" i="7"/>
  <c r="B158" i="7"/>
  <c r="P148" i="7"/>
  <c r="O148" i="7"/>
  <c r="N148" i="7"/>
  <c r="M148" i="7"/>
  <c r="L148" i="7"/>
  <c r="K148" i="7"/>
  <c r="J148" i="7"/>
  <c r="G148" i="7"/>
  <c r="F148" i="7"/>
  <c r="E148" i="7"/>
  <c r="D148" i="7"/>
  <c r="C148" i="7"/>
  <c r="B148" i="7"/>
  <c r="P147" i="7"/>
  <c r="O147" i="7"/>
  <c r="N147" i="7"/>
  <c r="M147" i="7"/>
  <c r="L147" i="7"/>
  <c r="K147" i="7"/>
  <c r="G147" i="7"/>
  <c r="F147" i="7"/>
  <c r="E147" i="7"/>
  <c r="D147" i="7"/>
  <c r="C147" i="7"/>
  <c r="B147" i="7"/>
  <c r="P146" i="7"/>
  <c r="O146" i="7"/>
  <c r="N146" i="7"/>
  <c r="M146" i="7"/>
  <c r="L146" i="7"/>
  <c r="K146" i="7"/>
  <c r="J146" i="7"/>
  <c r="G146" i="7"/>
  <c r="F146" i="7"/>
  <c r="E146" i="7"/>
  <c r="D146" i="7"/>
  <c r="C146" i="7"/>
  <c r="B146" i="7"/>
  <c r="P145" i="7"/>
  <c r="O145" i="7"/>
  <c r="N145" i="7"/>
  <c r="M145" i="7"/>
  <c r="L145" i="7"/>
  <c r="K145" i="7"/>
  <c r="H145" i="7"/>
  <c r="G145" i="7"/>
  <c r="F145" i="7"/>
  <c r="E145" i="7"/>
  <c r="D145" i="7"/>
  <c r="C145" i="7"/>
  <c r="B145" i="7"/>
  <c r="P144" i="7"/>
  <c r="O144" i="7"/>
  <c r="N144" i="7"/>
  <c r="M144" i="7"/>
  <c r="L144" i="7"/>
  <c r="K144" i="7"/>
  <c r="G144" i="7"/>
  <c r="F144" i="7"/>
  <c r="E144" i="7"/>
  <c r="D144" i="7"/>
  <c r="C144" i="7"/>
  <c r="B144" i="7"/>
  <c r="P143" i="7"/>
  <c r="O143" i="7"/>
  <c r="N143" i="7"/>
  <c r="M143" i="7"/>
  <c r="L143" i="7"/>
  <c r="K143" i="7"/>
  <c r="H143" i="7"/>
  <c r="G143" i="7"/>
  <c r="F143" i="7"/>
  <c r="E143" i="7"/>
  <c r="D143" i="7"/>
  <c r="C143" i="7"/>
  <c r="B143" i="7"/>
  <c r="J141" i="7"/>
  <c r="B141" i="7"/>
  <c r="P131" i="7"/>
  <c r="O131" i="7"/>
  <c r="N131" i="7"/>
  <c r="M131" i="7"/>
  <c r="L131" i="7"/>
  <c r="K131" i="7"/>
  <c r="J131" i="7"/>
  <c r="I131" i="7"/>
  <c r="H131" i="7"/>
  <c r="G131" i="7"/>
  <c r="F131" i="7"/>
  <c r="E131" i="7"/>
  <c r="D131" i="7"/>
  <c r="C131" i="7"/>
  <c r="B131" i="7"/>
  <c r="P130" i="7"/>
  <c r="O130" i="7"/>
  <c r="N130" i="7"/>
  <c r="M130" i="7"/>
  <c r="L130" i="7"/>
  <c r="K130" i="7"/>
  <c r="J130" i="7"/>
  <c r="G130" i="7"/>
  <c r="F130" i="7"/>
  <c r="E130" i="7"/>
  <c r="D130" i="7"/>
  <c r="C130" i="7"/>
  <c r="B130" i="7"/>
  <c r="P129" i="7"/>
  <c r="O129" i="7"/>
  <c r="N129" i="7"/>
  <c r="M129" i="7"/>
  <c r="L129" i="7"/>
  <c r="K129" i="7"/>
  <c r="G129" i="7"/>
  <c r="F129" i="7"/>
  <c r="E129" i="7"/>
  <c r="D129" i="7"/>
  <c r="C129" i="7"/>
  <c r="B129" i="7"/>
  <c r="P128" i="7"/>
  <c r="O128" i="7"/>
  <c r="N128" i="7"/>
  <c r="M128" i="7"/>
  <c r="L128" i="7"/>
  <c r="K128" i="7"/>
  <c r="H128" i="7"/>
  <c r="G128" i="7"/>
  <c r="F128" i="7"/>
  <c r="E128" i="7"/>
  <c r="D128" i="7"/>
  <c r="C128" i="7"/>
  <c r="B128" i="7"/>
  <c r="P127" i="7"/>
  <c r="O127" i="7"/>
  <c r="N127" i="7"/>
  <c r="M127" i="7"/>
  <c r="L127" i="7"/>
  <c r="K127" i="7"/>
  <c r="G127" i="7"/>
  <c r="F127" i="7"/>
  <c r="E127" i="7"/>
  <c r="D127" i="7"/>
  <c r="C127" i="7"/>
  <c r="B127" i="7"/>
  <c r="P126" i="7"/>
  <c r="O126" i="7"/>
  <c r="N126" i="7"/>
  <c r="M126" i="7"/>
  <c r="L126" i="7"/>
  <c r="K126" i="7"/>
  <c r="J126" i="7"/>
  <c r="G126" i="7"/>
  <c r="F126" i="7"/>
  <c r="E126" i="7"/>
  <c r="D126" i="7"/>
  <c r="C126" i="7"/>
  <c r="B126" i="7"/>
  <c r="P114" i="7"/>
  <c r="O114" i="7"/>
  <c r="N114" i="7"/>
  <c r="M114" i="7"/>
  <c r="L114" i="7"/>
  <c r="K114" i="7"/>
  <c r="J114" i="7"/>
  <c r="G114" i="7"/>
  <c r="F114" i="7"/>
  <c r="E114" i="7"/>
  <c r="D114" i="7"/>
  <c r="C114" i="7"/>
  <c r="B114" i="7"/>
  <c r="P113" i="7"/>
  <c r="O113" i="7"/>
  <c r="N113" i="7"/>
  <c r="M113" i="7"/>
  <c r="L113" i="7"/>
  <c r="K113" i="7"/>
  <c r="J113" i="7"/>
  <c r="H113" i="7"/>
  <c r="G113" i="7"/>
  <c r="F113" i="7"/>
  <c r="E113" i="7"/>
  <c r="D113" i="7"/>
  <c r="C113" i="7"/>
  <c r="B113" i="7"/>
  <c r="P112" i="7"/>
  <c r="O112" i="7"/>
  <c r="N112" i="7"/>
  <c r="M112" i="7"/>
  <c r="L112" i="7"/>
  <c r="K112" i="7"/>
  <c r="H112" i="7"/>
  <c r="G112" i="7"/>
  <c r="F112" i="7"/>
  <c r="E112" i="7"/>
  <c r="D112" i="7"/>
  <c r="C112" i="7"/>
  <c r="B112" i="7"/>
  <c r="P111" i="7"/>
  <c r="O111" i="7"/>
  <c r="N111" i="7"/>
  <c r="M111" i="7"/>
  <c r="L111" i="7"/>
  <c r="K111" i="7"/>
  <c r="H111" i="7"/>
  <c r="G111" i="7"/>
  <c r="F111" i="7"/>
  <c r="E111" i="7"/>
  <c r="D111" i="7"/>
  <c r="C111" i="7"/>
  <c r="B111" i="7"/>
  <c r="P110" i="7"/>
  <c r="O110" i="7"/>
  <c r="N110" i="7"/>
  <c r="M110" i="7"/>
  <c r="L110" i="7"/>
  <c r="K110" i="7"/>
  <c r="I110" i="7"/>
  <c r="G110" i="7"/>
  <c r="F110" i="7"/>
  <c r="E110" i="7"/>
  <c r="D110" i="7"/>
  <c r="C110" i="7"/>
  <c r="B110" i="7"/>
  <c r="P109" i="7"/>
  <c r="O109" i="7"/>
  <c r="N109" i="7"/>
  <c r="M109" i="7"/>
  <c r="L109" i="7"/>
  <c r="K109" i="7"/>
  <c r="J109" i="7"/>
  <c r="I109" i="7"/>
  <c r="G109" i="7"/>
  <c r="F109" i="7"/>
  <c r="E109" i="7"/>
  <c r="D109" i="7"/>
  <c r="C109" i="7"/>
  <c r="B109" i="7"/>
  <c r="P97" i="7"/>
  <c r="O97" i="7"/>
  <c r="N97" i="7"/>
  <c r="M97" i="7"/>
  <c r="L97" i="7"/>
  <c r="K97" i="7"/>
  <c r="G97" i="7"/>
  <c r="F97" i="7"/>
  <c r="E97" i="7"/>
  <c r="D97" i="7"/>
  <c r="C97" i="7"/>
  <c r="B97" i="7"/>
  <c r="P96" i="7"/>
  <c r="O96" i="7"/>
  <c r="N96" i="7"/>
  <c r="M96" i="7"/>
  <c r="L96" i="7"/>
  <c r="K96" i="7"/>
  <c r="H96" i="7"/>
  <c r="G96" i="7"/>
  <c r="F96" i="7"/>
  <c r="E96" i="7"/>
  <c r="D96" i="7"/>
  <c r="C96" i="7"/>
  <c r="B96" i="7"/>
  <c r="P95" i="7"/>
  <c r="O95" i="7"/>
  <c r="N95" i="7"/>
  <c r="M95" i="7"/>
  <c r="L95" i="7"/>
  <c r="K95" i="7"/>
  <c r="J95" i="7"/>
  <c r="I95" i="7"/>
  <c r="H95" i="7"/>
  <c r="G95" i="7"/>
  <c r="F95" i="7"/>
  <c r="E95" i="7"/>
  <c r="D95" i="7"/>
  <c r="C95" i="7"/>
  <c r="B95" i="7"/>
  <c r="P94" i="7"/>
  <c r="O94" i="7"/>
  <c r="N94" i="7"/>
  <c r="M94" i="7"/>
  <c r="L94" i="7"/>
  <c r="K94" i="7"/>
  <c r="J94" i="7"/>
  <c r="G94" i="7"/>
  <c r="F94" i="7"/>
  <c r="E94" i="7"/>
  <c r="D94" i="7"/>
  <c r="C94" i="7"/>
  <c r="B94" i="7"/>
  <c r="P93" i="7"/>
  <c r="O93" i="7"/>
  <c r="N93" i="7"/>
  <c r="M93" i="7"/>
  <c r="L93" i="7"/>
  <c r="K93" i="7"/>
  <c r="G93" i="7"/>
  <c r="F93" i="7"/>
  <c r="E93" i="7"/>
  <c r="D93" i="7"/>
  <c r="C93" i="7"/>
  <c r="B93" i="7"/>
  <c r="P92" i="7"/>
  <c r="O92" i="7"/>
  <c r="N92" i="7"/>
  <c r="M92" i="7"/>
  <c r="L92" i="7"/>
  <c r="K92" i="7"/>
  <c r="G92" i="7"/>
  <c r="F92" i="7"/>
  <c r="E92" i="7"/>
  <c r="D92" i="7"/>
  <c r="C92" i="7"/>
  <c r="B92" i="7"/>
  <c r="P80" i="7"/>
  <c r="O80" i="7"/>
  <c r="N80" i="7"/>
  <c r="M80" i="7"/>
  <c r="L80" i="7"/>
  <c r="K80" i="7"/>
  <c r="G80" i="7"/>
  <c r="F80" i="7"/>
  <c r="E80" i="7"/>
  <c r="D80" i="7"/>
  <c r="C80" i="7"/>
  <c r="B80" i="7"/>
  <c r="P79" i="7"/>
  <c r="O79" i="7"/>
  <c r="N79" i="7"/>
  <c r="M79" i="7"/>
  <c r="L79" i="7"/>
  <c r="K79" i="7"/>
  <c r="J79" i="7"/>
  <c r="H79" i="7"/>
  <c r="G79" i="7"/>
  <c r="F79" i="7"/>
  <c r="E79" i="7"/>
  <c r="D79" i="7"/>
  <c r="C79" i="7"/>
  <c r="B79" i="7"/>
  <c r="P78" i="7"/>
  <c r="O78" i="7"/>
  <c r="N78" i="7"/>
  <c r="M78" i="7"/>
  <c r="L78" i="7"/>
  <c r="K78" i="7"/>
  <c r="J78" i="7"/>
  <c r="I78" i="7"/>
  <c r="H78" i="7"/>
  <c r="G78" i="7"/>
  <c r="F78" i="7"/>
  <c r="E78" i="7"/>
  <c r="D78" i="7"/>
  <c r="C78" i="7"/>
  <c r="B78" i="7"/>
  <c r="P77" i="7"/>
  <c r="O77" i="7"/>
  <c r="N77" i="7"/>
  <c r="M77" i="7"/>
  <c r="L77" i="7"/>
  <c r="K77" i="7"/>
  <c r="J77" i="7"/>
  <c r="I77" i="7"/>
  <c r="H77" i="7"/>
  <c r="G77" i="7"/>
  <c r="F77" i="7"/>
  <c r="E77" i="7"/>
  <c r="D77" i="7"/>
  <c r="C77" i="7"/>
  <c r="B77" i="7"/>
  <c r="P76" i="7"/>
  <c r="O76" i="7"/>
  <c r="N76" i="7"/>
  <c r="M76" i="7"/>
  <c r="L76" i="7"/>
  <c r="K76" i="7"/>
  <c r="G76" i="7"/>
  <c r="F76" i="7"/>
  <c r="E76" i="7"/>
  <c r="D76" i="7"/>
  <c r="C76" i="7"/>
  <c r="B76" i="7"/>
  <c r="P75" i="7"/>
  <c r="O75" i="7"/>
  <c r="N75" i="7"/>
  <c r="M75" i="7"/>
  <c r="L75" i="7"/>
  <c r="K75" i="7"/>
  <c r="G75" i="7"/>
  <c r="F75" i="7"/>
  <c r="E75" i="7"/>
  <c r="D75" i="7"/>
  <c r="C75" i="7"/>
  <c r="B75" i="7"/>
  <c r="P63" i="7"/>
  <c r="O63" i="7"/>
  <c r="N63" i="7"/>
  <c r="M63" i="7"/>
  <c r="L63" i="7"/>
  <c r="K63" i="7"/>
  <c r="I63" i="7"/>
  <c r="H63" i="7"/>
  <c r="G63" i="7"/>
  <c r="F63" i="7"/>
  <c r="E63" i="7"/>
  <c r="D63" i="7"/>
  <c r="C63" i="7"/>
  <c r="B63" i="7"/>
  <c r="P62" i="7"/>
  <c r="O62" i="7"/>
  <c r="N62" i="7"/>
  <c r="M62" i="7"/>
  <c r="L62" i="7"/>
  <c r="K62" i="7"/>
  <c r="G62" i="7"/>
  <c r="F62" i="7"/>
  <c r="E62" i="7"/>
  <c r="D62" i="7"/>
  <c r="C62" i="7"/>
  <c r="B62" i="7"/>
  <c r="P61" i="7"/>
  <c r="O61" i="7"/>
  <c r="N61" i="7"/>
  <c r="M61" i="7"/>
  <c r="L61" i="7"/>
  <c r="K61" i="7"/>
  <c r="I61" i="7"/>
  <c r="H61" i="7"/>
  <c r="G61" i="7"/>
  <c r="F61" i="7"/>
  <c r="E61" i="7"/>
  <c r="D61" i="7"/>
  <c r="C61" i="7"/>
  <c r="B61" i="7"/>
  <c r="P60" i="7"/>
  <c r="O60" i="7"/>
  <c r="N60" i="7"/>
  <c r="M60" i="7"/>
  <c r="L60" i="7"/>
  <c r="K60" i="7"/>
  <c r="G60" i="7"/>
  <c r="F60" i="7"/>
  <c r="E60" i="7"/>
  <c r="D60" i="7"/>
  <c r="C60" i="7"/>
  <c r="B60" i="7"/>
  <c r="P59" i="7"/>
  <c r="O59" i="7"/>
  <c r="N59" i="7"/>
  <c r="M59" i="7"/>
  <c r="L59" i="7"/>
  <c r="K59" i="7"/>
  <c r="J59" i="7"/>
  <c r="G59" i="7"/>
  <c r="F59" i="7"/>
  <c r="E59" i="7"/>
  <c r="D59" i="7"/>
  <c r="C59" i="7"/>
  <c r="B59" i="7"/>
  <c r="P58" i="7"/>
  <c r="O58" i="7"/>
  <c r="N58" i="7"/>
  <c r="M58" i="7"/>
  <c r="L58" i="7"/>
  <c r="K58" i="7"/>
  <c r="J58" i="7"/>
  <c r="I58" i="7"/>
  <c r="G58" i="7"/>
  <c r="F58" i="7"/>
  <c r="E58" i="7"/>
  <c r="D58" i="7"/>
  <c r="C58" i="7"/>
  <c r="B58" i="7"/>
  <c r="P46" i="7"/>
  <c r="O46" i="7"/>
  <c r="N46" i="7"/>
  <c r="M46" i="7"/>
  <c r="L46" i="7"/>
  <c r="K46" i="7"/>
  <c r="H46" i="7"/>
  <c r="G46" i="7"/>
  <c r="F46" i="7"/>
  <c r="E46" i="7"/>
  <c r="D46" i="7"/>
  <c r="C46" i="7"/>
  <c r="B46" i="7"/>
  <c r="P45" i="7"/>
  <c r="O45" i="7"/>
  <c r="N45" i="7"/>
  <c r="M45" i="7"/>
  <c r="L45" i="7"/>
  <c r="K45" i="7"/>
  <c r="J45" i="7"/>
  <c r="I45" i="7"/>
  <c r="G45" i="7"/>
  <c r="F45" i="7"/>
  <c r="E45" i="7"/>
  <c r="D45" i="7"/>
  <c r="C45" i="7"/>
  <c r="B45" i="7"/>
  <c r="P44" i="7"/>
  <c r="O44" i="7"/>
  <c r="N44" i="7"/>
  <c r="M44" i="7"/>
  <c r="L44" i="7"/>
  <c r="K44" i="7"/>
  <c r="G44" i="7"/>
  <c r="F44" i="7"/>
  <c r="E44" i="7"/>
  <c r="D44" i="7"/>
  <c r="C44" i="7"/>
  <c r="B44" i="7"/>
  <c r="P43" i="7"/>
  <c r="O43" i="7"/>
  <c r="N43" i="7"/>
  <c r="M43" i="7"/>
  <c r="L43" i="7"/>
  <c r="K43" i="7"/>
  <c r="H43" i="7"/>
  <c r="G43" i="7"/>
  <c r="F43" i="7"/>
  <c r="E43" i="7"/>
  <c r="D43" i="7"/>
  <c r="C43" i="7"/>
  <c r="B43" i="7"/>
  <c r="P42" i="7"/>
  <c r="O42" i="7"/>
  <c r="N42" i="7"/>
  <c r="M42" i="7"/>
  <c r="L42" i="7"/>
  <c r="K42" i="7"/>
  <c r="H42" i="7"/>
  <c r="G42" i="7"/>
  <c r="F42" i="7"/>
  <c r="E42" i="7"/>
  <c r="D42" i="7"/>
  <c r="C42" i="7"/>
  <c r="B42" i="7"/>
  <c r="P41" i="7"/>
  <c r="O41" i="7"/>
  <c r="N41" i="7"/>
  <c r="M41" i="7"/>
  <c r="L41" i="7"/>
  <c r="K41" i="7"/>
  <c r="H41" i="7"/>
  <c r="G41" i="7"/>
  <c r="F41" i="7"/>
  <c r="E41" i="7"/>
  <c r="D41" i="7"/>
  <c r="C41" i="7"/>
  <c r="B41" i="7"/>
  <c r="P29" i="7"/>
  <c r="O29" i="7"/>
  <c r="N29" i="7"/>
  <c r="M29" i="7"/>
  <c r="L29" i="7"/>
  <c r="K29" i="7"/>
  <c r="G29" i="7"/>
  <c r="F29" i="7"/>
  <c r="E29" i="7"/>
  <c r="D29" i="7"/>
  <c r="C29" i="7"/>
  <c r="B29" i="7"/>
  <c r="P28" i="7"/>
  <c r="O28" i="7"/>
  <c r="N28" i="7"/>
  <c r="M28" i="7"/>
  <c r="L28" i="7"/>
  <c r="K28" i="7"/>
  <c r="H28" i="7"/>
  <c r="G28" i="7"/>
  <c r="F28" i="7"/>
  <c r="E28" i="7"/>
  <c r="D28" i="7"/>
  <c r="C28" i="7"/>
  <c r="B28" i="7"/>
  <c r="P27" i="7"/>
  <c r="O27" i="7"/>
  <c r="N27" i="7"/>
  <c r="M27" i="7"/>
  <c r="L27" i="7"/>
  <c r="K27" i="7"/>
  <c r="I27" i="7"/>
  <c r="G27" i="7"/>
  <c r="F27" i="7"/>
  <c r="E27" i="7"/>
  <c r="D27" i="7"/>
  <c r="C27" i="7"/>
  <c r="B27" i="7"/>
  <c r="P26" i="7"/>
  <c r="O26" i="7"/>
  <c r="N26" i="7"/>
  <c r="M26" i="7"/>
  <c r="L26" i="7"/>
  <c r="K26" i="7"/>
  <c r="H26" i="7"/>
  <c r="G26" i="7"/>
  <c r="F26" i="7"/>
  <c r="E26" i="7"/>
  <c r="D26" i="7"/>
  <c r="C26" i="7"/>
  <c r="B26" i="7"/>
  <c r="P25" i="7"/>
  <c r="O25" i="7"/>
  <c r="N25" i="7"/>
  <c r="M25" i="7"/>
  <c r="L25" i="7"/>
  <c r="K25" i="7"/>
  <c r="G25" i="7"/>
  <c r="F25" i="7"/>
  <c r="E25" i="7"/>
  <c r="D25" i="7"/>
  <c r="C25" i="7"/>
  <c r="B25" i="7"/>
  <c r="P24" i="7"/>
  <c r="O24" i="7"/>
  <c r="N24" i="7"/>
  <c r="M24" i="7"/>
  <c r="L24" i="7"/>
  <c r="K24" i="7"/>
  <c r="H24" i="7"/>
  <c r="G24" i="7"/>
  <c r="F24" i="7"/>
  <c r="E24" i="7"/>
  <c r="D24" i="7"/>
  <c r="C24" i="7"/>
  <c r="B24" i="7"/>
  <c r="P12" i="7"/>
  <c r="O12" i="7"/>
  <c r="N12" i="7"/>
  <c r="M12" i="7"/>
  <c r="L12" i="7"/>
  <c r="K12" i="7"/>
  <c r="G12" i="7"/>
  <c r="F12" i="7"/>
  <c r="E12" i="7"/>
  <c r="D12" i="7"/>
  <c r="C12" i="7"/>
  <c r="B12" i="7"/>
  <c r="P11" i="7"/>
  <c r="O11" i="7"/>
  <c r="N11" i="7"/>
  <c r="M11" i="7"/>
  <c r="L11" i="7"/>
  <c r="K11" i="7"/>
  <c r="J11" i="7"/>
  <c r="I11" i="7"/>
  <c r="G11" i="7"/>
  <c r="F11" i="7"/>
  <c r="E11" i="7"/>
  <c r="D11" i="7"/>
  <c r="C11" i="7"/>
  <c r="B11" i="7"/>
  <c r="P10" i="7"/>
  <c r="O10" i="7"/>
  <c r="N10" i="7"/>
  <c r="M10" i="7"/>
  <c r="L10" i="7"/>
  <c r="K10" i="7"/>
  <c r="I10" i="7"/>
  <c r="H10" i="7"/>
  <c r="G10" i="7"/>
  <c r="F10" i="7"/>
  <c r="E10" i="7"/>
  <c r="D10" i="7"/>
  <c r="C10" i="7"/>
  <c r="B10" i="7"/>
  <c r="P9" i="7"/>
  <c r="O9" i="7"/>
  <c r="N9" i="7"/>
  <c r="M9" i="7"/>
  <c r="L9" i="7"/>
  <c r="K9" i="7"/>
  <c r="J9" i="7"/>
  <c r="I9" i="7"/>
  <c r="G9" i="7"/>
  <c r="F9" i="7"/>
  <c r="E9" i="7"/>
  <c r="D9" i="7"/>
  <c r="C9" i="7"/>
  <c r="B9" i="7"/>
  <c r="P8" i="7"/>
  <c r="O8" i="7"/>
  <c r="N8" i="7"/>
  <c r="M8" i="7"/>
  <c r="L8" i="7"/>
  <c r="K8" i="7"/>
  <c r="G8" i="7"/>
  <c r="F8" i="7"/>
  <c r="E8" i="7"/>
  <c r="D8" i="7"/>
  <c r="C8" i="7"/>
  <c r="B8" i="7"/>
  <c r="P7" i="7"/>
  <c r="O7" i="7"/>
  <c r="N7" i="7"/>
  <c r="M7" i="7"/>
  <c r="L7" i="7"/>
  <c r="K7" i="7"/>
  <c r="J7" i="7"/>
  <c r="G7" i="7"/>
  <c r="F7" i="7"/>
  <c r="E7" i="7"/>
  <c r="D7" i="7"/>
  <c r="C7" i="7"/>
  <c r="B7" i="7"/>
  <c r="M547" i="6"/>
  <c r="K547" i="6"/>
  <c r="I547" i="6"/>
  <c r="F547" i="6"/>
  <c r="D547" i="6"/>
  <c r="B547" i="6"/>
  <c r="L544" i="6"/>
  <c r="E544" i="6"/>
  <c r="M542" i="6"/>
  <c r="L542" i="6"/>
  <c r="K542" i="6"/>
  <c r="J542" i="6"/>
  <c r="I542" i="6"/>
  <c r="E542" i="6"/>
  <c r="D542" i="6"/>
  <c r="C542" i="6"/>
  <c r="B542" i="6"/>
  <c r="M541" i="6"/>
  <c r="L541" i="6"/>
  <c r="K541" i="6"/>
  <c r="J541" i="6"/>
  <c r="I541" i="6"/>
  <c r="E541" i="6"/>
  <c r="D541" i="6"/>
  <c r="C541" i="6"/>
  <c r="B541" i="6"/>
  <c r="M540" i="6"/>
  <c r="L540" i="6"/>
  <c r="K540" i="6"/>
  <c r="J540" i="6"/>
  <c r="I540" i="6"/>
  <c r="F540" i="6"/>
  <c r="E540" i="6"/>
  <c r="D540" i="6"/>
  <c r="C540" i="6"/>
  <c r="B540" i="6"/>
  <c r="M539" i="6"/>
  <c r="L539" i="6"/>
  <c r="K539" i="6"/>
  <c r="J539" i="6"/>
  <c r="I539" i="6"/>
  <c r="F539" i="6"/>
  <c r="E539" i="6"/>
  <c r="D539" i="6"/>
  <c r="C539" i="6"/>
  <c r="B539" i="6"/>
  <c r="M538" i="6"/>
  <c r="L538" i="6"/>
  <c r="K538" i="6"/>
  <c r="J538" i="6"/>
  <c r="I538" i="6"/>
  <c r="F538" i="6"/>
  <c r="E538" i="6"/>
  <c r="D538" i="6"/>
  <c r="C538" i="6"/>
  <c r="B538" i="6"/>
  <c r="M537" i="6"/>
  <c r="L537" i="6"/>
  <c r="K537" i="6"/>
  <c r="J537" i="6"/>
  <c r="I537" i="6"/>
  <c r="F537" i="6"/>
  <c r="E537" i="6"/>
  <c r="D537" i="6"/>
  <c r="C537" i="6"/>
  <c r="B537" i="6"/>
  <c r="M534" i="6"/>
  <c r="I534" i="6"/>
  <c r="F534" i="6"/>
  <c r="B534" i="6"/>
  <c r="M533" i="6"/>
  <c r="I533" i="6"/>
  <c r="F533" i="6"/>
  <c r="B533" i="6"/>
  <c r="M530" i="6"/>
  <c r="K530" i="6"/>
  <c r="I530" i="6"/>
  <c r="F530" i="6"/>
  <c r="D530" i="6"/>
  <c r="B530" i="6"/>
  <c r="L527" i="6"/>
  <c r="E527" i="6"/>
  <c r="L525" i="6"/>
  <c r="K525" i="6"/>
  <c r="J525" i="6"/>
  <c r="I525" i="6"/>
  <c r="F525" i="6"/>
  <c r="E525" i="6"/>
  <c r="D525" i="6"/>
  <c r="C525" i="6"/>
  <c r="B525" i="6"/>
  <c r="M524" i="6"/>
  <c r="L524" i="6"/>
  <c r="K524" i="6"/>
  <c r="J524" i="6"/>
  <c r="I524" i="6"/>
  <c r="F524" i="6"/>
  <c r="E524" i="6"/>
  <c r="D524" i="6"/>
  <c r="C524" i="6"/>
  <c r="B524" i="6"/>
  <c r="L523" i="6"/>
  <c r="K523" i="6"/>
  <c r="J523" i="6"/>
  <c r="I523" i="6"/>
  <c r="F523" i="6"/>
  <c r="E523" i="6"/>
  <c r="D523" i="6"/>
  <c r="C523" i="6"/>
  <c r="B523" i="6"/>
  <c r="L522" i="6"/>
  <c r="K522" i="6"/>
  <c r="J522" i="6"/>
  <c r="I522" i="6"/>
  <c r="F522" i="6"/>
  <c r="E522" i="6"/>
  <c r="D522" i="6"/>
  <c r="C522" i="6"/>
  <c r="B522" i="6"/>
  <c r="L521" i="6"/>
  <c r="K521" i="6"/>
  <c r="J521" i="6"/>
  <c r="I521" i="6"/>
  <c r="F521" i="6"/>
  <c r="E521" i="6"/>
  <c r="D521" i="6"/>
  <c r="C521" i="6"/>
  <c r="B521" i="6"/>
  <c r="L520" i="6"/>
  <c r="K520" i="6"/>
  <c r="J520" i="6"/>
  <c r="I520" i="6"/>
  <c r="E520" i="6"/>
  <c r="F520" i="6" s="1"/>
  <c r="D520" i="6"/>
  <c r="C520" i="6"/>
  <c r="B520" i="6"/>
  <c r="M517" i="6"/>
  <c r="I517" i="6"/>
  <c r="F517" i="6"/>
  <c r="B517" i="6"/>
  <c r="M516" i="6"/>
  <c r="I516" i="6"/>
  <c r="F516" i="6"/>
  <c r="B516" i="6"/>
  <c r="M513" i="6"/>
  <c r="K513" i="6"/>
  <c r="I513" i="6"/>
  <c r="F513" i="6"/>
  <c r="D513" i="6"/>
  <c r="B513" i="6"/>
  <c r="L510" i="6"/>
  <c r="E510" i="6"/>
  <c r="M508" i="6"/>
  <c r="L508" i="6"/>
  <c r="K508" i="6"/>
  <c r="J508" i="6"/>
  <c r="I508" i="6"/>
  <c r="F508" i="6"/>
  <c r="E508" i="6"/>
  <c r="D508" i="6"/>
  <c r="C508" i="6"/>
  <c r="B508" i="6"/>
  <c r="M507" i="6"/>
  <c r="L507" i="6"/>
  <c r="K507" i="6"/>
  <c r="J507" i="6"/>
  <c r="I507" i="6"/>
  <c r="E507" i="6"/>
  <c r="D507" i="6"/>
  <c r="C507" i="6"/>
  <c r="B507" i="6"/>
  <c r="M506" i="6"/>
  <c r="L506" i="6"/>
  <c r="K506" i="6"/>
  <c r="J506" i="6"/>
  <c r="I506" i="6"/>
  <c r="F506" i="6"/>
  <c r="E506" i="6"/>
  <c r="D506" i="6"/>
  <c r="C506" i="6"/>
  <c r="B506" i="6"/>
  <c r="M505" i="6"/>
  <c r="L505" i="6"/>
  <c r="K505" i="6"/>
  <c r="J505" i="6"/>
  <c r="I505" i="6"/>
  <c r="E505" i="6"/>
  <c r="D505" i="6"/>
  <c r="C505" i="6"/>
  <c r="B505" i="6"/>
  <c r="M504" i="6"/>
  <c r="L504" i="6"/>
  <c r="K504" i="6"/>
  <c r="J504" i="6"/>
  <c r="I504" i="6"/>
  <c r="F504" i="6"/>
  <c r="E504" i="6"/>
  <c r="D504" i="6"/>
  <c r="C504" i="6"/>
  <c r="B504" i="6"/>
  <c r="M503" i="6"/>
  <c r="L503" i="6"/>
  <c r="K503" i="6"/>
  <c r="J503" i="6"/>
  <c r="I503" i="6"/>
  <c r="E503" i="6"/>
  <c r="D503" i="6"/>
  <c r="C503" i="6"/>
  <c r="B503" i="6"/>
  <c r="M500" i="6"/>
  <c r="I500" i="6"/>
  <c r="F500" i="6"/>
  <c r="B500" i="6"/>
  <c r="M499" i="6"/>
  <c r="I499" i="6"/>
  <c r="F499" i="6"/>
  <c r="B499" i="6"/>
  <c r="M496" i="6"/>
  <c r="K496" i="6"/>
  <c r="I496" i="6"/>
  <c r="F496" i="6"/>
  <c r="D496" i="6"/>
  <c r="B496" i="6"/>
  <c r="L493" i="6"/>
  <c r="E493" i="6"/>
  <c r="M491" i="6"/>
  <c r="L491" i="6"/>
  <c r="K491" i="6"/>
  <c r="J491" i="6"/>
  <c r="I491" i="6"/>
  <c r="E491" i="6"/>
  <c r="D491" i="6"/>
  <c r="C491" i="6"/>
  <c r="B491" i="6"/>
  <c r="M490" i="6"/>
  <c r="L490" i="6"/>
  <c r="K490" i="6"/>
  <c r="J490" i="6"/>
  <c r="I490" i="6"/>
  <c r="E490" i="6"/>
  <c r="D490" i="6"/>
  <c r="C490" i="6"/>
  <c r="B490" i="6"/>
  <c r="M489" i="6"/>
  <c r="L489" i="6"/>
  <c r="K489" i="6"/>
  <c r="J489" i="6"/>
  <c r="I489" i="6"/>
  <c r="E489" i="6"/>
  <c r="D489" i="6"/>
  <c r="C489" i="6"/>
  <c r="B489" i="6"/>
  <c r="M488" i="6"/>
  <c r="L488" i="6"/>
  <c r="K488" i="6"/>
  <c r="J488" i="6"/>
  <c r="I488" i="6"/>
  <c r="E488" i="6"/>
  <c r="D488" i="6"/>
  <c r="C488" i="6"/>
  <c r="B488" i="6"/>
  <c r="M487" i="6"/>
  <c r="L487" i="6"/>
  <c r="K487" i="6"/>
  <c r="J487" i="6"/>
  <c r="I487" i="6"/>
  <c r="E487" i="6"/>
  <c r="D487" i="6"/>
  <c r="C487" i="6"/>
  <c r="B487" i="6"/>
  <c r="L486" i="6"/>
  <c r="M486" i="6" s="1"/>
  <c r="K486" i="6"/>
  <c r="J486" i="6"/>
  <c r="I486" i="6"/>
  <c r="E486" i="6"/>
  <c r="F491" i="6" s="1"/>
  <c r="D486" i="6"/>
  <c r="C486" i="6"/>
  <c r="B486" i="6"/>
  <c r="M483" i="6"/>
  <c r="I483" i="6"/>
  <c r="F483" i="6"/>
  <c r="B483" i="6"/>
  <c r="M482" i="6"/>
  <c r="I482" i="6"/>
  <c r="F482" i="6"/>
  <c r="B482" i="6"/>
  <c r="M479" i="6"/>
  <c r="K479" i="6"/>
  <c r="I479" i="6"/>
  <c r="F479" i="6"/>
  <c r="D479" i="6"/>
  <c r="B479" i="6"/>
  <c r="L476" i="6"/>
  <c r="E476" i="6"/>
  <c r="M474" i="6"/>
  <c r="L474" i="6"/>
  <c r="K474" i="6"/>
  <c r="J474" i="6"/>
  <c r="I474" i="6"/>
  <c r="E474" i="6"/>
  <c r="D474" i="6"/>
  <c r="C474" i="6"/>
  <c r="B474" i="6"/>
  <c r="L473" i="6"/>
  <c r="K473" i="6"/>
  <c r="J473" i="6"/>
  <c r="I473" i="6"/>
  <c r="E473" i="6"/>
  <c r="D473" i="6"/>
  <c r="C473" i="6"/>
  <c r="B473" i="6"/>
  <c r="L472" i="6"/>
  <c r="K472" i="6"/>
  <c r="J472" i="6"/>
  <c r="I472" i="6"/>
  <c r="E472" i="6"/>
  <c r="D472" i="6"/>
  <c r="C472" i="6"/>
  <c r="B472" i="6"/>
  <c r="L471" i="6"/>
  <c r="K471" i="6"/>
  <c r="J471" i="6"/>
  <c r="I471" i="6"/>
  <c r="E471" i="6"/>
  <c r="D471" i="6"/>
  <c r="C471" i="6"/>
  <c r="B471" i="6"/>
  <c r="M470" i="6"/>
  <c r="L470" i="6"/>
  <c r="K470" i="6"/>
  <c r="J470" i="6"/>
  <c r="I470" i="6"/>
  <c r="E470" i="6"/>
  <c r="D470" i="6"/>
  <c r="C470" i="6"/>
  <c r="B470" i="6"/>
  <c r="M469" i="6"/>
  <c r="L469" i="6"/>
  <c r="K469" i="6"/>
  <c r="J469" i="6"/>
  <c r="I469" i="6"/>
  <c r="E469" i="6"/>
  <c r="D469" i="6"/>
  <c r="C469" i="6"/>
  <c r="B469" i="6"/>
  <c r="M466" i="6"/>
  <c r="I466" i="6"/>
  <c r="F466" i="6"/>
  <c r="B466" i="6"/>
  <c r="M465" i="6"/>
  <c r="I465" i="6"/>
  <c r="F465" i="6"/>
  <c r="B465" i="6"/>
  <c r="M462" i="6"/>
  <c r="K462" i="6"/>
  <c r="I462" i="6"/>
  <c r="F462" i="6"/>
  <c r="D462" i="6"/>
  <c r="B462" i="6"/>
  <c r="L459" i="6"/>
  <c r="E459" i="6"/>
  <c r="M457" i="6"/>
  <c r="L457" i="6"/>
  <c r="K457" i="6"/>
  <c r="J457" i="6"/>
  <c r="I457" i="6"/>
  <c r="E457" i="6"/>
  <c r="D457" i="6"/>
  <c r="C457" i="6"/>
  <c r="B457" i="6"/>
  <c r="M456" i="6"/>
  <c r="L456" i="6"/>
  <c r="K456" i="6"/>
  <c r="J456" i="6"/>
  <c r="I456" i="6"/>
  <c r="E456" i="6"/>
  <c r="D456" i="6"/>
  <c r="C456" i="6"/>
  <c r="B456" i="6"/>
  <c r="M455" i="6"/>
  <c r="L455" i="6"/>
  <c r="K455" i="6"/>
  <c r="J455" i="6"/>
  <c r="I455" i="6"/>
  <c r="E455" i="6"/>
  <c r="D455" i="6"/>
  <c r="C455" i="6"/>
  <c r="B455" i="6"/>
  <c r="M454" i="6"/>
  <c r="L454" i="6"/>
  <c r="K454" i="6"/>
  <c r="J454" i="6"/>
  <c r="I454" i="6"/>
  <c r="E454" i="6"/>
  <c r="D454" i="6"/>
  <c r="C454" i="6"/>
  <c r="B454" i="6"/>
  <c r="M453" i="6"/>
  <c r="L453" i="6"/>
  <c r="K453" i="6"/>
  <c r="J453" i="6"/>
  <c r="I453" i="6"/>
  <c r="E453" i="6"/>
  <c r="D453" i="6"/>
  <c r="C453" i="6"/>
  <c r="B453" i="6"/>
  <c r="M452" i="6"/>
  <c r="L452" i="6"/>
  <c r="K452" i="6"/>
  <c r="J452" i="6"/>
  <c r="I452" i="6"/>
  <c r="E452" i="6"/>
  <c r="F457" i="6" s="1"/>
  <c r="D452" i="6"/>
  <c r="C452" i="6"/>
  <c r="B452" i="6"/>
  <c r="M449" i="6"/>
  <c r="I449" i="6"/>
  <c r="F449" i="6"/>
  <c r="B449" i="6"/>
  <c r="M448" i="6"/>
  <c r="I448" i="6"/>
  <c r="F448" i="6"/>
  <c r="B448" i="6"/>
  <c r="M445" i="6"/>
  <c r="K445" i="6"/>
  <c r="I445" i="6"/>
  <c r="F445" i="6"/>
  <c r="D445" i="6"/>
  <c r="B445" i="6"/>
  <c r="L442" i="6"/>
  <c r="E442" i="6"/>
  <c r="M440" i="6"/>
  <c r="L440" i="6"/>
  <c r="K440" i="6"/>
  <c r="J440" i="6"/>
  <c r="I440" i="6"/>
  <c r="E440" i="6"/>
  <c r="D440" i="6"/>
  <c r="C440" i="6"/>
  <c r="B440" i="6"/>
  <c r="L439" i="6"/>
  <c r="K439" i="6"/>
  <c r="J439" i="6"/>
  <c r="I439" i="6"/>
  <c r="E439" i="6"/>
  <c r="D439" i="6"/>
  <c r="C439" i="6"/>
  <c r="B439" i="6"/>
  <c r="M438" i="6"/>
  <c r="L438" i="6"/>
  <c r="K438" i="6"/>
  <c r="J438" i="6"/>
  <c r="I438" i="6"/>
  <c r="E438" i="6"/>
  <c r="D438" i="6"/>
  <c r="C438" i="6"/>
  <c r="B438" i="6"/>
  <c r="L437" i="6"/>
  <c r="K437" i="6"/>
  <c r="J437" i="6"/>
  <c r="I437" i="6"/>
  <c r="E437" i="6"/>
  <c r="D437" i="6"/>
  <c r="C437" i="6"/>
  <c r="B437" i="6"/>
  <c r="M436" i="6"/>
  <c r="L436" i="6"/>
  <c r="K436" i="6"/>
  <c r="J436" i="6"/>
  <c r="I436" i="6"/>
  <c r="E436" i="6"/>
  <c r="D436" i="6"/>
  <c r="C436" i="6"/>
  <c r="B436" i="6"/>
  <c r="L435" i="6"/>
  <c r="M435" i="6" s="1"/>
  <c r="K435" i="6"/>
  <c r="J435" i="6"/>
  <c r="I435" i="6"/>
  <c r="E435" i="6"/>
  <c r="F438" i="6" s="1"/>
  <c r="D435" i="6"/>
  <c r="C435" i="6"/>
  <c r="B435" i="6"/>
  <c r="M432" i="6"/>
  <c r="I432" i="6"/>
  <c r="F432" i="6"/>
  <c r="B432" i="6"/>
  <c r="M431" i="6"/>
  <c r="I431" i="6"/>
  <c r="F431" i="6"/>
  <c r="B431" i="6"/>
  <c r="M428" i="6"/>
  <c r="K428" i="6"/>
  <c r="I428" i="6"/>
  <c r="F428" i="6"/>
  <c r="D428" i="6"/>
  <c r="B428" i="6"/>
  <c r="L425" i="6"/>
  <c r="E425" i="6"/>
  <c r="M423" i="6"/>
  <c r="L423" i="6"/>
  <c r="K423" i="6"/>
  <c r="J423" i="6"/>
  <c r="I423" i="6"/>
  <c r="F423" i="6"/>
  <c r="E423" i="6"/>
  <c r="D423" i="6"/>
  <c r="C423" i="6"/>
  <c r="B423" i="6"/>
  <c r="L422" i="6"/>
  <c r="K422" i="6"/>
  <c r="J422" i="6"/>
  <c r="I422" i="6"/>
  <c r="F422" i="6"/>
  <c r="E422" i="6"/>
  <c r="D422" i="6"/>
  <c r="C422" i="6"/>
  <c r="B422" i="6"/>
  <c r="L421" i="6"/>
  <c r="K421" i="6"/>
  <c r="J421" i="6"/>
  <c r="I421" i="6"/>
  <c r="F421" i="6"/>
  <c r="E421" i="6"/>
  <c r="D421" i="6"/>
  <c r="C421" i="6"/>
  <c r="B421" i="6"/>
  <c r="L420" i="6"/>
  <c r="K420" i="6"/>
  <c r="J420" i="6"/>
  <c r="I420" i="6"/>
  <c r="F420" i="6"/>
  <c r="E420" i="6"/>
  <c r="D420" i="6"/>
  <c r="C420" i="6"/>
  <c r="B420" i="6"/>
  <c r="M419" i="6"/>
  <c r="L419" i="6"/>
  <c r="K419" i="6"/>
  <c r="J419" i="6"/>
  <c r="I419" i="6"/>
  <c r="F419" i="6"/>
  <c r="E419" i="6"/>
  <c r="D419" i="6"/>
  <c r="C419" i="6"/>
  <c r="B419" i="6"/>
  <c r="L418" i="6"/>
  <c r="K418" i="6"/>
  <c r="J418" i="6"/>
  <c r="I418" i="6"/>
  <c r="F418" i="6"/>
  <c r="E418" i="6"/>
  <c r="D418" i="6"/>
  <c r="C418" i="6"/>
  <c r="B418" i="6"/>
  <c r="M415" i="6"/>
  <c r="I415" i="6"/>
  <c r="F415" i="6"/>
  <c r="B415" i="6"/>
  <c r="M414" i="6"/>
  <c r="I414" i="6"/>
  <c r="F414" i="6"/>
  <c r="B414" i="6"/>
  <c r="M411" i="6"/>
  <c r="K411" i="6"/>
  <c r="I411" i="6"/>
  <c r="F411" i="6"/>
  <c r="D411" i="6"/>
  <c r="B411" i="6"/>
  <c r="L408" i="6"/>
  <c r="E408" i="6"/>
  <c r="M406" i="6"/>
  <c r="L406" i="6"/>
  <c r="K406" i="6"/>
  <c r="J406" i="6"/>
  <c r="I406" i="6"/>
  <c r="E406" i="6"/>
  <c r="D406" i="6"/>
  <c r="C406" i="6"/>
  <c r="B406" i="6"/>
  <c r="M405" i="6"/>
  <c r="L405" i="6"/>
  <c r="K405" i="6"/>
  <c r="J405" i="6"/>
  <c r="I405" i="6"/>
  <c r="E405" i="6"/>
  <c r="D405" i="6"/>
  <c r="C405" i="6"/>
  <c r="B405" i="6"/>
  <c r="M404" i="6"/>
  <c r="L404" i="6"/>
  <c r="K404" i="6"/>
  <c r="J404" i="6"/>
  <c r="I404" i="6"/>
  <c r="E404" i="6"/>
  <c r="D404" i="6"/>
  <c r="C404" i="6"/>
  <c r="B404" i="6"/>
  <c r="L403" i="6"/>
  <c r="K403" i="6"/>
  <c r="J403" i="6"/>
  <c r="I403" i="6"/>
  <c r="E403" i="6"/>
  <c r="D403" i="6"/>
  <c r="C403" i="6"/>
  <c r="B403" i="6"/>
  <c r="M402" i="6"/>
  <c r="L402" i="6"/>
  <c r="K402" i="6"/>
  <c r="J402" i="6"/>
  <c r="I402" i="6"/>
  <c r="E402" i="6"/>
  <c r="D402" i="6"/>
  <c r="C402" i="6"/>
  <c r="B402" i="6"/>
  <c r="L401" i="6"/>
  <c r="K401" i="6"/>
  <c r="J401" i="6"/>
  <c r="I401" i="6"/>
  <c r="E401" i="6"/>
  <c r="D401" i="6"/>
  <c r="C401" i="6"/>
  <c r="B401" i="6"/>
  <c r="M398" i="6"/>
  <c r="I398" i="6"/>
  <c r="F398" i="6"/>
  <c r="B398" i="6"/>
  <c r="M397" i="6"/>
  <c r="I397" i="6"/>
  <c r="F397" i="6"/>
  <c r="B397" i="6"/>
  <c r="M394" i="6"/>
  <c r="K394" i="6"/>
  <c r="I394" i="6"/>
  <c r="F394" i="6"/>
  <c r="D394" i="6"/>
  <c r="B394" i="6"/>
  <c r="L391" i="6"/>
  <c r="E391" i="6"/>
  <c r="M389" i="6"/>
  <c r="L389" i="6"/>
  <c r="K389" i="6"/>
  <c r="J389" i="6"/>
  <c r="I389" i="6"/>
  <c r="E389" i="6"/>
  <c r="D389" i="6"/>
  <c r="C389" i="6"/>
  <c r="B389" i="6"/>
  <c r="M388" i="6"/>
  <c r="L388" i="6"/>
  <c r="K388" i="6"/>
  <c r="J388" i="6"/>
  <c r="I388" i="6"/>
  <c r="E388" i="6"/>
  <c r="D388" i="6"/>
  <c r="C388" i="6"/>
  <c r="B388" i="6"/>
  <c r="M387" i="6"/>
  <c r="L387" i="6"/>
  <c r="K387" i="6"/>
  <c r="J387" i="6"/>
  <c r="I387" i="6"/>
  <c r="E387" i="6"/>
  <c r="D387" i="6"/>
  <c r="C387" i="6"/>
  <c r="B387" i="6"/>
  <c r="M386" i="6"/>
  <c r="L386" i="6"/>
  <c r="K386" i="6"/>
  <c r="J386" i="6"/>
  <c r="I386" i="6"/>
  <c r="E386" i="6"/>
  <c r="D386" i="6"/>
  <c r="C386" i="6"/>
  <c r="B386" i="6"/>
  <c r="M385" i="6"/>
  <c r="L385" i="6"/>
  <c r="K385" i="6"/>
  <c r="J385" i="6"/>
  <c r="I385" i="6"/>
  <c r="E385" i="6"/>
  <c r="D385" i="6"/>
  <c r="C385" i="6"/>
  <c r="B385" i="6"/>
  <c r="M384" i="6"/>
  <c r="L384" i="6"/>
  <c r="K384" i="6"/>
  <c r="J384" i="6"/>
  <c r="I384" i="6"/>
  <c r="E384" i="6"/>
  <c r="D384" i="6"/>
  <c r="C384" i="6"/>
  <c r="B384" i="6"/>
  <c r="M381" i="6"/>
  <c r="I381" i="6"/>
  <c r="F381" i="6"/>
  <c r="B381" i="6"/>
  <c r="M380" i="6"/>
  <c r="I380" i="6"/>
  <c r="F380" i="6"/>
  <c r="B380" i="6"/>
  <c r="M377" i="6"/>
  <c r="K377" i="6"/>
  <c r="I377" i="6"/>
  <c r="F377" i="6"/>
  <c r="D377" i="6"/>
  <c r="B377" i="6"/>
  <c r="L374" i="6"/>
  <c r="E374" i="6"/>
  <c r="M372" i="6"/>
  <c r="L372" i="6"/>
  <c r="K372" i="6"/>
  <c r="J372" i="6"/>
  <c r="I372" i="6"/>
  <c r="E372" i="6"/>
  <c r="D372" i="6"/>
  <c r="C372" i="6"/>
  <c r="B372" i="6"/>
  <c r="L371" i="6"/>
  <c r="K371" i="6"/>
  <c r="J371" i="6"/>
  <c r="I371" i="6"/>
  <c r="E371" i="6"/>
  <c r="D371" i="6"/>
  <c r="C371" i="6"/>
  <c r="B371" i="6"/>
  <c r="L370" i="6"/>
  <c r="K370" i="6"/>
  <c r="J370" i="6"/>
  <c r="I370" i="6"/>
  <c r="F370" i="6"/>
  <c r="E370" i="6"/>
  <c r="D370" i="6"/>
  <c r="C370" i="6"/>
  <c r="B370" i="6"/>
  <c r="L369" i="6"/>
  <c r="K369" i="6"/>
  <c r="J369" i="6"/>
  <c r="I369" i="6"/>
  <c r="E369" i="6"/>
  <c r="D369" i="6"/>
  <c r="C369" i="6"/>
  <c r="B369" i="6"/>
  <c r="L368" i="6"/>
  <c r="K368" i="6"/>
  <c r="J368" i="6"/>
  <c r="I368" i="6"/>
  <c r="F368" i="6"/>
  <c r="E368" i="6"/>
  <c r="D368" i="6"/>
  <c r="C368" i="6"/>
  <c r="B368" i="6"/>
  <c r="L367" i="6"/>
  <c r="K367" i="6"/>
  <c r="J367" i="6"/>
  <c r="I367" i="6"/>
  <c r="E367" i="6"/>
  <c r="D367" i="6"/>
  <c r="C367" i="6"/>
  <c r="B367" i="6"/>
  <c r="M364" i="6"/>
  <c r="I364" i="6"/>
  <c r="F364" i="6"/>
  <c r="B364" i="6"/>
  <c r="M363" i="6"/>
  <c r="I363" i="6"/>
  <c r="F363" i="6"/>
  <c r="B363" i="6"/>
  <c r="M360" i="6"/>
  <c r="K360" i="6"/>
  <c r="I360" i="6"/>
  <c r="F360" i="6"/>
  <c r="D360" i="6"/>
  <c r="B360" i="6"/>
  <c r="L357" i="6"/>
  <c r="E357" i="6"/>
  <c r="M355" i="6"/>
  <c r="L355" i="6"/>
  <c r="K355" i="6"/>
  <c r="J355" i="6"/>
  <c r="I355" i="6"/>
  <c r="F355" i="6"/>
  <c r="E355" i="6"/>
  <c r="D355" i="6"/>
  <c r="C355" i="6"/>
  <c r="B355" i="6"/>
  <c r="M354" i="6"/>
  <c r="L354" i="6"/>
  <c r="K354" i="6"/>
  <c r="J354" i="6"/>
  <c r="I354" i="6"/>
  <c r="E354" i="6"/>
  <c r="D354" i="6"/>
  <c r="C354" i="6"/>
  <c r="B354" i="6"/>
  <c r="M353" i="6"/>
  <c r="L353" i="6"/>
  <c r="K353" i="6"/>
  <c r="J353" i="6"/>
  <c r="I353" i="6"/>
  <c r="F353" i="6"/>
  <c r="E353" i="6"/>
  <c r="D353" i="6"/>
  <c r="C353" i="6"/>
  <c r="B353" i="6"/>
  <c r="M352" i="6"/>
  <c r="L352" i="6"/>
  <c r="K352" i="6"/>
  <c r="J352" i="6"/>
  <c r="I352" i="6"/>
  <c r="F352" i="6"/>
  <c r="E352" i="6"/>
  <c r="D352" i="6"/>
  <c r="C352" i="6"/>
  <c r="B352" i="6"/>
  <c r="M351" i="6"/>
  <c r="L351" i="6"/>
  <c r="K351" i="6"/>
  <c r="J351" i="6"/>
  <c r="I351" i="6"/>
  <c r="E351" i="6"/>
  <c r="D351" i="6"/>
  <c r="C351" i="6"/>
  <c r="B351" i="6"/>
  <c r="M350" i="6"/>
  <c r="L350" i="6"/>
  <c r="K350" i="6"/>
  <c r="J350" i="6"/>
  <c r="I350" i="6"/>
  <c r="F350" i="6"/>
  <c r="E350" i="6"/>
  <c r="D350" i="6"/>
  <c r="C350" i="6"/>
  <c r="B350" i="6"/>
  <c r="M347" i="6"/>
  <c r="I347" i="6"/>
  <c r="F347" i="6"/>
  <c r="B347" i="6"/>
  <c r="M346" i="6"/>
  <c r="I346" i="6"/>
  <c r="F346" i="6"/>
  <c r="B346" i="6"/>
  <c r="M343" i="6"/>
  <c r="K343" i="6"/>
  <c r="I343" i="6"/>
  <c r="F343" i="6"/>
  <c r="D343" i="6"/>
  <c r="B343" i="6"/>
  <c r="L340" i="6"/>
  <c r="E340" i="6"/>
  <c r="L338" i="6"/>
  <c r="K338" i="6"/>
  <c r="J338" i="6"/>
  <c r="I338" i="6"/>
  <c r="E338" i="6"/>
  <c r="D338" i="6"/>
  <c r="C338" i="6"/>
  <c r="B338" i="6"/>
  <c r="L337" i="6"/>
  <c r="K337" i="6"/>
  <c r="J337" i="6"/>
  <c r="I337" i="6"/>
  <c r="F337" i="6"/>
  <c r="E337" i="6"/>
  <c r="D337" i="6"/>
  <c r="C337" i="6"/>
  <c r="B337" i="6"/>
  <c r="L336" i="6"/>
  <c r="K336" i="6"/>
  <c r="J336" i="6"/>
  <c r="I336" i="6"/>
  <c r="F336" i="6"/>
  <c r="E336" i="6"/>
  <c r="D336" i="6"/>
  <c r="C336" i="6"/>
  <c r="B336" i="6"/>
  <c r="L335" i="6"/>
  <c r="K335" i="6"/>
  <c r="J335" i="6"/>
  <c r="I335" i="6"/>
  <c r="E335" i="6"/>
  <c r="D335" i="6"/>
  <c r="C335" i="6"/>
  <c r="B335" i="6"/>
  <c r="L334" i="6"/>
  <c r="K334" i="6"/>
  <c r="J334" i="6"/>
  <c r="I334" i="6"/>
  <c r="F334" i="6"/>
  <c r="E334" i="6"/>
  <c r="D334" i="6"/>
  <c r="C334" i="6"/>
  <c r="B334" i="6"/>
  <c r="L333" i="6"/>
  <c r="M337" i="6" s="1"/>
  <c r="K333" i="6"/>
  <c r="J333" i="6"/>
  <c r="I333" i="6"/>
  <c r="E333" i="6"/>
  <c r="F338" i="6" s="1"/>
  <c r="D333" i="6"/>
  <c r="C333" i="6"/>
  <c r="B333" i="6"/>
  <c r="M330" i="6"/>
  <c r="I330" i="6"/>
  <c r="F330" i="6"/>
  <c r="B330" i="6"/>
  <c r="M329" i="6"/>
  <c r="I329" i="6"/>
  <c r="F329" i="6"/>
  <c r="B329" i="6"/>
  <c r="M326" i="6"/>
  <c r="K326" i="6"/>
  <c r="I326" i="6"/>
  <c r="F326" i="6"/>
  <c r="D326" i="6"/>
  <c r="B326" i="6"/>
  <c r="L323" i="6"/>
  <c r="E323" i="6"/>
  <c r="L321" i="6"/>
  <c r="K321" i="6"/>
  <c r="J321" i="6"/>
  <c r="I321" i="6"/>
  <c r="F321" i="6"/>
  <c r="E321" i="6"/>
  <c r="D321" i="6"/>
  <c r="C321" i="6"/>
  <c r="B321" i="6"/>
  <c r="M320" i="6"/>
  <c r="L320" i="6"/>
  <c r="K320" i="6"/>
  <c r="J320" i="6"/>
  <c r="I320" i="6"/>
  <c r="F320" i="6"/>
  <c r="E320" i="6"/>
  <c r="D320" i="6"/>
  <c r="C320" i="6"/>
  <c r="B320" i="6"/>
  <c r="M319" i="6"/>
  <c r="L319" i="6"/>
  <c r="K319" i="6"/>
  <c r="J319" i="6"/>
  <c r="I319" i="6"/>
  <c r="E319" i="6"/>
  <c r="D319" i="6"/>
  <c r="C319" i="6"/>
  <c r="B319" i="6"/>
  <c r="M318" i="6"/>
  <c r="L318" i="6"/>
  <c r="K318" i="6"/>
  <c r="J318" i="6"/>
  <c r="I318" i="6"/>
  <c r="F318" i="6"/>
  <c r="E318" i="6"/>
  <c r="D318" i="6"/>
  <c r="C318" i="6"/>
  <c r="B318" i="6"/>
  <c r="M317" i="6"/>
  <c r="L317" i="6"/>
  <c r="K317" i="6"/>
  <c r="J317" i="6"/>
  <c r="I317" i="6"/>
  <c r="F317" i="6"/>
  <c r="E317" i="6"/>
  <c r="D317" i="6"/>
  <c r="C317" i="6"/>
  <c r="B317" i="6"/>
  <c r="M316" i="6"/>
  <c r="L316" i="6"/>
  <c r="M321" i="6" s="1"/>
  <c r="K316" i="6"/>
  <c r="J316" i="6"/>
  <c r="I316" i="6"/>
  <c r="F316" i="6"/>
  <c r="E316" i="6"/>
  <c r="F319" i="6" s="1"/>
  <c r="D316" i="6"/>
  <c r="C316" i="6"/>
  <c r="B316" i="6"/>
  <c r="M313" i="6"/>
  <c r="I313" i="6"/>
  <c r="F313" i="6"/>
  <c r="B313" i="6"/>
  <c r="M312" i="6"/>
  <c r="I312" i="6"/>
  <c r="F312" i="6"/>
  <c r="B312" i="6"/>
  <c r="M309" i="6"/>
  <c r="K309" i="6"/>
  <c r="I309" i="6"/>
  <c r="F309" i="6"/>
  <c r="D309" i="6"/>
  <c r="B309" i="6"/>
  <c r="L306" i="6"/>
  <c r="E306" i="6"/>
  <c r="M304" i="6"/>
  <c r="L304" i="6"/>
  <c r="K304" i="6"/>
  <c r="J304" i="6"/>
  <c r="I304" i="6"/>
  <c r="F304" i="6"/>
  <c r="E304" i="6"/>
  <c r="D304" i="6"/>
  <c r="C304" i="6"/>
  <c r="B304" i="6"/>
  <c r="M303" i="6"/>
  <c r="L303" i="6"/>
  <c r="K303" i="6"/>
  <c r="J303" i="6"/>
  <c r="I303" i="6"/>
  <c r="E303" i="6"/>
  <c r="D303" i="6"/>
  <c r="C303" i="6"/>
  <c r="B303" i="6"/>
  <c r="M302" i="6"/>
  <c r="L302" i="6"/>
  <c r="K302" i="6"/>
  <c r="J302" i="6"/>
  <c r="I302" i="6"/>
  <c r="F302" i="6"/>
  <c r="E302" i="6"/>
  <c r="D302" i="6"/>
  <c r="C302" i="6"/>
  <c r="B302" i="6"/>
  <c r="M301" i="6"/>
  <c r="L301" i="6"/>
  <c r="K301" i="6"/>
  <c r="J301" i="6"/>
  <c r="I301" i="6"/>
  <c r="E301" i="6"/>
  <c r="D301" i="6"/>
  <c r="C301" i="6"/>
  <c r="B301" i="6"/>
  <c r="M300" i="6"/>
  <c r="L300" i="6"/>
  <c r="K300" i="6"/>
  <c r="J300" i="6"/>
  <c r="I300" i="6"/>
  <c r="F300" i="6"/>
  <c r="E300" i="6"/>
  <c r="D300" i="6"/>
  <c r="C300" i="6"/>
  <c r="B300" i="6"/>
  <c r="M299" i="6"/>
  <c r="L299" i="6"/>
  <c r="K299" i="6"/>
  <c r="J299" i="6"/>
  <c r="I299" i="6"/>
  <c r="E299" i="6"/>
  <c r="F303" i="6" s="1"/>
  <c r="D299" i="6"/>
  <c r="C299" i="6"/>
  <c r="B299" i="6"/>
  <c r="M296" i="6"/>
  <c r="I296" i="6"/>
  <c r="F296" i="6"/>
  <c r="B296" i="6"/>
  <c r="M295" i="6"/>
  <c r="I295" i="6"/>
  <c r="F295" i="6"/>
  <c r="B295" i="6"/>
  <c r="M292" i="6"/>
  <c r="K292" i="6"/>
  <c r="I292" i="6"/>
  <c r="F292" i="6"/>
  <c r="D292" i="6"/>
  <c r="B292" i="6"/>
  <c r="L289" i="6"/>
  <c r="E289" i="6"/>
  <c r="M287" i="6"/>
  <c r="L287" i="6"/>
  <c r="K287" i="6"/>
  <c r="J287" i="6"/>
  <c r="I287" i="6"/>
  <c r="F287" i="6"/>
  <c r="E287" i="6"/>
  <c r="D287" i="6"/>
  <c r="C287" i="6"/>
  <c r="B287" i="6"/>
  <c r="L286" i="6"/>
  <c r="K286" i="6"/>
  <c r="J286" i="6"/>
  <c r="I286" i="6"/>
  <c r="E286" i="6"/>
  <c r="D286" i="6"/>
  <c r="C286" i="6"/>
  <c r="B286" i="6"/>
  <c r="M285" i="6"/>
  <c r="L285" i="6"/>
  <c r="K285" i="6"/>
  <c r="J285" i="6"/>
  <c r="I285" i="6"/>
  <c r="E285" i="6"/>
  <c r="D285" i="6"/>
  <c r="C285" i="6"/>
  <c r="B285" i="6"/>
  <c r="L284" i="6"/>
  <c r="K284" i="6"/>
  <c r="J284" i="6"/>
  <c r="I284" i="6"/>
  <c r="E284" i="6"/>
  <c r="D284" i="6"/>
  <c r="C284" i="6"/>
  <c r="B284" i="6"/>
  <c r="M283" i="6"/>
  <c r="L283" i="6"/>
  <c r="K283" i="6"/>
  <c r="J283" i="6"/>
  <c r="I283" i="6"/>
  <c r="E283" i="6"/>
  <c r="D283" i="6"/>
  <c r="C283" i="6"/>
  <c r="B283" i="6"/>
  <c r="L282" i="6"/>
  <c r="K282" i="6"/>
  <c r="J282" i="6"/>
  <c r="I282" i="6"/>
  <c r="E282" i="6"/>
  <c r="D282" i="6"/>
  <c r="C282" i="6"/>
  <c r="B282" i="6"/>
  <c r="M279" i="6"/>
  <c r="I279" i="6"/>
  <c r="F279" i="6"/>
  <c r="B279" i="6"/>
  <c r="M278" i="6"/>
  <c r="I278" i="6"/>
  <c r="F278" i="6"/>
  <c r="B278" i="6"/>
  <c r="M275" i="6"/>
  <c r="K275" i="6"/>
  <c r="I275" i="6"/>
  <c r="F275" i="6"/>
  <c r="D275" i="6"/>
  <c r="B275" i="6"/>
  <c r="L272" i="6"/>
  <c r="E272" i="6"/>
  <c r="M270" i="6"/>
  <c r="L270" i="6"/>
  <c r="K270" i="6"/>
  <c r="J270" i="6"/>
  <c r="I270" i="6"/>
  <c r="F270" i="6"/>
  <c r="E270" i="6"/>
  <c r="D270" i="6"/>
  <c r="C270" i="6"/>
  <c r="B270" i="6"/>
  <c r="L269" i="6"/>
  <c r="K269" i="6"/>
  <c r="J269" i="6"/>
  <c r="I269" i="6"/>
  <c r="E269" i="6"/>
  <c r="D269" i="6"/>
  <c r="C269" i="6"/>
  <c r="B269" i="6"/>
  <c r="M268" i="6"/>
  <c r="L268" i="6"/>
  <c r="K268" i="6"/>
  <c r="J268" i="6"/>
  <c r="I268" i="6"/>
  <c r="E268" i="6"/>
  <c r="D268" i="6"/>
  <c r="C268" i="6"/>
  <c r="B268" i="6"/>
  <c r="L267" i="6"/>
  <c r="K267" i="6"/>
  <c r="J267" i="6"/>
  <c r="I267" i="6"/>
  <c r="E267" i="6"/>
  <c r="D267" i="6"/>
  <c r="C267" i="6"/>
  <c r="B267" i="6"/>
  <c r="M266" i="6"/>
  <c r="L266" i="6"/>
  <c r="K266" i="6"/>
  <c r="J266" i="6"/>
  <c r="I266" i="6"/>
  <c r="E266" i="6"/>
  <c r="D266" i="6"/>
  <c r="C266" i="6"/>
  <c r="B266" i="6"/>
  <c r="M265" i="6"/>
  <c r="L265" i="6"/>
  <c r="K265" i="6"/>
  <c r="J265" i="6"/>
  <c r="I265" i="6"/>
  <c r="E265" i="6"/>
  <c r="D265" i="6"/>
  <c r="C265" i="6"/>
  <c r="B265" i="6"/>
  <c r="M262" i="6"/>
  <c r="I262" i="6"/>
  <c r="F262" i="6"/>
  <c r="B262" i="6"/>
  <c r="M261" i="6"/>
  <c r="I261" i="6"/>
  <c r="F261" i="6"/>
  <c r="B261" i="6"/>
  <c r="M258" i="6"/>
  <c r="K258" i="6"/>
  <c r="I258" i="6"/>
  <c r="F258" i="6"/>
  <c r="D258" i="6"/>
  <c r="B258" i="6"/>
  <c r="L255" i="6"/>
  <c r="E255" i="6"/>
  <c r="L253" i="6"/>
  <c r="K253" i="6"/>
  <c r="J253" i="6"/>
  <c r="I253" i="6"/>
  <c r="E253" i="6"/>
  <c r="D253" i="6"/>
  <c r="C253" i="6"/>
  <c r="B253" i="6"/>
  <c r="L252" i="6"/>
  <c r="K252" i="6"/>
  <c r="J252" i="6"/>
  <c r="I252" i="6"/>
  <c r="E252" i="6"/>
  <c r="D252" i="6"/>
  <c r="C252" i="6"/>
  <c r="B252" i="6"/>
  <c r="L251" i="6"/>
  <c r="K251" i="6"/>
  <c r="J251" i="6"/>
  <c r="I251" i="6"/>
  <c r="E251" i="6"/>
  <c r="D251" i="6"/>
  <c r="C251" i="6"/>
  <c r="B251" i="6"/>
  <c r="L250" i="6"/>
  <c r="K250" i="6"/>
  <c r="J250" i="6"/>
  <c r="I250" i="6"/>
  <c r="E250" i="6"/>
  <c r="D250" i="6"/>
  <c r="C250" i="6"/>
  <c r="B250" i="6"/>
  <c r="L249" i="6"/>
  <c r="K249" i="6"/>
  <c r="J249" i="6"/>
  <c r="I249" i="6"/>
  <c r="E249" i="6"/>
  <c r="D249" i="6"/>
  <c r="C249" i="6"/>
  <c r="B249" i="6"/>
  <c r="L248" i="6"/>
  <c r="K248" i="6"/>
  <c r="J248" i="6"/>
  <c r="I248" i="6"/>
  <c r="E248" i="6"/>
  <c r="D248" i="6"/>
  <c r="C248" i="6"/>
  <c r="B248" i="6"/>
  <c r="M245" i="6"/>
  <c r="I245" i="6"/>
  <c r="F245" i="6"/>
  <c r="B245" i="6"/>
  <c r="M244" i="6"/>
  <c r="I244" i="6"/>
  <c r="F244" i="6"/>
  <c r="B244" i="6"/>
  <c r="M241" i="6"/>
  <c r="K241" i="6"/>
  <c r="I241" i="6"/>
  <c r="F241" i="6"/>
  <c r="D241" i="6"/>
  <c r="B241" i="6"/>
  <c r="L238" i="6"/>
  <c r="E238" i="6"/>
  <c r="L236" i="6"/>
  <c r="K236" i="6"/>
  <c r="J236" i="6"/>
  <c r="I236" i="6"/>
  <c r="E236" i="6"/>
  <c r="D236" i="6"/>
  <c r="C236" i="6"/>
  <c r="B236" i="6"/>
  <c r="L235" i="6"/>
  <c r="K235" i="6"/>
  <c r="J235" i="6"/>
  <c r="I235" i="6"/>
  <c r="F235" i="6"/>
  <c r="E235" i="6"/>
  <c r="D235" i="6"/>
  <c r="C235" i="6"/>
  <c r="B235" i="6"/>
  <c r="L234" i="6"/>
  <c r="K234" i="6"/>
  <c r="J234" i="6"/>
  <c r="I234" i="6"/>
  <c r="F234" i="6"/>
  <c r="E234" i="6"/>
  <c r="D234" i="6"/>
  <c r="C234" i="6"/>
  <c r="B234" i="6"/>
  <c r="L233" i="6"/>
  <c r="K233" i="6"/>
  <c r="J233" i="6"/>
  <c r="I233" i="6"/>
  <c r="F233" i="6"/>
  <c r="E233" i="6"/>
  <c r="D233" i="6"/>
  <c r="C233" i="6"/>
  <c r="B233" i="6"/>
  <c r="L232" i="6"/>
  <c r="K232" i="6"/>
  <c r="J232" i="6"/>
  <c r="I232" i="6"/>
  <c r="F232" i="6"/>
  <c r="E232" i="6"/>
  <c r="D232" i="6"/>
  <c r="C232" i="6"/>
  <c r="B232" i="6"/>
  <c r="L231" i="6"/>
  <c r="K231" i="6"/>
  <c r="J231" i="6"/>
  <c r="I231" i="6"/>
  <c r="F231" i="6"/>
  <c r="E231" i="6"/>
  <c r="F236" i="6" s="1"/>
  <c r="D231" i="6"/>
  <c r="C231" i="6"/>
  <c r="B231" i="6"/>
  <c r="M228" i="6"/>
  <c r="I228" i="6"/>
  <c r="F228" i="6"/>
  <c r="B228" i="6"/>
  <c r="M227" i="6"/>
  <c r="I227" i="6"/>
  <c r="F227" i="6"/>
  <c r="B227" i="6"/>
  <c r="M224" i="6"/>
  <c r="K224" i="6"/>
  <c r="I224" i="6"/>
  <c r="F224" i="6"/>
  <c r="D224" i="6"/>
  <c r="B224" i="6"/>
  <c r="L221" i="6"/>
  <c r="E221" i="6"/>
  <c r="L219" i="6"/>
  <c r="K219" i="6"/>
  <c r="J219" i="6"/>
  <c r="I219" i="6"/>
  <c r="F219" i="6"/>
  <c r="E219" i="6"/>
  <c r="D219" i="6"/>
  <c r="C219" i="6"/>
  <c r="B219" i="6"/>
  <c r="L218" i="6"/>
  <c r="K218" i="6"/>
  <c r="J218" i="6"/>
  <c r="I218" i="6"/>
  <c r="F218" i="6"/>
  <c r="E218" i="6"/>
  <c r="D218" i="6"/>
  <c r="C218" i="6"/>
  <c r="B218" i="6"/>
  <c r="L217" i="6"/>
  <c r="K217" i="6"/>
  <c r="J217" i="6"/>
  <c r="I217" i="6"/>
  <c r="F217" i="6"/>
  <c r="E217" i="6"/>
  <c r="D217" i="6"/>
  <c r="C217" i="6"/>
  <c r="B217" i="6"/>
  <c r="L216" i="6"/>
  <c r="K216" i="6"/>
  <c r="J216" i="6"/>
  <c r="I216" i="6"/>
  <c r="E216" i="6"/>
  <c r="D216" i="6"/>
  <c r="C216" i="6"/>
  <c r="B216" i="6"/>
  <c r="L215" i="6"/>
  <c r="K215" i="6"/>
  <c r="J215" i="6"/>
  <c r="I215" i="6"/>
  <c r="F215" i="6"/>
  <c r="E215" i="6"/>
  <c r="D215" i="6"/>
  <c r="C215" i="6"/>
  <c r="B215" i="6"/>
  <c r="L214" i="6"/>
  <c r="K214" i="6"/>
  <c r="J214" i="6"/>
  <c r="I214" i="6"/>
  <c r="E214" i="6"/>
  <c r="D214" i="6"/>
  <c r="C214" i="6"/>
  <c r="B214" i="6"/>
  <c r="M211" i="6"/>
  <c r="I211" i="6"/>
  <c r="F211" i="6"/>
  <c r="B211" i="6"/>
  <c r="M210" i="6"/>
  <c r="I210" i="6"/>
  <c r="F210" i="6"/>
  <c r="B210" i="6"/>
  <c r="M207" i="6"/>
  <c r="K207" i="6"/>
  <c r="I207" i="6"/>
  <c r="F207" i="6"/>
  <c r="D207" i="6"/>
  <c r="B207" i="6"/>
  <c r="L204" i="6"/>
  <c r="E204" i="6"/>
  <c r="M202" i="6"/>
  <c r="L202" i="6"/>
  <c r="K202" i="6"/>
  <c r="J202" i="6"/>
  <c r="I202" i="6"/>
  <c r="F202" i="6"/>
  <c r="E202" i="6"/>
  <c r="D202" i="6"/>
  <c r="C202" i="6"/>
  <c r="B202" i="6"/>
  <c r="M201" i="6"/>
  <c r="L201" i="6"/>
  <c r="K201" i="6"/>
  <c r="J201" i="6"/>
  <c r="I201" i="6"/>
  <c r="E201" i="6"/>
  <c r="D201" i="6"/>
  <c r="C201" i="6"/>
  <c r="B201" i="6"/>
  <c r="M200" i="6"/>
  <c r="L200" i="6"/>
  <c r="K200" i="6"/>
  <c r="J200" i="6"/>
  <c r="I200" i="6"/>
  <c r="F200" i="6"/>
  <c r="E200" i="6"/>
  <c r="D200" i="6"/>
  <c r="C200" i="6"/>
  <c r="B200" i="6"/>
  <c r="M199" i="6"/>
  <c r="L199" i="6"/>
  <c r="K199" i="6"/>
  <c r="J199" i="6"/>
  <c r="I199" i="6"/>
  <c r="E199" i="6"/>
  <c r="D199" i="6"/>
  <c r="C199" i="6"/>
  <c r="B199" i="6"/>
  <c r="M198" i="6"/>
  <c r="L198" i="6"/>
  <c r="K198" i="6"/>
  <c r="J198" i="6"/>
  <c r="I198" i="6"/>
  <c r="F198" i="6"/>
  <c r="E198" i="6"/>
  <c r="D198" i="6"/>
  <c r="C198" i="6"/>
  <c r="B198" i="6"/>
  <c r="M197" i="6"/>
  <c r="L197" i="6"/>
  <c r="K197" i="6"/>
  <c r="J197" i="6"/>
  <c r="I197" i="6"/>
  <c r="E197" i="6"/>
  <c r="F201" i="6" s="1"/>
  <c r="D197" i="6"/>
  <c r="C197" i="6"/>
  <c r="B197" i="6"/>
  <c r="M194" i="6"/>
  <c r="I194" i="6"/>
  <c r="F194" i="6"/>
  <c r="B194" i="6"/>
  <c r="M193" i="6"/>
  <c r="I193" i="6"/>
  <c r="F193" i="6"/>
  <c r="B193" i="6"/>
  <c r="M190" i="6"/>
  <c r="K190" i="6"/>
  <c r="I190" i="6"/>
  <c r="F190" i="6"/>
  <c r="D190" i="6"/>
  <c r="B190" i="6"/>
  <c r="L187" i="6"/>
  <c r="E187" i="6"/>
  <c r="M185" i="6"/>
  <c r="L185" i="6"/>
  <c r="K185" i="6"/>
  <c r="J185" i="6"/>
  <c r="I185" i="6"/>
  <c r="F185" i="6"/>
  <c r="E185" i="6"/>
  <c r="D185" i="6"/>
  <c r="C185" i="6"/>
  <c r="B185" i="6"/>
  <c r="L184" i="6"/>
  <c r="K184" i="6"/>
  <c r="J184" i="6"/>
  <c r="I184" i="6"/>
  <c r="E184" i="6"/>
  <c r="D184" i="6"/>
  <c r="C184" i="6"/>
  <c r="B184" i="6"/>
  <c r="M183" i="6"/>
  <c r="L183" i="6"/>
  <c r="K183" i="6"/>
  <c r="J183" i="6"/>
  <c r="I183" i="6"/>
  <c r="F183" i="6"/>
  <c r="E183" i="6"/>
  <c r="D183" i="6"/>
  <c r="C183" i="6"/>
  <c r="B183" i="6"/>
  <c r="M182" i="6"/>
  <c r="L182" i="6"/>
  <c r="K182" i="6"/>
  <c r="J182" i="6"/>
  <c r="I182" i="6"/>
  <c r="E182" i="6"/>
  <c r="D182" i="6"/>
  <c r="C182" i="6"/>
  <c r="B182" i="6"/>
  <c r="M181" i="6"/>
  <c r="L181" i="6"/>
  <c r="K181" i="6"/>
  <c r="J181" i="6"/>
  <c r="I181" i="6"/>
  <c r="F181" i="6"/>
  <c r="E181" i="6"/>
  <c r="D181" i="6"/>
  <c r="C181" i="6"/>
  <c r="B181" i="6"/>
  <c r="M180" i="6"/>
  <c r="L180" i="6"/>
  <c r="M184" i="6" s="1"/>
  <c r="K180" i="6"/>
  <c r="J180" i="6"/>
  <c r="I180" i="6"/>
  <c r="E180" i="6"/>
  <c r="F180" i="6" s="1"/>
  <c r="D180" i="6"/>
  <c r="C180" i="6"/>
  <c r="B180" i="6"/>
  <c r="M177" i="6"/>
  <c r="I177" i="6"/>
  <c r="F177" i="6"/>
  <c r="B177" i="6"/>
  <c r="M176" i="6"/>
  <c r="I176" i="6"/>
  <c r="F176" i="6"/>
  <c r="B176" i="6"/>
  <c r="M173" i="6"/>
  <c r="K173" i="6"/>
  <c r="I173" i="6"/>
  <c r="F173" i="6"/>
  <c r="D173" i="6"/>
  <c r="B173" i="6"/>
  <c r="L170" i="6"/>
  <c r="E170" i="6"/>
  <c r="M168" i="6"/>
  <c r="L168" i="6"/>
  <c r="K168" i="6"/>
  <c r="J168" i="6"/>
  <c r="I168" i="6"/>
  <c r="F168" i="6"/>
  <c r="E168" i="6"/>
  <c r="D168" i="6"/>
  <c r="C168" i="6"/>
  <c r="B168" i="6"/>
  <c r="L167" i="6"/>
  <c r="K167" i="6"/>
  <c r="J167" i="6"/>
  <c r="I167" i="6"/>
  <c r="E167" i="6"/>
  <c r="D167" i="6"/>
  <c r="C167" i="6"/>
  <c r="B167" i="6"/>
  <c r="M166" i="6"/>
  <c r="L166" i="6"/>
  <c r="K166" i="6"/>
  <c r="J166" i="6"/>
  <c r="I166" i="6"/>
  <c r="E166" i="6"/>
  <c r="D166" i="6"/>
  <c r="C166" i="6"/>
  <c r="B166" i="6"/>
  <c r="L165" i="6"/>
  <c r="K165" i="6"/>
  <c r="J165" i="6"/>
  <c r="I165" i="6"/>
  <c r="E165" i="6"/>
  <c r="D165" i="6"/>
  <c r="C165" i="6"/>
  <c r="B165" i="6"/>
  <c r="M164" i="6"/>
  <c r="L164" i="6"/>
  <c r="K164" i="6"/>
  <c r="J164" i="6"/>
  <c r="I164" i="6"/>
  <c r="F164" i="6"/>
  <c r="E164" i="6"/>
  <c r="D164" i="6"/>
  <c r="C164" i="6"/>
  <c r="B164" i="6"/>
  <c r="L163" i="6"/>
  <c r="M167" i="6" s="1"/>
  <c r="K163" i="6"/>
  <c r="J163" i="6"/>
  <c r="I163" i="6"/>
  <c r="E163" i="6"/>
  <c r="F166" i="6" s="1"/>
  <c r="D163" i="6"/>
  <c r="C163" i="6"/>
  <c r="B163" i="6"/>
  <c r="M160" i="6"/>
  <c r="I160" i="6"/>
  <c r="F160" i="6"/>
  <c r="B160" i="6"/>
  <c r="M159" i="6"/>
  <c r="I159" i="6"/>
  <c r="F159" i="6"/>
  <c r="B159" i="6"/>
  <c r="M156" i="6"/>
  <c r="K156" i="6"/>
  <c r="I156" i="6"/>
  <c r="F156" i="6"/>
  <c r="D156" i="6"/>
  <c r="B156" i="6"/>
  <c r="L153" i="6"/>
  <c r="E153" i="6"/>
  <c r="M151" i="6"/>
  <c r="L151" i="6"/>
  <c r="K151" i="6"/>
  <c r="J151" i="6"/>
  <c r="I151" i="6"/>
  <c r="F151" i="6"/>
  <c r="E151" i="6"/>
  <c r="D151" i="6"/>
  <c r="C151" i="6"/>
  <c r="B151" i="6"/>
  <c r="L150" i="6"/>
  <c r="K150" i="6"/>
  <c r="J150" i="6"/>
  <c r="I150" i="6"/>
  <c r="E150" i="6"/>
  <c r="D150" i="6"/>
  <c r="C150" i="6"/>
  <c r="B150" i="6"/>
  <c r="M149" i="6"/>
  <c r="L149" i="6"/>
  <c r="K149" i="6"/>
  <c r="J149" i="6"/>
  <c r="I149" i="6"/>
  <c r="E149" i="6"/>
  <c r="D149" i="6"/>
  <c r="C149" i="6"/>
  <c r="B149" i="6"/>
  <c r="M148" i="6"/>
  <c r="L148" i="6"/>
  <c r="K148" i="6"/>
  <c r="J148" i="6"/>
  <c r="I148" i="6"/>
  <c r="E148" i="6"/>
  <c r="D148" i="6"/>
  <c r="C148" i="6"/>
  <c r="B148" i="6"/>
  <c r="L147" i="6"/>
  <c r="K147" i="6"/>
  <c r="J147" i="6"/>
  <c r="I147" i="6"/>
  <c r="E147" i="6"/>
  <c r="D147" i="6"/>
  <c r="C147" i="6"/>
  <c r="B147" i="6"/>
  <c r="M146" i="6"/>
  <c r="L146" i="6"/>
  <c r="K146" i="6"/>
  <c r="J146" i="6"/>
  <c r="I146" i="6"/>
  <c r="E146" i="6"/>
  <c r="F146" i="6" s="1"/>
  <c r="D146" i="6"/>
  <c r="C146" i="6"/>
  <c r="B146" i="6"/>
  <c r="M143" i="6"/>
  <c r="I143" i="6"/>
  <c r="F143" i="6"/>
  <c r="B143" i="6"/>
  <c r="M142" i="6"/>
  <c r="I142" i="6"/>
  <c r="F142" i="6"/>
  <c r="B142" i="6"/>
  <c r="M139" i="6"/>
  <c r="K139" i="6"/>
  <c r="I139" i="6"/>
  <c r="F139" i="6"/>
  <c r="D139" i="6"/>
  <c r="B139" i="6"/>
  <c r="L136" i="6"/>
  <c r="E136" i="6"/>
  <c r="L134" i="6"/>
  <c r="K134" i="6"/>
  <c r="J134" i="6"/>
  <c r="I134" i="6"/>
  <c r="E134" i="6"/>
  <c r="D134" i="6"/>
  <c r="C134" i="6"/>
  <c r="B134" i="6"/>
  <c r="L133" i="6"/>
  <c r="K133" i="6"/>
  <c r="J133" i="6"/>
  <c r="I133" i="6"/>
  <c r="E133" i="6"/>
  <c r="D133" i="6"/>
  <c r="C133" i="6"/>
  <c r="B133" i="6"/>
  <c r="L132" i="6"/>
  <c r="K132" i="6"/>
  <c r="J132" i="6"/>
  <c r="I132" i="6"/>
  <c r="E132" i="6"/>
  <c r="D132" i="6"/>
  <c r="C132" i="6"/>
  <c r="B132" i="6"/>
  <c r="L131" i="6"/>
  <c r="K131" i="6"/>
  <c r="J131" i="6"/>
  <c r="I131" i="6"/>
  <c r="E131" i="6"/>
  <c r="D131" i="6"/>
  <c r="C131" i="6"/>
  <c r="B131" i="6"/>
  <c r="L130" i="6"/>
  <c r="K130" i="6"/>
  <c r="J130" i="6"/>
  <c r="I130" i="6"/>
  <c r="E130" i="6"/>
  <c r="D130" i="6"/>
  <c r="C130" i="6"/>
  <c r="B130" i="6"/>
  <c r="L129" i="6"/>
  <c r="K129" i="6"/>
  <c r="J129" i="6"/>
  <c r="I129" i="6"/>
  <c r="E129" i="6"/>
  <c r="D129" i="6"/>
  <c r="C129" i="6"/>
  <c r="B129" i="6"/>
  <c r="M126" i="6"/>
  <c r="I126" i="6"/>
  <c r="F126" i="6"/>
  <c r="B126" i="6"/>
  <c r="M125" i="6"/>
  <c r="I125" i="6"/>
  <c r="F125" i="6"/>
  <c r="B125" i="6"/>
  <c r="M122" i="6"/>
  <c r="K122" i="6"/>
  <c r="I122" i="6"/>
  <c r="F122" i="6"/>
  <c r="D122" i="6"/>
  <c r="B122" i="6"/>
  <c r="L119" i="6"/>
  <c r="E119" i="6"/>
  <c r="M117" i="6"/>
  <c r="L117" i="6"/>
  <c r="K117" i="6"/>
  <c r="J117" i="6"/>
  <c r="I117" i="6"/>
  <c r="E117" i="6"/>
  <c r="D117" i="6"/>
  <c r="C117" i="6"/>
  <c r="B117" i="6"/>
  <c r="M116" i="6"/>
  <c r="L116" i="6"/>
  <c r="K116" i="6"/>
  <c r="J116" i="6"/>
  <c r="I116" i="6"/>
  <c r="E116" i="6"/>
  <c r="D116" i="6"/>
  <c r="C116" i="6"/>
  <c r="B116" i="6"/>
  <c r="M115" i="6"/>
  <c r="L115" i="6"/>
  <c r="K115" i="6"/>
  <c r="J115" i="6"/>
  <c r="I115" i="6"/>
  <c r="E115" i="6"/>
  <c r="D115" i="6"/>
  <c r="C115" i="6"/>
  <c r="B115" i="6"/>
  <c r="M114" i="6"/>
  <c r="L114" i="6"/>
  <c r="K114" i="6"/>
  <c r="J114" i="6"/>
  <c r="I114" i="6"/>
  <c r="E114" i="6"/>
  <c r="D114" i="6"/>
  <c r="C114" i="6"/>
  <c r="B114" i="6"/>
  <c r="M113" i="6"/>
  <c r="L113" i="6"/>
  <c r="K113" i="6"/>
  <c r="J113" i="6"/>
  <c r="I113" i="6"/>
  <c r="F113" i="6"/>
  <c r="E113" i="6"/>
  <c r="D113" i="6"/>
  <c r="C113" i="6"/>
  <c r="B113" i="6"/>
  <c r="M112" i="6"/>
  <c r="L112" i="6"/>
  <c r="K112" i="6"/>
  <c r="J112" i="6"/>
  <c r="I112" i="6"/>
  <c r="E112" i="6"/>
  <c r="D112" i="6"/>
  <c r="C112" i="6"/>
  <c r="B112" i="6"/>
  <c r="M109" i="6"/>
  <c r="I109" i="6"/>
  <c r="F109" i="6"/>
  <c r="B109" i="6"/>
  <c r="M108" i="6"/>
  <c r="I108" i="6"/>
  <c r="F108" i="6"/>
  <c r="B108" i="6"/>
  <c r="M105" i="6"/>
  <c r="K105" i="6"/>
  <c r="I105" i="6"/>
  <c r="F105" i="6"/>
  <c r="L102" i="6"/>
  <c r="L100" i="6"/>
  <c r="K100" i="6"/>
  <c r="J100" i="6"/>
  <c r="I100" i="6"/>
  <c r="D100" i="6"/>
  <c r="C100" i="6"/>
  <c r="B100" i="6"/>
  <c r="L99" i="6"/>
  <c r="K99" i="6"/>
  <c r="J99" i="6"/>
  <c r="I99" i="6"/>
  <c r="D99" i="6"/>
  <c r="C99" i="6"/>
  <c r="B99" i="6"/>
  <c r="L98" i="6"/>
  <c r="K98" i="6"/>
  <c r="J98" i="6"/>
  <c r="I98" i="6"/>
  <c r="E98" i="6"/>
  <c r="D98" i="6"/>
  <c r="C98" i="6"/>
  <c r="B98" i="6"/>
  <c r="L97" i="6"/>
  <c r="K97" i="6"/>
  <c r="J97" i="6"/>
  <c r="I97" i="6"/>
  <c r="D97" i="6"/>
  <c r="C97" i="6"/>
  <c r="B97" i="6"/>
  <c r="L96" i="6"/>
  <c r="K96" i="6"/>
  <c r="J96" i="6"/>
  <c r="I96" i="6"/>
  <c r="E96" i="6"/>
  <c r="D96" i="6"/>
  <c r="C96" i="6"/>
  <c r="B96" i="6"/>
  <c r="L95" i="6"/>
  <c r="K95" i="6"/>
  <c r="J95" i="6"/>
  <c r="I95" i="6"/>
  <c r="D95" i="6"/>
  <c r="C95" i="6"/>
  <c r="B95" i="6"/>
  <c r="M92" i="6"/>
  <c r="I92" i="6"/>
  <c r="B92" i="6"/>
  <c r="M91" i="6"/>
  <c r="I91" i="6"/>
  <c r="B91" i="6"/>
  <c r="K88" i="6"/>
  <c r="I88" i="6"/>
  <c r="F88" i="6"/>
  <c r="D88" i="6"/>
  <c r="B88" i="6"/>
  <c r="K83" i="6"/>
  <c r="J83" i="6"/>
  <c r="I83" i="6"/>
  <c r="D83" i="6"/>
  <c r="C83" i="6"/>
  <c r="B83" i="6"/>
  <c r="K82" i="6"/>
  <c r="J82" i="6"/>
  <c r="I82" i="6"/>
  <c r="D82" i="6"/>
  <c r="C82" i="6"/>
  <c r="B82" i="6"/>
  <c r="K81" i="6"/>
  <c r="J81" i="6"/>
  <c r="I81" i="6"/>
  <c r="D81" i="6"/>
  <c r="C81" i="6"/>
  <c r="B81" i="6"/>
  <c r="L80" i="6"/>
  <c r="K80" i="6"/>
  <c r="J80" i="6"/>
  <c r="I80" i="6"/>
  <c r="F80" i="6"/>
  <c r="E80" i="6"/>
  <c r="D80" i="6"/>
  <c r="C80" i="6"/>
  <c r="B80" i="6"/>
  <c r="K79" i="6"/>
  <c r="J79" i="6"/>
  <c r="I79" i="6"/>
  <c r="D79" i="6"/>
  <c r="C79" i="6"/>
  <c r="B79" i="6"/>
  <c r="K78" i="6"/>
  <c r="J78" i="6"/>
  <c r="I78" i="6"/>
  <c r="E78" i="6"/>
  <c r="D78" i="6"/>
  <c r="C78" i="6"/>
  <c r="B78" i="6"/>
  <c r="I75" i="6"/>
  <c r="B75" i="6"/>
  <c r="I74" i="6"/>
  <c r="B74" i="6"/>
  <c r="M71" i="6"/>
  <c r="K66" i="6"/>
  <c r="J66" i="6"/>
  <c r="I66" i="6"/>
  <c r="D66" i="6"/>
  <c r="C66" i="6"/>
  <c r="B66" i="6"/>
  <c r="L65" i="6"/>
  <c r="K65" i="6"/>
  <c r="J65" i="6"/>
  <c r="I65" i="6"/>
  <c r="E65" i="6"/>
  <c r="D65" i="6"/>
  <c r="C65" i="6"/>
  <c r="B65" i="6"/>
  <c r="L64" i="6"/>
  <c r="K64" i="6"/>
  <c r="J64" i="6"/>
  <c r="I64" i="6"/>
  <c r="D64" i="6"/>
  <c r="C64" i="6"/>
  <c r="B64" i="6"/>
  <c r="L63" i="6"/>
  <c r="K63" i="6"/>
  <c r="J63" i="6"/>
  <c r="I63" i="6"/>
  <c r="F63" i="6"/>
  <c r="D63" i="6"/>
  <c r="C63" i="6"/>
  <c r="B63" i="6"/>
  <c r="K62" i="6"/>
  <c r="J62" i="6"/>
  <c r="I62" i="6"/>
  <c r="D62" i="6"/>
  <c r="C62" i="6"/>
  <c r="B62" i="6"/>
  <c r="K61" i="6"/>
  <c r="J61" i="6"/>
  <c r="I61" i="6"/>
  <c r="E61" i="6"/>
  <c r="D61" i="6"/>
  <c r="C61" i="6"/>
  <c r="B61" i="6"/>
  <c r="I58" i="6"/>
  <c r="F58" i="6"/>
  <c r="B58" i="6"/>
  <c r="I57" i="6"/>
  <c r="B57" i="6"/>
  <c r="M54" i="6"/>
  <c r="K54" i="6"/>
  <c r="I54" i="6"/>
  <c r="F54" i="6"/>
  <c r="D54" i="6"/>
  <c r="B54" i="6"/>
  <c r="K49" i="6"/>
  <c r="J49" i="6"/>
  <c r="I49" i="6"/>
  <c r="E49" i="6"/>
  <c r="D49" i="6"/>
  <c r="C49" i="6"/>
  <c r="B49" i="6"/>
  <c r="K48" i="6"/>
  <c r="J48" i="6"/>
  <c r="I48" i="6"/>
  <c r="E48" i="6"/>
  <c r="D48" i="6"/>
  <c r="C48" i="6"/>
  <c r="B48" i="6"/>
  <c r="K47" i="6"/>
  <c r="J47" i="6"/>
  <c r="I47" i="6"/>
  <c r="E47" i="6"/>
  <c r="D47" i="6"/>
  <c r="C47" i="6"/>
  <c r="B47" i="6"/>
  <c r="K46" i="6"/>
  <c r="J46" i="6"/>
  <c r="I46" i="6"/>
  <c r="E46" i="6"/>
  <c r="D46" i="6"/>
  <c r="C46" i="6"/>
  <c r="B46" i="6"/>
  <c r="K45" i="6"/>
  <c r="J45" i="6"/>
  <c r="I45" i="6"/>
  <c r="D45" i="6"/>
  <c r="C45" i="6"/>
  <c r="B45" i="6"/>
  <c r="L44" i="6"/>
  <c r="K44" i="6"/>
  <c r="J44" i="6"/>
  <c r="I44" i="6"/>
  <c r="D44" i="6"/>
  <c r="C44" i="6"/>
  <c r="B44" i="6"/>
  <c r="I41" i="6"/>
  <c r="B41" i="6"/>
  <c r="I40" i="6"/>
  <c r="B40" i="6"/>
  <c r="L32" i="6"/>
  <c r="K32" i="6"/>
  <c r="J32" i="6"/>
  <c r="I32" i="6"/>
  <c r="D32" i="6"/>
  <c r="C32" i="6"/>
  <c r="B32" i="6"/>
  <c r="L31" i="6"/>
  <c r="M31" i="6" s="1"/>
  <c r="K31" i="6"/>
  <c r="J31" i="6"/>
  <c r="I31" i="6"/>
  <c r="D31" i="6"/>
  <c r="C31" i="6"/>
  <c r="B31" i="6"/>
  <c r="K30" i="6"/>
  <c r="J30" i="6"/>
  <c r="I30" i="6"/>
  <c r="E30" i="6"/>
  <c r="D30" i="6"/>
  <c r="C30" i="6"/>
  <c r="B30" i="6"/>
  <c r="L29" i="6"/>
  <c r="K29" i="6"/>
  <c r="J29" i="6"/>
  <c r="I29" i="6"/>
  <c r="E29" i="6"/>
  <c r="D29" i="6"/>
  <c r="C29" i="6"/>
  <c r="B29" i="6"/>
  <c r="K28" i="6"/>
  <c r="J28" i="6"/>
  <c r="I28" i="6"/>
  <c r="E28" i="6"/>
  <c r="D28" i="6"/>
  <c r="C28" i="6"/>
  <c r="B28" i="6"/>
  <c r="L27" i="6"/>
  <c r="M28" i="6" s="1"/>
  <c r="K27" i="6"/>
  <c r="J27" i="6"/>
  <c r="I27" i="6"/>
  <c r="E27" i="6"/>
  <c r="D27" i="6"/>
  <c r="C27" i="6"/>
  <c r="B27" i="6"/>
  <c r="I24" i="6"/>
  <c r="B24" i="6"/>
  <c r="I23" i="6"/>
  <c r="B23" i="6"/>
  <c r="M20" i="6"/>
  <c r="K20" i="6"/>
  <c r="D20" i="6"/>
  <c r="B20" i="6"/>
  <c r="M15" i="6"/>
  <c r="K15" i="6"/>
  <c r="J15" i="6"/>
  <c r="I15" i="6"/>
  <c r="E15" i="6"/>
  <c r="D15" i="6"/>
  <c r="C15" i="6"/>
  <c r="B15" i="6"/>
  <c r="L14" i="6"/>
  <c r="K14" i="6"/>
  <c r="J14" i="6"/>
  <c r="I14" i="6"/>
  <c r="E14" i="6"/>
  <c r="D14" i="6"/>
  <c r="C14" i="6"/>
  <c r="B14" i="6"/>
  <c r="K13" i="6"/>
  <c r="J13" i="6"/>
  <c r="I13" i="6"/>
  <c r="E13" i="6"/>
  <c r="D13" i="6"/>
  <c r="C13" i="6"/>
  <c r="B13" i="6"/>
  <c r="K12" i="6"/>
  <c r="J12" i="6"/>
  <c r="I12" i="6"/>
  <c r="E12" i="6"/>
  <c r="D12" i="6"/>
  <c r="C12" i="6"/>
  <c r="B12" i="6"/>
  <c r="K11" i="6"/>
  <c r="J11" i="6"/>
  <c r="I11" i="6"/>
  <c r="E11" i="6"/>
  <c r="D11" i="6"/>
  <c r="C11" i="6"/>
  <c r="B11" i="6"/>
  <c r="L10" i="6"/>
  <c r="K10" i="6"/>
  <c r="J10" i="6"/>
  <c r="I10" i="6"/>
  <c r="D10" i="6"/>
  <c r="C10" i="6"/>
  <c r="B10" i="6"/>
  <c r="I7" i="6"/>
  <c r="B7" i="6"/>
  <c r="I6" i="6"/>
  <c r="B6" i="6"/>
  <c r="AW43" i="5"/>
  <c r="AP43" i="5"/>
  <c r="AI43" i="5"/>
  <c r="J129" i="7" s="1"/>
  <c r="AB43" i="5"/>
  <c r="J128" i="7" s="1"/>
  <c r="U43" i="5"/>
  <c r="J127" i="7" s="1"/>
  <c r="N43" i="5"/>
  <c r="AW41" i="5"/>
  <c r="AP41" i="5"/>
  <c r="I130" i="7" s="1"/>
  <c r="AI41" i="5"/>
  <c r="AB41" i="5"/>
  <c r="U41" i="5"/>
  <c r="N41" i="5"/>
  <c r="AX41" i="5" s="1"/>
  <c r="A133" i="7" s="1"/>
  <c r="AW38" i="5"/>
  <c r="AP38" i="5"/>
  <c r="AI38" i="5"/>
  <c r="J112" i="7" s="1"/>
  <c r="AB38" i="5"/>
  <c r="J111" i="7" s="1"/>
  <c r="U38" i="5"/>
  <c r="J110" i="7" s="1"/>
  <c r="N38" i="5"/>
  <c r="AW36" i="5"/>
  <c r="I114" i="7" s="1"/>
  <c r="AP36" i="5"/>
  <c r="I113" i="7" s="1"/>
  <c r="AI36" i="5"/>
  <c r="I112" i="7" s="1"/>
  <c r="AB36" i="5"/>
  <c r="U36" i="5"/>
  <c r="H110" i="7" s="1"/>
  <c r="N36" i="5"/>
  <c r="H109" i="7" s="1"/>
  <c r="AW33" i="5"/>
  <c r="I97" i="7" s="1"/>
  <c r="AP33" i="5"/>
  <c r="J96" i="7" s="1"/>
  <c r="AI33" i="5"/>
  <c r="AB33" i="5"/>
  <c r="U33" i="5"/>
  <c r="J93" i="7" s="1"/>
  <c r="N33" i="5"/>
  <c r="J92" i="7" s="1"/>
  <c r="AW31" i="5"/>
  <c r="H97" i="7" s="1"/>
  <c r="AP31" i="5"/>
  <c r="AI31" i="5"/>
  <c r="AB31" i="5"/>
  <c r="U31" i="5"/>
  <c r="N31" i="5"/>
  <c r="AX28" i="5"/>
  <c r="K82" i="7" s="1"/>
  <c r="AW28" i="5"/>
  <c r="J80" i="7" s="1"/>
  <c r="AP28" i="5"/>
  <c r="AI28" i="5"/>
  <c r="AB28" i="5"/>
  <c r="U28" i="5"/>
  <c r="J76" i="7" s="1"/>
  <c r="N28" i="5"/>
  <c r="J75" i="7" s="1"/>
  <c r="AW26" i="5"/>
  <c r="AP26" i="5"/>
  <c r="I79" i="7" s="1"/>
  <c r="AI26" i="5"/>
  <c r="AB26" i="5"/>
  <c r="U26" i="5"/>
  <c r="N26" i="5"/>
  <c r="CZ23" i="5"/>
  <c r="CS23" i="5"/>
  <c r="CL23" i="5"/>
  <c r="J197" i="7" s="1"/>
  <c r="CE23" i="5"/>
  <c r="J196" i="7" s="1"/>
  <c r="BX23" i="5"/>
  <c r="BQ23" i="5"/>
  <c r="J194" i="7" s="1"/>
  <c r="AW23" i="5"/>
  <c r="J63" i="7" s="1"/>
  <c r="AP23" i="5"/>
  <c r="J62" i="7" s="1"/>
  <c r="AI23" i="5"/>
  <c r="J61" i="7" s="1"/>
  <c r="AB23" i="5"/>
  <c r="J60" i="7" s="1"/>
  <c r="U23" i="5"/>
  <c r="N23" i="5"/>
  <c r="CZ21" i="5"/>
  <c r="I199" i="7" s="1"/>
  <c r="CS21" i="5"/>
  <c r="I198" i="7" s="1"/>
  <c r="CL21" i="5"/>
  <c r="I197" i="7" s="1"/>
  <c r="CE21" i="5"/>
  <c r="BX21" i="5"/>
  <c r="BQ21" i="5"/>
  <c r="AW21" i="5"/>
  <c r="AP21" i="5"/>
  <c r="AI21" i="5"/>
  <c r="AB21" i="5"/>
  <c r="H60" i="7" s="1"/>
  <c r="U21" i="5"/>
  <c r="N21" i="5"/>
  <c r="DA18" i="5"/>
  <c r="DC18" i="5" s="1"/>
  <c r="CZ18" i="5"/>
  <c r="J182" i="7" s="1"/>
  <c r="CS18" i="5"/>
  <c r="CL18" i="5"/>
  <c r="CE18" i="5"/>
  <c r="J179" i="7" s="1"/>
  <c r="BX18" i="5"/>
  <c r="BQ18" i="5"/>
  <c r="AW18" i="5"/>
  <c r="AP18" i="5"/>
  <c r="AI18" i="5"/>
  <c r="J44" i="7" s="1"/>
  <c r="AB18" i="5"/>
  <c r="J43" i="7" s="1"/>
  <c r="U18" i="5"/>
  <c r="J42" i="7" s="1"/>
  <c r="N18" i="5"/>
  <c r="J41" i="7" s="1"/>
  <c r="CZ16" i="5"/>
  <c r="CS16" i="5"/>
  <c r="H181" i="7" s="1"/>
  <c r="CL16" i="5"/>
  <c r="I180" i="7" s="1"/>
  <c r="CE16" i="5"/>
  <c r="BX16" i="5"/>
  <c r="BQ16" i="5"/>
  <c r="DA16" i="5" s="1"/>
  <c r="DC16" i="5" s="1"/>
  <c r="AW16" i="5"/>
  <c r="AP16" i="5"/>
  <c r="H45" i="7" s="1"/>
  <c r="AI16" i="5"/>
  <c r="AB16" i="5"/>
  <c r="I43" i="7" s="1"/>
  <c r="U16" i="5"/>
  <c r="N16" i="5"/>
  <c r="HL13" i="5"/>
  <c r="HF13" i="5"/>
  <c r="GY13" i="5"/>
  <c r="GR13" i="5"/>
  <c r="GK13" i="5"/>
  <c r="GD13" i="5"/>
  <c r="FW13" i="5"/>
  <c r="FC13" i="5"/>
  <c r="J233" i="7" s="1"/>
  <c r="EV13" i="5"/>
  <c r="EO13" i="5"/>
  <c r="J231" i="7" s="1"/>
  <c r="EH13" i="5"/>
  <c r="J230" i="7" s="1"/>
  <c r="EA13" i="5"/>
  <c r="J229" i="7" s="1"/>
  <c r="DT13" i="5"/>
  <c r="CZ13" i="5"/>
  <c r="CS13" i="5"/>
  <c r="CL13" i="5"/>
  <c r="J163" i="7" s="1"/>
  <c r="CE13" i="5"/>
  <c r="J162" i="7" s="1"/>
  <c r="BX13" i="5"/>
  <c r="BQ13" i="5"/>
  <c r="J160" i="7" s="1"/>
  <c r="AW13" i="5"/>
  <c r="J267" i="7" s="1"/>
  <c r="AP13" i="5"/>
  <c r="J266" i="7" s="1"/>
  <c r="AI13" i="5"/>
  <c r="J27" i="7" s="1"/>
  <c r="AB13" i="5"/>
  <c r="J26" i="7" s="1"/>
  <c r="U13" i="5"/>
  <c r="N13" i="5"/>
  <c r="J262" i="7" s="1"/>
  <c r="HL11" i="5"/>
  <c r="HF11" i="5"/>
  <c r="GY11" i="5"/>
  <c r="GR11" i="5"/>
  <c r="GK11" i="5"/>
  <c r="GD11" i="5"/>
  <c r="FW11" i="5"/>
  <c r="FC11" i="5"/>
  <c r="H233" i="7" s="1"/>
  <c r="EV11" i="5"/>
  <c r="H232" i="7" s="1"/>
  <c r="EO11" i="5"/>
  <c r="EH11" i="5"/>
  <c r="H230" i="7" s="1"/>
  <c r="EA11" i="5"/>
  <c r="DT11" i="5"/>
  <c r="CZ11" i="5"/>
  <c r="CS11" i="5"/>
  <c r="CL11" i="5"/>
  <c r="CE11" i="5"/>
  <c r="BX11" i="5"/>
  <c r="BQ11" i="5"/>
  <c r="DA13" i="5" s="1"/>
  <c r="AW11" i="5"/>
  <c r="AP11" i="5"/>
  <c r="H266" i="7" s="1"/>
  <c r="AI11" i="5"/>
  <c r="H27" i="7" s="1"/>
  <c r="AB11" i="5"/>
  <c r="H264" i="7" s="1"/>
  <c r="U11" i="5"/>
  <c r="N11" i="5"/>
  <c r="I24" i="7" s="1"/>
  <c r="HF8" i="5"/>
  <c r="J250" i="7" s="1"/>
  <c r="GY8" i="5"/>
  <c r="J249" i="7" s="1"/>
  <c r="GR8" i="5"/>
  <c r="GK8" i="5"/>
  <c r="J247" i="7" s="1"/>
  <c r="GD8" i="5"/>
  <c r="J246" i="7" s="1"/>
  <c r="FW8" i="5"/>
  <c r="FC8" i="5"/>
  <c r="J216" i="7" s="1"/>
  <c r="EV8" i="5"/>
  <c r="J215" i="7" s="1"/>
  <c r="EO8" i="5"/>
  <c r="J214" i="7" s="1"/>
  <c r="EH8" i="5"/>
  <c r="EA8" i="5"/>
  <c r="DT8" i="5"/>
  <c r="CZ8" i="5"/>
  <c r="CS8" i="5"/>
  <c r="J147" i="7" s="1"/>
  <c r="CL8" i="5"/>
  <c r="CE8" i="5"/>
  <c r="J145" i="7" s="1"/>
  <c r="BX8" i="5"/>
  <c r="J144" i="7" s="1"/>
  <c r="BQ8" i="5"/>
  <c r="J143" i="7" s="1"/>
  <c r="AW8" i="5"/>
  <c r="J12" i="7" s="1"/>
  <c r="AP8" i="5"/>
  <c r="AI8" i="5"/>
  <c r="J10" i="7" s="1"/>
  <c r="AB8" i="5"/>
  <c r="U8" i="5"/>
  <c r="J8" i="7" s="1"/>
  <c r="N8" i="5"/>
  <c r="AX8" i="5" s="1"/>
  <c r="HF6" i="5"/>
  <c r="GY6" i="5"/>
  <c r="GR6" i="5"/>
  <c r="H248" i="7" s="1"/>
  <c r="GK6" i="5"/>
  <c r="I247" i="7" s="1"/>
  <c r="GD6" i="5"/>
  <c r="FW6" i="5"/>
  <c r="FC6" i="5"/>
  <c r="EV6" i="5"/>
  <c r="H215" i="7" s="1"/>
  <c r="EO6" i="5"/>
  <c r="EH6" i="5"/>
  <c r="EA6" i="5"/>
  <c r="DT6" i="5"/>
  <c r="H211" i="7" s="1"/>
  <c r="CZ6" i="5"/>
  <c r="CS6" i="5"/>
  <c r="CL6" i="5"/>
  <c r="CE6" i="5"/>
  <c r="BX6" i="5"/>
  <c r="BQ6" i="5"/>
  <c r="AW6" i="5"/>
  <c r="AP6" i="5"/>
  <c r="H11" i="7" s="1"/>
  <c r="AI6" i="5"/>
  <c r="AB6" i="5"/>
  <c r="H9" i="7" s="1"/>
  <c r="U6" i="5"/>
  <c r="N6" i="5"/>
  <c r="M37" i="4"/>
  <c r="K37" i="4"/>
  <c r="J37" i="4"/>
  <c r="I37" i="4"/>
  <c r="H37" i="4"/>
  <c r="F37" i="4"/>
  <c r="E37" i="4"/>
  <c r="D37" i="4"/>
  <c r="G37" i="4" s="1"/>
  <c r="C37" i="4"/>
  <c r="B37" i="4"/>
  <c r="A37" i="4"/>
  <c r="F36" i="4"/>
  <c r="I36" i="4" s="1"/>
  <c r="E36" i="4"/>
  <c r="H36" i="4" s="1"/>
  <c r="D36" i="4"/>
  <c r="A36" i="4" s="1"/>
  <c r="C36" i="4"/>
  <c r="B36" i="4"/>
  <c r="F35" i="4"/>
  <c r="I35" i="4" s="1"/>
  <c r="E35" i="4"/>
  <c r="H35" i="4" s="1"/>
  <c r="D35" i="4"/>
  <c r="B35" i="4" s="1"/>
  <c r="M34" i="4"/>
  <c r="K34" i="4"/>
  <c r="J34" i="4"/>
  <c r="I34" i="4"/>
  <c r="H34" i="4"/>
  <c r="G34" i="4"/>
  <c r="F34" i="4"/>
  <c r="E34" i="4"/>
  <c r="D34" i="4"/>
  <c r="C34" i="4" s="1"/>
  <c r="B34" i="4"/>
  <c r="A34" i="4"/>
  <c r="K33" i="4"/>
  <c r="J33" i="4"/>
  <c r="I33" i="4"/>
  <c r="G33" i="4"/>
  <c r="F33" i="4"/>
  <c r="E33" i="4"/>
  <c r="H33" i="4" s="1"/>
  <c r="D33" i="4"/>
  <c r="M33" i="4" s="1"/>
  <c r="C33" i="4"/>
  <c r="B33" i="4"/>
  <c r="A33" i="4"/>
  <c r="F32" i="4"/>
  <c r="I32" i="4" s="1"/>
  <c r="E32" i="4"/>
  <c r="H32" i="4" s="1"/>
  <c r="D32" i="4"/>
  <c r="C32" i="4" s="1"/>
  <c r="B32" i="4"/>
  <c r="M31" i="4"/>
  <c r="K31" i="4"/>
  <c r="J31" i="4"/>
  <c r="I31" i="4"/>
  <c r="H31" i="4"/>
  <c r="G31" i="4"/>
  <c r="F31" i="4"/>
  <c r="E31" i="4"/>
  <c r="D31" i="4"/>
  <c r="J30" i="4"/>
  <c r="G30" i="4"/>
  <c r="F30" i="4"/>
  <c r="I30" i="4" s="1"/>
  <c r="E30" i="4"/>
  <c r="H30" i="4" s="1"/>
  <c r="D30" i="4"/>
  <c r="B30" i="4"/>
  <c r="A30" i="4"/>
  <c r="J29" i="4"/>
  <c r="I29" i="4"/>
  <c r="H29" i="4"/>
  <c r="F29" i="4"/>
  <c r="E29" i="4"/>
  <c r="D29" i="4"/>
  <c r="C29" i="4"/>
  <c r="B29" i="4"/>
  <c r="A29" i="4"/>
  <c r="I28" i="4"/>
  <c r="H28" i="4"/>
  <c r="F28" i="4"/>
  <c r="E28" i="4"/>
  <c r="D28" i="4"/>
  <c r="M28" i="4" s="1"/>
  <c r="C28" i="4"/>
  <c r="H27" i="4"/>
  <c r="G27" i="4"/>
  <c r="F27" i="4"/>
  <c r="I27" i="4" s="1"/>
  <c r="E27" i="4"/>
  <c r="D27" i="4"/>
  <c r="C27" i="4" s="1"/>
  <c r="B27" i="4"/>
  <c r="A27" i="4"/>
  <c r="J26" i="4"/>
  <c r="I26" i="4"/>
  <c r="H26" i="4"/>
  <c r="G26" i="4"/>
  <c r="F26" i="4"/>
  <c r="E26" i="4"/>
  <c r="D26" i="4"/>
  <c r="C26" i="4" s="1"/>
  <c r="B26" i="4"/>
  <c r="A26" i="4"/>
  <c r="M25" i="4"/>
  <c r="K25" i="4"/>
  <c r="J25" i="4"/>
  <c r="I25" i="4"/>
  <c r="H25" i="4"/>
  <c r="F25" i="4"/>
  <c r="E25" i="4"/>
  <c r="D25" i="4"/>
  <c r="G25" i="4" s="1"/>
  <c r="C25" i="4"/>
  <c r="B25" i="4"/>
  <c r="A25" i="4"/>
  <c r="F24" i="4"/>
  <c r="I24" i="4" s="1"/>
  <c r="E24" i="4"/>
  <c r="H24" i="4" s="1"/>
  <c r="D24" i="4"/>
  <c r="B24" i="4"/>
  <c r="A24" i="4"/>
  <c r="J23" i="4"/>
  <c r="I23" i="4"/>
  <c r="H23" i="4"/>
  <c r="G23" i="4"/>
  <c r="F23" i="4"/>
  <c r="E23" i="4"/>
  <c r="D23" i="4"/>
  <c r="I22" i="4"/>
  <c r="H22" i="4"/>
  <c r="F22" i="4"/>
  <c r="E22" i="4"/>
  <c r="D22" i="4"/>
  <c r="B22" i="4" s="1"/>
  <c r="A22" i="4"/>
  <c r="F21" i="4"/>
  <c r="I21" i="4" s="1"/>
  <c r="E21" i="4"/>
  <c r="H21" i="4" s="1"/>
  <c r="D21" i="4"/>
  <c r="J20" i="4"/>
  <c r="G20" i="4"/>
  <c r="F20" i="4"/>
  <c r="I20" i="4" s="1"/>
  <c r="E20" i="4"/>
  <c r="H20" i="4" s="1"/>
  <c r="D20" i="4"/>
  <c r="C20" i="4"/>
  <c r="B20" i="4"/>
  <c r="I19" i="4"/>
  <c r="H19" i="4"/>
  <c r="F19" i="4"/>
  <c r="E19" i="4"/>
  <c r="D19" i="4"/>
  <c r="C19" i="4"/>
  <c r="M18" i="4"/>
  <c r="K18" i="4"/>
  <c r="J18" i="4"/>
  <c r="I18" i="4"/>
  <c r="H18" i="4"/>
  <c r="F18" i="4"/>
  <c r="E18" i="4"/>
  <c r="D18" i="4"/>
  <c r="G18" i="4" s="1"/>
  <c r="C18" i="4"/>
  <c r="B18" i="4"/>
  <c r="A18" i="4"/>
  <c r="J17" i="4"/>
  <c r="H17" i="4"/>
  <c r="G17" i="4"/>
  <c r="F17" i="4"/>
  <c r="I17" i="4" s="1"/>
  <c r="E17" i="4"/>
  <c r="D17" i="4"/>
  <c r="C17" i="4" s="1"/>
  <c r="B17" i="4"/>
  <c r="I16" i="4"/>
  <c r="H16" i="4"/>
  <c r="F16" i="4"/>
  <c r="E16" i="4"/>
  <c r="I15" i="4"/>
  <c r="H15" i="4"/>
  <c r="F15" i="4"/>
  <c r="E15" i="4"/>
  <c r="F14" i="4"/>
  <c r="I14" i="4" s="1"/>
  <c r="E14" i="4"/>
  <c r="H14" i="4" s="1"/>
  <c r="I13" i="4"/>
  <c r="H13" i="4"/>
  <c r="F13" i="4"/>
  <c r="E13" i="4"/>
  <c r="F12" i="4"/>
  <c r="I12" i="4" s="1"/>
  <c r="E12" i="4"/>
  <c r="H12" i="4" s="1"/>
  <c r="H11" i="4"/>
  <c r="F11" i="4"/>
  <c r="I11" i="4" s="1"/>
  <c r="E11" i="4"/>
  <c r="I10" i="4"/>
  <c r="H10" i="4"/>
  <c r="F10" i="4"/>
  <c r="E10" i="4"/>
  <c r="H9" i="4"/>
  <c r="F9" i="4"/>
  <c r="I9" i="4" s="1"/>
  <c r="E9" i="4"/>
  <c r="F8" i="4"/>
  <c r="I8" i="4" s="1"/>
  <c r="E8" i="4"/>
  <c r="H8" i="4" s="1"/>
  <c r="I7" i="4"/>
  <c r="H7" i="4"/>
  <c r="F7" i="4"/>
  <c r="E7" i="4"/>
  <c r="I6" i="4"/>
  <c r="F6" i="4"/>
  <c r="E6" i="4"/>
  <c r="H6" i="4" s="1"/>
  <c r="BB69" i="3"/>
  <c r="AZ69" i="3"/>
  <c r="AY69" i="3"/>
  <c r="AX69" i="3"/>
  <c r="AW69" i="3"/>
  <c r="AV69" i="3"/>
  <c r="AU69" i="3"/>
  <c r="AT69" i="3"/>
  <c r="AS69" i="3"/>
  <c r="AR69" i="3"/>
  <c r="AQ69" i="3"/>
  <c r="AP69" i="3"/>
  <c r="E69" i="3"/>
  <c r="A69" i="3"/>
  <c r="BB68" i="3"/>
  <c r="AZ68" i="3"/>
  <c r="AY68" i="3"/>
  <c r="AX68" i="3"/>
  <c r="AW68" i="3"/>
  <c r="AV68" i="3"/>
  <c r="AU68" i="3"/>
  <c r="AT68" i="3"/>
  <c r="AS68" i="3"/>
  <c r="AR68" i="3"/>
  <c r="AQ68" i="3"/>
  <c r="AP68" i="3"/>
  <c r="E68" i="3"/>
  <c r="A68" i="3"/>
  <c r="BB67" i="3"/>
  <c r="AZ67" i="3"/>
  <c r="AY67" i="3"/>
  <c r="AX67" i="3"/>
  <c r="AW67" i="3"/>
  <c r="AV67" i="3"/>
  <c r="AU67" i="3"/>
  <c r="AT67" i="3"/>
  <c r="AS67" i="3"/>
  <c r="AR67" i="3"/>
  <c r="AQ67" i="3"/>
  <c r="AP67" i="3"/>
  <c r="E67" i="3"/>
  <c r="A67" i="3"/>
  <c r="BB66" i="3"/>
  <c r="AZ66" i="3"/>
  <c r="AY66" i="3"/>
  <c r="AX66" i="3"/>
  <c r="AW66" i="3"/>
  <c r="AV66" i="3"/>
  <c r="AU66" i="3"/>
  <c r="AT66" i="3"/>
  <c r="AS66" i="3"/>
  <c r="AR66" i="3"/>
  <c r="AQ66" i="3"/>
  <c r="AP66" i="3"/>
  <c r="E66" i="3"/>
  <c r="A66" i="3"/>
  <c r="BB65" i="3"/>
  <c r="AZ65" i="3"/>
  <c r="AY65" i="3"/>
  <c r="AX65" i="3"/>
  <c r="AW65" i="3"/>
  <c r="AV65" i="3"/>
  <c r="AU65" i="3"/>
  <c r="AT65" i="3"/>
  <c r="AS65" i="3"/>
  <c r="AR65" i="3"/>
  <c r="AQ65" i="3"/>
  <c r="AP65" i="3"/>
  <c r="E65" i="3"/>
  <c r="A65" i="3"/>
  <c r="BB64" i="3"/>
  <c r="AZ64" i="3"/>
  <c r="AY64" i="3"/>
  <c r="AX64" i="3"/>
  <c r="AW64" i="3"/>
  <c r="AV64" i="3"/>
  <c r="AU64" i="3"/>
  <c r="AT64" i="3"/>
  <c r="AS64" i="3"/>
  <c r="AR64" i="3"/>
  <c r="AQ64" i="3"/>
  <c r="AP64" i="3"/>
  <c r="E64" i="3"/>
  <c r="A64" i="3"/>
  <c r="BB63" i="3"/>
  <c r="AZ63" i="3"/>
  <c r="AY63" i="3"/>
  <c r="AX63" i="3"/>
  <c r="AW63" i="3"/>
  <c r="AV63" i="3"/>
  <c r="AU63" i="3"/>
  <c r="AT63" i="3"/>
  <c r="AS63" i="3"/>
  <c r="AR63" i="3"/>
  <c r="AQ63" i="3"/>
  <c r="AP63" i="3"/>
  <c r="E63" i="3"/>
  <c r="A63" i="3"/>
  <c r="BB62" i="3"/>
  <c r="AZ62" i="3"/>
  <c r="AY62" i="3"/>
  <c r="AX62" i="3"/>
  <c r="AW62" i="3"/>
  <c r="AV62" i="3"/>
  <c r="AU62" i="3"/>
  <c r="AT62" i="3"/>
  <c r="AS62" i="3"/>
  <c r="AR62" i="3"/>
  <c r="AQ62" i="3"/>
  <c r="AP62" i="3"/>
  <c r="E62" i="3"/>
  <c r="A62" i="3"/>
  <c r="BB61" i="3"/>
  <c r="AZ61" i="3"/>
  <c r="AY61" i="3"/>
  <c r="AX61" i="3"/>
  <c r="AW61" i="3"/>
  <c r="AV61" i="3"/>
  <c r="AU61" i="3"/>
  <c r="AT61" i="3"/>
  <c r="AS61" i="3"/>
  <c r="AR61" i="3"/>
  <c r="AQ61" i="3"/>
  <c r="AP61" i="3"/>
  <c r="E61" i="3"/>
  <c r="A61" i="3"/>
  <c r="BB60" i="3"/>
  <c r="AZ60" i="3"/>
  <c r="AY60" i="3"/>
  <c r="AX60" i="3"/>
  <c r="AW60" i="3"/>
  <c r="AV60" i="3"/>
  <c r="AU60" i="3"/>
  <c r="AT60" i="3"/>
  <c r="AS60" i="3"/>
  <c r="AR60" i="3"/>
  <c r="AQ60" i="3"/>
  <c r="AP60" i="3"/>
  <c r="E60" i="3"/>
  <c r="A60" i="3"/>
  <c r="BB59" i="3"/>
  <c r="AZ59" i="3"/>
  <c r="AY59" i="3"/>
  <c r="AX59" i="3"/>
  <c r="AW59" i="3"/>
  <c r="AV59" i="3"/>
  <c r="AU59" i="3"/>
  <c r="AT59" i="3"/>
  <c r="AS59" i="3"/>
  <c r="AR59" i="3"/>
  <c r="AQ59" i="3"/>
  <c r="AP59" i="3"/>
  <c r="E59" i="3"/>
  <c r="A59" i="3"/>
  <c r="BB58" i="3"/>
  <c r="AZ58" i="3"/>
  <c r="AY58" i="3"/>
  <c r="AX58" i="3"/>
  <c r="AW58" i="3"/>
  <c r="AV58" i="3"/>
  <c r="AU58" i="3"/>
  <c r="AT58" i="3"/>
  <c r="AS58" i="3"/>
  <c r="AR58" i="3"/>
  <c r="AQ58" i="3"/>
  <c r="AP58" i="3"/>
  <c r="E58" i="3"/>
  <c r="A58" i="3"/>
  <c r="BB57" i="3"/>
  <c r="AZ57" i="3"/>
  <c r="AY57" i="3"/>
  <c r="AX57" i="3"/>
  <c r="AW57" i="3"/>
  <c r="AV57" i="3"/>
  <c r="AU57" i="3"/>
  <c r="AT57" i="3"/>
  <c r="AS57" i="3"/>
  <c r="AR57" i="3"/>
  <c r="AQ57" i="3"/>
  <c r="AP57" i="3"/>
  <c r="E57" i="3"/>
  <c r="A57" i="3"/>
  <c r="BB56" i="3"/>
  <c r="AZ56" i="3"/>
  <c r="AY56" i="3"/>
  <c r="AX56" i="3"/>
  <c r="AW56" i="3"/>
  <c r="AV56" i="3"/>
  <c r="AU56" i="3"/>
  <c r="AT56" i="3"/>
  <c r="AS56" i="3"/>
  <c r="AR56" i="3"/>
  <c r="AQ56" i="3"/>
  <c r="AP56" i="3"/>
  <c r="E56" i="3"/>
  <c r="A56" i="3"/>
  <c r="BB55" i="3"/>
  <c r="AZ55" i="3"/>
  <c r="AY55" i="3"/>
  <c r="AX55" i="3"/>
  <c r="AW55" i="3"/>
  <c r="AV55" i="3"/>
  <c r="AU55" i="3"/>
  <c r="AT55" i="3"/>
  <c r="AS55" i="3"/>
  <c r="AR55" i="3"/>
  <c r="AQ55" i="3"/>
  <c r="AP55" i="3"/>
  <c r="E55" i="3"/>
  <c r="A55" i="3"/>
  <c r="BB54" i="3"/>
  <c r="AZ54" i="3"/>
  <c r="AY54" i="3"/>
  <c r="AX54" i="3"/>
  <c r="AW54" i="3"/>
  <c r="AV54" i="3"/>
  <c r="AU54" i="3"/>
  <c r="AT54" i="3"/>
  <c r="AS54" i="3"/>
  <c r="AR54" i="3"/>
  <c r="AQ54" i="3"/>
  <c r="AP54" i="3"/>
  <c r="E54" i="3"/>
  <c r="A54" i="3"/>
  <c r="BB53" i="3"/>
  <c r="AZ53" i="3"/>
  <c r="AY53" i="3"/>
  <c r="AX53" i="3"/>
  <c r="AW53" i="3"/>
  <c r="AV53" i="3"/>
  <c r="AU53" i="3"/>
  <c r="AT53" i="3"/>
  <c r="AS53" i="3"/>
  <c r="AR53" i="3"/>
  <c r="AQ53" i="3"/>
  <c r="AP53" i="3"/>
  <c r="E53" i="3"/>
  <c r="A53" i="3"/>
  <c r="BB52" i="3"/>
  <c r="AZ52" i="3"/>
  <c r="AY52" i="3"/>
  <c r="AX52" i="3"/>
  <c r="AW52" i="3"/>
  <c r="AV52" i="3"/>
  <c r="AU52" i="3"/>
  <c r="AT52" i="3"/>
  <c r="AS52" i="3"/>
  <c r="AR52" i="3"/>
  <c r="AQ52" i="3"/>
  <c r="AP52" i="3"/>
  <c r="E52" i="3"/>
  <c r="A52" i="3"/>
  <c r="BB51" i="3"/>
  <c r="AZ51" i="3"/>
  <c r="AY51" i="3"/>
  <c r="AX51" i="3"/>
  <c r="AW51" i="3"/>
  <c r="AV51" i="3"/>
  <c r="AU51" i="3"/>
  <c r="AT51" i="3"/>
  <c r="AS51" i="3"/>
  <c r="AR51" i="3"/>
  <c r="AQ51" i="3"/>
  <c r="AP51" i="3"/>
  <c r="E51" i="3"/>
  <c r="A51" i="3"/>
  <c r="BB50" i="3"/>
  <c r="AZ50" i="3"/>
  <c r="AY50" i="3"/>
  <c r="AX50" i="3"/>
  <c r="AW50" i="3"/>
  <c r="AV50" i="3"/>
  <c r="AU50" i="3"/>
  <c r="AT50" i="3"/>
  <c r="AS50" i="3"/>
  <c r="AR50" i="3"/>
  <c r="AQ50" i="3"/>
  <c r="AP50" i="3"/>
  <c r="E50" i="3"/>
  <c r="A50" i="3"/>
  <c r="BB49" i="3"/>
  <c r="AZ49" i="3"/>
  <c r="AY49" i="3"/>
  <c r="AX49" i="3"/>
  <c r="AW49" i="3"/>
  <c r="AV49" i="3"/>
  <c r="AU49" i="3"/>
  <c r="AT49" i="3"/>
  <c r="AS49" i="3"/>
  <c r="AR49" i="3"/>
  <c r="AQ49" i="3"/>
  <c r="AP49" i="3"/>
  <c r="E49" i="3"/>
  <c r="A49" i="3"/>
  <c r="BB48" i="3"/>
  <c r="AZ48" i="3"/>
  <c r="AY48" i="3"/>
  <c r="AX48" i="3"/>
  <c r="AW48" i="3"/>
  <c r="AV48" i="3"/>
  <c r="AU48" i="3"/>
  <c r="AT48" i="3"/>
  <c r="AS48" i="3"/>
  <c r="AR48" i="3"/>
  <c r="AQ48" i="3"/>
  <c r="AP48" i="3"/>
  <c r="E48" i="3"/>
  <c r="A48" i="3"/>
  <c r="BB47" i="3"/>
  <c r="AZ47" i="3"/>
  <c r="AY47" i="3"/>
  <c r="AX47" i="3"/>
  <c r="AW47" i="3"/>
  <c r="AV47" i="3"/>
  <c r="AU47" i="3"/>
  <c r="AT47" i="3"/>
  <c r="AS47" i="3"/>
  <c r="AR47" i="3"/>
  <c r="AQ47" i="3"/>
  <c r="AP47" i="3"/>
  <c r="E47" i="3"/>
  <c r="A47" i="3"/>
  <c r="BB46" i="3"/>
  <c r="AZ46" i="3"/>
  <c r="AY46" i="3"/>
  <c r="AX46" i="3"/>
  <c r="AW46" i="3"/>
  <c r="AV46" i="3"/>
  <c r="AU46" i="3"/>
  <c r="AT46" i="3"/>
  <c r="AS46" i="3"/>
  <c r="AR46" i="3"/>
  <c r="AQ46" i="3"/>
  <c r="AP46" i="3"/>
  <c r="E46" i="3"/>
  <c r="A46" i="3"/>
  <c r="BB45" i="3"/>
  <c r="AZ45" i="3"/>
  <c r="AY45" i="3"/>
  <c r="AX45" i="3"/>
  <c r="AW45" i="3"/>
  <c r="AV45" i="3"/>
  <c r="AU45" i="3"/>
  <c r="AT45" i="3"/>
  <c r="AS45" i="3"/>
  <c r="AR45" i="3"/>
  <c r="AQ45" i="3"/>
  <c r="AP45" i="3"/>
  <c r="E45" i="3"/>
  <c r="A45" i="3"/>
  <c r="BB44" i="3"/>
  <c r="AZ44" i="3"/>
  <c r="AY44" i="3"/>
  <c r="AX44" i="3"/>
  <c r="AW44" i="3"/>
  <c r="AV44" i="3"/>
  <c r="AU44" i="3"/>
  <c r="AT44" i="3"/>
  <c r="AS44" i="3"/>
  <c r="AR44" i="3"/>
  <c r="AQ44" i="3"/>
  <c r="AP44" i="3"/>
  <c r="E44" i="3"/>
  <c r="A44" i="3"/>
  <c r="BB43" i="3"/>
  <c r="AZ43" i="3"/>
  <c r="AY43" i="3"/>
  <c r="AX43" i="3"/>
  <c r="AW43" i="3"/>
  <c r="AV43" i="3"/>
  <c r="AU43" i="3"/>
  <c r="AT43" i="3"/>
  <c r="AS43" i="3"/>
  <c r="AR43" i="3"/>
  <c r="AQ43" i="3"/>
  <c r="AP43" i="3"/>
  <c r="E43" i="3"/>
  <c r="A43" i="3"/>
  <c r="BB42" i="3"/>
  <c r="AZ42" i="3"/>
  <c r="AY42" i="3"/>
  <c r="AX42" i="3"/>
  <c r="AW42" i="3"/>
  <c r="AV42" i="3"/>
  <c r="AU42" i="3"/>
  <c r="AT42" i="3"/>
  <c r="AS42" i="3"/>
  <c r="AR42" i="3"/>
  <c r="AQ42" i="3"/>
  <c r="AP42" i="3"/>
  <c r="E42" i="3"/>
  <c r="A42" i="3"/>
  <c r="BB41" i="3"/>
  <c r="AZ41" i="3"/>
  <c r="AY41" i="3"/>
  <c r="AX41" i="3"/>
  <c r="AW41" i="3"/>
  <c r="AV41" i="3"/>
  <c r="AU41" i="3"/>
  <c r="AT41" i="3"/>
  <c r="AS41" i="3"/>
  <c r="AR41" i="3"/>
  <c r="AQ41" i="3"/>
  <c r="AP41" i="3"/>
  <c r="E41" i="3"/>
  <c r="A41" i="3"/>
  <c r="BB40" i="3"/>
  <c r="AZ40" i="3"/>
  <c r="AY40" i="3"/>
  <c r="AX40" i="3"/>
  <c r="AW40" i="3"/>
  <c r="AV40" i="3"/>
  <c r="AU40" i="3"/>
  <c r="AT40" i="3"/>
  <c r="AS40" i="3"/>
  <c r="AR40" i="3"/>
  <c r="AQ40" i="3"/>
  <c r="AP40" i="3"/>
  <c r="E40" i="3"/>
  <c r="A40" i="3"/>
  <c r="BB39" i="3"/>
  <c r="AZ39" i="3"/>
  <c r="AY39" i="3"/>
  <c r="AX39" i="3"/>
  <c r="AW39" i="3"/>
  <c r="AV39" i="3"/>
  <c r="AU39" i="3"/>
  <c r="AT39" i="3"/>
  <c r="AS39" i="3"/>
  <c r="AR39" i="3"/>
  <c r="AQ39" i="3"/>
  <c r="AP39" i="3"/>
  <c r="E39" i="3"/>
  <c r="A39" i="3"/>
  <c r="BB38" i="3"/>
  <c r="AZ38" i="3"/>
  <c r="AY38" i="3"/>
  <c r="AX38" i="3"/>
  <c r="AW38" i="3"/>
  <c r="AV38" i="3"/>
  <c r="AU38" i="3"/>
  <c r="AT38" i="3"/>
  <c r="AS38" i="3"/>
  <c r="AR38" i="3"/>
  <c r="AQ38" i="3"/>
  <c r="AP38" i="3"/>
  <c r="E38" i="3"/>
  <c r="A38" i="3"/>
  <c r="BB37" i="3"/>
  <c r="AZ37" i="3"/>
  <c r="AY37" i="3"/>
  <c r="AX37" i="3"/>
  <c r="AW37" i="3"/>
  <c r="AV37" i="3"/>
  <c r="AU37" i="3"/>
  <c r="AT37" i="3"/>
  <c r="AS37" i="3"/>
  <c r="AR37" i="3"/>
  <c r="AQ37" i="3"/>
  <c r="AP37" i="3"/>
  <c r="E37" i="3"/>
  <c r="A37" i="3"/>
  <c r="BB36" i="3"/>
  <c r="AZ36" i="3"/>
  <c r="AY36" i="3"/>
  <c r="AX36" i="3"/>
  <c r="AW36" i="3"/>
  <c r="AV36" i="3"/>
  <c r="AU36" i="3"/>
  <c r="AT36" i="3"/>
  <c r="AS36" i="3"/>
  <c r="AR36" i="3"/>
  <c r="AQ36" i="3"/>
  <c r="AP36" i="3"/>
  <c r="E36" i="3"/>
  <c r="A36" i="3"/>
  <c r="BB35" i="3"/>
  <c r="AZ35" i="3"/>
  <c r="AY35" i="3"/>
  <c r="AX35" i="3"/>
  <c r="AW35" i="3"/>
  <c r="AV35" i="3"/>
  <c r="AU35" i="3"/>
  <c r="AT35" i="3"/>
  <c r="AS35" i="3"/>
  <c r="AR35" i="3"/>
  <c r="AQ35" i="3"/>
  <c r="AP35" i="3"/>
  <c r="E35" i="3"/>
  <c r="A35" i="3"/>
  <c r="BB34" i="3"/>
  <c r="AZ34" i="3"/>
  <c r="AY34" i="3"/>
  <c r="AX34" i="3"/>
  <c r="AW34" i="3"/>
  <c r="AV34" i="3"/>
  <c r="AU34" i="3"/>
  <c r="AT34" i="3"/>
  <c r="AS34" i="3"/>
  <c r="AR34" i="3"/>
  <c r="AQ34" i="3"/>
  <c r="AP34" i="3"/>
  <c r="E34" i="3"/>
  <c r="A34" i="3"/>
  <c r="BB33" i="3"/>
  <c r="AZ33" i="3"/>
  <c r="AY33" i="3"/>
  <c r="AX33" i="3"/>
  <c r="AW33" i="3"/>
  <c r="AV33" i="3"/>
  <c r="AU33" i="3"/>
  <c r="AT33" i="3"/>
  <c r="AS33" i="3"/>
  <c r="AR33" i="3"/>
  <c r="AQ33" i="3"/>
  <c r="AP33" i="3"/>
  <c r="E33" i="3"/>
  <c r="A33" i="3"/>
  <c r="BB32" i="3"/>
  <c r="AZ32" i="3"/>
  <c r="AY32" i="3"/>
  <c r="AX32" i="3"/>
  <c r="AW32" i="3"/>
  <c r="AV32" i="3"/>
  <c r="AU32" i="3"/>
  <c r="AT32" i="3"/>
  <c r="AS32" i="3"/>
  <c r="AR32" i="3"/>
  <c r="AQ32" i="3"/>
  <c r="AP32" i="3"/>
  <c r="E32" i="3"/>
  <c r="A32" i="3"/>
  <c r="BB31" i="3"/>
  <c r="AZ31" i="3"/>
  <c r="AY31" i="3"/>
  <c r="AX31" i="3"/>
  <c r="AW31" i="3"/>
  <c r="AV31" i="3"/>
  <c r="AU31" i="3"/>
  <c r="AT31" i="3"/>
  <c r="AS31" i="3"/>
  <c r="AR31" i="3"/>
  <c r="AQ31" i="3"/>
  <c r="AP31" i="3"/>
  <c r="E31" i="3"/>
  <c r="A31" i="3"/>
  <c r="BB30" i="3"/>
  <c r="AZ30" i="3"/>
  <c r="AY30" i="3"/>
  <c r="AX30" i="3"/>
  <c r="AW30" i="3"/>
  <c r="AV30" i="3"/>
  <c r="AU30" i="3"/>
  <c r="AT30" i="3"/>
  <c r="AS30" i="3"/>
  <c r="AR30" i="3"/>
  <c r="AQ30" i="3"/>
  <c r="AP30" i="3"/>
  <c r="E30" i="3"/>
  <c r="A30" i="3"/>
  <c r="BB29" i="3"/>
  <c r="AZ29" i="3"/>
  <c r="AY29" i="3"/>
  <c r="AX29" i="3"/>
  <c r="AW29" i="3"/>
  <c r="AV29" i="3"/>
  <c r="AU29" i="3"/>
  <c r="AT29" i="3"/>
  <c r="AS29" i="3"/>
  <c r="AR29" i="3"/>
  <c r="AQ29" i="3"/>
  <c r="AP29" i="3"/>
  <c r="E29" i="3"/>
  <c r="A29" i="3"/>
  <c r="BB28" i="3"/>
  <c r="AZ28" i="3"/>
  <c r="AY28" i="3"/>
  <c r="AX28" i="3"/>
  <c r="AW28" i="3"/>
  <c r="AV28" i="3"/>
  <c r="AU28" i="3"/>
  <c r="AT28" i="3"/>
  <c r="AS28" i="3"/>
  <c r="AR28" i="3"/>
  <c r="AQ28" i="3"/>
  <c r="AP28" i="3"/>
  <c r="E28" i="3"/>
  <c r="A28" i="3"/>
  <c r="BB27" i="3"/>
  <c r="AZ27" i="3"/>
  <c r="AY27" i="3"/>
  <c r="AX27" i="3"/>
  <c r="AW27" i="3"/>
  <c r="AV27" i="3"/>
  <c r="AU27" i="3"/>
  <c r="AT27" i="3"/>
  <c r="AS27" i="3"/>
  <c r="AR27" i="3"/>
  <c r="AQ27" i="3"/>
  <c r="AP27" i="3"/>
  <c r="E27" i="3"/>
  <c r="A27" i="3"/>
  <c r="BB26" i="3"/>
  <c r="AZ26" i="3"/>
  <c r="AY26" i="3"/>
  <c r="AX26" i="3"/>
  <c r="AW26" i="3"/>
  <c r="AV26" i="3"/>
  <c r="AU26" i="3"/>
  <c r="AT26" i="3"/>
  <c r="AS26" i="3"/>
  <c r="AR26" i="3"/>
  <c r="AQ26" i="3"/>
  <c r="AP26" i="3"/>
  <c r="E26" i="3"/>
  <c r="A26" i="3"/>
  <c r="BB25" i="3"/>
  <c r="AZ25" i="3"/>
  <c r="AY25" i="3"/>
  <c r="AX25" i="3"/>
  <c r="AW25" i="3"/>
  <c r="AV25" i="3"/>
  <c r="AU25" i="3"/>
  <c r="AT25" i="3"/>
  <c r="AS25" i="3"/>
  <c r="AR25" i="3"/>
  <c r="AQ25" i="3"/>
  <c r="AP25" i="3"/>
  <c r="E25" i="3"/>
  <c r="A25" i="3"/>
  <c r="BB24" i="3"/>
  <c r="AZ24" i="3"/>
  <c r="AY24" i="3"/>
  <c r="AX24" i="3"/>
  <c r="AW24" i="3"/>
  <c r="AV24" i="3"/>
  <c r="AU24" i="3"/>
  <c r="AT24" i="3"/>
  <c r="AS24" i="3"/>
  <c r="AR24" i="3"/>
  <c r="AQ24" i="3"/>
  <c r="AP24" i="3"/>
  <c r="E24" i="3"/>
  <c r="A24" i="3"/>
  <c r="BB23" i="3"/>
  <c r="AZ23" i="3"/>
  <c r="AY23" i="3"/>
  <c r="AX23" i="3"/>
  <c r="AW23" i="3"/>
  <c r="AV23" i="3"/>
  <c r="AU23" i="3"/>
  <c r="AT23" i="3"/>
  <c r="AS23" i="3"/>
  <c r="AR23" i="3"/>
  <c r="AQ23" i="3"/>
  <c r="AP23" i="3"/>
  <c r="E23" i="3"/>
  <c r="A23" i="3"/>
  <c r="BB22" i="3"/>
  <c r="AZ22" i="3"/>
  <c r="AY22" i="3"/>
  <c r="AX22" i="3"/>
  <c r="AW22" i="3"/>
  <c r="AV22" i="3"/>
  <c r="AU22" i="3"/>
  <c r="AT22" i="3"/>
  <c r="AS22" i="3"/>
  <c r="AR22" i="3"/>
  <c r="AQ22" i="3"/>
  <c r="AP22" i="3"/>
  <c r="E22" i="3"/>
  <c r="A22" i="3"/>
  <c r="BB21" i="3"/>
  <c r="AZ21" i="3"/>
  <c r="AY21" i="3"/>
  <c r="AX21" i="3"/>
  <c r="AW21" i="3"/>
  <c r="AV21" i="3"/>
  <c r="AU21" i="3"/>
  <c r="AT21" i="3"/>
  <c r="AS21" i="3"/>
  <c r="AR21" i="3"/>
  <c r="AQ21" i="3"/>
  <c r="AP21" i="3"/>
  <c r="E21" i="3"/>
  <c r="A21" i="3"/>
  <c r="BB20" i="3"/>
  <c r="AZ20" i="3"/>
  <c r="AY20" i="3"/>
  <c r="AX20" i="3"/>
  <c r="AW20" i="3"/>
  <c r="AV20" i="3"/>
  <c r="AU20" i="3"/>
  <c r="AT20" i="3"/>
  <c r="AS20" i="3"/>
  <c r="AR20" i="3"/>
  <c r="AQ20" i="3"/>
  <c r="AP20" i="3"/>
  <c r="E20" i="3"/>
  <c r="A20" i="3"/>
  <c r="BB19" i="3"/>
  <c r="AZ19" i="3"/>
  <c r="AY19" i="3"/>
  <c r="AX19" i="3"/>
  <c r="AW19" i="3"/>
  <c r="AV19" i="3"/>
  <c r="AU19" i="3"/>
  <c r="AT19" i="3"/>
  <c r="AS19" i="3"/>
  <c r="AR19" i="3"/>
  <c r="AQ19" i="3"/>
  <c r="AP19" i="3"/>
  <c r="E19" i="3"/>
  <c r="A19" i="3"/>
  <c r="BB18" i="3"/>
  <c r="AZ18" i="3"/>
  <c r="AY18" i="3"/>
  <c r="AX18" i="3"/>
  <c r="AW18" i="3"/>
  <c r="AV18" i="3"/>
  <c r="AU18" i="3"/>
  <c r="AT18" i="3"/>
  <c r="AS18" i="3"/>
  <c r="AR18" i="3"/>
  <c r="AQ18" i="3"/>
  <c r="AP18" i="3"/>
  <c r="E18" i="3"/>
  <c r="A18" i="3"/>
  <c r="BB17" i="3"/>
  <c r="AZ17" i="3"/>
  <c r="AY17" i="3"/>
  <c r="AX17" i="3"/>
  <c r="AW17" i="3"/>
  <c r="AV17" i="3"/>
  <c r="AU17" i="3"/>
  <c r="AT17" i="3"/>
  <c r="AS17" i="3"/>
  <c r="AR17" i="3"/>
  <c r="AQ17" i="3"/>
  <c r="AP17" i="3"/>
  <c r="E17" i="3"/>
  <c r="A17" i="3"/>
  <c r="AY16" i="3"/>
  <c r="AX16" i="3"/>
  <c r="D105" i="6" s="1"/>
  <c r="AW16" i="3"/>
  <c r="B105" i="6" s="1"/>
  <c r="AU16" i="3"/>
  <c r="E100" i="6" s="1"/>
  <c r="AT16" i="3"/>
  <c r="E99" i="6" s="1"/>
  <c r="AS16" i="3"/>
  <c r="AR16" i="3"/>
  <c r="E97" i="6" s="1"/>
  <c r="AQ16" i="3"/>
  <c r="AP16" i="3"/>
  <c r="E95" i="6" s="1"/>
  <c r="A16" i="3"/>
  <c r="E16" i="3" s="1"/>
  <c r="F92" i="6" s="1"/>
  <c r="AY15" i="3"/>
  <c r="M88" i="6" s="1"/>
  <c r="AX15" i="3"/>
  <c r="AW15" i="3"/>
  <c r="AU15" i="3"/>
  <c r="L83" i="6" s="1"/>
  <c r="AT15" i="3"/>
  <c r="L82" i="6" s="1"/>
  <c r="AS15" i="3"/>
  <c r="L81" i="6" s="1"/>
  <c r="AR15" i="3"/>
  <c r="AQ15" i="3"/>
  <c r="L79" i="6" s="1"/>
  <c r="AP15" i="3"/>
  <c r="A15" i="3"/>
  <c r="E15" i="3" s="1"/>
  <c r="M75" i="6" s="1"/>
  <c r="AY14" i="3"/>
  <c r="AX14" i="3"/>
  <c r="AW14" i="3"/>
  <c r="AU14" i="3"/>
  <c r="E83" i="6" s="1"/>
  <c r="AT14" i="3"/>
  <c r="E82" i="6" s="1"/>
  <c r="AS14" i="3"/>
  <c r="E81" i="6" s="1"/>
  <c r="AR14" i="3"/>
  <c r="AQ14" i="3"/>
  <c r="E79" i="6" s="1"/>
  <c r="AP14" i="3"/>
  <c r="E14" i="3"/>
  <c r="F75" i="6" s="1"/>
  <c r="A14" i="3"/>
  <c r="AY13" i="3"/>
  <c r="AX13" i="3"/>
  <c r="K71" i="6" s="1"/>
  <c r="AW13" i="3"/>
  <c r="I71" i="6" s="1"/>
  <c r="AU13" i="3"/>
  <c r="L66" i="6" s="1"/>
  <c r="AT13" i="3"/>
  <c r="AS13" i="3"/>
  <c r="AR13" i="3"/>
  <c r="AQ13" i="3"/>
  <c r="L62" i="6" s="1"/>
  <c r="AP13" i="3"/>
  <c r="AV13" i="3" s="1"/>
  <c r="E13" i="3"/>
  <c r="M58" i="6" s="1"/>
  <c r="A13" i="3"/>
  <c r="AY12" i="3"/>
  <c r="F71" i="6" s="1"/>
  <c r="AX12" i="3"/>
  <c r="D71" i="6" s="1"/>
  <c r="AW12" i="3"/>
  <c r="B71" i="6" s="1"/>
  <c r="AU12" i="3"/>
  <c r="E66" i="6" s="1"/>
  <c r="AT12" i="3"/>
  <c r="AS12" i="3"/>
  <c r="E64" i="6" s="1"/>
  <c r="AR12" i="3"/>
  <c r="E63" i="6" s="1"/>
  <c r="AQ12" i="3"/>
  <c r="E62" i="6" s="1"/>
  <c r="AP12" i="3"/>
  <c r="AV12" i="3" s="1"/>
  <c r="E12" i="3"/>
  <c r="A12" i="3"/>
  <c r="AY11" i="3"/>
  <c r="AX11" i="3"/>
  <c r="AW11" i="3"/>
  <c r="AU11" i="3"/>
  <c r="L49" i="6" s="1"/>
  <c r="AT11" i="3"/>
  <c r="L48" i="6" s="1"/>
  <c r="AS11" i="3"/>
  <c r="L47" i="6" s="1"/>
  <c r="AR11" i="3"/>
  <c r="L46" i="6" s="1"/>
  <c r="M48" i="6" s="1"/>
  <c r="AQ11" i="3"/>
  <c r="L45" i="6" s="1"/>
  <c r="AP11" i="3"/>
  <c r="A11" i="3"/>
  <c r="E11" i="3" s="1"/>
  <c r="M41" i="6" s="1"/>
  <c r="AY10" i="3"/>
  <c r="AX10" i="3"/>
  <c r="AW10" i="3"/>
  <c r="AU10" i="3"/>
  <c r="AT10" i="3"/>
  <c r="AS10" i="3"/>
  <c r="AR10" i="3"/>
  <c r="AQ10" i="3"/>
  <c r="E45" i="6" s="1"/>
  <c r="AP10" i="3"/>
  <c r="E44" i="6" s="1"/>
  <c r="A10" i="3"/>
  <c r="E10" i="3" s="1"/>
  <c r="F41" i="6" s="1"/>
  <c r="AY9" i="3"/>
  <c r="M37" i="6" s="1"/>
  <c r="AX9" i="3"/>
  <c r="K37" i="6" s="1"/>
  <c r="AW9" i="3"/>
  <c r="I37" i="6" s="1"/>
  <c r="AU9" i="3"/>
  <c r="AT9" i="3"/>
  <c r="AS9" i="3"/>
  <c r="L30" i="6" s="1"/>
  <c r="AR9" i="3"/>
  <c r="AV9" i="3" s="1"/>
  <c r="AQ9" i="3"/>
  <c r="L28" i="6" s="1"/>
  <c r="AP9" i="3"/>
  <c r="A9" i="3"/>
  <c r="E9" i="3" s="1"/>
  <c r="M24" i="6" s="1"/>
  <c r="AY8" i="3"/>
  <c r="F37" i="6" s="1"/>
  <c r="AX8" i="3"/>
  <c r="D37" i="6" s="1"/>
  <c r="AW8" i="3"/>
  <c r="B37" i="6" s="1"/>
  <c r="AU8" i="3"/>
  <c r="E32" i="6" s="1"/>
  <c r="AT8" i="3"/>
  <c r="E31" i="6" s="1"/>
  <c r="AS8" i="3"/>
  <c r="AR8" i="3"/>
  <c r="AQ8" i="3"/>
  <c r="AP8" i="3"/>
  <c r="A8" i="3"/>
  <c r="E8" i="3" s="1"/>
  <c r="F24" i="6" s="1"/>
  <c r="AY7" i="3"/>
  <c r="AX7" i="3"/>
  <c r="AW7" i="3"/>
  <c r="I20" i="6" s="1"/>
  <c r="AU7" i="3"/>
  <c r="L15" i="6" s="1"/>
  <c r="AT7" i="3"/>
  <c r="AS7" i="3"/>
  <c r="L13" i="6" s="1"/>
  <c r="AR7" i="3"/>
  <c r="L12" i="6" s="1"/>
  <c r="AQ7" i="3"/>
  <c r="L11" i="6" s="1"/>
  <c r="M14" i="6" s="1"/>
  <c r="AP7" i="3"/>
  <c r="A7" i="3"/>
  <c r="E7" i="3" s="1"/>
  <c r="M7" i="6" s="1"/>
  <c r="AY6" i="3"/>
  <c r="F20" i="6" s="1"/>
  <c r="AX6" i="3"/>
  <c r="AW6" i="3"/>
  <c r="AU6" i="3"/>
  <c r="AT6" i="3"/>
  <c r="AS6" i="3"/>
  <c r="AR6" i="3"/>
  <c r="AQ6" i="3"/>
  <c r="AP6" i="3"/>
  <c r="E10" i="6" s="1"/>
  <c r="E6" i="3"/>
  <c r="F7" i="6" s="1"/>
  <c r="A6" i="3"/>
  <c r="F15" i="6" l="1"/>
  <c r="F13" i="6"/>
  <c r="F12" i="6"/>
  <c r="F11" i="6"/>
  <c r="F10" i="6"/>
  <c r="F14" i="6"/>
  <c r="H245" i="7"/>
  <c r="I245" i="7"/>
  <c r="HG8" i="5"/>
  <c r="HG6" i="5"/>
  <c r="G21" i="4"/>
  <c r="C21" i="4"/>
  <c r="B21" i="4"/>
  <c r="A21" i="4"/>
  <c r="K21" i="4"/>
  <c r="J21" i="4"/>
  <c r="M21" i="4"/>
  <c r="M249" i="6"/>
  <c r="M252" i="6"/>
  <c r="M251" i="6"/>
  <c r="M253" i="6"/>
  <c r="M250" i="6"/>
  <c r="M248" i="6"/>
  <c r="K133" i="12"/>
  <c r="AZ43" i="10"/>
  <c r="L68" i="6"/>
  <c r="I145" i="12"/>
  <c r="J145" i="12"/>
  <c r="DA6" i="10"/>
  <c r="J228" i="7"/>
  <c r="FD13" i="5"/>
  <c r="I228" i="7"/>
  <c r="FD11" i="5"/>
  <c r="DC13" i="5"/>
  <c r="K167" i="7"/>
  <c r="M134" i="6"/>
  <c r="M132" i="6"/>
  <c r="M133" i="6"/>
  <c r="M129" i="6"/>
  <c r="M130" i="6"/>
  <c r="M131" i="6"/>
  <c r="A65" i="12"/>
  <c r="AZ21" i="10"/>
  <c r="F133" i="16"/>
  <c r="F134" i="16"/>
  <c r="F132" i="16"/>
  <c r="F131" i="16"/>
  <c r="F129" i="16"/>
  <c r="F130" i="16"/>
  <c r="I195" i="7"/>
  <c r="H195" i="7"/>
  <c r="F29" i="6"/>
  <c r="F32" i="6"/>
  <c r="F30" i="6"/>
  <c r="F27" i="6"/>
  <c r="F31" i="6"/>
  <c r="F28" i="6"/>
  <c r="AZ8" i="5"/>
  <c r="K14" i="7"/>
  <c r="M234" i="6"/>
  <c r="M232" i="6"/>
  <c r="M235" i="6"/>
  <c r="M233" i="6"/>
  <c r="M236" i="6"/>
  <c r="M231" i="6"/>
  <c r="DA13" i="15"/>
  <c r="J160" i="17"/>
  <c r="I160" i="17"/>
  <c r="DA11" i="15"/>
  <c r="F64" i="6"/>
  <c r="F66" i="6"/>
  <c r="F65" i="6"/>
  <c r="F62" i="6"/>
  <c r="F61" i="6"/>
  <c r="E34" i="11"/>
  <c r="AZ8" i="8"/>
  <c r="K116" i="12"/>
  <c r="AZ38" i="10"/>
  <c r="J19" i="4"/>
  <c r="M19" i="4"/>
  <c r="K19" i="4"/>
  <c r="B19" i="4"/>
  <c r="A19" i="4"/>
  <c r="G19" i="4"/>
  <c r="H146" i="7"/>
  <c r="I146" i="7"/>
  <c r="H94" i="7"/>
  <c r="I94" i="7"/>
  <c r="I232" i="7"/>
  <c r="A82" i="17"/>
  <c r="AZ26" i="15"/>
  <c r="M219" i="6"/>
  <c r="M215" i="6"/>
  <c r="M217" i="6"/>
  <c r="M218" i="6"/>
  <c r="M216" i="6"/>
  <c r="M214" i="6"/>
  <c r="L34" i="6"/>
  <c r="I231" i="7"/>
  <c r="H231" i="7"/>
  <c r="I43" i="12"/>
  <c r="H43" i="12"/>
  <c r="AX18" i="10"/>
  <c r="F334" i="11"/>
  <c r="F337" i="11"/>
  <c r="F338" i="11"/>
  <c r="F336" i="11"/>
  <c r="F333" i="11"/>
  <c r="H78" i="12"/>
  <c r="I231" i="12"/>
  <c r="G25" i="14"/>
  <c r="K25" i="14"/>
  <c r="J25" i="14"/>
  <c r="M25" i="14"/>
  <c r="C25" i="14"/>
  <c r="B25" i="14"/>
  <c r="A25" i="14"/>
  <c r="H148" i="17"/>
  <c r="I148" i="17"/>
  <c r="AX21" i="15"/>
  <c r="H130" i="17"/>
  <c r="I130" i="17"/>
  <c r="M30" i="4"/>
  <c r="C30" i="4"/>
  <c r="G36" i="4"/>
  <c r="I161" i="7"/>
  <c r="H161" i="7"/>
  <c r="HG11" i="5"/>
  <c r="HI11" i="5" s="1"/>
  <c r="F439" i="6"/>
  <c r="M523" i="6"/>
  <c r="M522" i="6"/>
  <c r="M525" i="6"/>
  <c r="M521" i="6"/>
  <c r="M520" i="6"/>
  <c r="H130" i="7"/>
  <c r="A17" i="9"/>
  <c r="C17" i="9"/>
  <c r="B17" i="9"/>
  <c r="M25" i="9"/>
  <c r="C25" i="9"/>
  <c r="B25" i="9"/>
  <c r="K25" i="9"/>
  <c r="G27" i="9"/>
  <c r="A27" i="9"/>
  <c r="K27" i="9"/>
  <c r="H264" i="12"/>
  <c r="I26" i="12"/>
  <c r="H26" i="12"/>
  <c r="I264" i="12"/>
  <c r="H77" i="12"/>
  <c r="I77" i="12"/>
  <c r="M420" i="11"/>
  <c r="M422" i="11"/>
  <c r="M423" i="11"/>
  <c r="M421" i="11"/>
  <c r="M419" i="11"/>
  <c r="H41" i="17"/>
  <c r="AX16" i="15"/>
  <c r="I41" i="17"/>
  <c r="G28" i="14"/>
  <c r="J28" i="14"/>
  <c r="C28" i="14"/>
  <c r="B28" i="14"/>
  <c r="M28" i="14"/>
  <c r="K28" i="14"/>
  <c r="A28" i="14"/>
  <c r="I129" i="7"/>
  <c r="H129" i="7"/>
  <c r="M27" i="6"/>
  <c r="L61" i="6"/>
  <c r="I262" i="12"/>
  <c r="H262" i="12"/>
  <c r="AX11" i="10"/>
  <c r="H24" i="12"/>
  <c r="I24" i="12"/>
  <c r="I129" i="17"/>
  <c r="F133" i="11"/>
  <c r="F132" i="11"/>
  <c r="F130" i="11"/>
  <c r="F131" i="11"/>
  <c r="F129" i="11"/>
  <c r="I109" i="17"/>
  <c r="AX36" i="15"/>
  <c r="J263" i="12"/>
  <c r="J25" i="12"/>
  <c r="M490" i="11"/>
  <c r="M491" i="11"/>
  <c r="M489" i="11"/>
  <c r="M487" i="11"/>
  <c r="M474" i="11"/>
  <c r="M470" i="11"/>
  <c r="M472" i="11"/>
  <c r="M486" i="11"/>
  <c r="I265" i="17"/>
  <c r="H265" i="17"/>
  <c r="I27" i="17"/>
  <c r="H27" i="17"/>
  <c r="DA6" i="5"/>
  <c r="I127" i="7"/>
  <c r="H127" i="7"/>
  <c r="M99" i="6"/>
  <c r="M100" i="6"/>
  <c r="M96" i="6"/>
  <c r="M98" i="6"/>
  <c r="H247" i="7"/>
  <c r="H46" i="12"/>
  <c r="I46" i="12"/>
  <c r="M471" i="11"/>
  <c r="J63" i="17"/>
  <c r="I63" i="17"/>
  <c r="I42" i="7"/>
  <c r="M29" i="6"/>
  <c r="M97" i="6"/>
  <c r="AV9" i="8"/>
  <c r="J28" i="12"/>
  <c r="J266" i="12"/>
  <c r="F117" i="11"/>
  <c r="F116" i="11"/>
  <c r="F114" i="11"/>
  <c r="F112" i="11"/>
  <c r="M473" i="11"/>
  <c r="HI6" i="15"/>
  <c r="AX23" i="15"/>
  <c r="I249" i="7"/>
  <c r="H249" i="7"/>
  <c r="AX13" i="5"/>
  <c r="F452" i="6"/>
  <c r="M44" i="11"/>
  <c r="M49" i="11"/>
  <c r="M47" i="11"/>
  <c r="M45" i="11"/>
  <c r="H263" i="12"/>
  <c r="H25" i="12"/>
  <c r="I263" i="12"/>
  <c r="I25" i="12"/>
  <c r="AX13" i="10"/>
  <c r="M22" i="4"/>
  <c r="G22" i="4"/>
  <c r="C22" i="4"/>
  <c r="M32" i="4"/>
  <c r="K32" i="4"/>
  <c r="G32" i="4"/>
  <c r="A32" i="4"/>
  <c r="H162" i="7"/>
  <c r="I162" i="7"/>
  <c r="H58" i="7"/>
  <c r="AX21" i="5"/>
  <c r="AZ41" i="5"/>
  <c r="I266" i="7"/>
  <c r="A14" i="9"/>
  <c r="M14" i="9"/>
  <c r="K14" i="9"/>
  <c r="J14" i="9"/>
  <c r="G14" i="9"/>
  <c r="B14" i="9"/>
  <c r="G21" i="9"/>
  <c r="M21" i="9"/>
  <c r="J21" i="9"/>
  <c r="H27" i="12"/>
  <c r="H265" i="12"/>
  <c r="I265" i="12"/>
  <c r="I42" i="17"/>
  <c r="H42" i="17"/>
  <c r="I7" i="7"/>
  <c r="H7" i="7"/>
  <c r="AX6" i="5"/>
  <c r="H114" i="7"/>
  <c r="FD6" i="15"/>
  <c r="H211" i="17"/>
  <c r="J36" i="4"/>
  <c r="AZ28" i="5"/>
  <c r="F389" i="6"/>
  <c r="F388" i="6"/>
  <c r="F387" i="6"/>
  <c r="F385" i="6"/>
  <c r="F386" i="6"/>
  <c r="I126" i="7"/>
  <c r="M14" i="11"/>
  <c r="M15" i="11"/>
  <c r="DA18" i="10"/>
  <c r="I28" i="12"/>
  <c r="K29" i="14"/>
  <c r="J29" i="14"/>
  <c r="G29" i="14"/>
  <c r="A29" i="14"/>
  <c r="I212" i="17"/>
  <c r="H212" i="17"/>
  <c r="J28" i="4"/>
  <c r="J32" i="4"/>
  <c r="F299" i="6"/>
  <c r="M421" i="6"/>
  <c r="M420" i="6"/>
  <c r="M422" i="6"/>
  <c r="M418" i="6"/>
  <c r="F487" i="6"/>
  <c r="M19" i="9"/>
  <c r="J19" i="9"/>
  <c r="J23" i="9"/>
  <c r="H213" i="12"/>
  <c r="I213" i="12"/>
  <c r="F10" i="11"/>
  <c r="F286" i="11"/>
  <c r="F285" i="11"/>
  <c r="F284" i="11"/>
  <c r="F282" i="11"/>
  <c r="F283" i="11"/>
  <c r="AV8" i="13"/>
  <c r="E27" i="16"/>
  <c r="I94" i="17"/>
  <c r="H94" i="17"/>
  <c r="AV16" i="3"/>
  <c r="K28" i="4"/>
  <c r="M47" i="6"/>
  <c r="M45" i="6"/>
  <c r="M46" i="6"/>
  <c r="M44" i="6"/>
  <c r="F266" i="6"/>
  <c r="F268" i="6"/>
  <c r="F284" i="6"/>
  <c r="F285" i="6"/>
  <c r="F283" i="6"/>
  <c r="F286" i="6"/>
  <c r="E51" i="11"/>
  <c r="AZ10" i="8"/>
  <c r="J76" i="12"/>
  <c r="I76" i="12"/>
  <c r="AX26" i="10"/>
  <c r="J93" i="12"/>
  <c r="I93" i="12"/>
  <c r="F369" i="11"/>
  <c r="F367" i="11"/>
  <c r="F372" i="11"/>
  <c r="F368" i="11"/>
  <c r="M401" i="11"/>
  <c r="M406" i="11"/>
  <c r="M404" i="11"/>
  <c r="M402" i="11"/>
  <c r="I61" i="12"/>
  <c r="J263" i="17"/>
  <c r="J25" i="17"/>
  <c r="I263" i="17"/>
  <c r="M218" i="16"/>
  <c r="M216" i="16"/>
  <c r="M214" i="16"/>
  <c r="AV15" i="3"/>
  <c r="J22" i="4"/>
  <c r="AX33" i="5"/>
  <c r="F163" i="6"/>
  <c r="F249" i="6"/>
  <c r="F253" i="6"/>
  <c r="F251" i="6"/>
  <c r="F282" i="6"/>
  <c r="F301" i="6"/>
  <c r="I177" i="7"/>
  <c r="F134" i="11"/>
  <c r="I215" i="17"/>
  <c r="H215" i="17"/>
  <c r="I199" i="17"/>
  <c r="H199" i="17"/>
  <c r="AV6" i="3"/>
  <c r="AZ12" i="3" s="1"/>
  <c r="K22" i="4"/>
  <c r="K30" i="4"/>
  <c r="H12" i="7"/>
  <c r="I12" i="7"/>
  <c r="J213" i="7"/>
  <c r="I213" i="7"/>
  <c r="H179" i="7"/>
  <c r="I179" i="7"/>
  <c r="L78" i="6"/>
  <c r="F131" i="6"/>
  <c r="F129" i="6"/>
  <c r="F134" i="6"/>
  <c r="F132" i="6"/>
  <c r="F130" i="6"/>
  <c r="F167" i="6"/>
  <c r="F248" i="6"/>
  <c r="F267" i="6"/>
  <c r="I28" i="7"/>
  <c r="I60" i="7"/>
  <c r="J97" i="7"/>
  <c r="H197" i="7"/>
  <c r="I233" i="7"/>
  <c r="K17" i="9"/>
  <c r="G19" i="9"/>
  <c r="M12" i="11"/>
  <c r="F113" i="11"/>
  <c r="F115" i="11"/>
  <c r="I27" i="12"/>
  <c r="H229" i="12"/>
  <c r="I178" i="17"/>
  <c r="DA16" i="15"/>
  <c r="H178" i="17"/>
  <c r="DA18" i="15"/>
  <c r="DA21" i="15"/>
  <c r="M23" i="4"/>
  <c r="K23" i="4"/>
  <c r="C23" i="4"/>
  <c r="B23" i="4"/>
  <c r="A23" i="4"/>
  <c r="C31" i="4"/>
  <c r="B31" i="4"/>
  <c r="A31" i="4"/>
  <c r="A35" i="4"/>
  <c r="HG13" i="5"/>
  <c r="HI13" i="5" s="1"/>
  <c r="F133" i="6"/>
  <c r="F252" i="6"/>
  <c r="F436" i="6"/>
  <c r="J24" i="7"/>
  <c r="J28" i="7"/>
  <c r="AV7" i="8"/>
  <c r="M17" i="9"/>
  <c r="AX6" i="10"/>
  <c r="I96" i="12"/>
  <c r="J96" i="12"/>
  <c r="E27" i="11"/>
  <c r="M79" i="11"/>
  <c r="M83" i="11"/>
  <c r="M82" i="11"/>
  <c r="M78" i="11"/>
  <c r="M80" i="11"/>
  <c r="M81" i="11"/>
  <c r="J27" i="12"/>
  <c r="H147" i="12"/>
  <c r="H230" i="17"/>
  <c r="I230" i="17"/>
  <c r="FF13" i="15"/>
  <c r="I25" i="17"/>
  <c r="I196" i="7"/>
  <c r="H196" i="7"/>
  <c r="M334" i="6"/>
  <c r="M338" i="6"/>
  <c r="M336" i="6"/>
  <c r="M335" i="6"/>
  <c r="M333" i="6"/>
  <c r="F488" i="6"/>
  <c r="F490" i="6"/>
  <c r="K184" i="7"/>
  <c r="I249" i="12"/>
  <c r="H249" i="12"/>
  <c r="F354" i="11"/>
  <c r="F352" i="11"/>
  <c r="F351" i="11"/>
  <c r="F353" i="11"/>
  <c r="F355" i="11"/>
  <c r="J232" i="12"/>
  <c r="A24" i="14"/>
  <c r="G24" i="14"/>
  <c r="B24" i="14"/>
  <c r="C24" i="14"/>
  <c r="M24" i="14"/>
  <c r="K24" i="14"/>
  <c r="J24" i="14"/>
  <c r="F44" i="16"/>
  <c r="F49" i="16"/>
  <c r="F48" i="16"/>
  <c r="F46" i="16"/>
  <c r="F45" i="16"/>
  <c r="F47" i="16"/>
  <c r="F49" i="6"/>
  <c r="F47" i="6"/>
  <c r="H148" i="7"/>
  <c r="I148" i="7"/>
  <c r="I246" i="7"/>
  <c r="H246" i="7"/>
  <c r="DA23" i="5"/>
  <c r="F486" i="6"/>
  <c r="I250" i="12"/>
  <c r="H250" i="12"/>
  <c r="H195" i="12"/>
  <c r="I195" i="12"/>
  <c r="DA21" i="10"/>
  <c r="M488" i="11"/>
  <c r="HG6" i="10"/>
  <c r="FD13" i="10"/>
  <c r="M455" i="11"/>
  <c r="M452" i="11"/>
  <c r="M457" i="11"/>
  <c r="M453" i="11"/>
  <c r="I266" i="17"/>
  <c r="H266" i="17"/>
  <c r="I28" i="17"/>
  <c r="J41" i="17"/>
  <c r="AX18" i="15"/>
  <c r="F232" i="16"/>
  <c r="F234" i="16"/>
  <c r="F231" i="16"/>
  <c r="F235" i="16"/>
  <c r="F233" i="16"/>
  <c r="F236" i="16"/>
  <c r="AX36" i="5"/>
  <c r="F48" i="6"/>
  <c r="M95" i="6"/>
  <c r="F454" i="6"/>
  <c r="F455" i="6"/>
  <c r="F453" i="6"/>
  <c r="F456" i="6"/>
  <c r="F472" i="6"/>
  <c r="F473" i="6"/>
  <c r="F471" i="6"/>
  <c r="F469" i="6"/>
  <c r="M454" i="11"/>
  <c r="I267" i="17"/>
  <c r="H267" i="17"/>
  <c r="H29" i="17"/>
  <c r="I29" i="17"/>
  <c r="AX43" i="15"/>
  <c r="AX41" i="15"/>
  <c r="H109" i="17"/>
  <c r="A28" i="4"/>
  <c r="B28" i="4"/>
  <c r="I148" i="12"/>
  <c r="H148" i="12"/>
  <c r="J29" i="12"/>
  <c r="I29" i="12"/>
  <c r="I267" i="12"/>
  <c r="M456" i="11"/>
  <c r="I147" i="17"/>
  <c r="H147" i="17"/>
  <c r="F96" i="6"/>
  <c r="F100" i="6"/>
  <c r="F98" i="6"/>
  <c r="K24" i="4"/>
  <c r="J24" i="4"/>
  <c r="G24" i="4"/>
  <c r="C24" i="4"/>
  <c r="I250" i="7"/>
  <c r="H250" i="7"/>
  <c r="H160" i="7"/>
  <c r="I160" i="7"/>
  <c r="I44" i="7"/>
  <c r="H44" i="7"/>
  <c r="F46" i="6"/>
  <c r="F437" i="6"/>
  <c r="F440" i="6"/>
  <c r="F435" i="6"/>
  <c r="A23" i="9"/>
  <c r="C23" i="9"/>
  <c r="G23" i="9"/>
  <c r="A29" i="9"/>
  <c r="M29" i="9"/>
  <c r="J29" i="9"/>
  <c r="H179" i="12"/>
  <c r="DA16" i="10"/>
  <c r="AV7" i="3"/>
  <c r="AV10" i="3"/>
  <c r="G28" i="4"/>
  <c r="J46" i="7"/>
  <c r="I46" i="7"/>
  <c r="F44" i="6"/>
  <c r="H199" i="7"/>
  <c r="FD8" i="15"/>
  <c r="H128" i="17"/>
  <c r="M24" i="4"/>
  <c r="I211" i="7"/>
  <c r="FD6" i="5"/>
  <c r="AX18" i="5"/>
  <c r="F83" i="6"/>
  <c r="F79" i="6"/>
  <c r="F82" i="6"/>
  <c r="F402" i="6"/>
  <c r="F403" i="6"/>
  <c r="F406" i="6"/>
  <c r="F404" i="6"/>
  <c r="F405" i="6"/>
  <c r="I41" i="7"/>
  <c r="H126" i="7"/>
  <c r="DA11" i="10"/>
  <c r="DA13" i="10"/>
  <c r="J59" i="12"/>
  <c r="AX23" i="10"/>
  <c r="F321" i="11"/>
  <c r="F318" i="11"/>
  <c r="F320" i="11"/>
  <c r="F319" i="11"/>
  <c r="F317" i="11"/>
  <c r="I164" i="17"/>
  <c r="H164" i="17"/>
  <c r="I128" i="17"/>
  <c r="I8" i="7"/>
  <c r="H8" i="7"/>
  <c r="F78" i="6"/>
  <c r="F401" i="6"/>
  <c r="J29" i="7"/>
  <c r="I230" i="7"/>
  <c r="FD8" i="10"/>
  <c r="AZ41" i="10"/>
  <c r="F316" i="11"/>
  <c r="J160" i="12"/>
  <c r="E68" i="6"/>
  <c r="K36" i="4"/>
  <c r="I75" i="7"/>
  <c r="H75" i="7"/>
  <c r="M32" i="6"/>
  <c r="F384" i="6"/>
  <c r="H198" i="7"/>
  <c r="K29" i="9"/>
  <c r="G36" i="9"/>
  <c r="C36" i="9"/>
  <c r="A36" i="9"/>
  <c r="J36" i="9"/>
  <c r="K36" i="9"/>
  <c r="J262" i="17"/>
  <c r="I262" i="17"/>
  <c r="AX13" i="15"/>
  <c r="J24" i="17"/>
  <c r="AX11" i="15"/>
  <c r="I24" i="17"/>
  <c r="F420" i="16"/>
  <c r="F421" i="16"/>
  <c r="F419" i="16"/>
  <c r="F418" i="16"/>
  <c r="F423" i="16"/>
  <c r="I62" i="17"/>
  <c r="I93" i="17"/>
  <c r="I211" i="17"/>
  <c r="M36" i="4"/>
  <c r="DA11" i="5"/>
  <c r="I76" i="7"/>
  <c r="H76" i="7"/>
  <c r="M30" i="6"/>
  <c r="F149" i="6"/>
  <c r="F147" i="6"/>
  <c r="F184" i="6"/>
  <c r="F182" i="6"/>
  <c r="F474" i="6"/>
  <c r="F489" i="6"/>
  <c r="H177" i="7"/>
  <c r="I265" i="7"/>
  <c r="G15" i="9"/>
  <c r="B15" i="9"/>
  <c r="C15" i="9"/>
  <c r="A15" i="9"/>
  <c r="J15" i="9"/>
  <c r="K23" i="9"/>
  <c r="M403" i="11"/>
  <c r="I178" i="7"/>
  <c r="H178" i="7"/>
  <c r="M12" i="6"/>
  <c r="M13" i="6"/>
  <c r="M11" i="6"/>
  <c r="F116" i="6"/>
  <c r="F117" i="6"/>
  <c r="F115" i="6"/>
  <c r="F148" i="6"/>
  <c r="F265" i="6"/>
  <c r="F367" i="6"/>
  <c r="F372" i="6"/>
  <c r="F369" i="6"/>
  <c r="F371" i="6"/>
  <c r="J265" i="7"/>
  <c r="K21" i="9"/>
  <c r="I161" i="12"/>
  <c r="H161" i="12"/>
  <c r="G16" i="14"/>
  <c r="A16" i="14"/>
  <c r="J16" i="14"/>
  <c r="C16" i="14"/>
  <c r="B16" i="14"/>
  <c r="M16" i="14"/>
  <c r="M29" i="14"/>
  <c r="K82" i="17"/>
  <c r="AZ28" i="15"/>
  <c r="I43" i="17"/>
  <c r="H262" i="7"/>
  <c r="AX11" i="5"/>
  <c r="AX23" i="5"/>
  <c r="M10" i="6"/>
  <c r="F112" i="6"/>
  <c r="F150" i="6"/>
  <c r="F165" i="6"/>
  <c r="F250" i="6"/>
  <c r="F269" i="6"/>
  <c r="M403" i="6"/>
  <c r="M401" i="6"/>
  <c r="F470" i="6"/>
  <c r="AV8" i="3"/>
  <c r="AV11" i="3"/>
  <c r="M17" i="4"/>
  <c r="K17" i="4"/>
  <c r="A17" i="4"/>
  <c r="M27" i="4"/>
  <c r="K27" i="4"/>
  <c r="J27" i="4"/>
  <c r="H144" i="7"/>
  <c r="I144" i="7"/>
  <c r="I264" i="7"/>
  <c r="I26" i="7"/>
  <c r="H80" i="7"/>
  <c r="I80" i="7"/>
  <c r="AX31" i="5"/>
  <c r="H92" i="7"/>
  <c r="AX43" i="5"/>
  <c r="F45" i="6"/>
  <c r="F114" i="6"/>
  <c r="I92" i="7"/>
  <c r="A184" i="7"/>
  <c r="K19" i="9"/>
  <c r="J143" i="12"/>
  <c r="DA8" i="10"/>
  <c r="AX16" i="10"/>
  <c r="I41" i="12"/>
  <c r="H41" i="12"/>
  <c r="M372" i="11"/>
  <c r="M370" i="11"/>
  <c r="M369" i="11"/>
  <c r="M367" i="11"/>
  <c r="M368" i="11"/>
  <c r="K16" i="14"/>
  <c r="I231" i="17"/>
  <c r="H231" i="17"/>
  <c r="I79" i="17"/>
  <c r="H79" i="17"/>
  <c r="F15" i="11"/>
  <c r="F11" i="11"/>
  <c r="F13" i="11"/>
  <c r="M35" i="4"/>
  <c r="K35" i="4"/>
  <c r="J35" i="4"/>
  <c r="G35" i="4"/>
  <c r="C35" i="4"/>
  <c r="I145" i="7"/>
  <c r="H194" i="7"/>
  <c r="I194" i="7"/>
  <c r="DA21" i="5"/>
  <c r="AX26" i="5"/>
  <c r="H93" i="7"/>
  <c r="I93" i="7"/>
  <c r="M49" i="6"/>
  <c r="F81" i="6"/>
  <c r="F95" i="6"/>
  <c r="F97" i="6"/>
  <c r="F99" i="6"/>
  <c r="M147" i="6"/>
  <c r="M150" i="6"/>
  <c r="M269" i="6"/>
  <c r="M267" i="6"/>
  <c r="M284" i="6"/>
  <c r="M282" i="6"/>
  <c r="M286" i="6"/>
  <c r="M371" i="6"/>
  <c r="M370" i="6"/>
  <c r="M368" i="6"/>
  <c r="M367" i="6"/>
  <c r="M369" i="6"/>
  <c r="K15" i="9"/>
  <c r="AX33" i="10"/>
  <c r="I113" i="12"/>
  <c r="H162" i="12"/>
  <c r="L10" i="16"/>
  <c r="AV7" i="13"/>
  <c r="DA8" i="15"/>
  <c r="H232" i="17"/>
  <c r="I232" i="17"/>
  <c r="I80" i="17"/>
  <c r="H80" i="17"/>
  <c r="F252" i="16"/>
  <c r="F250" i="16"/>
  <c r="F248" i="16"/>
  <c r="F251" i="16"/>
  <c r="H28" i="17"/>
  <c r="J146" i="17"/>
  <c r="HG11" i="10"/>
  <c r="HI11" i="10" s="1"/>
  <c r="F49" i="11"/>
  <c r="F48" i="11"/>
  <c r="F46" i="11"/>
  <c r="F44" i="11"/>
  <c r="B14" i="14"/>
  <c r="A14" i="14"/>
  <c r="J14" i="14"/>
  <c r="G14" i="14"/>
  <c r="K14" i="14"/>
  <c r="A21" i="14"/>
  <c r="C21" i="14"/>
  <c r="B21" i="14"/>
  <c r="M21" i="14"/>
  <c r="G21" i="14"/>
  <c r="K21" i="14"/>
  <c r="J21" i="14"/>
  <c r="J264" i="17"/>
  <c r="J26" i="17"/>
  <c r="H46" i="17"/>
  <c r="I46" i="17"/>
  <c r="J179" i="17"/>
  <c r="I179" i="17"/>
  <c r="H131" i="17"/>
  <c r="I131" i="17"/>
  <c r="M20" i="4"/>
  <c r="K20" i="4"/>
  <c r="A20" i="4"/>
  <c r="I143" i="7"/>
  <c r="DA8" i="5"/>
  <c r="FD8" i="5"/>
  <c r="I165" i="7"/>
  <c r="H165" i="7"/>
  <c r="H12" i="12"/>
  <c r="I12" i="12"/>
  <c r="H92" i="12"/>
  <c r="AX31" i="10"/>
  <c r="I92" i="12"/>
  <c r="H110" i="12"/>
  <c r="I110" i="12"/>
  <c r="G10" i="14"/>
  <c r="J10" i="14"/>
  <c r="B10" i="14"/>
  <c r="A10" i="14"/>
  <c r="I229" i="17"/>
  <c r="H229" i="17"/>
  <c r="I198" i="17"/>
  <c r="J198" i="17"/>
  <c r="AX31" i="15"/>
  <c r="H147" i="7"/>
  <c r="I147" i="7"/>
  <c r="I263" i="7"/>
  <c r="I25" i="7"/>
  <c r="H263" i="7"/>
  <c r="H25" i="7"/>
  <c r="H59" i="7"/>
  <c r="I59" i="7"/>
  <c r="I128" i="7"/>
  <c r="F181" i="11"/>
  <c r="F185" i="11"/>
  <c r="F184" i="11"/>
  <c r="F182" i="11"/>
  <c r="F180" i="11"/>
  <c r="M14" i="14"/>
  <c r="I250" i="17"/>
  <c r="H250" i="17"/>
  <c r="I96" i="17"/>
  <c r="F337" i="16"/>
  <c r="F338" i="16"/>
  <c r="F336" i="16"/>
  <c r="F334" i="16"/>
  <c r="F350" i="16"/>
  <c r="F352" i="16"/>
  <c r="F355" i="16"/>
  <c r="F353" i="16"/>
  <c r="F351" i="16"/>
  <c r="M368" i="16"/>
  <c r="M371" i="16"/>
  <c r="M369" i="16"/>
  <c r="M367" i="16"/>
  <c r="M372" i="16"/>
  <c r="M370" i="16"/>
  <c r="F503" i="16"/>
  <c r="F508" i="16"/>
  <c r="F506" i="16"/>
  <c r="F504" i="16"/>
  <c r="F505" i="16"/>
  <c r="F507" i="16"/>
  <c r="M22" i="9"/>
  <c r="G22" i="9"/>
  <c r="C22" i="9"/>
  <c r="AX8" i="10"/>
  <c r="I7" i="12"/>
  <c r="I79" i="12"/>
  <c r="H79" i="12"/>
  <c r="M219" i="11"/>
  <c r="M214" i="11"/>
  <c r="M232" i="11"/>
  <c r="M231" i="11"/>
  <c r="M236" i="11"/>
  <c r="AV14" i="3"/>
  <c r="F507" i="6"/>
  <c r="F505" i="6"/>
  <c r="I80" i="12"/>
  <c r="H80" i="12"/>
  <c r="H194" i="17"/>
  <c r="I194" i="17"/>
  <c r="I214" i="7"/>
  <c r="I29" i="7"/>
  <c r="H29" i="7"/>
  <c r="I267" i="7"/>
  <c r="H62" i="7"/>
  <c r="I62" i="7"/>
  <c r="F197" i="6"/>
  <c r="F333" i="6"/>
  <c r="M437" i="6"/>
  <c r="F503" i="6"/>
  <c r="B12" i="9"/>
  <c r="I165" i="12"/>
  <c r="H165" i="12"/>
  <c r="H182" i="12"/>
  <c r="I182" i="12"/>
  <c r="I95" i="12"/>
  <c r="I128" i="12"/>
  <c r="M218" i="11"/>
  <c r="M235" i="11"/>
  <c r="A27" i="14"/>
  <c r="C27" i="14"/>
  <c r="B27" i="14"/>
  <c r="M27" i="14"/>
  <c r="K27" i="14"/>
  <c r="J27" i="14"/>
  <c r="G27" i="14"/>
  <c r="I11" i="17"/>
  <c r="H11" i="17"/>
  <c r="I195" i="17"/>
  <c r="H195" i="17"/>
  <c r="AX33" i="15"/>
  <c r="F98" i="16"/>
  <c r="F96" i="16"/>
  <c r="F100" i="16"/>
  <c r="F99" i="16"/>
  <c r="F97" i="16"/>
  <c r="F95" i="16"/>
  <c r="M116" i="16"/>
  <c r="M114" i="16"/>
  <c r="A32" i="9"/>
  <c r="M32" i="9"/>
  <c r="J32" i="9"/>
  <c r="C32" i="9"/>
  <c r="M350" i="11"/>
  <c r="M354" i="11"/>
  <c r="M352" i="11"/>
  <c r="M355" i="11"/>
  <c r="M353" i="11"/>
  <c r="M351" i="11"/>
  <c r="I182" i="7"/>
  <c r="H182" i="7"/>
  <c r="M216" i="11"/>
  <c r="M233" i="11"/>
  <c r="M302" i="11"/>
  <c r="M304" i="11"/>
  <c r="M26" i="4"/>
  <c r="K26" i="4"/>
  <c r="AX16" i="5"/>
  <c r="AX38" i="5"/>
  <c r="M165" i="6"/>
  <c r="F335" i="6"/>
  <c r="F354" i="6"/>
  <c r="F351" i="6"/>
  <c r="M472" i="6"/>
  <c r="M473" i="6"/>
  <c r="M471" i="6"/>
  <c r="F542" i="6"/>
  <c r="F541" i="6"/>
  <c r="M16" i="9"/>
  <c r="G16" i="9"/>
  <c r="J16" i="9"/>
  <c r="K16" i="9"/>
  <c r="G32" i="9"/>
  <c r="I10" i="12"/>
  <c r="H10" i="12"/>
  <c r="I211" i="12"/>
  <c r="FD6" i="10"/>
  <c r="I129" i="12"/>
  <c r="M31" i="11"/>
  <c r="M30" i="11"/>
  <c r="M28" i="11"/>
  <c r="F63" i="11"/>
  <c r="F65" i="11"/>
  <c r="F61" i="11"/>
  <c r="M184" i="11"/>
  <c r="M180" i="11"/>
  <c r="M182" i="11"/>
  <c r="M320" i="11"/>
  <c r="M317" i="11"/>
  <c r="M538" i="11"/>
  <c r="M541" i="11"/>
  <c r="M542" i="11"/>
  <c r="M540" i="11"/>
  <c r="M539" i="11"/>
  <c r="I196" i="17"/>
  <c r="A20" i="9"/>
  <c r="C20" i="9"/>
  <c r="B20" i="9"/>
  <c r="J20" i="9"/>
  <c r="M34" i="9"/>
  <c r="G34" i="9"/>
  <c r="M267" i="11"/>
  <c r="M266" i="11"/>
  <c r="M268" i="11"/>
  <c r="M29" i="4"/>
  <c r="K29" i="4"/>
  <c r="M163" i="6"/>
  <c r="M265" i="11"/>
  <c r="G29" i="4"/>
  <c r="I229" i="7"/>
  <c r="H229" i="7"/>
  <c r="I111" i="7"/>
  <c r="F199" i="6"/>
  <c r="F214" i="6"/>
  <c r="F216" i="6"/>
  <c r="M439" i="6"/>
  <c r="G12" i="9"/>
  <c r="K12" i="9"/>
  <c r="FD11" i="10"/>
  <c r="I194" i="12"/>
  <c r="H194" i="12"/>
  <c r="I97" i="12"/>
  <c r="H97" i="12"/>
  <c r="H130" i="12"/>
  <c r="I130" i="12"/>
  <c r="M301" i="11"/>
  <c r="M337" i="11"/>
  <c r="M333" i="11"/>
  <c r="M335" i="11"/>
  <c r="M334" i="11"/>
  <c r="I143" i="17"/>
  <c r="DA6" i="15"/>
  <c r="H143" i="17"/>
  <c r="I197" i="17"/>
  <c r="H197" i="17"/>
  <c r="DA23" i="15"/>
  <c r="J194" i="17"/>
  <c r="F219" i="16"/>
  <c r="F215" i="16"/>
  <c r="F217" i="16"/>
  <c r="F218" i="16"/>
  <c r="F216" i="16"/>
  <c r="F214" i="16"/>
  <c r="F372" i="16"/>
  <c r="F370" i="16"/>
  <c r="F368" i="16"/>
  <c r="F369" i="16"/>
  <c r="M388" i="16"/>
  <c r="M386" i="16"/>
  <c r="M389" i="16"/>
  <c r="M387" i="16"/>
  <c r="M385" i="16"/>
  <c r="M303" i="11"/>
  <c r="M503" i="11"/>
  <c r="M508" i="11"/>
  <c r="H8" i="12"/>
  <c r="I163" i="17"/>
  <c r="H163" i="17"/>
  <c r="HG11" i="15"/>
  <c r="H10" i="17"/>
  <c r="G33" i="9"/>
  <c r="M33" i="9"/>
  <c r="J33" i="9"/>
  <c r="A35" i="9"/>
  <c r="G35" i="9"/>
  <c r="J196" i="12"/>
  <c r="I196" i="12"/>
  <c r="M13" i="11"/>
  <c r="M11" i="11"/>
  <c r="F251" i="11"/>
  <c r="F250" i="11"/>
  <c r="F248" i="11"/>
  <c r="F66" i="16"/>
  <c r="F65" i="16"/>
  <c r="F64" i="16"/>
  <c r="F62" i="16"/>
  <c r="F79" i="16"/>
  <c r="F80" i="16"/>
  <c r="F78" i="16"/>
  <c r="F83" i="16"/>
  <c r="F81" i="16"/>
  <c r="M96" i="16"/>
  <c r="M98" i="16"/>
  <c r="M97" i="16"/>
  <c r="H247" i="17"/>
  <c r="F287" i="16"/>
  <c r="F286" i="16"/>
  <c r="F284" i="16"/>
  <c r="F282" i="16"/>
  <c r="HG13" i="10"/>
  <c r="HI13" i="10" s="1"/>
  <c r="G17" i="14"/>
  <c r="J17" i="14"/>
  <c r="I144" i="17"/>
  <c r="H144" i="17"/>
  <c r="HG8" i="15"/>
  <c r="J263" i="7"/>
  <c r="J25" i="7"/>
  <c r="A11" i="9"/>
  <c r="J11" i="9"/>
  <c r="G11" i="9"/>
  <c r="G24" i="9"/>
  <c r="J24" i="9"/>
  <c r="A26" i="9"/>
  <c r="K26" i="9"/>
  <c r="J26" i="9"/>
  <c r="I144" i="12"/>
  <c r="H144" i="12"/>
  <c r="I245" i="12"/>
  <c r="H245" i="12"/>
  <c r="HG8" i="10"/>
  <c r="I59" i="12"/>
  <c r="H59" i="12"/>
  <c r="I127" i="12"/>
  <c r="H127" i="12"/>
  <c r="M65" i="11"/>
  <c r="M95" i="11"/>
  <c r="F167" i="11"/>
  <c r="F201" i="11"/>
  <c r="F419" i="11"/>
  <c r="F420" i="11"/>
  <c r="F418" i="11"/>
  <c r="F503" i="11"/>
  <c r="F538" i="11"/>
  <c r="F542" i="11"/>
  <c r="F540" i="11"/>
  <c r="E10" i="16"/>
  <c r="AV6" i="13"/>
  <c r="C26" i="14"/>
  <c r="B26" i="14"/>
  <c r="M97" i="11"/>
  <c r="M100" i="11"/>
  <c r="M98" i="11"/>
  <c r="M96" i="11"/>
  <c r="I96" i="7"/>
  <c r="M28" i="9"/>
  <c r="A28" i="9"/>
  <c r="G28" i="9"/>
  <c r="H60" i="12"/>
  <c r="I60" i="12"/>
  <c r="M149" i="11"/>
  <c r="M151" i="11"/>
  <c r="M148" i="11"/>
  <c r="F404" i="11"/>
  <c r="F406" i="11"/>
  <c r="F405" i="11"/>
  <c r="F403" i="11"/>
  <c r="F422" i="11"/>
  <c r="F474" i="11"/>
  <c r="F471" i="11"/>
  <c r="F469" i="11"/>
  <c r="F505" i="11"/>
  <c r="F522" i="11"/>
  <c r="F523" i="11"/>
  <c r="F521" i="11"/>
  <c r="F525" i="11"/>
  <c r="F537" i="11"/>
  <c r="F539" i="11"/>
  <c r="I161" i="17"/>
  <c r="I78" i="17"/>
  <c r="H78" i="17"/>
  <c r="M83" i="16"/>
  <c r="M81" i="16"/>
  <c r="M79" i="16"/>
  <c r="M80" i="16"/>
  <c r="M82" i="16"/>
  <c r="F149" i="16"/>
  <c r="F150" i="16"/>
  <c r="F148" i="16"/>
  <c r="F151" i="16"/>
  <c r="F147" i="16"/>
  <c r="F197" i="16"/>
  <c r="F202" i="16"/>
  <c r="F200" i="16"/>
  <c r="F198" i="16"/>
  <c r="F201" i="16"/>
  <c r="F199" i="16"/>
  <c r="M46" i="16"/>
  <c r="M47" i="16"/>
  <c r="M45" i="16"/>
  <c r="M78" i="16"/>
  <c r="F146" i="16"/>
  <c r="I58" i="17"/>
  <c r="G18" i="9"/>
  <c r="C18" i="9"/>
  <c r="I214" i="12"/>
  <c r="I233" i="12"/>
  <c r="I198" i="12"/>
  <c r="H198" i="12"/>
  <c r="DA23" i="10"/>
  <c r="M385" i="11"/>
  <c r="M387" i="11"/>
  <c r="A36" i="14"/>
  <c r="G36" i="14"/>
  <c r="I59" i="17"/>
  <c r="H59" i="17"/>
  <c r="AX38" i="15"/>
  <c r="J109" i="17"/>
  <c r="M168" i="16"/>
  <c r="M166" i="16"/>
  <c r="F525" i="16"/>
  <c r="F524" i="16"/>
  <c r="F521" i="16"/>
  <c r="I214" i="17"/>
  <c r="M37" i="9"/>
  <c r="J37" i="9"/>
  <c r="M163" i="11"/>
  <c r="F214" i="11"/>
  <c r="M384" i="11"/>
  <c r="F435" i="11"/>
  <c r="G13" i="14"/>
  <c r="A13" i="14"/>
  <c r="A15" i="14"/>
  <c r="M15" i="14"/>
  <c r="M23" i="14"/>
  <c r="K23" i="14"/>
  <c r="J23" i="14"/>
  <c r="G34" i="14"/>
  <c r="J34" i="14"/>
  <c r="H177" i="17"/>
  <c r="I177" i="17"/>
  <c r="J110" i="17"/>
  <c r="I110" i="17"/>
  <c r="F114" i="16"/>
  <c r="F115" i="16"/>
  <c r="F117" i="16"/>
  <c r="F113" i="16"/>
  <c r="M163" i="16"/>
  <c r="M233" i="16"/>
  <c r="M235" i="16"/>
  <c r="F437" i="16"/>
  <c r="F439" i="16"/>
  <c r="F520" i="16"/>
  <c r="F538" i="16"/>
  <c r="F539" i="16"/>
  <c r="F537" i="16"/>
  <c r="F541" i="16"/>
  <c r="I160" i="12"/>
  <c r="H160" i="12"/>
  <c r="M197" i="11"/>
  <c r="M201" i="11"/>
  <c r="F218" i="11"/>
  <c r="M388" i="11"/>
  <c r="F437" i="11"/>
  <c r="G32" i="14"/>
  <c r="J36" i="14"/>
  <c r="I9" i="17"/>
  <c r="H9" i="17"/>
  <c r="AX6" i="15"/>
  <c r="I26" i="17"/>
  <c r="H26" i="17"/>
  <c r="FD11" i="15"/>
  <c r="H77" i="17"/>
  <c r="I77" i="17"/>
  <c r="M167" i="16"/>
  <c r="M198" i="16"/>
  <c r="M201" i="16"/>
  <c r="F385" i="16"/>
  <c r="F389" i="16"/>
  <c r="F402" i="16"/>
  <c r="F404" i="16"/>
  <c r="F490" i="16"/>
  <c r="F487" i="16"/>
  <c r="F491" i="16"/>
  <c r="F489" i="16"/>
  <c r="F488" i="16"/>
  <c r="I213" i="17"/>
  <c r="A33" i="14"/>
  <c r="G33" i="14"/>
  <c r="B33" i="14"/>
  <c r="B35" i="14"/>
  <c r="A35" i="14"/>
  <c r="M318" i="16"/>
  <c r="M321" i="16"/>
  <c r="M319" i="16"/>
  <c r="M317" i="16"/>
  <c r="I143" i="12"/>
  <c r="I42" i="12"/>
  <c r="H42" i="12"/>
  <c r="J249" i="17"/>
  <c r="I249" i="17"/>
  <c r="J266" i="17"/>
  <c r="J28" i="17"/>
  <c r="I114" i="17"/>
  <c r="H114" i="17"/>
  <c r="M316" i="16"/>
  <c r="M350" i="16"/>
  <c r="M352" i="16"/>
  <c r="M455" i="16"/>
  <c r="M457" i="16"/>
  <c r="H143" i="12"/>
  <c r="I178" i="12"/>
  <c r="C20" i="14"/>
  <c r="AX8" i="15"/>
  <c r="I126" i="17"/>
  <c r="H126" i="17"/>
  <c r="M299" i="16"/>
  <c r="M301" i="16"/>
  <c r="M303" i="16"/>
  <c r="M320" i="16"/>
  <c r="M354" i="16"/>
  <c r="M452" i="16"/>
  <c r="M472" i="16"/>
  <c r="M470" i="16"/>
  <c r="M542" i="16"/>
  <c r="M541" i="16"/>
  <c r="I44" i="12"/>
  <c r="H44" i="12"/>
  <c r="AX28" i="10"/>
  <c r="G18" i="14"/>
  <c r="G35" i="14"/>
  <c r="I162" i="17"/>
  <c r="M469" i="16"/>
  <c r="M503" i="16"/>
  <c r="M537" i="16"/>
  <c r="M539" i="16"/>
  <c r="F302" i="16"/>
  <c r="F300" i="16"/>
  <c r="M129" i="16"/>
  <c r="F299" i="16"/>
  <c r="M401" i="16"/>
  <c r="I111" i="12"/>
  <c r="A12" i="14"/>
  <c r="K12" i="14"/>
  <c r="J12" i="14"/>
  <c r="G19" i="14"/>
  <c r="C19" i="14"/>
  <c r="B19" i="14"/>
  <c r="I7" i="17"/>
  <c r="F163" i="16"/>
  <c r="M265" i="16"/>
  <c r="F301" i="16"/>
  <c r="M403" i="16"/>
  <c r="M420" i="16"/>
  <c r="M418" i="16"/>
  <c r="H95" i="17"/>
  <c r="I197" i="12"/>
  <c r="H197" i="12"/>
  <c r="H111" i="12"/>
  <c r="G31" i="14"/>
  <c r="M31" i="14"/>
  <c r="K31" i="14"/>
  <c r="M131" i="16"/>
  <c r="M267" i="16"/>
  <c r="F303" i="16"/>
  <c r="I44" i="17"/>
  <c r="I97" i="17"/>
  <c r="H7" i="17"/>
  <c r="H45" i="17"/>
  <c r="H246" i="17"/>
  <c r="K167" i="17" l="1"/>
  <c r="DC13" i="15"/>
  <c r="HJ11" i="15"/>
  <c r="HI11" i="15"/>
  <c r="AZ10" i="3"/>
  <c r="BB10" i="3"/>
  <c r="F40" i="6" s="1"/>
  <c r="E51" i="6"/>
  <c r="AZ28" i="10"/>
  <c r="K82" i="12"/>
  <c r="BB7" i="3"/>
  <c r="M6" i="6" s="1"/>
  <c r="AZ7" i="3"/>
  <c r="L17" i="6"/>
  <c r="AZ36" i="5"/>
  <c r="A116" i="7"/>
  <c r="A82" i="12"/>
  <c r="AZ26" i="10"/>
  <c r="AZ36" i="15"/>
  <c r="A116" i="17"/>
  <c r="DC18" i="10"/>
  <c r="K184" i="12"/>
  <c r="DC11" i="10"/>
  <c r="A167" i="12"/>
  <c r="M83" i="6"/>
  <c r="M81" i="6"/>
  <c r="M79" i="6"/>
  <c r="M80" i="6"/>
  <c r="M78" i="6"/>
  <c r="M82" i="6"/>
  <c r="A167" i="17"/>
  <c r="DC11" i="15"/>
  <c r="AZ31" i="5"/>
  <c r="A99" i="7"/>
  <c r="M62" i="6"/>
  <c r="M64" i="6"/>
  <c r="M66" i="6"/>
  <c r="M61" i="6"/>
  <c r="M63" i="6"/>
  <c r="M65" i="6"/>
  <c r="A167" i="7"/>
  <c r="DC11" i="5"/>
  <c r="K65" i="17"/>
  <c r="AZ23" i="15"/>
  <c r="K235" i="7"/>
  <c r="FF13" i="5"/>
  <c r="K235" i="12"/>
  <c r="FF13" i="10"/>
  <c r="HJ11" i="5"/>
  <c r="HI8" i="15"/>
  <c r="K252" i="17"/>
  <c r="A252" i="12"/>
  <c r="HI6" i="10"/>
  <c r="DC6" i="10"/>
  <c r="A150" i="12"/>
  <c r="AZ38" i="15"/>
  <c r="K116" i="17"/>
  <c r="A14" i="12"/>
  <c r="AZ6" i="10"/>
  <c r="BB7" i="8"/>
  <c r="M6" i="11" s="1"/>
  <c r="AZ7" i="8"/>
  <c r="L17" i="11"/>
  <c r="BB6" i="8"/>
  <c r="AZ6" i="8"/>
  <c r="BB10" i="8"/>
  <c r="F40" i="11" s="1"/>
  <c r="A14" i="7"/>
  <c r="AZ6" i="5"/>
  <c r="AZ16" i="15"/>
  <c r="A48" i="17"/>
  <c r="K99" i="12"/>
  <c r="AZ33" i="10"/>
  <c r="AZ43" i="5"/>
  <c r="K133" i="7"/>
  <c r="DC13" i="10"/>
  <c r="K167" i="12"/>
  <c r="DC23" i="10"/>
  <c r="K201" i="12"/>
  <c r="K218" i="12"/>
  <c r="FF8" i="10"/>
  <c r="A235" i="7"/>
  <c r="FF11" i="5"/>
  <c r="A99" i="12"/>
  <c r="AZ31" i="10"/>
  <c r="AZ9" i="3"/>
  <c r="HJ13" i="15"/>
  <c r="BB9" i="3"/>
  <c r="M23" i="6" s="1"/>
  <c r="A184" i="12"/>
  <c r="DC16" i="10"/>
  <c r="AZ41" i="15"/>
  <c r="A133" i="17"/>
  <c r="DC21" i="10"/>
  <c r="A201" i="12"/>
  <c r="BB15" i="3"/>
  <c r="M74" i="6" s="1"/>
  <c r="AZ15" i="3"/>
  <c r="L85" i="6"/>
  <c r="K252" i="12"/>
  <c r="HI8" i="10"/>
  <c r="A99" i="17"/>
  <c r="AZ31" i="15"/>
  <c r="K218" i="7"/>
  <c r="FF8" i="5"/>
  <c r="K65" i="7"/>
  <c r="AZ23" i="5"/>
  <c r="AZ43" i="15"/>
  <c r="K133" i="17"/>
  <c r="F31" i="16"/>
  <c r="F32" i="16"/>
  <c r="F30" i="16"/>
  <c r="F27" i="16"/>
  <c r="F29" i="16"/>
  <c r="F28" i="16"/>
  <c r="K31" i="12"/>
  <c r="K269" i="12"/>
  <c r="AZ13" i="10"/>
  <c r="HI6" i="5"/>
  <c r="A252" i="7"/>
  <c r="A235" i="17"/>
  <c r="FF11" i="15"/>
  <c r="E17" i="16"/>
  <c r="AZ6" i="13"/>
  <c r="BB6" i="13"/>
  <c r="A235" i="12"/>
  <c r="FF11" i="10"/>
  <c r="AZ33" i="15"/>
  <c r="K99" i="17"/>
  <c r="K150" i="7"/>
  <c r="DC8" i="5"/>
  <c r="AZ11" i="5"/>
  <c r="A31" i="7"/>
  <c r="A269" i="7"/>
  <c r="F28" i="11"/>
  <c r="F31" i="11"/>
  <c r="F27" i="11"/>
  <c r="F32" i="11"/>
  <c r="F29" i="11"/>
  <c r="F30" i="11"/>
  <c r="BB8" i="13"/>
  <c r="F23" i="16" s="1"/>
  <c r="AZ8" i="13"/>
  <c r="E34" i="16"/>
  <c r="BB13" i="3"/>
  <c r="M57" i="6" s="1"/>
  <c r="K252" i="7"/>
  <c r="HI8" i="5"/>
  <c r="F11" i="16"/>
  <c r="F13" i="16"/>
  <c r="F15" i="16"/>
  <c r="F10" i="16"/>
  <c r="F14" i="16"/>
  <c r="F12" i="16"/>
  <c r="DC23" i="15"/>
  <c r="K201" i="17"/>
  <c r="E85" i="6"/>
  <c r="BB14" i="3"/>
  <c r="F74" i="6" s="1"/>
  <c r="AZ14" i="3"/>
  <c r="AZ16" i="10"/>
  <c r="A48" i="12"/>
  <c r="BB6" i="3"/>
  <c r="AZ6" i="3"/>
  <c r="E17" i="6"/>
  <c r="AZ13" i="3"/>
  <c r="K150" i="12"/>
  <c r="DC8" i="10"/>
  <c r="A14" i="17"/>
  <c r="AZ6" i="15"/>
  <c r="K48" i="7"/>
  <c r="AZ18" i="5"/>
  <c r="A201" i="17"/>
  <c r="DC21" i="15"/>
  <c r="A218" i="17"/>
  <c r="FF6" i="15"/>
  <c r="BB9" i="8"/>
  <c r="M23" i="11" s="1"/>
  <c r="L34" i="11"/>
  <c r="AZ9" i="8"/>
  <c r="A218" i="7"/>
  <c r="FF6" i="5"/>
  <c r="DC23" i="5"/>
  <c r="K201" i="7"/>
  <c r="DC6" i="15"/>
  <c r="A150" i="17"/>
  <c r="BB12" i="3"/>
  <c r="F57" i="6" s="1"/>
  <c r="A184" i="17"/>
  <c r="DC16" i="15"/>
  <c r="AZ21" i="5"/>
  <c r="A65" i="7"/>
  <c r="K48" i="12"/>
  <c r="AZ18" i="10"/>
  <c r="AZ16" i="5"/>
  <c r="A48" i="7"/>
  <c r="K31" i="7"/>
  <c r="K269" i="7"/>
  <c r="AZ13" i="5"/>
  <c r="AZ8" i="10"/>
  <c r="K14" i="12"/>
  <c r="K14" i="17"/>
  <c r="AZ8" i="15"/>
  <c r="A82" i="7"/>
  <c r="AZ26" i="5"/>
  <c r="HJ13" i="5"/>
  <c r="A201" i="7"/>
  <c r="DC21" i="5"/>
  <c r="AZ33" i="5"/>
  <c r="K99" i="7"/>
  <c r="BB16" i="3"/>
  <c r="F91" i="6" s="1"/>
  <c r="AZ16" i="3"/>
  <c r="E102" i="6"/>
  <c r="DC6" i="5"/>
  <c r="A150" i="7"/>
  <c r="BB8" i="8"/>
  <c r="F23" i="11" s="1"/>
  <c r="K150" i="17"/>
  <c r="DC8" i="15"/>
  <c r="AZ18" i="15"/>
  <c r="K48" i="17"/>
  <c r="K184" i="17"/>
  <c r="DC18" i="15"/>
  <c r="AZ7" i="13"/>
  <c r="L17" i="16"/>
  <c r="BB7" i="13"/>
  <c r="M6" i="16" s="1"/>
  <c r="A269" i="17"/>
  <c r="A31" i="17"/>
  <c r="AZ11" i="15"/>
  <c r="HJ11" i="10"/>
  <c r="M15" i="16"/>
  <c r="M13" i="16"/>
  <c r="M11" i="16"/>
  <c r="M12" i="16"/>
  <c r="M10" i="16"/>
  <c r="M14" i="16"/>
  <c r="L51" i="6"/>
  <c r="BB11" i="3"/>
  <c r="M40" i="6" s="1"/>
  <c r="AZ11" i="3"/>
  <c r="HJ13" i="10"/>
  <c r="E34" i="6"/>
  <c r="AZ8" i="3"/>
  <c r="BB8" i="3"/>
  <c r="F23" i="6" s="1"/>
  <c r="K269" i="17"/>
  <c r="K31" i="17"/>
  <c r="AZ13" i="15"/>
  <c r="AZ23" i="10"/>
  <c r="K65" i="12"/>
  <c r="AZ21" i="15"/>
  <c r="A65" i="17"/>
  <c r="A218" i="12"/>
  <c r="FF6" i="10"/>
  <c r="K116" i="7"/>
  <c r="AZ38" i="5"/>
  <c r="FF8" i="15"/>
  <c r="K218" i="17"/>
  <c r="A269" i="12"/>
  <c r="A31" i="12"/>
  <c r="AZ11" i="10"/>
  <c r="F6" i="6" l="1"/>
  <c r="D10" i="4"/>
  <c r="D15" i="4"/>
  <c r="D7" i="4"/>
  <c r="D11" i="4"/>
  <c r="D14" i="4"/>
  <c r="D6" i="4"/>
  <c r="D13" i="4"/>
  <c r="D9" i="4"/>
  <c r="D16" i="4"/>
  <c r="D8" i="4"/>
  <c r="D12" i="4"/>
  <c r="HM16" i="15"/>
  <c r="HM18" i="15" s="1"/>
  <c r="HM16" i="10"/>
  <c r="HM18" i="10" s="1"/>
  <c r="D7" i="14"/>
  <c r="F6" i="16"/>
  <c r="D6" i="14"/>
  <c r="D8" i="14"/>
  <c r="HM16" i="5"/>
  <c r="HM18" i="5" s="1"/>
  <c r="D6" i="9"/>
  <c r="F6" i="11"/>
  <c r="D9" i="9"/>
  <c r="D10" i="9"/>
  <c r="D8" i="9"/>
  <c r="D7" i="9"/>
  <c r="B8" i="14" l="1"/>
  <c r="A8" i="14"/>
  <c r="M8" i="14"/>
  <c r="K8" i="14"/>
  <c r="C8" i="14"/>
  <c r="G8" i="14"/>
  <c r="J8" i="14"/>
  <c r="G7" i="14"/>
  <c r="J7" i="14" s="1"/>
  <c r="C7" i="14"/>
  <c r="B7" i="14"/>
  <c r="A7" i="14"/>
  <c r="M7" i="14"/>
  <c r="K7" i="14"/>
  <c r="M8" i="4"/>
  <c r="K8" i="4"/>
  <c r="J8" i="4"/>
  <c r="B8" i="4"/>
  <c r="A8" i="4"/>
  <c r="G8" i="4"/>
  <c r="C8" i="4"/>
  <c r="K16" i="4"/>
  <c r="G16" i="4"/>
  <c r="J16" i="4" s="1"/>
  <c r="B16" i="4"/>
  <c r="A16" i="4"/>
  <c r="M16" i="4"/>
  <c r="C16" i="4"/>
  <c r="G13" i="4"/>
  <c r="A13" i="4"/>
  <c r="J13" i="4"/>
  <c r="C13" i="4"/>
  <c r="B13" i="4"/>
  <c r="M13" i="4"/>
  <c r="K13" i="4"/>
  <c r="M7" i="9"/>
  <c r="G7" i="9"/>
  <c r="J7" i="9" s="1"/>
  <c r="C7" i="9"/>
  <c r="K7" i="9"/>
  <c r="B7" i="9"/>
  <c r="A7" i="9"/>
  <c r="A8" i="9"/>
  <c r="C8" i="9"/>
  <c r="B8" i="9"/>
  <c r="J8" i="9"/>
  <c r="M8" i="9"/>
  <c r="K8" i="9"/>
  <c r="G8" i="9"/>
  <c r="M14" i="4"/>
  <c r="K14" i="4"/>
  <c r="G14" i="4"/>
  <c r="J14" i="4" s="1"/>
  <c r="B14" i="4"/>
  <c r="A14" i="4"/>
  <c r="C14" i="4"/>
  <c r="M10" i="9"/>
  <c r="A10" i="9"/>
  <c r="K10" i="9"/>
  <c r="C10" i="9"/>
  <c r="B10" i="9"/>
  <c r="G10" i="9"/>
  <c r="J10" i="9" s="1"/>
  <c r="M11" i="4"/>
  <c r="K11" i="4"/>
  <c r="A11" i="4"/>
  <c r="C11" i="4"/>
  <c r="B11" i="4"/>
  <c r="G11" i="4"/>
  <c r="J11" i="4" s="1"/>
  <c r="G9" i="9"/>
  <c r="M9" i="9"/>
  <c r="J9" i="9"/>
  <c r="C9" i="9"/>
  <c r="A9" i="9"/>
  <c r="K9" i="9"/>
  <c r="B9" i="9"/>
  <c r="C7" i="4"/>
  <c r="B7" i="4"/>
  <c r="G7" i="4"/>
  <c r="J7" i="4" s="1"/>
  <c r="A7" i="4"/>
  <c r="M7" i="4"/>
  <c r="K7" i="4"/>
  <c r="G6" i="9"/>
  <c r="J6" i="9"/>
  <c r="A6" i="9"/>
  <c r="B6" i="9"/>
  <c r="M6" i="9"/>
  <c r="C6" i="9"/>
  <c r="K6" i="9"/>
  <c r="G10" i="4"/>
  <c r="M10" i="4"/>
  <c r="K10" i="4"/>
  <c r="J10" i="4"/>
  <c r="C10" i="4"/>
  <c r="A10" i="4"/>
  <c r="B10" i="4"/>
  <c r="A6" i="14"/>
  <c r="G6" i="14"/>
  <c r="J6" i="14" s="1"/>
  <c r="M6" i="14"/>
  <c r="K6" i="14"/>
  <c r="B6" i="14"/>
  <c r="C6" i="14"/>
  <c r="C12" i="4"/>
  <c r="B12" i="4"/>
  <c r="A12" i="4"/>
  <c r="J12" i="4"/>
  <c r="M12" i="4"/>
  <c r="K12" i="4"/>
  <c r="G12" i="4"/>
  <c r="A9" i="4"/>
  <c r="G9" i="4"/>
  <c r="J9" i="4" s="1"/>
  <c r="K9" i="4"/>
  <c r="C9" i="4"/>
  <c r="B9" i="4"/>
  <c r="M9" i="4"/>
  <c r="M6" i="4"/>
  <c r="G6" i="4"/>
  <c r="J6" i="4" s="1"/>
  <c r="C6" i="4"/>
  <c r="A6" i="4"/>
  <c r="K6" i="4"/>
  <c r="B6" i="4"/>
  <c r="C15" i="4"/>
  <c r="B15" i="4"/>
  <c r="G15" i="4"/>
  <c r="A15" i="4"/>
  <c r="M15" i="4"/>
  <c r="J15" i="4"/>
  <c r="K15" i="4"/>
  <c r="A36" i="15" l="1"/>
  <c r="BC21" i="15"/>
  <c r="BC6" i="15"/>
  <c r="A43" i="15"/>
  <c r="A18" i="15"/>
  <c r="BC41" i="15"/>
  <c r="B36" i="15"/>
  <c r="B106" i="17" s="1"/>
  <c r="B13" i="15"/>
  <c r="B16" i="15"/>
  <c r="B38" i="17" s="1"/>
  <c r="A16" i="15"/>
  <c r="BC13" i="15"/>
  <c r="BA11" i="15" s="1"/>
  <c r="BC8" i="15"/>
  <c r="BA6" i="15" s="1"/>
  <c r="H14" i="17" s="1"/>
  <c r="BC33" i="15"/>
  <c r="BA31" i="15" s="1"/>
  <c r="H99" i="17" s="1"/>
  <c r="B33" i="15"/>
  <c r="J89" i="17" s="1"/>
  <c r="BC43" i="15"/>
  <c r="BA41" i="15" s="1"/>
  <c r="H133" i="17" s="1"/>
  <c r="A33" i="15"/>
  <c r="B26" i="15"/>
  <c r="B72" i="17" s="1"/>
  <c r="BC31" i="15"/>
  <c r="A26" i="15"/>
  <c r="B41" i="15"/>
  <c r="B123" i="17" s="1"/>
  <c r="B23" i="15"/>
  <c r="J55" i="17" s="1"/>
  <c r="BC18" i="15"/>
  <c r="BA16" i="15" s="1"/>
  <c r="H48" i="17" s="1"/>
  <c r="B8" i="15"/>
  <c r="J4" i="17" s="1"/>
  <c r="A13" i="15"/>
  <c r="A23" i="15"/>
  <c r="B11" i="15"/>
  <c r="B6" i="15"/>
  <c r="B4" i="17" s="1"/>
  <c r="A31" i="15"/>
  <c r="BC28" i="15"/>
  <c r="BA26" i="15" s="1"/>
  <c r="H82" i="17" s="1"/>
  <c r="BC16" i="15"/>
  <c r="BC11" i="15"/>
  <c r="B28" i="15"/>
  <c r="J72" i="17" s="1"/>
  <c r="A28" i="15"/>
  <c r="BC26" i="15"/>
  <c r="BC23" i="15"/>
  <c r="BA21" i="15" s="1"/>
  <c r="H65" i="17" s="1"/>
  <c r="A21" i="15"/>
  <c r="BC36" i="15"/>
  <c r="B21" i="15"/>
  <c r="B55" i="17" s="1"/>
  <c r="A11" i="15"/>
  <c r="B38" i="15"/>
  <c r="J106" i="17" s="1"/>
  <c r="B43" i="15"/>
  <c r="J123" i="17" s="1"/>
  <c r="A41" i="15"/>
  <c r="A6" i="15"/>
  <c r="A38" i="15"/>
  <c r="B31" i="15"/>
  <c r="B89" i="17" s="1"/>
  <c r="B18" i="15"/>
  <c r="J38" i="17" s="1"/>
  <c r="A8" i="15"/>
  <c r="BC38" i="15"/>
  <c r="BA36" i="15" s="1"/>
  <c r="H116" i="17" s="1"/>
  <c r="BC33" i="5"/>
  <c r="BA31" i="5" s="1"/>
  <c r="H99" i="7" s="1"/>
  <c r="B18" i="5"/>
  <c r="J38" i="7" s="1"/>
  <c r="B11" i="5"/>
  <c r="B28" i="5"/>
  <c r="J72" i="7" s="1"/>
  <c r="A18" i="5"/>
  <c r="A11" i="5"/>
  <c r="A43" i="5"/>
  <c r="B16" i="5"/>
  <c r="B38" i="7" s="1"/>
  <c r="B36" i="5"/>
  <c r="B106" i="7" s="1"/>
  <c r="A28" i="5"/>
  <c r="B8" i="5"/>
  <c r="J4" i="7" s="1"/>
  <c r="B23" i="5"/>
  <c r="J55" i="7" s="1"/>
  <c r="B43" i="5"/>
  <c r="J123" i="7" s="1"/>
  <c r="A8" i="5"/>
  <c r="BC6" i="5"/>
  <c r="BC41" i="5"/>
  <c r="A23" i="5"/>
  <c r="B41" i="5"/>
  <c r="B123" i="7" s="1"/>
  <c r="A21" i="5"/>
  <c r="BC38" i="5"/>
  <c r="BA36" i="5" s="1"/>
  <c r="H116" i="7" s="1"/>
  <c r="BC23" i="5"/>
  <c r="BA21" i="5" s="1"/>
  <c r="H65" i="7" s="1"/>
  <c r="BC8" i="5"/>
  <c r="BA6" i="5" s="1"/>
  <c r="H14" i="7" s="1"/>
  <c r="BC16" i="5"/>
  <c r="B31" i="5"/>
  <c r="B89" i="7" s="1"/>
  <c r="BC21" i="5"/>
  <c r="A13" i="5"/>
  <c r="BC18" i="5"/>
  <c r="BA16" i="5" s="1"/>
  <c r="H48" i="7" s="1"/>
  <c r="B26" i="5"/>
  <c r="B72" i="7" s="1"/>
  <c r="B38" i="5"/>
  <c r="J106" i="7" s="1"/>
  <c r="BC36" i="5"/>
  <c r="B33" i="5"/>
  <c r="J89" i="7" s="1"/>
  <c r="B21" i="5"/>
  <c r="B55" i="7" s="1"/>
  <c r="A6" i="5"/>
  <c r="A33" i="5"/>
  <c r="BC26" i="5"/>
  <c r="A16" i="5"/>
  <c r="A36" i="5"/>
  <c r="B13" i="5"/>
  <c r="A31" i="5"/>
  <c r="BC28" i="5"/>
  <c r="BA26" i="5" s="1"/>
  <c r="H82" i="7" s="1"/>
  <c r="A26" i="5"/>
  <c r="BC13" i="5"/>
  <c r="BA11" i="5" s="1"/>
  <c r="BC31" i="5"/>
  <c r="BC11" i="5"/>
  <c r="A38" i="5"/>
  <c r="B6" i="5"/>
  <c r="B4" i="7" s="1"/>
  <c r="A41" i="5"/>
  <c r="BC43" i="5"/>
  <c r="BA41" i="5" s="1"/>
  <c r="H133" i="7" s="1"/>
  <c r="B33" i="10"/>
  <c r="J89" i="12" s="1"/>
  <c r="A21" i="10"/>
  <c r="BC13" i="10"/>
  <c r="BA11" i="10" s="1"/>
  <c r="A6" i="10"/>
  <c r="A33" i="10"/>
  <c r="A43" i="10"/>
  <c r="B36" i="10"/>
  <c r="B106" i="12" s="1"/>
  <c r="B28" i="10"/>
  <c r="J72" i="12" s="1"/>
  <c r="B23" i="10"/>
  <c r="J55" i="12" s="1"/>
  <c r="A28" i="10"/>
  <c r="B43" i="10"/>
  <c r="J123" i="12" s="1"/>
  <c r="A36" i="10"/>
  <c r="B21" i="10"/>
  <c r="B55" i="12" s="1"/>
  <c r="BC16" i="10"/>
  <c r="BC41" i="10"/>
  <c r="BC33" i="10"/>
  <c r="BA31" i="10" s="1"/>
  <c r="H99" i="12" s="1"/>
  <c r="BC11" i="10"/>
  <c r="BC6" i="10"/>
  <c r="A23" i="10"/>
  <c r="B11" i="10"/>
  <c r="A11" i="10"/>
  <c r="BC43" i="10"/>
  <c r="BA41" i="10" s="1"/>
  <c r="H133" i="12" s="1"/>
  <c r="BC31" i="10"/>
  <c r="B41" i="10"/>
  <c r="B123" i="12" s="1"/>
  <c r="BC36" i="10"/>
  <c r="A13" i="10"/>
  <c r="BC23" i="10"/>
  <c r="BA21" i="10" s="1"/>
  <c r="H65" i="12" s="1"/>
  <c r="BC18" i="10"/>
  <c r="BA16" i="10" s="1"/>
  <c r="H48" i="12" s="1"/>
  <c r="BC26" i="10"/>
  <c r="B8" i="10"/>
  <c r="J4" i="12" s="1"/>
  <c r="BC21" i="10"/>
  <c r="A8" i="10"/>
  <c r="A16" i="10"/>
  <c r="BC8" i="10"/>
  <c r="BA6" i="10" s="1"/>
  <c r="H14" i="12" s="1"/>
  <c r="B13" i="10"/>
  <c r="B38" i="10"/>
  <c r="J106" i="12" s="1"/>
  <c r="B18" i="10"/>
  <c r="J38" i="12" s="1"/>
  <c r="A18" i="10"/>
  <c r="A38" i="10"/>
  <c r="B26" i="10"/>
  <c r="B72" i="12" s="1"/>
  <c r="A31" i="10"/>
  <c r="BC38" i="10"/>
  <c r="BA36" i="10" s="1"/>
  <c r="H116" i="12" s="1"/>
  <c r="BC28" i="10"/>
  <c r="BA26" i="10" s="1"/>
  <c r="H82" i="12" s="1"/>
  <c r="B16" i="10"/>
  <c r="B38" i="12" s="1"/>
  <c r="A26" i="10"/>
  <c r="A41" i="10"/>
  <c r="B31" i="10"/>
  <c r="B89" i="12" s="1"/>
  <c r="B6" i="10"/>
  <c r="B4" i="12" s="1"/>
  <c r="B39" i="17" l="1"/>
  <c r="E16" i="15"/>
  <c r="E11" i="10"/>
  <c r="B260" i="12"/>
  <c r="B22" i="12"/>
  <c r="B5" i="7"/>
  <c r="E6" i="5"/>
  <c r="E18" i="10"/>
  <c r="J39" i="12"/>
  <c r="B259" i="17"/>
  <c r="B21" i="17"/>
  <c r="J56" i="12"/>
  <c r="E6" i="15"/>
  <c r="B5" i="17"/>
  <c r="BE6" i="10"/>
  <c r="DF6" i="10"/>
  <c r="BA8" i="10"/>
  <c r="J14" i="12" s="1"/>
  <c r="BA38" i="5"/>
  <c r="J116" i="7" s="1"/>
  <c r="BE21" i="5"/>
  <c r="DF21" i="5"/>
  <c r="E41" i="15"/>
  <c r="B124" i="17"/>
  <c r="DF23" i="15"/>
  <c r="DD21" i="15" s="1"/>
  <c r="H201" i="17" s="1"/>
  <c r="BA43" i="15"/>
  <c r="J133" i="17" s="1"/>
  <c r="BE23" i="15"/>
  <c r="J191" i="17" s="1"/>
  <c r="J259" i="12"/>
  <c r="J21" i="12"/>
  <c r="J73" i="7"/>
  <c r="E43" i="15"/>
  <c r="J124" i="17"/>
  <c r="H269" i="17"/>
  <c r="H31" i="17"/>
  <c r="B5" i="12"/>
  <c r="E6" i="10"/>
  <c r="J90" i="7"/>
  <c r="DF23" i="5"/>
  <c r="DD21" i="5" s="1"/>
  <c r="H201" i="7" s="1"/>
  <c r="BA43" i="5"/>
  <c r="J133" i="7" s="1"/>
  <c r="BE23" i="5"/>
  <c r="J191" i="7" s="1"/>
  <c r="B90" i="17"/>
  <c r="E31" i="15"/>
  <c r="J107" i="12"/>
  <c r="E38" i="10"/>
  <c r="H269" i="12"/>
  <c r="H31" i="12"/>
  <c r="BE6" i="5"/>
  <c r="BA8" i="5"/>
  <c r="J14" i="7" s="1"/>
  <c r="DF6" i="5"/>
  <c r="B259" i="12"/>
  <c r="B21" i="12"/>
  <c r="B56" i="12"/>
  <c r="E21" i="10"/>
  <c r="J5" i="7"/>
  <c r="J107" i="17"/>
  <c r="J259" i="17"/>
  <c r="J21" i="17"/>
  <c r="J56" i="17"/>
  <c r="J22" i="17"/>
  <c r="J260" i="17"/>
  <c r="BA13" i="10"/>
  <c r="E13" i="10" s="1"/>
  <c r="DF8" i="10"/>
  <c r="DD6" i="10" s="1"/>
  <c r="H150" i="12" s="1"/>
  <c r="BE8" i="10"/>
  <c r="J140" i="12" s="1"/>
  <c r="B124" i="7"/>
  <c r="E41" i="5"/>
  <c r="E18" i="15"/>
  <c r="J39" i="17"/>
  <c r="B39" i="12"/>
  <c r="E16" i="10"/>
  <c r="BE23" i="10"/>
  <c r="J191" i="12" s="1"/>
  <c r="BA43" i="10"/>
  <c r="J133" i="12" s="1"/>
  <c r="DF23" i="10"/>
  <c r="DD21" i="10" s="1"/>
  <c r="H201" i="12" s="1"/>
  <c r="J107" i="7"/>
  <c r="E38" i="5"/>
  <c r="E11" i="15"/>
  <c r="B22" i="17"/>
  <c r="B260" i="17"/>
  <c r="DF6" i="15"/>
  <c r="BE6" i="15"/>
  <c r="BA8" i="15"/>
  <c r="J14" i="17" s="1"/>
  <c r="B90" i="7"/>
  <c r="E31" i="5"/>
  <c r="B21" i="7"/>
  <c r="B259" i="7"/>
  <c r="J73" i="17"/>
  <c r="J260" i="12"/>
  <c r="J22" i="12"/>
  <c r="J259" i="7"/>
  <c r="J21" i="7"/>
  <c r="BA38" i="10"/>
  <c r="J116" i="12" s="1"/>
  <c r="DF21" i="10"/>
  <c r="BE21" i="10"/>
  <c r="B107" i="7"/>
  <c r="E36" i="5"/>
  <c r="B56" i="7"/>
  <c r="E21" i="5"/>
  <c r="BE8" i="15"/>
  <c r="J140" i="17" s="1"/>
  <c r="DF8" i="15"/>
  <c r="DD6" i="15" s="1"/>
  <c r="H150" i="17" s="1"/>
  <c r="BA13" i="15"/>
  <c r="E13" i="15" s="1"/>
  <c r="E43" i="10"/>
  <c r="J124" i="12"/>
  <c r="E16" i="5"/>
  <c r="B39" i="7"/>
  <c r="BE11" i="15"/>
  <c r="DF11" i="15"/>
  <c r="BA18" i="15"/>
  <c r="J48" i="17" s="1"/>
  <c r="B90" i="12"/>
  <c r="E31" i="10"/>
  <c r="DF18" i="10"/>
  <c r="DD16" i="10" s="1"/>
  <c r="H184" i="12" s="1"/>
  <c r="BE18" i="10"/>
  <c r="J174" i="12" s="1"/>
  <c r="BA33" i="10"/>
  <c r="J99" i="12" s="1"/>
  <c r="J90" i="12"/>
  <c r="E33" i="10"/>
  <c r="BA28" i="5"/>
  <c r="J82" i="7" s="1"/>
  <c r="BE16" i="5"/>
  <c r="DF16" i="5"/>
  <c r="E23" i="5"/>
  <c r="J56" i="7"/>
  <c r="J5" i="17"/>
  <c r="J5" i="12"/>
  <c r="BE11" i="10"/>
  <c r="DF11" i="10"/>
  <c r="BA18" i="10"/>
  <c r="J48" i="12" s="1"/>
  <c r="DF8" i="5"/>
  <c r="DD6" i="5" s="1"/>
  <c r="H150" i="7" s="1"/>
  <c r="BA13" i="5"/>
  <c r="BE8" i="5"/>
  <c r="J140" i="7" s="1"/>
  <c r="J260" i="7"/>
  <c r="E13" i="5"/>
  <c r="J22" i="7"/>
  <c r="DF13" i="15"/>
  <c r="DD11" i="15" s="1"/>
  <c r="H167" i="17" s="1"/>
  <c r="BE13" i="15"/>
  <c r="J157" i="17" s="1"/>
  <c r="BA23" i="15"/>
  <c r="J65" i="17" s="1"/>
  <c r="B107" i="12"/>
  <c r="E36" i="10"/>
  <c r="H269" i="7"/>
  <c r="H31" i="7"/>
  <c r="B260" i="7"/>
  <c r="B22" i="7"/>
  <c r="E11" i="5"/>
  <c r="B56" i="17"/>
  <c r="E21" i="15"/>
  <c r="BE18" i="15"/>
  <c r="J174" i="17" s="1"/>
  <c r="BA33" i="15"/>
  <c r="J99" i="17" s="1"/>
  <c r="DF18" i="15"/>
  <c r="DD16" i="15" s="1"/>
  <c r="H184" i="17" s="1"/>
  <c r="DF16" i="10"/>
  <c r="BE16" i="10"/>
  <c r="BA28" i="10"/>
  <c r="J82" i="12" s="1"/>
  <c r="B73" i="7"/>
  <c r="E26" i="5"/>
  <c r="BA18" i="5"/>
  <c r="J48" i="7" s="1"/>
  <c r="DF11" i="5"/>
  <c r="BE11" i="5"/>
  <c r="J39" i="7"/>
  <c r="B124" i="12"/>
  <c r="E41" i="10"/>
  <c r="J73" i="12"/>
  <c r="BA28" i="15"/>
  <c r="J82" i="17" s="1"/>
  <c r="BE16" i="15"/>
  <c r="DF16" i="15"/>
  <c r="E33" i="15"/>
  <c r="J90" i="17"/>
  <c r="B73" i="12"/>
  <c r="E26" i="10"/>
  <c r="BA23" i="10"/>
  <c r="J65" i="12" s="1"/>
  <c r="DF13" i="10"/>
  <c r="DD11" i="10" s="1"/>
  <c r="H167" i="12" s="1"/>
  <c r="BE13" i="10"/>
  <c r="J157" i="12" s="1"/>
  <c r="BA33" i="5"/>
  <c r="J99" i="7" s="1"/>
  <c r="BE18" i="5"/>
  <c r="J174" i="7" s="1"/>
  <c r="DF18" i="5"/>
  <c r="DD16" i="5" s="1"/>
  <c r="H184" i="7" s="1"/>
  <c r="BE13" i="5"/>
  <c r="J157" i="7" s="1"/>
  <c r="BA23" i="5"/>
  <c r="J65" i="7" s="1"/>
  <c r="DF13" i="5"/>
  <c r="DD11" i="5" s="1"/>
  <c r="H167" i="7" s="1"/>
  <c r="E43" i="5"/>
  <c r="J124" i="7"/>
  <c r="BA38" i="15"/>
  <c r="J116" i="17" s="1"/>
  <c r="DF21" i="15"/>
  <c r="BE21" i="15"/>
  <c r="B73" i="17"/>
  <c r="E26" i="15"/>
  <c r="E36" i="15"/>
  <c r="B107" i="17"/>
  <c r="FI6" i="10" l="1"/>
  <c r="DD8" i="10"/>
  <c r="J150" i="12" s="1"/>
  <c r="DH6" i="10"/>
  <c r="FI11" i="5"/>
  <c r="DH11" i="5"/>
  <c r="DD18" i="5"/>
  <c r="J184" i="7" s="1"/>
  <c r="B140" i="7"/>
  <c r="E28" i="5"/>
  <c r="FI11" i="15"/>
  <c r="DH11" i="15"/>
  <c r="DD18" i="15"/>
  <c r="J184" i="17" s="1"/>
  <c r="J31" i="7"/>
  <c r="J269" i="7"/>
  <c r="E28" i="10"/>
  <c r="B157" i="12"/>
  <c r="BH13" i="10"/>
  <c r="DH8" i="15"/>
  <c r="J208" i="17" s="1"/>
  <c r="DD13" i="15"/>
  <c r="J167" i="17" s="1"/>
  <c r="FI8" i="15"/>
  <c r="FG6" i="15" s="1"/>
  <c r="H218" i="17" s="1"/>
  <c r="E38" i="15"/>
  <c r="B140" i="12"/>
  <c r="BH6" i="10"/>
  <c r="BH8" i="10"/>
  <c r="DH11" i="10"/>
  <c r="DD18" i="10"/>
  <c r="J184" i="12" s="1"/>
  <c r="FI11" i="10"/>
  <c r="BH23" i="10"/>
  <c r="BH21" i="10"/>
  <c r="B191" i="12"/>
  <c r="DH8" i="10"/>
  <c r="J208" i="12" s="1"/>
  <c r="DD13" i="10"/>
  <c r="J167" i="12" s="1"/>
  <c r="FI8" i="10"/>
  <c r="FG6" i="10" s="1"/>
  <c r="H218" i="12" s="1"/>
  <c r="B157" i="17"/>
  <c r="FI13" i="5"/>
  <c r="FG11" i="5" s="1"/>
  <c r="H235" i="7" s="1"/>
  <c r="DD23" i="5"/>
  <c r="J201" i="7" s="1"/>
  <c r="DH13" i="5"/>
  <c r="J225" i="7" s="1"/>
  <c r="B157" i="7"/>
  <c r="DD13" i="5"/>
  <c r="J167" i="7" s="1"/>
  <c r="DH8" i="5"/>
  <c r="J208" i="7" s="1"/>
  <c r="FI8" i="5"/>
  <c r="FG6" i="5" s="1"/>
  <c r="H218" i="7" s="1"/>
  <c r="BH6" i="15"/>
  <c r="BH8" i="15"/>
  <c r="B140" i="17"/>
  <c r="BH18" i="10"/>
  <c r="BH16" i="10"/>
  <c r="B174" i="12"/>
  <c r="B191" i="17"/>
  <c r="DD23" i="10"/>
  <c r="J201" i="12" s="1"/>
  <c r="DH13" i="10"/>
  <c r="J225" i="12" s="1"/>
  <c r="FI13" i="10"/>
  <c r="FG11" i="10" s="1"/>
  <c r="H235" i="12" s="1"/>
  <c r="B174" i="17"/>
  <c r="J269" i="17"/>
  <c r="J31" i="17"/>
  <c r="BH18" i="5"/>
  <c r="BH16" i="5"/>
  <c r="B174" i="7"/>
  <c r="FI6" i="5"/>
  <c r="DD8" i="5"/>
  <c r="J150" i="7" s="1"/>
  <c r="DH6" i="5"/>
  <c r="E23" i="10"/>
  <c r="J269" i="12"/>
  <c r="J31" i="12"/>
  <c r="DH6" i="15"/>
  <c r="DD8" i="15"/>
  <c r="J150" i="17" s="1"/>
  <c r="FI6" i="15"/>
  <c r="DD23" i="15"/>
  <c r="J201" i="17" s="1"/>
  <c r="FI13" i="15"/>
  <c r="FG11" i="15" s="1"/>
  <c r="H235" i="17" s="1"/>
  <c r="DH13" i="15"/>
  <c r="J225" i="17" s="1"/>
  <c r="E23" i="15"/>
  <c r="E8" i="10"/>
  <c r="E8" i="5"/>
  <c r="B191" i="7"/>
  <c r="BH21" i="5"/>
  <c r="BH23" i="5"/>
  <c r="E18" i="5"/>
  <c r="E8" i="15"/>
  <c r="E28" i="15"/>
  <c r="E33" i="5"/>
  <c r="B225" i="17" l="1"/>
  <c r="FK13" i="10"/>
  <c r="FG13" i="10"/>
  <c r="J235" i="12" s="1"/>
  <c r="HL8" i="10"/>
  <c r="HJ6" i="10" s="1"/>
  <c r="H252" i="12" s="1"/>
  <c r="FK8" i="10"/>
  <c r="J242" i="12" s="1"/>
  <c r="FK13" i="15"/>
  <c r="FG13" i="15"/>
  <c r="J235" i="17" s="1"/>
  <c r="FK8" i="15"/>
  <c r="J242" i="17" s="1"/>
  <c r="HL8" i="15"/>
  <c r="HJ6" i="15" s="1"/>
  <c r="H252" i="17" s="1"/>
  <c r="B208" i="7"/>
  <c r="DK8" i="5"/>
  <c r="DK6" i="5"/>
  <c r="BH8" i="5"/>
  <c r="BH18" i="15"/>
  <c r="BH13" i="5"/>
  <c r="BH11" i="5"/>
  <c r="B225" i="7"/>
  <c r="B208" i="12"/>
  <c r="FK11" i="5"/>
  <c r="FK6" i="5"/>
  <c r="HL6" i="5"/>
  <c r="FG8" i="5"/>
  <c r="J218" i="7" s="1"/>
  <c r="HL6" i="15"/>
  <c r="FK11" i="15"/>
  <c r="FK6" i="15"/>
  <c r="FG8" i="15"/>
  <c r="J218" i="17" s="1"/>
  <c r="DK8" i="15"/>
  <c r="B208" i="17"/>
  <c r="DK6" i="15"/>
  <c r="BH21" i="15"/>
  <c r="BH13" i="15"/>
  <c r="B225" i="12"/>
  <c r="BH16" i="15"/>
  <c r="BH6" i="5"/>
  <c r="FG13" i="5"/>
  <c r="J235" i="7" s="1"/>
  <c r="FK8" i="5"/>
  <c r="J242" i="7" s="1"/>
  <c r="HL8" i="5"/>
  <c r="HJ6" i="5" s="1"/>
  <c r="H252" i="7" s="1"/>
  <c r="FK13" i="5"/>
  <c r="BH23" i="15"/>
  <c r="BH11" i="15"/>
  <c r="BH11" i="10"/>
  <c r="FK6" i="10"/>
  <c r="HL6" i="10"/>
  <c r="FK11" i="10"/>
  <c r="FG8" i="10"/>
  <c r="J218" i="12" s="1"/>
  <c r="FN11" i="10" l="1"/>
  <c r="FN13" i="10"/>
  <c r="HJ8" i="15"/>
  <c r="J252" i="17" s="1"/>
  <c r="HM11" i="15"/>
  <c r="HM13" i="15" s="1"/>
  <c r="HM6" i="15"/>
  <c r="HM8" i="15" s="1"/>
  <c r="DK13" i="10"/>
  <c r="HM11" i="10"/>
  <c r="HM13" i="10" s="1"/>
  <c r="HJ8" i="10"/>
  <c r="J252" i="12" s="1"/>
  <c r="HM6" i="10"/>
  <c r="HM8" i="10" s="1"/>
  <c r="B242" i="12"/>
  <c r="FN8" i="10"/>
  <c r="HM6" i="5"/>
  <c r="HM8" i="5" s="1"/>
  <c r="HM11" i="5"/>
  <c r="HM13" i="5" s="1"/>
  <c r="HJ8" i="5"/>
  <c r="J252" i="7" s="1"/>
  <c r="B242" i="7"/>
  <c r="FN13" i="5"/>
  <c r="FN11" i="5"/>
  <c r="DK13" i="15"/>
  <c r="DK11" i="10"/>
  <c r="DK11" i="5"/>
  <c r="DK11" i="15"/>
  <c r="B242" i="17"/>
  <c r="FN8" i="15"/>
  <c r="FN6" i="15"/>
  <c r="FN11" i="15"/>
  <c r="FN13" i="15"/>
  <c r="DK6" i="10"/>
  <c r="DK8" i="10"/>
  <c r="DK13" i="5"/>
  <c r="FN6" i="5" l="1"/>
  <c r="FN8" i="5"/>
  <c r="FN6" i="10"/>
</calcChain>
</file>

<file path=xl/sharedStrings.xml><?xml version="1.0" encoding="utf-8"?>
<sst xmlns="http://schemas.openxmlformats.org/spreadsheetml/2006/main" count="6321" uniqueCount="262">
  <si>
    <t>🏹  1ST GREENPARK ARCHERY TOURNAMENT — PARTICIPANT REGISTRY</t>
  </si>
  <si>
    <t>June 12, 2026  |  Pasig Greenpark Village Clubhouse, 137 Sydney, Pasig, Metro Manila</t>
  </si>
  <si>
    <t>#</t>
  </si>
  <si>
    <t>Archer's Full Name</t>
  </si>
  <si>
    <t>Age</t>
  </si>
  <si>
    <t>Category</t>
  </si>
  <si>
    <t>Bow</t>
  </si>
  <si>
    <t>Club / Barangay</t>
  </si>
  <si>
    <t>Target</t>
  </si>
  <si>
    <t>Contact</t>
  </si>
  <si>
    <t>Equipment</t>
  </si>
  <si>
    <t>Payment</t>
  </si>
  <si>
    <t>Ref #</t>
  </si>
  <si>
    <t>Amount</t>
  </si>
  <si>
    <t>Remarks</t>
  </si>
  <si>
    <t>Joseph Nesortado Naoe</t>
  </si>
  <si>
    <t>Open 30-Meter</t>
  </si>
  <si>
    <t>Barebow</t>
  </si>
  <si>
    <t>DMZ</t>
  </si>
  <si>
    <t>Jebbrich Tan Lim</t>
  </si>
  <si>
    <t>Attack Arena</t>
  </si>
  <si>
    <t>Zhean Benito</t>
  </si>
  <si>
    <t>Olympic Recurve</t>
  </si>
  <si>
    <t>Allan Robert Aruego</t>
  </si>
  <si>
    <t>Sheena Marie Monico</t>
  </si>
  <si>
    <t>Pasig AC</t>
  </si>
  <si>
    <t>Stella Mae Magalang</t>
  </si>
  <si>
    <t>Buting</t>
  </si>
  <si>
    <t>Aizen Zainna Quiellan M. Riego</t>
  </si>
  <si>
    <t>PAC Maybunga</t>
  </si>
  <si>
    <t>Leira Maxene Lagrimas</t>
  </si>
  <si>
    <t>Brgy. Sta Lucia</t>
  </si>
  <si>
    <t>Jasmine Eizelle P. Dipad</t>
  </si>
  <si>
    <t>N/A</t>
  </si>
  <si>
    <t>Allan Chew</t>
  </si>
  <si>
    <t>Myckhielle Joji Tan</t>
  </si>
  <si>
    <t>Beginner Advance 15-Meter</t>
  </si>
  <si>
    <t>Cromwell Dela Rosa</t>
  </si>
  <si>
    <t>Brgy Rosario</t>
  </si>
  <si>
    <t>Michael Allan Corpuz</t>
  </si>
  <si>
    <t>Novice 15-Meter</t>
  </si>
  <si>
    <t>Attack Arena AC</t>
  </si>
  <si>
    <t>Valerie Shantalle Buenaventura</t>
  </si>
  <si>
    <t>Greenpark Camp</t>
  </si>
  <si>
    <t>Kyara Lorielle Zate</t>
  </si>
  <si>
    <t>Pasig Greenpark AC</t>
  </si>
  <si>
    <t>⚙️  TOURNAMENT SETTINGS &amp; REFERENCE</t>
  </si>
  <si>
    <t>Reference only. Format is set per-category in each Team Assembly sheet.</t>
  </si>
  <si>
    <t>Term</t>
  </si>
  <si>
    <t>Explanation</t>
  </si>
  <si>
    <t>Dynamic Participants</t>
  </si>
  <si>
    <t>Add new archer in Scoring sheet (blank row, col B). They auto-appear in Team dropdowns. Scores, Ranks, Seeds, Brackets, Scoresheets all update instantly.</t>
  </si>
  <si>
    <t>Custom Team Name</t>
  </si>
  <si>
    <t>For Double or Team format: type your custom team name in Col B of Team Assembly. The formula pre-fills as 'Entry N' — just overwrite with your team name. Bracket shows this custom name.</t>
  </si>
  <si>
    <t>Rank in Bracket</t>
  </si>
  <si>
    <t>Seed badge (#N) shown in the first narrow column of each match slot. Entry name shows in the wide column beside it. Both auto-fill from Team Assembly.</t>
  </si>
  <si>
    <t>Target Assignment</t>
  </si>
  <si>
    <t>Set the target range (cells D5 'from' and E5 'to') on each Scoring sheet — column E auto-assigns each archer a target number from that range, in order. If the total number of archers fits within the range (e.g. range 3-6, up to 4 archers), everyone gets plain numbers (3,4,5,6). If there are MORE archers than numbers in the range, EVERY archer (including the first batch) gets a letter suffix that cycles A,B,C,... per pass through the range (3A,4A,5A,6A, then 3B,4B,5B,6B, ...) so the format stays consistent across the whole sheet. Auto-propagates to Scoresheet (viewer tab).</t>
  </si>
  <si>
    <t>Bracket Target Assignment</t>
  </si>
  <si>
    <t>Each Bracket sheet has its own target range input (top-left of row 2, 'Use Target #s from/to', default 3-6). Every player has their own target cell directly below their seed badge (#) in the bracket. EACH ROUND (R16, QF, SF, Final/3rd) is INDEPENDENT — the range always restarts from the beginning for each round. Within a round, the rule is: if the range size R &gt;= the number of matches in that round, each match gets a UNIQUE target number (no letter suffix), with top player shown as '&lt;num&gt; L' (Left) and bottom as '&lt;num&gt; R' (Right). If R &lt; number of matches, matches cycle through the range with letter suffixes: A = Left (top player), B = Right (bottom player). Letters ALWAYS reset to A/B for each round — they never continue as C/D from a previous round. Example with range 1-8 (R=8): R16 (8 matches, R=8 → unique: 1L/1R, 2L/2R...8L/8R), QF (4 matches, R=8≥4 → unique restarts: 1L/1R, 2L/2R, 3L/3R, 4L/4R), SF (2 matches, R=8≥2 → unique restarts: 1L/1R, 2L/2R), Final+3rd (1+1 match → 1L/1R and 2L/2R). All target cells are pre-filled with a formula but can be typed over to set a different target manually, same as the Scoring sheet's Target column. For QF/SF/Final/3rd-place matches, the target cells stay blank until both competitors in that match are determined (not TBD/BYE).</t>
  </si>
  <si>
    <t>Entered in Scoring sheet col D. Auto-carried to Team Assembly, Bracket, and Scoresheet.</t>
  </si>
  <si>
    <t>Scoresheet (viewer)</t>
  </si>
  <si>
    <t>Live-linked to Scoring tab. Print after scores are final and hand to participants. Shows rank, all arrow scores, end totals, and final rank.</t>
  </si>
  <si>
    <t>Olympic Card</t>
  </si>
  <si>
    <t>Live-linked to Bracket tab. Print before/after each round for match officials. Shows set scores, set points, and match status per competitor.</t>
  </si>
  <si>
    <t>Shoot-off</t>
  </si>
  <si>
    <t>Enter 1-arrow score in orange Shoot-Off column of Scoring sheet. FINAL RANK and Seed update automatically. Higher score = closer to X = better rank.</t>
  </si>
  <si>
    <t>Seeding</t>
  </si>
  <si>
    <t>1v16, 8v9, 5v12, 4v13, 3v14, 6v11, 7v10, 2v15 (WA standard R16 draw).</t>
  </si>
  <si>
    <t>BYE Rule (WA §10)</t>
  </si>
  <si>
    <t>Mark BYE=Yes in Team Assembly col L. Bracket shows 🟡 BYE. Opponent auto-advances.</t>
  </si>
  <si>
    <t>🏹  OPEN 30-METER — QUALIFICATION SCORING (36 Arrows)</t>
  </si>
  <si>
    <t>Date: June 12, 2026  |  Distance: 30m  |  WA Rules §9.4  |  0–10 or X</t>
  </si>
  <si>
    <t>INSTRUCTIONS: Enter 0–10 or X in yellow cells. Add archers in next empty row — formulas auto-extend. Shoot-off (orange col): fill ONLY for tied archers. FINAL RANK = official bracket seed.</t>
  </si>
  <si>
    <t>End 1  (6 arrows)</t>
  </si>
  <si>
    <t>End 2  (6 arrows)</t>
  </si>
  <si>
    <t>End 3  (6 arrows)</t>
  </si>
  <si>
    <t>End 4  (6 arrows)</t>
  </si>
  <si>
    <t>End 5  (6 arrows)</t>
  </si>
  <si>
    <t>End 6  (6 arrows)</t>
  </si>
  <si>
    <t>END SUBTOTALS</t>
  </si>
  <si>
    <t>RESULTS SUMMARY</t>
  </si>
  <si>
    <t>Use Target #s  →  (from / to)</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</si>
  <si>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</si>
  <si>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</si>
  <si>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</si>
  <si>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</si>
  <si>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</si>
  <si>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</si>
  <si>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</si>
  <si>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</si>
  <si>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</si>
  <si>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</si>
  <si>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</si>
  <si>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</si>
  <si>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</si>
  <si>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</si>
  <si>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</si>
  <si>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</si>
  <si>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</si>
  <si>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</si>
  <si>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</si>
  <si>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</si>
  <si>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</si>
  <si>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</si>
  <si>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</si>
  <si>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</si>
  <si>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</si>
  <si>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</si>
  <si>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</si>
  <si>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</si>
  <si>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</si>
  <si>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</si>
  <si>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</si>
  <si>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</si>
  <si>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</si>
  <si>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</si>
  <si>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</si>
  <si>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</si>
  <si>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E1</t>
  </si>
  <si>
    <t>E2</t>
  </si>
  <si>
    <t>E3</t>
  </si>
  <si>
    <t>E4</t>
  </si>
  <si>
    <t>E5</t>
  </si>
  <si>
    <t>E6</t>
  </si>
  <si>
    <t>TOTAL</t>
  </si>
  <si>
    <t>X</t>
  </si>
  <si>
    <t>10s</t>
  </si>
  <si>
    <t>9s</t>
  </si>
  <si>
    <t>RANK*
(prelim)</t>
  </si>
  <si>
    <t>SHOOT-OFF
(1 arrow)</t>
  </si>
  <si>
    <t>FINAL
RANK</t>
  </si>
  <si>
    <t>TIEBREAKER (WA §9.4): 1) Most X's → 2) Most 10s → 3) Most 9s → 4) SHOOT-OFF: 1 arrow, enter score in orange column (higher=closer to X=better). RANK*=preliminary. FINAL RANK=official seed for bracket.</t>
  </si>
  <si>
    <t>🎯  OPEN 30-METER — TEAM / INDIVIDUAL ASSEMBLY &amp; AUTO-SEEDING</t>
  </si>
  <si>
    <t>FORMAT (D4): Individual / Double / Team (3 archers).  GROUPING (D5): Custom (by rank) pairs best+worst / By Club groups club-mates.  Type custom team name in col N (purple) to override bracket display name.</t>
  </si>
  <si>
    <t>FORMAT →</t>
  </si>
  <si>
    <t>Individual</t>
  </si>
  <si>
    <t>Select format above, then grouping below.</t>
  </si>
  <si>
    <t>GROUPING →</t>
  </si>
  <si>
    <t>Custom (by rank)</t>
  </si>
  <si>
    <t>Custom: Rank1 &amp; RankN, Rank2 &amp; Rank(N-1)…  |  By Club: groups top archers from same club together (Double=top2/club, Team=top3/club).</t>
  </si>
  <si>
    <t>Seed
(auto)</t>
  </si>
  <si>
    <t>Bracket Display Name
(auto — uses col N if filled)</t>
  </si>
  <si>
    <t>Club
(auto)</t>
  </si>
  <si>
    <t>Archer 1
(auto — DO NOT EDIT)</t>
  </si>
  <si>
    <t>Archer 2
(auto — DO NOT EDIT)</t>
  </si>
  <si>
    <t>Archer 3
(auto — DO NOT EDIT)</t>
  </si>
  <si>
    <t>Score 1
(auto)</t>
  </si>
  <si>
    <t>Score 2
(auto)</t>
  </si>
  <si>
    <t>Score 3
(auto)</t>
  </si>
  <si>
    <t>TEAM
TOTAL
(auto)</t>
  </si>
  <si>
    <t>SO
Total
(auto)</t>
  </si>
  <si>
    <t>Exclude?</t>
  </si>
  <si>
    <t>Club
Group
(auto)</t>
  </si>
  <si>
    <t>✏️ CUSTOM
TEAM NAME
(type here)</t>
  </si>
  <si>
    <t>No</t>
  </si>
  <si>
    <t>HOW TO USE: ① FORMAT (D4): Individual / Double / Team (3 archers).  ② GROUPING (D5): Custom = pairs best+worst by rank.  By Club = groups club-mates (top 2 per club for Double, top 3 for Team).  ③ BYE=Yes (col L) → auto-advances in bracket.  ④ Custom name (col N, purple) → overrides bracket display name.  ⑤ Archer 1/2/3 are AUTO — do NOT edit those columns.</t>
  </si>
  <si>
    <t>🏆  OLYMPIC ELIMINATION BRACKET — OPEN 30-METER</t>
  </si>
  <si>
    <t>Use Target #s (from/to)</t>
  </si>
  <si>
    <t>Names locked to Team Assembly. Enter 0-10/X/M in yellow cells. First to 6 set pts wins &amp; advances. BYEs auto-advance.</t>
  </si>
  <si>
    <t>ROUND OF 16</t>
  </si>
  <si>
    <t>QUARTERFINALS</t>
  </si>
  <si>
    <t>SEMIFINALS</t>
  </si>
  <si>
    <t>FINAL</t>
  </si>
  <si>
    <t>🏅 PODIUM</t>
  </si>
  <si>
    <t>Entry Name</t>
  </si>
  <si>
    <t>Set 1</t>
  </si>
  <si>
    <t>Set 2</t>
  </si>
  <si>
    <t>Set 3</t>
  </si>
  <si>
    <t>Set 4</t>
  </si>
  <si>
    <t>Set 5</t>
  </si>
  <si>
    <t>S-Off</t>
  </si>
  <si>
    <t>Pts</t>
  </si>
  <si>
    <t>DQ</t>
  </si>
  <si>
    <t>Tie</t>
  </si>
  <si>
    <t>Status</t>
  </si>
  <si>
    <t>R16 M1  (Seed 1 vs Seed 16)</t>
  </si>
  <si>
    <t>QF 1  (W R16-M1 vs W R16-M2)</t>
  </si>
  <si>
    <t>SF 1  (W QF1 vs W QF2)</t>
  </si>
  <si>
    <t>FINAL  (Winner SF1 vs Winner SF2)</t>
  </si>
  <si>
    <t>🏆 CHAMPION</t>
  </si>
  <si>
    <t>"W-R16M1"</t>
  </si>
  <si>
    <t>"W-QF1"</t>
  </si>
  <si>
    <t>"W-SF1"</t>
  </si>
  <si>
    <t>"W-R16M2"</t>
  </si>
  <si>
    <t>"W-QF2"</t>
  </si>
  <si>
    <t>"W-SF2"</t>
  </si>
  <si>
    <t>🥉  3RD PLACE PLAY-OFF  (SF1 Loser vs SF2 Loser)</t>
  </si>
  <si>
    <t>R16 M2  (Seed 8 vs Seed 9)</t>
  </si>
  <si>
    <t>QF 2  (W R16-M3 vs W R16-M4)</t>
  </si>
  <si>
    <t>SF 2  (W QF3 vs W QF4)</t>
  </si>
  <si>
    <t>🥈 SILVER</t>
  </si>
  <si>
    <t>"W-R16M3"</t>
  </si>
  <si>
    <t>"W-QF3"</t>
  </si>
  <si>
    <t>"SF1 Loser"</t>
  </si>
  <si>
    <t>"W-R16M4"</t>
  </si>
  <si>
    <t>"W-QF4"</t>
  </si>
  <si>
    <t>"SF2 Loser"</t>
  </si>
  <si>
    <t>R16 M3  (Seed 5 vs Seed 12)</t>
  </si>
  <si>
    <t>QF 3  (W R16-M5 vs W R16-M6)</t>
  </si>
  <si>
    <t>🥉 BRONZE</t>
  </si>
  <si>
    <t>"W-R16M5"</t>
  </si>
  <si>
    <t>"W-R16M6"</t>
  </si>
  <si>
    <t>R16 M4  (Seed 4 vs Seed 13)</t>
  </si>
  <si>
    <t>QF 4  (W R16-M7 vs W R16-M8)</t>
  </si>
  <si>
    <t>"W-R16M7"</t>
  </si>
  <si>
    <t>"W-R16M8"</t>
  </si>
  <si>
    <t>R16 M5  (Seed 3 vs Seed 14)</t>
  </si>
  <si>
    <t>R16 M6  (Seed 6 vs Seed 11)</t>
  </si>
  <si>
    <t>R16 M7  (Seed 7 vs Seed 10)</t>
  </si>
  <si>
    <t>R16 M8  (Seed 2 vs Seed 15)</t>
  </si>
  <si>
    <t>🥇 Gold = Champion   |   🥈 Silver = Final runner-up   |   🥉 Bronze = 3rd Place winner</t>
  </si>
  <si>
    <t>NAMES LOCKED: Entry names come from Team Assembly only — scores never change names. BYE=Yes or empty seed slots auto-advance without any score entry.</t>
  </si>
  <si>
    <t>SCORING: Enter 0-10 or X in yellow arrow cells. Set total auto-calculates. Set Pts: win=+2, draw=+1, lose=0. First to 6 set points wins match.</t>
  </si>
  <si>
    <t>TIE-BREAK: If set points tied after 5 sets, compare cumulative arrow totals. If still tied → 'Tie-shoot' (1 arrow — admin enters in Set 5 cells).</t>
  </si>
  <si>
    <t>1st Greenpark Archery Tournament — Qualification Score Sheet</t>
  </si>
  <si>
    <t>Open 30-Meter  |  Distance: 30  |  Date: June 12, 2026  |  Pasig Greenpark Village Clubhouse, 137 Sydney, Pasig, Metro Manila</t>
  </si>
  <si>
    <t>This scoresheet is live-linked to the official Scoring tab. Print after scores are finalised. Each page shows 2 archers side-by-side.</t>
  </si>
  <si>
    <t>Name</t>
  </si>
  <si>
    <t>Rank</t>
  </si>
  <si>
    <t>Club</t>
  </si>
  <si>
    <t>End</t>
  </si>
  <si>
    <t>1</t>
  </si>
  <si>
    <t>2</t>
  </si>
  <si>
    <t>3</t>
  </si>
  <si>
    <t>End
Total</t>
  </si>
  <si>
    <t>Running
Score</t>
  </si>
  <si>
    <t>4</t>
  </si>
  <si>
    <t>5</t>
  </si>
  <si>
    <t>6</t>
  </si>
  <si>
    <t>Total</t>
  </si>
  <si>
    <t>ROUND OF 16  ·  R16 MATCH 1 (Seed 1 vs Seed 16)</t>
  </si>
  <si>
    <t>TEAM</t>
  </si>
  <si>
    <t>POINT</t>
  </si>
  <si>
    <t>Targetbutt:</t>
  </si>
  <si>
    <t>ROUND</t>
  </si>
  <si>
    <t>Score</t>
  </si>
  <si>
    <t>Shoot-Off</t>
  </si>
  <si>
    <t>ROUND OF 16  ·  R16 MATCH 2 (Seed 8 vs Seed 9)</t>
  </si>
  <si>
    <t>ROUND OF 16  ·  R16 MATCH 3 (Seed 5 vs Seed 12)</t>
  </si>
  <si>
    <t>ROUND OF 16  ·  R16 MATCH 4 (Seed 4 vs Seed 13)</t>
  </si>
  <si>
    <t>ROUND OF 16  ·  R16 MATCH 5 (Seed 3 vs Seed 14)</t>
  </si>
  <si>
    <t>ROUND OF 16  ·  R16 MATCH 6 (Seed 6 vs Seed 11)</t>
  </si>
  <si>
    <t>ROUND OF 16  ·  R16 MATCH 7 (Seed 7 vs Seed 10)</t>
  </si>
  <si>
    <t>ROUND OF 16  ·  R16 MATCH 8 (Seed 2 vs Seed 15)</t>
  </si>
  <si>
    <t>QUARTERFINALS  ·  QUARTERFINAL 1</t>
  </si>
  <si>
    <t>QUARTERFINALS  ·  QUARTERFINAL 2</t>
  </si>
  <si>
    <t>QUARTERFINALS  ·  QUARTERFINAL 3</t>
  </si>
  <si>
    <t>QUARTERFINALS  ·  QUARTERFINAL 4</t>
  </si>
  <si>
    <t>SEMIFINALS  ·  SEMIFINAL 1</t>
  </si>
  <si>
    <t>SEMIFINALS  ·  SEMIFINAL 2</t>
  </si>
  <si>
    <t>FINAL  ·  FINAL</t>
  </si>
  <si>
    <t>3RD PLACE  ·  3RD PLACE</t>
  </si>
  <si>
    <t>🏹  BEGINNER ADVANCE 15-METER — QUALIFICATION SCORING (36 Arrows)</t>
  </si>
  <si>
    <t>Date: June 12, 2026  |  Distance: 15m  |  WA Rules §9.4  |  0–10 or X</t>
  </si>
  <si>
    <t>🎯  BEGINNER ADVANCE 15-METER — TEAM / INDIVIDUAL ASSEMBLY &amp; AUTO-SEEDING</t>
  </si>
  <si>
    <t>🏆  OLYMPIC ELIMINATION BRACKET — BEGINNER ADVANCE 15-METER</t>
  </si>
  <si>
    <t>Beginner Advance 15-Meter  |  Distance: 15  |  Date: June 12, 2026  |  Pasig Greenpark Village Clubhouse, 137 Sydney, Pasig, Metro Manila</t>
  </si>
  <si>
    <t>🏹  NOVICE 15-METER — QUALIFICATION SCORING (36 Arrows)</t>
  </si>
  <si>
    <t>🎯  NOVICE 15-METER — TEAM / INDIVIDUAL ASSEMBLY &amp; AUTO-SEEDING</t>
  </si>
  <si>
    <t>🏆  OLYMPIC ELIMINATION BRACKET — NOVICE 15-METER</t>
  </si>
  <si>
    <t>Novice 15-Meter  |  Distance: 15  |  Date: June 12, 2026  |  Pasig Greenpark Village Clubhouse, 137 Sydney, Pasig, Metro Manila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</si>
</sst>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Calibri"/>
      <family val="2"/>
      <charset val="1"/>
    </font>
    <font>
      <b/>
      <sz val="13"/>
      <color rgb="FFFFFFFF"/>
      <name val="Arial"/>
      <charset val="1"/>
    </font>
    <font>
      <b/>
      <sz val="11"/>
      <color rgb="FFFFFFFF"/>
      <name val="Arial"/>
      <charset val="1"/>
    </font>
    <font>
      <b/>
      <sz val="10"/>
      <color rgb="FFFFFFFF"/>
      <name val="Arial"/>
      <charset val="1"/>
    </font>
    <font>
      <sz val="10"/>
      <color rgb="FF000000"/>
      <name val="Arial"/>
      <charset val="1"/>
    </font>
    <font>
      <b/>
      <sz val="12"/>
      <color rgb="FFFFFFFF"/>
      <name val="Arial"/>
      <charset val="1"/>
    </font>
    <font>
      <b/>
      <sz val="10"/>
      <color rgb="FF1B5E20"/>
      <name val="Arial"/>
      <charset val="1"/>
    </font>
    <font>
      <i/>
      <sz val="9"/>
      <color rgb="FFC62828"/>
      <name val="Arial"/>
      <charset val="1"/>
    </font>
    <font>
      <b/>
      <sz val="10"/>
      <color rgb="FF000000"/>
      <name val="Arial"/>
      <charset val="1"/>
    </font>
    <font>
      <i/>
      <sz val="8"/>
      <color rgb="FFC62828"/>
      <name val="Arial"/>
      <charset val="1"/>
    </font>
    <font>
      <b/>
      <sz val="10"/>
      <color rgb="FF0D47A1"/>
      <name val="Arial"/>
      <charset val="1"/>
    </font>
    <font>
      <b/>
      <sz val="9"/>
      <color rgb="FFFFFFFF"/>
      <name val="Arial"/>
      <charset val="1"/>
    </font>
    <font>
      <b/>
      <sz val="9"/>
      <color rgb="FF000000"/>
      <name val="Arial"/>
      <charset val="1"/>
    </font>
    <font>
      <b/>
      <sz val="11"/>
      <color rgb="FF1B5E20"/>
      <name val="Arial"/>
      <charset val="1"/>
    </font>
    <font>
      <b/>
      <sz val="10"/>
      <color rgb="FFE65100"/>
      <name val="Arial"/>
      <charset val="1"/>
    </font>
    <font>
      <b/>
      <sz val="10"/>
      <color rgb="FFC62828"/>
      <name val="Arial"/>
      <charset val="1"/>
    </font>
    <font>
      <b/>
      <sz val="11"/>
      <color rgb="FFE65100"/>
      <name val="Arial"/>
      <charset val="1"/>
    </font>
    <font>
      <b/>
      <sz val="12"/>
      <color rgb="FFC62828"/>
      <name val="Arial"/>
      <charset val="1"/>
    </font>
    <font>
      <b/>
      <sz val="9"/>
      <color rgb="FF1B5E20"/>
      <name val="Arial"/>
      <charset val="1"/>
    </font>
    <font>
      <i/>
      <sz val="9"/>
      <color rgb="FF1565C0"/>
      <name val="Arial"/>
      <charset val="1"/>
    </font>
    <font>
      <b/>
      <sz val="11"/>
      <color rgb="FFC62828"/>
      <name val="Arial"/>
      <charset val="1"/>
    </font>
    <font>
      <sz val="10"/>
      <color rgb="FF555555"/>
      <name val="Arial"/>
      <charset val="1"/>
    </font>
    <font>
      <b/>
      <sz val="12"/>
      <color rgb="FF1B5E20"/>
      <name val="Arial"/>
      <charset val="1"/>
    </font>
    <font>
      <sz val="8"/>
      <color rgb="FF0D47A1"/>
      <name val="Arial"/>
      <charset val="1"/>
    </font>
    <font>
      <b/>
      <sz val="10"/>
      <color rgb="FF4A148C"/>
      <name val="Arial"/>
      <charset val="1"/>
    </font>
    <font>
      <b/>
      <sz val="9"/>
      <color rgb="FF0D47A1"/>
      <name val="Arial"/>
      <charset val="1"/>
    </font>
    <font>
      <i/>
      <sz val="7"/>
      <color rgb="FFC62828"/>
      <name val="Arial"/>
      <charset val="1"/>
    </font>
    <font>
      <b/>
      <sz val="8"/>
      <color rgb="FFFFFFFF"/>
      <name val="Arial"/>
      <charset val="1"/>
    </font>
    <font>
      <b/>
      <sz val="7"/>
      <color rgb="FFFFFFFF"/>
      <name val="Arial"/>
      <charset val="1"/>
    </font>
    <font>
      <b/>
      <sz val="7"/>
      <color rgb="FF0D47A1"/>
      <name val="Arial"/>
      <charset val="1"/>
    </font>
    <font>
      <b/>
      <sz val="7"/>
      <color rgb="FF000000"/>
      <name val="Arial"/>
      <charset val="1"/>
    </font>
    <font>
      <b/>
      <sz val="8"/>
      <color rgb="FF000000"/>
      <name val="Arial"/>
      <charset val="1"/>
    </font>
    <font>
      <b/>
      <sz val="8"/>
      <color rgb="FF1B5E20"/>
      <name val="Arial"/>
      <charset val="1"/>
    </font>
    <font>
      <b/>
      <sz val="8"/>
      <color rgb="FFE65100"/>
      <name val="Arial"/>
      <charset val="1"/>
    </font>
    <font>
      <b/>
      <sz val="7"/>
      <color rgb="FFC62828"/>
      <name val="Arial"/>
      <charset val="1"/>
    </font>
    <font>
      <b/>
      <sz val="7"/>
      <color rgb="FFE65100"/>
      <name val="Arial"/>
      <charset val="1"/>
    </font>
    <font>
      <b/>
      <sz val="7"/>
      <name val="Arial"/>
      <charset val="1"/>
    </font>
    <font>
      <sz val="6"/>
      <color rgb="FFFFFFFF"/>
      <name val="Arial"/>
      <charset val="1"/>
    </font>
    <font>
      <b/>
      <sz val="12"/>
      <color rgb="FF000000"/>
      <name val="Arial"/>
      <charset val="1"/>
    </font>
    <font>
      <sz val="9"/>
      <color rgb="FF000000"/>
      <name val="Arial"/>
      <charset val="1"/>
    </font>
    <font>
      <i/>
      <sz val="9"/>
      <color rgb="FF1B5E20"/>
      <name val="Arial"/>
      <charset val="1"/>
    </font>
    <font>
      <b/>
      <sz val="14"/>
      <color rgb="FF1B5E20"/>
      <name val="Arial"/>
      <charset val="1"/>
    </font>
    <font>
      <sz val="9"/>
      <color rgb="FF2E7D32"/>
      <name val="Arial"/>
      <charset val="1"/>
    </font>
    <font>
      <i/>
      <sz val="8"/>
      <color rgb="FF4A148C"/>
      <name val="Arial"/>
      <charset val="1"/>
    </font>
    <font>
      <b/>
      <sz val="9"/>
      <name val="Arial"/>
      <charset val="1"/>
    </font>
    <font>
      <sz val="9"/>
      <name val="Arial"/>
      <charset val="1"/>
    </font>
    <font>
      <b/>
      <sz val="10"/>
      <color rgb="FF2E7D32"/>
      <name val="Arial"/>
      <charset val="1"/>
    </font>
    <font>
      <b/>
      <sz val="11"/>
      <name val="Arial"/>
      <charset val="1"/>
    </font>
    <font>
      <b/>
      <sz val="14"/>
      <color rgb="FF2E7D32"/>
      <name val="Arial"/>
      <charset val="1"/>
    </font>
    <font>
      <b/>
      <sz val="9"/>
      <color rgb="FFE65100"/>
      <name val="Arial"/>
      <charset val="1"/>
    </font>
    <font>
      <b/>
      <sz val="10"/>
      <name val="Arial"/>
      <charset val="1"/>
    </font>
    <font>
      <sz val="7"/>
      <name val="Arial"/>
      <charset val="1"/>
    </font>
    <font>
      <b/>
      <sz val="8"/>
      <color rgb="FF1565C0"/>
      <name val="Arial"/>
      <charset val="1"/>
    </font>
    <font>
      <b/>
      <sz val="22"/>
      <color rgb="FF1B5E20"/>
      <name val="Arial"/>
      <charset val="1"/>
    </font>
  </fonts>
  <fills count="32">
    <fill>
      <patternFill patternType="none"/>
    </fill>
    <fill>
      <patternFill patternType="gray125"/>
    </fill>
    <fill>
      <patternFill patternType="solid">
        <fgColor rgb="FF1B5E20"/>
        <bgColor rgb="FF2E7D32"/>
      </patternFill>
    </fill>
    <fill>
      <patternFill patternType="solid">
        <fgColor rgb="FF2E7D32"/>
        <bgColor rgb="FF1B5E20"/>
      </patternFill>
    </fill>
    <fill>
      <patternFill patternType="solid">
        <fgColor rgb="FFF1F8E9"/>
        <bgColor rgb="FFF5F5F5"/>
      </patternFill>
    </fill>
    <fill>
      <patternFill patternType="solid">
        <fgColor rgb="FFFFFFFF"/>
        <bgColor rgb="FFFAFAFA"/>
      </patternFill>
    </fill>
    <fill>
      <patternFill patternType="solid">
        <fgColor rgb="FFC8E6C9"/>
        <bgColor rgb="FFCFD8DC"/>
      </patternFill>
    </fill>
    <fill>
      <patternFill patternType="solid">
        <fgColor rgb="FFFFF9C4"/>
        <bgColor rgb="FFFFF8E1"/>
      </patternFill>
    </fill>
    <fill>
      <patternFill patternType="solid">
        <fgColor rgb="FFF9A825"/>
        <bgColor rgb="FFCD7F32"/>
      </patternFill>
    </fill>
    <fill>
      <patternFill patternType="solid">
        <fgColor rgb="FFE65100"/>
        <bgColor rgb="FFC62828"/>
      </patternFill>
    </fill>
    <fill>
      <patternFill patternType="solid">
        <fgColor rgb="FFC62828"/>
        <bgColor rgb="FF993366"/>
      </patternFill>
    </fill>
    <fill>
      <patternFill patternType="solid">
        <fgColor rgb="FFE8EAF6"/>
        <bgColor rgb="FFEDE7F6"/>
      </patternFill>
    </fill>
    <fill>
      <patternFill patternType="solid">
        <fgColor rgb="FFFFFDE7"/>
        <bgColor rgb="FFFFF8E1"/>
      </patternFill>
    </fill>
    <fill>
      <patternFill patternType="solid">
        <fgColor rgb="FFFFE0B2"/>
        <bgColor rgb="FFEFE0D0"/>
      </patternFill>
    </fill>
    <fill>
      <patternFill patternType="solid">
        <fgColor rgb="FFFFF8E1"/>
        <bgColor rgb="FFFFF3E0"/>
      </patternFill>
    </fill>
    <fill>
      <patternFill patternType="solid">
        <fgColor rgb="FFFFF3E0"/>
        <bgColor rgb="FFFFF8E1"/>
      </patternFill>
    </fill>
    <fill>
      <patternFill patternType="solid">
        <fgColor rgb="FFFFCDD2"/>
        <bgColor rgb="FFEFE0D0"/>
      </patternFill>
    </fill>
    <fill>
      <patternFill patternType="solid">
        <fgColor rgb="FFFFEBEE"/>
        <bgColor rgb="FFFFF3E0"/>
      </patternFill>
    </fill>
    <fill>
      <patternFill patternType="solid">
        <fgColor rgb="FFE3F2FD"/>
        <bgColor rgb="FFE8EAF6"/>
      </patternFill>
    </fill>
    <fill>
      <patternFill patternType="solid">
        <fgColor rgb="FF4A148C"/>
        <bgColor rgb="FF333399"/>
      </patternFill>
    </fill>
    <fill>
      <patternFill patternType="solid">
        <fgColor rgb="FFE8F5E9"/>
        <bgColor rgb="FFF1F8E9"/>
      </patternFill>
    </fill>
    <fill>
      <patternFill patternType="solid">
        <fgColor rgb="FFEDE7F6"/>
        <bgColor rgb="FFE8EAF6"/>
      </patternFill>
    </fill>
    <fill>
      <patternFill patternType="solid">
        <fgColor rgb="FF0D47A1"/>
        <bgColor rgb="FF1565C0"/>
      </patternFill>
    </fill>
    <fill>
      <patternFill patternType="solid">
        <fgColor rgb="FF1565C0"/>
        <bgColor rgb="FF0277BD"/>
      </patternFill>
    </fill>
    <fill>
      <patternFill patternType="solid">
        <fgColor rgb="FFCFD8DC"/>
        <bgColor rgb="FFC8E6C9"/>
      </patternFill>
    </fill>
    <fill>
      <patternFill patternType="solid">
        <fgColor rgb="FFCD7F32"/>
        <bgColor rgb="FFF9A825"/>
      </patternFill>
    </fill>
    <fill>
      <patternFill patternType="solid">
        <fgColor rgb="FFF5F5F5"/>
        <bgColor rgb="FFFAFAFA"/>
      </patternFill>
    </fill>
    <fill>
      <patternFill patternType="solid">
        <fgColor rgb="FFEFE0D0"/>
        <bgColor rgb="FFFFE0B2"/>
      </patternFill>
    </fill>
    <fill>
      <patternFill patternType="solid">
        <fgColor rgb="FFFAFAFA"/>
        <bgColor rgb="FFFFFFFF"/>
      </patternFill>
    </fill>
    <fill>
      <patternFill patternType="solid">
        <fgColor rgb="FF4CAF50"/>
        <bgColor rgb="FF2E7D32"/>
      </patternFill>
    </fill>
    <fill>
      <patternFill patternType="solid">
        <fgColor rgb="FF1E88E5"/>
        <bgColor rgb="FF0277BD"/>
      </patternFill>
    </fill>
    <fill>
      <patternFill patternType="solid">
        <fgColor rgb="FF5D4037"/>
        <bgColor rgb="FF555555"/>
      </patternFill>
    </fill>
  </fills>
  <borders count="15">
    <border>
      <left/>
      <right/>
      <top/>
      <bottom/>
      <diagonal/>
    </border>
    <border>
      <left style="thin">
        <color rgb="FFBDBDBD"/>
      </left>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thin">
        <color rgb="FFF9A825"/>
      </left>
      <right style="thin">
        <color rgb="FFF9A825"/>
      </right>
      <top style="thin">
        <color rgb="FFF9A825"/>
      </top>
      <bottom style="thin">
        <color rgb="FFF9A825"/>
      </bottom>
      <diagonal/>
    </border>
    <border>
      <left style="thin">
        <color rgb="FFE65100"/>
      </left>
      <right style="thin">
        <color rgb="FFE65100"/>
      </right>
      <top style="thin">
        <color rgb="FFE65100"/>
      </top>
      <bottom style="thin">
        <color rgb="FFE65100"/>
      </bottom>
      <diagonal/>
    </border>
    <border>
      <left style="thin">
        <color rgb="FFC62828"/>
      </left>
      <right style="thin">
        <color rgb="FFC62828"/>
      </right>
      <top style="thin">
        <color rgb="FFC62828"/>
      </top>
      <bottom style="thin">
        <color rgb="FFC62828"/>
      </bottom>
      <diagonal/>
    </border>
    <border>
      <left style="thin">
        <color rgb="FF9E9E9E"/>
      </left>
      <right style="thin">
        <color rgb="FF9E9E9E"/>
      </right>
      <top style="thin">
        <color rgb="FF9E9E9E"/>
      </top>
      <bottom style="thin">
        <color rgb="FF9E9E9E"/>
      </bottom>
      <diagonal/>
    </border>
    <border>
      <left style="thin">
        <color rgb="FF0D47A1"/>
      </left>
      <right style="thin">
        <color rgb="FF0D47A1"/>
      </right>
      <top style="thin">
        <color rgb="FF0D47A1"/>
      </top>
      <bottom style="thin">
        <color rgb="FF0D47A1"/>
      </bottom>
      <diagonal/>
    </border>
    <border>
      <left style="thin">
        <color rgb="FF4A148C"/>
      </left>
      <right style="thin">
        <color rgb="FF4A148C"/>
      </right>
      <top style="thin">
        <color rgb="FF4A148C"/>
      </top>
      <bottom style="thin">
        <color rgb="FF4A148C"/>
      </bottom>
      <diagonal/>
    </border>
    <border>
      <left style="thin">
        <color rgb="FFBDBDBD"/>
      </left>
      <right/>
      <top style="thin">
        <color rgb="FFBDBDBD"/>
      </top>
      <bottom/>
      <diagonal/>
    </border>
    <border>
      <left style="medium">
        <color auto="1"/>
      </left>
      <right/>
      <top style="medium">
        <color auto="1"/>
      </top>
      <bottom/>
      <diagonal/>
    </border>
    <border>
      <left style="thin">
        <color rgb="FFCD7F32"/>
      </left>
      <right style="thin">
        <color rgb="FFCD7F32"/>
      </right>
      <top style="thin">
        <color rgb="FFCD7F32"/>
      </top>
      <bottom style="thin">
        <color rgb="FFCD7F32"/>
      </bottom>
      <diagonal/>
    </border>
    <border>
      <left style="medium">
        <color auto="1"/>
      </left>
      <right/>
      <top style="medium">
        <color auto="1"/>
      </top>
      <bottom style="medium">
        <color auto="1"/>
      </bottom>
      <diagonal/>
    </border>
    <border>
      <left style="thin">
        <color rgb="FF9E9E9E"/>
      </left>
      <right/>
      <top style="thin">
        <color rgb="FF9E9E9E"/>
      </top>
      <bottom style="thin">
        <color rgb="FF9E9E9E"/>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135">
    <xf numFmtId="0" fontId="0" fillId="0" borderId="0" xfId="0"/>
    <xf numFmtId="0" fontId="27" fillId="3" borderId="1" xfId="0" applyFont="1" applyFill="1" applyBorder="1" applyAlignment="1">
      <alignment horizontal="center" vertical="center" wrapText="1"/>
    </xf>
    <xf numFmtId="0" fontId="26" fillId="7"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9" fillId="18"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9" fillId="7" borderId="1" xfId="0" applyFont="1" applyFill="1" applyBorder="1" applyAlignment="1">
      <alignment horizontal="right" vertical="center" wrapText="1"/>
    </xf>
    <xf numFmtId="0" fontId="8" fillId="8"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2" xfId="0" applyFont="1" applyFill="1" applyBorder="1" applyAlignment="1">
      <alignment horizontal="left" vertical="center" wrapText="1"/>
    </xf>
    <xf numFmtId="0" fontId="10" fillId="11" borderId="2"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8" fillId="14" borderId="2" xfId="0" applyFont="1" applyFill="1" applyBorder="1" applyAlignment="1">
      <alignment horizontal="center" vertical="center" wrapText="1"/>
    </xf>
    <xf numFmtId="0" fontId="15" fillId="7" borderId="2" xfId="0" applyFont="1" applyFill="1" applyBorder="1" applyAlignment="1">
      <alignment horizontal="center" vertical="center" wrapText="1"/>
    </xf>
    <xf numFmtId="0" fontId="16" fillId="15" borderId="4" xfId="0" applyFont="1" applyFill="1" applyBorder="1" applyAlignment="1">
      <alignment horizontal="center" vertical="center" wrapText="1"/>
    </xf>
    <xf numFmtId="0" fontId="17" fillId="16" borderId="5"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15" fillId="5" borderId="2" xfId="0" applyFont="1" applyFill="1" applyBorder="1" applyAlignment="1">
      <alignment horizontal="center" vertical="center" wrapText="1"/>
    </xf>
    <xf numFmtId="0" fontId="17" fillId="17" borderId="5"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1" fillId="19" borderId="2"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1" fillId="6" borderId="2" xfId="0" applyFont="1" applyFill="1" applyBorder="1" applyAlignment="1">
      <alignment horizontal="left" vertical="center" wrapText="1"/>
    </xf>
    <xf numFmtId="0" fontId="6" fillId="20" borderId="6" xfId="0" applyFont="1" applyFill="1" applyBorder="1" applyAlignment="1">
      <alignment horizontal="left" vertical="center" wrapText="1"/>
    </xf>
    <xf numFmtId="0" fontId="21" fillId="20" borderId="2"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22" fillId="7" borderId="3" xfId="0" applyFont="1" applyFill="1" applyBorder="1" applyAlignment="1">
      <alignment horizontal="center" vertical="center" wrapText="1"/>
    </xf>
    <xf numFmtId="0" fontId="14" fillId="15" borderId="4"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23" fillId="11" borderId="7" xfId="0" applyFont="1" applyFill="1" applyBorder="1" applyAlignment="1">
      <alignment horizontal="center" vertical="center" wrapText="1"/>
    </xf>
    <xf numFmtId="0" fontId="24" fillId="21" borderId="8" xfId="0" applyFont="1" applyFill="1" applyBorder="1" applyAlignment="1">
      <alignment horizontal="left" vertical="center" wrapText="1"/>
    </xf>
    <xf numFmtId="0" fontId="25" fillId="7" borderId="3"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30" fillId="8" borderId="2" xfId="0" applyFont="1" applyFill="1" applyBorder="1" applyAlignment="1">
      <alignment horizontal="center" vertical="center" wrapText="1"/>
    </xf>
    <xf numFmtId="0" fontId="28" fillId="10" borderId="2"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28" fillId="10" borderId="5" xfId="0" applyFont="1" applyFill="1" applyBorder="1" applyAlignment="1">
      <alignment horizontal="center" vertical="center" shrinkToFit="1"/>
    </xf>
    <xf numFmtId="0" fontId="32" fillId="12" borderId="3" xfId="0" applyFont="1" applyFill="1" applyBorder="1" applyAlignment="1">
      <alignment horizontal="center" vertical="center" wrapText="1"/>
    </xf>
    <xf numFmtId="0" fontId="32" fillId="6" borderId="2" xfId="0" applyFont="1" applyFill="1" applyBorder="1" applyAlignment="1">
      <alignment horizontal="center" vertical="center" wrapText="1"/>
    </xf>
    <xf numFmtId="0" fontId="33" fillId="15" borderId="4" xfId="0" applyFont="1" applyFill="1" applyBorder="1" applyAlignment="1">
      <alignment horizontal="center" vertical="center" wrapText="1"/>
    </xf>
    <xf numFmtId="0" fontId="32" fillId="7" borderId="3" xfId="0" applyFont="1" applyFill="1" applyBorder="1" applyAlignment="1">
      <alignment horizontal="center" vertical="center" wrapText="1"/>
    </xf>
    <xf numFmtId="0" fontId="34" fillId="17" borderId="5" xfId="0" applyFont="1" applyFill="1" applyBorder="1" applyAlignment="1">
      <alignment horizontal="center" vertical="center" wrapText="1"/>
    </xf>
    <xf numFmtId="0" fontId="35" fillId="13" borderId="4" xfId="0" applyFont="1" applyFill="1" applyBorder="1" applyAlignment="1">
      <alignment horizontal="center" vertical="center" wrapText="1"/>
    </xf>
    <xf numFmtId="0" fontId="36" fillId="7" borderId="2" xfId="0" applyFont="1" applyFill="1" applyBorder="1" applyAlignment="1">
      <alignment horizontal="center" vertical="center" wrapText="1"/>
    </xf>
    <xf numFmtId="0" fontId="37" fillId="5" borderId="0" xfId="0" applyFont="1" applyFill="1"/>
    <xf numFmtId="0" fontId="28" fillId="8" borderId="3" xfId="0" applyFont="1" applyFill="1" applyBorder="1" applyAlignment="1">
      <alignment horizontal="center" vertical="center" shrinkToFit="1"/>
    </xf>
    <xf numFmtId="0" fontId="0" fillId="24" borderId="2" xfId="0" applyFill="1" applyBorder="1"/>
    <xf numFmtId="0" fontId="28" fillId="25" borderId="11" xfId="0" applyFont="1" applyFill="1" applyBorder="1" applyAlignment="1">
      <alignment horizontal="center" vertical="center" shrinkToFit="1"/>
    </xf>
    <xf numFmtId="0" fontId="44" fillId="20" borderId="6" xfId="0" applyFont="1" applyFill="1" applyBorder="1" applyAlignment="1">
      <alignment horizontal="center" vertical="center" wrapText="1"/>
    </xf>
    <xf numFmtId="0" fontId="45" fillId="7" borderId="6" xfId="0" applyFont="1" applyFill="1" applyBorder="1" applyAlignment="1">
      <alignment horizontal="center" vertical="center" wrapText="1"/>
    </xf>
    <xf numFmtId="0" fontId="45" fillId="18" borderId="6" xfId="0" applyFont="1" applyFill="1" applyBorder="1" applyAlignment="1">
      <alignment horizontal="center" vertical="center" wrapText="1"/>
    </xf>
    <xf numFmtId="0" fontId="11" fillId="29" borderId="6" xfId="0" applyFont="1" applyFill="1" applyBorder="1" applyAlignment="1">
      <alignment horizontal="center" vertical="center" wrapText="1"/>
    </xf>
    <xf numFmtId="0" fontId="12" fillId="28" borderId="6" xfId="0" applyFont="1" applyFill="1" applyBorder="1" applyAlignment="1">
      <alignment horizontal="center" vertical="center" wrapText="1"/>
    </xf>
    <xf numFmtId="0" fontId="3" fillId="29" borderId="6" xfId="0" applyFont="1" applyFill="1" applyBorder="1" applyAlignment="1">
      <alignment horizontal="center" vertical="center" wrapText="1"/>
    </xf>
    <xf numFmtId="0" fontId="46" fillId="12" borderId="6" xfId="0" applyFont="1" applyFill="1" applyBorder="1" applyAlignment="1">
      <alignment horizontal="center" vertical="center" wrapText="1"/>
    </xf>
    <xf numFmtId="0" fontId="46" fillId="7" borderId="6" xfId="0" applyFont="1" applyFill="1" applyBorder="1" applyAlignment="1">
      <alignment horizontal="center" vertical="center" wrapText="1"/>
    </xf>
    <xf numFmtId="0" fontId="15" fillId="7" borderId="6" xfId="0" applyFont="1" applyFill="1" applyBorder="1" applyAlignment="1">
      <alignment horizontal="center" vertical="center" wrapText="1"/>
    </xf>
    <xf numFmtId="0" fontId="49" fillId="13" borderId="6" xfId="0" applyFont="1" applyFill="1" applyBorder="1" applyAlignment="1">
      <alignment horizontal="center" vertical="center" wrapText="1"/>
    </xf>
    <xf numFmtId="0" fontId="49" fillId="14" borderId="6" xfId="0" applyFont="1" applyFill="1" applyBorder="1" applyAlignment="1">
      <alignment horizontal="center" vertical="center" wrapText="1"/>
    </xf>
    <xf numFmtId="0" fontId="3" fillId="29" borderId="2" xfId="0" applyFont="1" applyFill="1" applyBorder="1" applyAlignment="1">
      <alignment horizontal="center" vertical="center" wrapText="1"/>
    </xf>
    <xf numFmtId="0" fontId="51" fillId="28" borderId="2" xfId="0" applyFont="1" applyFill="1" applyBorder="1"/>
    <xf numFmtId="0" fontId="0" fillId="28" borderId="2" xfId="0" applyFill="1" applyBorder="1"/>
    <xf numFmtId="0" fontId="11" fillId="29" borderId="2" xfId="0" applyFont="1" applyFill="1" applyBorder="1" applyAlignment="1">
      <alignment horizontal="center" vertical="center" wrapText="1"/>
    </xf>
    <xf numFmtId="0" fontId="11" fillId="30" borderId="2" xfId="0" applyFont="1" applyFill="1" applyBorder="1" applyAlignment="1">
      <alignment horizontal="center" vertical="center" wrapText="1"/>
    </xf>
    <xf numFmtId="0" fontId="0" fillId="4" borderId="2" xfId="0" applyFill="1" applyBorder="1"/>
    <xf numFmtId="0" fontId="13" fillId="12"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13" fillId="15" borderId="2" xfId="0" applyFont="1" applyFill="1" applyBorder="1" applyAlignment="1">
      <alignment horizontal="center" vertical="center" wrapText="1"/>
    </xf>
    <xf numFmtId="0" fontId="44" fillId="14" borderId="2"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28" fillId="23" borderId="1" xfId="0" applyFont="1" applyFill="1" applyBorder="1" applyAlignment="1">
      <alignment horizontal="center" vertical="center" wrapText="1"/>
    </xf>
    <xf numFmtId="0" fontId="28" fillId="22" borderId="1" xfId="0" applyFont="1" applyFill="1" applyBorder="1" applyAlignment="1">
      <alignment horizontal="center" vertical="center" wrapText="1"/>
    </xf>
    <xf numFmtId="0" fontId="28" fillId="9"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31" fillId="8" borderId="2" xfId="0" applyFont="1" applyFill="1" applyBorder="1" applyAlignment="1">
      <alignment horizontal="center" vertical="center" wrapText="1"/>
    </xf>
    <xf numFmtId="0" fontId="32" fillId="20" borderId="1" xfId="0" applyFont="1" applyFill="1" applyBorder="1" applyAlignment="1">
      <alignment horizontal="left" vertical="center" wrapText="1"/>
    </xf>
    <xf numFmtId="0" fontId="29" fillId="7" borderId="1" xfId="0" applyFont="1" applyFill="1" applyBorder="1" applyAlignment="1">
      <alignment horizontal="center" vertical="center" shrinkToFit="1"/>
    </xf>
    <xf numFmtId="0" fontId="38" fillId="8" borderId="10"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8" fillId="24" borderId="10" xfId="0" applyFont="1" applyFill="1" applyBorder="1" applyAlignment="1">
      <alignment horizontal="center" vertical="center" wrapText="1"/>
    </xf>
    <xf numFmtId="0" fontId="39" fillId="26" borderId="9"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8" fillId="25" borderId="10" xfId="0" applyFont="1" applyFill="1" applyBorder="1" applyAlignment="1">
      <alignment horizontal="center" vertical="center" wrapText="1"/>
    </xf>
    <xf numFmtId="0" fontId="39" fillId="27" borderId="9"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40" fillId="6" borderId="1" xfId="0" applyFont="1" applyFill="1" applyBorder="1" applyAlignment="1">
      <alignment horizontal="left" vertical="center" wrapText="1"/>
    </xf>
    <xf numFmtId="0" fontId="41" fillId="20" borderId="12" xfId="0" applyFont="1" applyFill="1" applyBorder="1" applyAlignment="1">
      <alignment horizontal="center" vertical="center" wrapText="1"/>
    </xf>
    <xf numFmtId="0" fontId="42" fillId="4" borderId="1" xfId="0" applyFont="1" applyFill="1" applyBorder="1" applyAlignment="1">
      <alignment horizontal="center" vertical="center" wrapText="1"/>
    </xf>
    <xf numFmtId="0" fontId="43" fillId="21" borderId="1" xfId="0" applyFont="1" applyFill="1" applyBorder="1" applyAlignment="1">
      <alignment horizontal="center" vertical="center" wrapText="1"/>
    </xf>
    <xf numFmtId="0" fontId="45" fillId="28" borderId="6" xfId="0" applyFont="1" applyFill="1" applyBorder="1" applyAlignment="1">
      <alignment horizontal="left" vertical="center" wrapText="1"/>
    </xf>
    <xf numFmtId="0" fontId="45" fillId="28" borderId="6" xfId="0" applyFont="1" applyFill="1" applyBorder="1" applyAlignment="1">
      <alignment horizontal="center" vertical="center" wrapText="1"/>
    </xf>
    <xf numFmtId="0" fontId="47" fillId="20" borderId="13" xfId="0" applyFont="1" applyFill="1" applyBorder="1" applyAlignment="1">
      <alignment horizontal="right" vertical="center" wrapText="1"/>
    </xf>
    <xf numFmtId="0" fontId="48" fillId="7" borderId="14" xfId="0" applyFont="1" applyFill="1" applyBorder="1" applyAlignment="1">
      <alignment horizontal="center" vertical="center" wrapText="1"/>
    </xf>
    <xf numFmtId="0" fontId="0" fillId="6" borderId="0" xfId="0" applyFill="1"/>
    <xf numFmtId="0" fontId="2" fillId="2" borderId="12" xfId="0" applyFont="1" applyFill="1" applyBorder="1" applyAlignment="1">
      <alignment horizontal="center" vertical="center" wrapText="1"/>
    </xf>
    <xf numFmtId="0" fontId="50" fillId="20" borderId="1" xfId="0" applyFont="1" applyFill="1" applyBorder="1" applyAlignment="1">
      <alignment horizontal="left" vertical="center" wrapText="1"/>
    </xf>
    <xf numFmtId="0" fontId="52" fillId="18" borderId="1" xfId="0" applyFont="1" applyFill="1" applyBorder="1" applyAlignment="1">
      <alignment horizontal="center" vertical="center" wrapText="1"/>
    </xf>
    <xf numFmtId="0" fontId="53" fillId="7" borderId="10" xfId="0" applyFont="1" applyFill="1" applyBorder="1" applyAlignment="1">
      <alignment horizontal="center" vertical="center" wrapText="1"/>
    </xf>
    <xf numFmtId="0" fontId="2" fillId="23" borderId="12" xfId="0" applyFont="1" applyFill="1" applyBorder="1" applyAlignment="1">
      <alignment horizontal="center" vertical="center" wrapText="1"/>
    </xf>
    <xf numFmtId="0" fontId="2" fillId="22"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31"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3E0"/>
      <rgbColor rgb="FFFF00FF"/>
      <rgbColor rgb="FF00FFFF"/>
      <rgbColor rgb="FF800000"/>
      <rgbColor rgb="FF2E7D32"/>
      <rgbColor rgb="FF000080"/>
      <rgbColor rgb="FF808000"/>
      <rgbColor rgb="FF800080"/>
      <rgbColor rgb="FF0277BD"/>
      <rgbColor rgb="FFBDBDBD"/>
      <rgbColor rgb="FFFAFAFA"/>
      <rgbColor rgb="FFEDE7F6"/>
      <rgbColor rgb="FF993366"/>
      <rgbColor rgb="FFFFF9C4"/>
      <rgbColor rgb="FFE3F2FD"/>
      <rgbColor rgb="FF4A148C"/>
      <rgbColor rgb="FFCD7F32"/>
      <rgbColor rgb="FF1565C0"/>
      <rgbColor rgb="FFCFD8DC"/>
      <rgbColor rgb="FF000080"/>
      <rgbColor rgb="FFFF00FF"/>
      <rgbColor rgb="FFFFFDE7"/>
      <rgbColor rgb="FF00FFFF"/>
      <rgbColor rgb="FF800080"/>
      <rgbColor rgb="FF800000"/>
      <rgbColor rgb="FF008080"/>
      <rgbColor rgb="FF0000FF"/>
      <rgbColor rgb="FF00CCFF"/>
      <rgbColor rgb="FFE8F5E9"/>
      <rgbColor rgb="FFC8E6C9"/>
      <rgbColor rgb="FFFFF8E1"/>
      <rgbColor rgb="FFE8EAF6"/>
      <rgbColor rgb="FFFFCDD2"/>
      <rgbColor rgb="FFEFE0D0"/>
      <rgbColor rgb="FFFFE0B2"/>
      <rgbColor rgb="FF1E88E5"/>
      <rgbColor rgb="FFF5F5F5"/>
      <rgbColor rgb="FFF1F8E9"/>
      <rgbColor rgb="FFFFEBEE"/>
      <rgbColor rgb="FFF9A825"/>
      <rgbColor rgb="FFE65100"/>
      <rgbColor rgb="FF555555"/>
      <rgbColor rgb="FF9E9E9E"/>
      <rgbColor rgb="FF0D47A1"/>
      <rgbColor rgb="FF4CAF50"/>
      <rgbColor rgb="FF003300"/>
      <rgbColor rgb="FF1B5E20"/>
      <rgbColor rgb="FFC62828"/>
      <rgbColor rgb="FF993366"/>
      <rgbColor rgb="FF333399"/>
      <rgbColor rgb="FF5D40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D32"/>
  </sheetPr>
  <dimension ref="A1:M22"/>
  <sheetViews>
    <sheetView tabSelected="1" zoomScaleNormal="100" workbookViewId="0">
      <pane ySplit="3" topLeftCell="A4" activePane="bottomLeft" state="frozen"/>
      <selection pane="bottomLeft" sqref="A1:M1"/>
    </sheetView>
  </sheetViews>
  <sheetFormatPr defaultColWidth="8.6328125" defaultRowHeight="14.5" x14ac:dyDescent="0.35"/>
  <cols>
    <col min="1" max="1" width="4" customWidth="1"/>
    <col min="2" max="2" width="30" customWidth="1"/>
    <col min="3" max="3" width="5" customWidth="1"/>
    <col min="4" max="4" width="26" customWidth="1"/>
    <col min="5" max="5" width="20" customWidth="1"/>
    <col min="6" max="6" width="24" customWidth="1"/>
    <col min="7" max="7" width="8" customWidth="1"/>
    <col min="8" max="8" width="16" customWidth="1"/>
    <col min="9" max="9" width="12" customWidth="1"/>
    <col min="10" max="10" width="14" customWidth="1"/>
    <col min="11" max="11" width="20" customWidth="1"/>
    <col min="12" max="12" width="10" customWidth="1"/>
    <col min="13" max="13" width="16" customWidth="1"/>
  </cols>
  <sheetData>
    <row r="1" spans="1:13" ht="16.149999999999999" customHeight="1" x14ac:dyDescent="0.35">
      <c r="A1" s="14" t="s">
        <v>0</v>
      </c>
      <c r="B1" s="14"/>
      <c r="C1" s="14"/>
      <c r="D1" s="14"/>
      <c r="E1" s="14"/>
      <c r="F1" s="14"/>
      <c r="G1" s="14"/>
      <c r="H1" s="14"/>
      <c r="I1" s="14"/>
      <c r="J1" s="14"/>
      <c r="K1" s="14"/>
      <c r="L1" s="14"/>
      <c r="M1" s="14"/>
    </row>
    <row r="2" spans="1:13" ht="15" customHeight="1" x14ac:dyDescent="0.35">
      <c r="A2" s="13" t="s">
        <v>1</v>
      </c>
      <c r="B2" s="13"/>
      <c r="C2" s="13"/>
      <c r="D2" s="13"/>
      <c r="E2" s="13"/>
      <c r="F2" s="13"/>
      <c r="G2" s="13"/>
      <c r="H2" s="13"/>
      <c r="I2" s="13"/>
      <c r="J2" s="13"/>
      <c r="K2" s="13"/>
      <c r="L2" s="13"/>
      <c r="M2" s="13"/>
    </row>
    <row r="3" spans="1:13" ht="27.75" customHeight="1" x14ac:dyDescent="0.35">
      <c r="A3" s="15" t="s">
        <v>2</v>
      </c>
      <c r="B3" s="15" t="s">
        <v>3</v>
      </c>
      <c r="C3" s="15" t="s">
        <v>4</v>
      </c>
      <c r="D3" s="15" t="s">
        <v>5</v>
      </c>
      <c r="E3" s="15" t="s">
        <v>6</v>
      </c>
      <c r="F3" s="15" t="s">
        <v>7</v>
      </c>
      <c r="G3" s="15" t="s">
        <v>8</v>
      </c>
      <c r="H3" s="15" t="s">
        <v>9</v>
      </c>
      <c r="I3" s="15" t="s">
        <v>10</v>
      </c>
      <c r="J3" s="15" t="s">
        <v>11</v>
      </c>
      <c r="K3" s="15" t="s">
        <v>12</v>
      </c>
      <c r="L3" s="15" t="s">
        <v>13</v>
      </c>
      <c r="M3" s="15" t="s">
        <v>14</v>
      </c>
    </row>
    <row r="4" spans="1:13" ht="19.5" customHeight="1" x14ac:dyDescent="0.35">
      <c r="A4" s="16">
        <v>1</v>
      </c>
      <c r="B4" s="17" t="s">
        <v>15</v>
      </c>
      <c r="C4" s="16"/>
      <c r="D4" s="17" t="s">
        <v>16</v>
      </c>
      <c r="E4" s="17" t="s">
        <v>17</v>
      </c>
      <c r="F4" s="17" t="s">
        <v>18</v>
      </c>
      <c r="G4" s="16"/>
      <c r="H4" s="17"/>
      <c r="I4" s="17"/>
      <c r="J4" s="17"/>
      <c r="K4" s="16"/>
      <c r="L4" s="17"/>
      <c r="M4" s="17"/>
    </row>
    <row r="5" spans="1:13" ht="19.5" customHeight="1" x14ac:dyDescent="0.35">
      <c r="A5" s="18">
        <v>2</v>
      </c>
      <c r="B5" s="19" t="s">
        <v>19</v>
      </c>
      <c r="C5" s="18"/>
      <c r="D5" s="19" t="s">
        <v>16</v>
      </c>
      <c r="E5" s="19" t="s">
        <v>17</v>
      </c>
      <c r="F5" s="19" t="s">
        <v>20</v>
      </c>
      <c r="G5" s="18"/>
      <c r="H5" s="19"/>
      <c r="I5" s="19"/>
      <c r="J5" s="19"/>
      <c r="K5" s="18"/>
      <c r="L5" s="19"/>
      <c r="M5" s="19"/>
    </row>
    <row r="6" spans="1:13" ht="19.5" customHeight="1" x14ac:dyDescent="0.35">
      <c r="A6" s="16">
        <v>3</v>
      </c>
      <c r="B6" s="17" t="s">
        <v>21</v>
      </c>
      <c r="C6" s="16"/>
      <c r="D6" s="17" t="s">
        <v>16</v>
      </c>
      <c r="E6" s="17" t="s">
        <v>22</v>
      </c>
      <c r="F6" s="17" t="s">
        <v>20</v>
      </c>
      <c r="G6" s="16"/>
      <c r="H6" s="17"/>
      <c r="I6" s="17"/>
      <c r="J6" s="17"/>
      <c r="K6" s="16"/>
      <c r="L6" s="17"/>
      <c r="M6" s="17"/>
    </row>
    <row r="7" spans="1:13" ht="19.5" customHeight="1" x14ac:dyDescent="0.35">
      <c r="A7" s="18">
        <v>4</v>
      </c>
      <c r="B7" s="19" t="s">
        <v>23</v>
      </c>
      <c r="C7" s="18"/>
      <c r="D7" s="19" t="s">
        <v>16</v>
      </c>
      <c r="E7" s="19" t="s">
        <v>22</v>
      </c>
      <c r="F7" s="19" t="s">
        <v>20</v>
      </c>
      <c r="G7" s="18"/>
      <c r="H7" s="19"/>
      <c r="I7" s="19"/>
      <c r="J7" s="19"/>
      <c r="K7" s="18"/>
      <c r="L7" s="19"/>
      <c r="M7" s="19"/>
    </row>
    <row r="8" spans="1:13" ht="19.5" customHeight="1" x14ac:dyDescent="0.35">
      <c r="A8" s="16">
        <v>5</v>
      </c>
      <c r="B8" s="17" t="s">
        <v>24</v>
      </c>
      <c r="C8" s="16"/>
      <c r="D8" s="17" t="s">
        <v>16</v>
      </c>
      <c r="E8" s="17" t="s">
        <v>22</v>
      </c>
      <c r="F8" s="17" t="s">
        <v>25</v>
      </c>
      <c r="G8" s="16"/>
      <c r="H8" s="17"/>
      <c r="I8" s="17"/>
      <c r="J8" s="17"/>
      <c r="K8" s="16"/>
      <c r="L8" s="17"/>
      <c r="M8" s="17"/>
    </row>
    <row r="9" spans="1:13" ht="19.5" customHeight="1" x14ac:dyDescent="0.35">
      <c r="A9" s="18">
        <v>6</v>
      </c>
      <c r="B9" s="19" t="s">
        <v>26</v>
      </c>
      <c r="C9" s="18"/>
      <c r="D9" s="19" t="s">
        <v>16</v>
      </c>
      <c r="E9" s="19" t="s">
        <v>22</v>
      </c>
      <c r="F9" s="19" t="s">
        <v>27</v>
      </c>
      <c r="G9" s="18"/>
      <c r="H9" s="19"/>
      <c r="I9" s="19"/>
      <c r="J9" s="19"/>
      <c r="K9" s="18"/>
      <c r="L9" s="19"/>
      <c r="M9" s="19"/>
    </row>
    <row r="10" spans="1:13" ht="19.5" customHeight="1" x14ac:dyDescent="0.35">
      <c r="A10" s="16">
        <v>7</v>
      </c>
      <c r="B10" s="17" t="s">
        <v>28</v>
      </c>
      <c r="C10" s="16"/>
      <c r="D10" s="17" t="s">
        <v>16</v>
      </c>
      <c r="E10" s="17" t="s">
        <v>22</v>
      </c>
      <c r="F10" s="17" t="s">
        <v>29</v>
      </c>
      <c r="G10" s="16"/>
      <c r="H10" s="17"/>
      <c r="I10" s="17"/>
      <c r="J10" s="17"/>
      <c r="K10" s="16"/>
      <c r="L10" s="17"/>
      <c r="M10" s="17"/>
    </row>
    <row r="11" spans="1:13" ht="19.5" customHeight="1" x14ac:dyDescent="0.35">
      <c r="A11" s="18">
        <v>8</v>
      </c>
      <c r="B11" s="19" t="s">
        <v>30</v>
      </c>
      <c r="C11" s="18"/>
      <c r="D11" s="19" t="s">
        <v>16</v>
      </c>
      <c r="E11" s="19" t="s">
        <v>22</v>
      </c>
      <c r="F11" s="19" t="s">
        <v>31</v>
      </c>
      <c r="G11" s="18"/>
      <c r="H11" s="19"/>
      <c r="I11" s="19"/>
      <c r="J11" s="19"/>
      <c r="K11" s="18"/>
      <c r="L11" s="19"/>
      <c r="M11" s="19"/>
    </row>
    <row r="12" spans="1:13" ht="19.5" customHeight="1" x14ac:dyDescent="0.35">
      <c r="A12" s="16">
        <v>9</v>
      </c>
      <c r="B12" s="17" t="s">
        <v>32</v>
      </c>
      <c r="C12" s="16"/>
      <c r="D12" s="17" t="s">
        <v>16</v>
      </c>
      <c r="E12" s="17" t="s">
        <v>22</v>
      </c>
      <c r="F12" s="17" t="s">
        <v>33</v>
      </c>
      <c r="G12" s="16"/>
      <c r="H12" s="17"/>
      <c r="I12" s="17"/>
      <c r="J12" s="17"/>
      <c r="K12" s="16"/>
      <c r="L12" s="17"/>
      <c r="M12" s="17"/>
    </row>
    <row r="13" spans="1:13" ht="19.5" customHeight="1" x14ac:dyDescent="0.35">
      <c r="A13" s="18">
        <v>10</v>
      </c>
      <c r="B13" s="19" t="s">
        <v>34</v>
      </c>
      <c r="C13" s="18"/>
      <c r="D13" s="19" t="s">
        <v>16</v>
      </c>
      <c r="E13" s="19" t="s">
        <v>22</v>
      </c>
      <c r="F13" s="19" t="s">
        <v>20</v>
      </c>
      <c r="G13" s="18"/>
      <c r="H13" s="19"/>
      <c r="I13" s="19"/>
      <c r="J13" s="19"/>
      <c r="K13" s="18"/>
      <c r="L13" s="19"/>
      <c r="M13" s="19"/>
    </row>
    <row r="14" spans="1:13" ht="19.5" customHeight="1" x14ac:dyDescent="0.35">
      <c r="A14" s="16">
        <v>11</v>
      </c>
      <c r="B14" s="17" t="s">
        <v>35</v>
      </c>
      <c r="C14" s="16"/>
      <c r="D14" s="17" t="s">
        <v>16</v>
      </c>
      <c r="E14" s="17" t="s">
        <v>22</v>
      </c>
      <c r="F14" s="17" t="s">
        <v>20</v>
      </c>
      <c r="G14" s="16"/>
      <c r="H14" s="17"/>
      <c r="I14" s="17"/>
      <c r="J14" s="17"/>
      <c r="K14" s="16"/>
      <c r="L14" s="17"/>
      <c r="M14" s="17"/>
    </row>
    <row r="15" spans="1:13" ht="19.5" customHeight="1" x14ac:dyDescent="0.35">
      <c r="A15" s="18">
        <v>12</v>
      </c>
      <c r="B15" s="19" t="s">
        <v>24</v>
      </c>
      <c r="C15" s="18"/>
      <c r="D15" s="19" t="s">
        <v>36</v>
      </c>
      <c r="E15" s="19" t="s">
        <v>22</v>
      </c>
      <c r="F15" s="19" t="s">
        <v>25</v>
      </c>
      <c r="G15" s="18"/>
      <c r="H15" s="19"/>
      <c r="I15" s="19"/>
      <c r="J15" s="19"/>
      <c r="K15" s="18"/>
      <c r="L15" s="19"/>
      <c r="M15" s="19"/>
    </row>
    <row r="16" spans="1:13" ht="19.5" customHeight="1" x14ac:dyDescent="0.35">
      <c r="A16" s="16">
        <v>13</v>
      </c>
      <c r="B16" s="17" t="s">
        <v>28</v>
      </c>
      <c r="C16" s="16"/>
      <c r="D16" s="17" t="s">
        <v>36</v>
      </c>
      <c r="E16" s="17" t="s">
        <v>22</v>
      </c>
      <c r="F16" s="17" t="s">
        <v>29</v>
      </c>
      <c r="G16" s="16"/>
      <c r="H16" s="17"/>
      <c r="I16" s="17"/>
      <c r="J16" s="17"/>
      <c r="K16" s="16"/>
      <c r="L16" s="17"/>
      <c r="M16" s="17"/>
    </row>
    <row r="17" spans="1:13" ht="19.5" customHeight="1" x14ac:dyDescent="0.35">
      <c r="A17" s="18">
        <v>14</v>
      </c>
      <c r="B17" s="19" t="s">
        <v>30</v>
      </c>
      <c r="C17" s="18"/>
      <c r="D17" s="19" t="s">
        <v>36</v>
      </c>
      <c r="E17" s="19" t="s">
        <v>22</v>
      </c>
      <c r="F17" s="19" t="s">
        <v>31</v>
      </c>
      <c r="G17" s="18"/>
      <c r="H17" s="19"/>
      <c r="I17" s="19"/>
      <c r="J17" s="19"/>
      <c r="K17" s="18"/>
      <c r="L17" s="19"/>
      <c r="M17" s="19"/>
    </row>
    <row r="18" spans="1:13" ht="19.5" customHeight="1" x14ac:dyDescent="0.35">
      <c r="A18" s="16">
        <v>15</v>
      </c>
      <c r="B18" s="17" t="s">
        <v>37</v>
      </c>
      <c r="C18" s="16"/>
      <c r="D18" s="17" t="s">
        <v>36</v>
      </c>
      <c r="E18" s="17" t="s">
        <v>17</v>
      </c>
      <c r="F18" s="17" t="s">
        <v>38</v>
      </c>
      <c r="G18" s="16"/>
      <c r="H18" s="17"/>
      <c r="I18" s="17"/>
      <c r="J18" s="17"/>
      <c r="K18" s="16"/>
      <c r="L18" s="17"/>
      <c r="M18" s="17"/>
    </row>
    <row r="19" spans="1:13" ht="19.5" customHeight="1" x14ac:dyDescent="0.35">
      <c r="A19" s="18">
        <v>16</v>
      </c>
      <c r="B19" s="19" t="s">
        <v>32</v>
      </c>
      <c r="C19" s="18"/>
      <c r="D19" s="19" t="s">
        <v>36</v>
      </c>
      <c r="E19" s="19" t="s">
        <v>22</v>
      </c>
      <c r="F19" s="19" t="s">
        <v>33</v>
      </c>
      <c r="G19" s="18"/>
      <c r="H19" s="19"/>
      <c r="I19" s="19"/>
      <c r="J19" s="19"/>
      <c r="K19" s="18"/>
      <c r="L19" s="19"/>
      <c r="M19" s="19"/>
    </row>
    <row r="20" spans="1:13" ht="19.5" customHeight="1" x14ac:dyDescent="0.35">
      <c r="A20" s="16">
        <v>17</v>
      </c>
      <c r="B20" s="17" t="s">
        <v>39</v>
      </c>
      <c r="C20" s="16"/>
      <c r="D20" s="17" t="s">
        <v>40</v>
      </c>
      <c r="E20" s="17" t="s">
        <v>22</v>
      </c>
      <c r="F20" s="17" t="s">
        <v>41</v>
      </c>
      <c r="G20" s="16"/>
      <c r="H20" s="17"/>
      <c r="I20" s="17"/>
      <c r="J20" s="17"/>
      <c r="K20" s="16"/>
      <c r="L20" s="17"/>
      <c r="M20" s="17"/>
    </row>
    <row r="21" spans="1:13" ht="19.5" customHeight="1" x14ac:dyDescent="0.35">
      <c r="A21" s="18">
        <v>18</v>
      </c>
      <c r="B21" s="19" t="s">
        <v>42</v>
      </c>
      <c r="C21" s="18"/>
      <c r="D21" s="19" t="s">
        <v>40</v>
      </c>
      <c r="E21" s="19" t="s">
        <v>17</v>
      </c>
      <c r="F21" s="19" t="s">
        <v>43</v>
      </c>
      <c r="G21" s="18"/>
      <c r="H21" s="19"/>
      <c r="I21" s="19"/>
      <c r="J21" s="19"/>
      <c r="K21" s="18"/>
      <c r="L21" s="19"/>
      <c r="M21" s="19"/>
    </row>
    <row r="22" spans="1:13" ht="19.5" customHeight="1" x14ac:dyDescent="0.35">
      <c r="A22" s="16">
        <v>19</v>
      </c>
      <c r="B22" s="17" t="s">
        <v>44</v>
      </c>
      <c r="C22" s="16"/>
      <c r="D22" s="17" t="s">
        <v>40</v>
      </c>
      <c r="E22" s="17" t="s">
        <v>22</v>
      </c>
      <c r="F22" s="17" t="s">
        <v>45</v>
      </c>
      <c r="G22" s="16"/>
      <c r="H22" s="17"/>
      <c r="I22" s="17"/>
      <c r="J22" s="17"/>
      <c r="K22" s="16"/>
      <c r="L22" s="17"/>
      <c r="M22" s="17"/>
    </row>
  </sheetData>
  <mergeCells count="2">
    <mergeCell ref="A1:M1"/>
    <mergeCell ref="A2:M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9A825"/>
  </sheetPr>
  <dimension ref="A1:F14"/>
  <sheetViews>
    <sheetView zoomScaleNormal="100" workbookViewId="0"/>
  </sheetViews>
  <sheetFormatPr defaultColWidth="8.6328125" defaultRowHeight="14.5" x14ac:dyDescent="0.35"/>
  <cols>
    <col min="1" max="1" width="26" customWidth="1"/>
    <col min="2" max="2" width="80" customWidth="1"/>
  </cols>
  <sheetData>
    <row r="1" spans="1:6" ht="16.149999999999999" customHeight="1" x14ac:dyDescent="0.35">
      <c r="A1" s="14" t="s">
        <v>46</v>
      </c>
      <c r="B1" s="14"/>
      <c r="C1" s="14"/>
      <c r="D1" s="14"/>
      <c r="E1" s="14"/>
      <c r="F1" s="14"/>
    </row>
    <row r="2" spans="1:6" ht="15" customHeight="1" x14ac:dyDescent="0.35">
      <c r="A2" s="12" t="s">
        <v>47</v>
      </c>
      <c r="B2" s="12"/>
      <c r="C2" s="12"/>
      <c r="D2" s="12"/>
      <c r="E2" s="12"/>
      <c r="F2" s="12"/>
    </row>
    <row r="3" spans="1:6" x14ac:dyDescent="0.35">
      <c r="A3" s="15" t="s">
        <v>48</v>
      </c>
      <c r="B3" s="15" t="s">
        <v>49</v>
      </c>
    </row>
    <row r="4" spans="1:6" ht="36" customHeight="1" x14ac:dyDescent="0.35">
      <c r="A4" s="20" t="s">
        <v>50</v>
      </c>
      <c r="B4" s="17" t="s">
        <v>51</v>
      </c>
    </row>
    <row r="5" spans="1:6" ht="36" customHeight="1" x14ac:dyDescent="0.35">
      <c r="A5" s="20" t="s">
        <v>52</v>
      </c>
      <c r="B5" s="19" t="s">
        <v>53</v>
      </c>
    </row>
    <row r="6" spans="1:6" ht="36" customHeight="1" x14ac:dyDescent="0.35">
      <c r="A6" s="20" t="s">
        <v>54</v>
      </c>
      <c r="B6" s="17" t="s">
        <v>55</v>
      </c>
    </row>
    <row r="7" spans="1:6" ht="36" customHeight="1" x14ac:dyDescent="0.35">
      <c r="A7" s="20" t="s">
        <v>56</v>
      </c>
      <c r="B7" s="19" t="s">
        <v>57</v>
      </c>
    </row>
    <row r="8" spans="1:6" ht="36" customHeight="1" x14ac:dyDescent="0.35">
      <c r="A8" s="20" t="s">
        <v>58</v>
      </c>
      <c r="B8" s="17" t="s">
        <v>59</v>
      </c>
    </row>
    <row r="9" spans="1:6" ht="36" customHeight="1" x14ac:dyDescent="0.35">
      <c r="A9" s="20" t="s">
        <v>7</v>
      </c>
      <c r="B9" s="19" t="s">
        <v>60</v>
      </c>
    </row>
    <row r="10" spans="1:6" ht="36" customHeight="1" x14ac:dyDescent="0.35">
      <c r="A10" s="20" t="s">
        <v>61</v>
      </c>
      <c r="B10" s="17" t="s">
        <v>62</v>
      </c>
    </row>
    <row r="11" spans="1:6" ht="36" customHeight="1" x14ac:dyDescent="0.35">
      <c r="A11" s="20" t="s">
        <v>63</v>
      </c>
      <c r="B11" s="19" t="s">
        <v>64</v>
      </c>
    </row>
    <row r="12" spans="1:6" ht="36" customHeight="1" x14ac:dyDescent="0.35">
      <c r="A12" s="20" t="s">
        <v>65</v>
      </c>
      <c r="B12" s="17" t="s">
        <v>66</v>
      </c>
    </row>
    <row r="13" spans="1:6" ht="36" customHeight="1" x14ac:dyDescent="0.35">
      <c r="A13" s="20" t="s">
        <v>67</v>
      </c>
      <c r="B13" s="19" t="s">
        <v>68</v>
      </c>
    </row>
    <row r="14" spans="1:6" ht="36" customHeight="1" x14ac:dyDescent="0.35">
      <c r="A14" s="20" t="s">
        <v>69</v>
      </c>
      <c r="B14" s="17" t="s">
        <v>70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277BD"/>
  </sheetPr>
  <dimension ref="A1:BC71"/>
  <sheetViews>
    <sheetView zoomScaleNormal="100" workbookViewId="0">
      <pane xSplit="5" ySplit="5" topLeftCell="F6" activePane="bottomRight" state="frozen"/>
      <selection pane="topRight" activeCell="F1" sqref="F1"/>
      <selection pane="bottomLeft" activeCell="A6" sqref="A6"/>
      <selection pane="bottomRight"/>
    </sheetView>
  </sheetViews>
  <sheetFormatPr defaultColWidth="8.6328125" defaultRowHeight="14.5" x14ac:dyDescent="0.35"/>
  <cols>
    <col min="1" max="1" width="4" customWidth="1"/>
    <col min="2" max="2" width="28" customWidth="1"/>
    <col min="3" max="3" width="16" customWidth="1"/>
    <col min="4" max="4" width="22" customWidth="1"/>
    <col min="5" max="5" width="8" customWidth="1"/>
    <col min="6" max="41" width="5" customWidth="1"/>
    <col min="42" max="47" width="8" customWidth="1"/>
    <col min="48" max="48" width="10" customWidth="1"/>
    <col min="49" max="51" width="8" customWidth="1"/>
    <col min="52" max="52" width="9" customWidth="1"/>
    <col min="53" max="53" width="13" customWidth="1"/>
    <col min="54" max="54" width="10" customWidth="1"/>
  </cols>
  <sheetData>
    <row r="1" spans="1:55" ht="15" customHeight="1" x14ac:dyDescent="0.35">
      <c r="A1" s="11" t="s">
        <v>71</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row>
    <row r="2" spans="1:55" ht="15" customHeight="1" x14ac:dyDescent="0.35">
      <c r="A2" s="10" t="s">
        <v>72</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row>
    <row r="3" spans="1:55" ht="15" customHeight="1" x14ac:dyDescent="0.35">
      <c r="A3" s="9" t="s">
        <v>73</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row>
    <row r="4" spans="1:55" ht="21.75" customHeight="1" x14ac:dyDescent="0.35">
      <c r="A4" s="21" t="s">
        <v>2</v>
      </c>
      <c r="B4" s="21" t="s">
        <v>3</v>
      </c>
      <c r="C4" s="21" t="s">
        <v>6</v>
      </c>
      <c r="D4" s="21" t="s">
        <v>7</v>
      </c>
      <c r="E4" s="21" t="s">
        <v>8</v>
      </c>
      <c r="F4" s="10" t="s">
        <v>74</v>
      </c>
      <c r="G4" s="10"/>
      <c r="H4" s="10"/>
      <c r="I4" s="10"/>
      <c r="J4" s="10"/>
      <c r="K4" s="10"/>
      <c r="L4" s="8" t="s">
        <v>75</v>
      </c>
      <c r="M4" s="8"/>
      <c r="N4" s="8"/>
      <c r="O4" s="8"/>
      <c r="P4" s="8"/>
      <c r="Q4" s="8"/>
      <c r="R4" s="10" t="s">
        <v>76</v>
      </c>
      <c r="S4" s="10"/>
      <c r="T4" s="10"/>
      <c r="U4" s="10"/>
      <c r="V4" s="10"/>
      <c r="W4" s="10"/>
      <c r="X4" s="8" t="s">
        <v>77</v>
      </c>
      <c r="Y4" s="8"/>
      <c r="Z4" s="8"/>
      <c r="AA4" s="8"/>
      <c r="AB4" s="8"/>
      <c r="AC4" s="8"/>
      <c r="AD4" s="10" t="s">
        <v>78</v>
      </c>
      <c r="AE4" s="10"/>
      <c r="AF4" s="10"/>
      <c r="AG4" s="10"/>
      <c r="AH4" s="10"/>
      <c r="AI4" s="10"/>
      <c r="AJ4" s="8" t="s">
        <v>79</v>
      </c>
      <c r="AK4" s="8"/>
      <c r="AL4" s="8"/>
      <c r="AM4" s="8"/>
      <c r="AN4" s="8"/>
      <c r="AO4" s="8"/>
      <c r="AP4" s="10" t="s">
        <v>80</v>
      </c>
      <c r="AQ4" s="10"/>
      <c r="AR4" s="10"/>
      <c r="AS4" s="10"/>
      <c r="AT4" s="10"/>
      <c r="AU4" s="10"/>
      <c r="AV4" s="7" t="s">
        <v>81</v>
      </c>
      <c r="AW4" s="7"/>
      <c r="AX4" s="7"/>
      <c r="AY4" s="7"/>
      <c r="AZ4" s="7"/>
      <c r="BA4" s="7"/>
      <c r="BB4" s="7"/>
    </row>
    <row r="5" spans="1:55" ht="30" customHeight="1" x14ac:dyDescent="0.35">
      <c r="A5" s="6" t="s">
        <v>82</v>
      </c>
      <c r="B5" s="6"/>
      <c r="C5" s="6"/>
      <c r="D5" s="22">
        <v>3</v>
      </c>
      <c r="E5" s="22">
        <v>6</v>
      </c>
      <c r="F5" s="23" t="s">
        <v>83</v>
      </c>
      <c r="G5" s="23" t="s">
        <v>84</v>
      </c>
      <c r="H5" s="23" t="s">
        <v>85</v>
      </c>
      <c r="I5" s="23" t="s">
        <v>86</v>
      </c>
      <c r="J5" s="23" t="s">
        <v>87</v>
      </c>
      <c r="K5" s="23" t="s">
        <v>88</v>
      </c>
      <c r="L5" s="23" t="s">
        <v>89</v>
      </c>
      <c r="M5" s="23" t="s">
        <v>90</v>
      </c>
      <c r="N5" s="23" t="s">
        <v>91</v>
      </c>
      <c r="O5" s="23" t="s">
        <v>92</v>
      </c>
      <c r="P5" s="23" t="s">
        <v>93</v>
      </c>
      <c r="Q5" s="23" t="s">
        <v>94</v>
      </c>
      <c r="R5" s="23" t="s">
        <v>95</v>
      </c>
      <c r="S5" s="23" t="s">
        <v>96</v>
      </c>
      <c r="T5" s="23" t="s">
        <v>97</v>
      </c>
      <c r="U5" s="23" t="s">
        <v>98</v>
      </c>
      <c r="V5" s="23" t="s">
        <v>99</v>
      </c>
      <c r="W5" s="23" t="s">
        <v>100</v>
      </c>
      <c r="X5" s="23" t="s">
        <v>101</v>
      </c>
      <c r="Y5" s="23" t="s">
        <v>102</v>
      </c>
      <c r="Z5" s="23" t="s">
        <v>103</v>
      </c>
      <c r="AA5" s="23" t="s">
        <v>104</v>
      </c>
      <c r="AB5" s="23" t="s">
        <v>105</v>
      </c>
      <c r="AC5" s="23" t="s">
        <v>106</v>
      </c>
      <c r="AD5" s="23" t="s">
        <v>107</v>
      </c>
      <c r="AE5" s="23" t="s">
        <v>108</v>
      </c>
      <c r="AF5" s="23" t="s">
        <v>109</v>
      </c>
      <c r="AG5" s="23" t="s">
        <v>110</v>
      </c>
      <c r="AH5" s="23" t="s">
        <v>111</v>
      </c>
      <c r="AI5" s="23" t="s">
        <v>112</v>
      </c>
      <c r="AJ5" s="23" t="s">
        <v>113</v>
      </c>
      <c r="AK5" s="23" t="s">
        <v>114</v>
      </c>
      <c r="AL5" s="23" t="s">
        <v>115</v>
      </c>
      <c r="AM5" s="23" t="s">
        <v>116</v>
      </c>
      <c r="AN5" s="23" t="s">
        <v>117</v>
      </c>
      <c r="AO5" s="23" t="s">
        <v>118</v>
      </c>
      <c r="AP5" s="23" t="s">
        <v>119</v>
      </c>
      <c r="AQ5" s="23" t="s">
        <v>120</v>
      </c>
      <c r="AR5" s="23" t="s">
        <v>121</v>
      </c>
      <c r="AS5" s="23" t="s">
        <v>122</v>
      </c>
      <c r="AT5" s="23" t="s">
        <v>123</v>
      </c>
      <c r="AU5" s="23" t="s">
        <v>124</v>
      </c>
      <c r="AV5" s="24" t="s">
        <v>125</v>
      </c>
      <c r="AW5" s="25" t="s">
        <v>126</v>
      </c>
      <c r="AX5" s="25" t="s">
        <v>127</v>
      </c>
      <c r="AY5" s="25" t="s">
        <v>128</v>
      </c>
      <c r="AZ5" s="26" t="s">
        <v>129</v>
      </c>
      <c r="BA5" s="25" t="s">
        <v>130</v>
      </c>
      <c r="BB5" s="26" t="s">
        <v>131</v>
      </c>
    </row>
    <row r="6" spans="1:55" ht="21.75" customHeight="1" x14ac:dyDescent="0.35">
      <c r="A6" s="27">
        <f>IF(B6&lt;&gt;"",COUNTA($B$6:B6),"")</f>
        <v>1</v>
      </c>
      <c r="B6" s="28" t="s">
        <v>15</v>
      </c>
      <c r="C6" s="16" t="s">
        <v>17</v>
      </c>
      <c r="D6" s="17" t="s">
        <v>18</v>
      </c>
      <c r="E6" s="29" t="str">
        <f>IF(B6="","",IF(COUNTA($B$6:$B$69)&lt;=(E5-D5+1),(D5+MOD(A6-1,(E5-D5+1))),(D5+MOD(A6-1,(E5-D5+1)))&amp;CHAR(65+FLOOR((A6-1)/(E5-D5+1),1))))</f>
        <v>3A</v>
      </c>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1">
        <f t="shared" ref="AP6:AP37" si="0">IF(B6&lt;&gt;"",IF(F6="X",10,IF(F6="M",0,IF(ISNUMBER(F6),F6,0)))+IF(G6="X",10,IF(G6="M",0,IF(ISNUMBER(G6),G6,0)))+IF(H6="X",10,IF(H6="M",0,IF(ISNUMBER(H6),H6,0)))+IF(I6="X",10,IF(I6="M",0,IF(ISNUMBER(I6),I6,0)))+IF(J6="X",10,IF(J6="M",0,IF(ISNUMBER(J6),J6,0)))+IF(K6="X",10,IF(K6="M",0,IF(ISNUMBER(K6),K6,0))),"")</f>
        <v>0</v>
      </c>
      <c r="AQ6" s="31">
        <f t="shared" ref="AQ6:AQ37" si="1">IF(B6&lt;&gt;"",IF(L6="X",10,IF(L6="M",0,IF(ISNUMBER(L6),L6,0)))+IF(M6="X",10,IF(M6="M",0,IF(ISNUMBER(M6),M6,0)))+IF(N6="X",10,IF(N6="M",0,IF(ISNUMBER(N6),N6,0)))+IF(O6="X",10,IF(O6="M",0,IF(ISNUMBER(O6),O6,0)))+IF(P6="X",10,IF(P6="M",0,IF(ISNUMBER(P6),P6,0)))+IF(Q6="X",10,IF(Q6="M",0,IF(ISNUMBER(Q6),Q6,0))),"")</f>
        <v>0</v>
      </c>
      <c r="AR6" s="31">
        <f t="shared" ref="AR6:AR37" si="2">IF(B6&lt;&gt;"",IF(R6="X",10,IF(R6="M",0,IF(ISNUMBER(R6),R6,0)))+IF(S6="X",10,IF(S6="M",0,IF(ISNUMBER(S6),S6,0)))+IF(T6="X",10,IF(T6="M",0,IF(ISNUMBER(T6),T6,0)))+IF(U6="X",10,IF(U6="M",0,IF(ISNUMBER(U6),U6,0)))+IF(V6="X",10,IF(V6="M",0,IF(ISNUMBER(V6),V6,0)))+IF(W6="X",10,IF(W6="M",0,IF(ISNUMBER(W6),W6,0))),"")</f>
        <v>0</v>
      </c>
      <c r="AS6" s="31">
        <f t="shared" ref="AS6:AS37" si="3">IF(B6&lt;&gt;"",IF(X6="X",10,IF(X6="M",0,IF(ISNUMBER(X6),X6,0)))+IF(Y6="X",10,IF(Y6="M",0,IF(ISNUMBER(Y6),Y6,0)))+IF(Z6="X",10,IF(Z6="M",0,IF(ISNUMBER(Z6),Z6,0)))+IF(AA6="X",10,IF(AA6="M",0,IF(ISNUMBER(AA6),AA6,0)))+IF(AB6="X",10,IF(AB6="M",0,IF(ISNUMBER(AB6),AB6,0)))+IF(AC6="X",10,IF(AC6="M",0,IF(ISNUMBER(AC6),AC6,0))),"")</f>
        <v>0</v>
      </c>
      <c r="AT6" s="31">
        <f t="shared" ref="AT6:AT37" si="4">IF(B6&lt;&gt;"",IF(AD6="X",10,IF(AD6="M",0,IF(ISNUMBER(AD6),AD6,0)))+IF(AE6="X",10,IF(AE6="M",0,IF(ISNUMBER(AE6),AE6,0)))+IF(AF6="X",10,IF(AF6="M",0,IF(ISNUMBER(AF6),AF6,0)))+IF(AG6="X",10,IF(AG6="M",0,IF(ISNUMBER(AG6),AG6,0)))+IF(AH6="X",10,IF(AH6="M",0,IF(ISNUMBER(AH6),AH6,0)))+IF(AI6="X",10,IF(AI6="M",0,IF(ISNUMBER(AI6),AI6,0))),"")</f>
        <v>0</v>
      </c>
      <c r="AU6" s="31">
        <f t="shared" ref="AU6:AU37" si="5">IF(B6&lt;&gt;"",IF(AJ6="X",10,IF(AJ6="M",0,IF(ISNUMBER(AJ6),AJ6,0)))+IF(AK6="X",10,IF(AK6="M",0,IF(ISNUMBER(AK6),AK6,0)))+IF(AL6="X",10,IF(AL6="M",0,IF(ISNUMBER(AL6),AL6,0)))+IF(AM6="X",10,IF(AM6="M",0,IF(ISNUMBER(AM6),AM6,0)))+IF(AN6="X",10,IF(AN6="M",0,IF(ISNUMBER(AN6),AN6,0)))+IF(AO6="X",10,IF(AO6="M",0,IF(ISNUMBER(AO6),AO6,0))),"")</f>
        <v>0</v>
      </c>
      <c r="AV6" s="32">
        <f t="shared" ref="AV6:AV37" si="6">IF(B6&lt;&gt;"",AP6+AQ6+AR6+AS6+AT6+AU6,"")</f>
        <v>0</v>
      </c>
      <c r="AW6" s="33">
        <f t="shared" ref="AW6:AW37" si="7">IF(B6&lt;&gt;"",IF(F6="X",1,0)+IF(G6="X",1,0)+IF(H6="X",1,0)+IF(I6="X",1,0)+IF(J6="X",1,0)+IF(K6="X",1,0)+IF(L6="X",1,0)+IF(M6="X",1,0)+IF(N6="X",1,0)+IF(O6="X",1,0)+IF(P6="X",1,0)+IF(Q6="X",1,0)+IF(R6="X",1,0)+IF(S6="X",1,0)+IF(T6="X",1,0)+IF(U6="X",1,0)+IF(V6="X",1,0)+IF(W6="X",1,0)+IF(X6="X",1,0)+IF(Y6="X",1,0)+IF(Z6="X",1,0)+IF(AA6="X",1,0)+IF(AB6="X",1,0)+IF(AC6="X",1,0)+IF(AD6="X",1,0)+IF(AE6="X",1,0)+IF(AF6="X",1,0)+IF(AG6="X",1,0)+IF(AH6="X",1,0)+IF(AI6="X",1,0)+IF(AJ6="X",1,0)+IF(AK6="X",1,0)+IF(AL6="X",1,0)+IF(AM6="X",1,0)+IF(AN6="X",1,0)+IF(AO6="X",1,0),"")</f>
        <v>0</v>
      </c>
      <c r="AX6" s="34">
        <f t="shared" ref="AX6:AX37" si="8">IF(B6&lt;&gt;"",IF(OR(F6="X",F6=10),1,0)+IF(OR(G6="X",G6=10),1,0)+IF(OR(H6="X",H6=10),1,0)+IF(OR(I6="X",I6=10),1,0)+IF(OR(J6="X",J6=10),1,0)+IF(OR(K6="X",K6=10),1,0)+IF(OR(L6="X",L6=10),1,0)+IF(OR(M6="X",M6=10),1,0)+IF(OR(N6="X",N6=10),1,0)+IF(OR(O6="X",O6=10),1,0)+IF(OR(P6="X",P6=10),1,0)+IF(OR(Q6="X",Q6=10),1,0)+IF(OR(R6="X",R6=10),1,0)+IF(OR(S6="X",S6=10),1,0)+IF(OR(T6="X",T6=10),1,0)+IF(OR(U6="X",U6=10),1,0)+IF(OR(V6="X",V6=10),1,0)+IF(OR(W6="X",W6=10),1,0)+IF(OR(X6="X",X6=10),1,0)+IF(OR(Y6="X",Y6=10),1,0)+IF(OR(Z6="X",Z6=10),1,0)+IF(OR(AA6="X",AA6=10),1,0)+IF(OR(AB6="X",AB6=10),1,0)+IF(OR(AC6="X",AC6=10),1,0)+IF(OR(AD6="X",AD6=10),1,0)+IF(OR(AE6="X",AE6=10),1,0)+IF(OR(AF6="X",AF6=10),1,0)+IF(OR(AG6="X",AG6=10),1,0)+IF(OR(AH6="X",AH6=10),1,0)+IF(OR(AI6="X",AI6=10),1,0)+IF(OR(AJ6="X",AJ6=10),1,0)+IF(OR(AK6="X",AK6=10),1,0)+IF(OR(AL6="X",AL6=10),1,0)+IF(OR(AM6="X",AM6=10),1,0)+IF(OR(AN6="X",AN6=10),1,0)+IF(OR(AO6="X",AO6=10),1,0),"")</f>
        <v>0</v>
      </c>
      <c r="AY6" s="34">
        <f t="shared" ref="AY6:AY37" si="9">IF(B6&lt;&gt;"",IF(F6=9,1,0)+IF(G6=9,1,0)+IF(H6=9,1,0)+IF(I6=9,1,0)+IF(J6=9,1,0)+IF(K6=9,1,0)+IF(L6=9,1,0)+IF(M6=9,1,0)+IF(N6=9,1,0)+IF(O6=9,1,0)+IF(P6=9,1,0)+IF(Q6=9,1,0)+IF(R6=9,1,0)+IF(S6=9,1,0)+IF(T6=9,1,0)+IF(U6=9,1,0)+IF(V6=9,1,0)+IF(W6=9,1,0)+IF(X6=9,1,0)+IF(Y6=9,1,0)+IF(Z6=9,1,0)+IF(AA6=9,1,0)+IF(AB6=9,1,0)+IF(AC6=9,1,0)+IF(AD6=9,1,0)+IF(AE6=9,1,0)+IF(AF6=9,1,0)+IF(AG6=9,1,0)+IF(AH6=9,1,0)+IF(AI6=9,1,0)+IF(AJ6=9,1,0)+IF(AK6=9,1,0)+IF(AL6=9,1,0)+IF(AM6=9,1,0)+IF(AN6=9,1,0)+IF(AO6=9,1,0),"")</f>
        <v>0</v>
      </c>
      <c r="AZ6" s="35">
        <f t="shared" ref="AZ6:AZ37" si="10">IF(B6&lt;&gt;"",SUMPRODUCT(($AV$6:$AV$1000&gt;AV6)*ISNUMBER($AV$6:$AV$1000))+1+SUMPRODUCT(($AV$6:$AV$1000=AV6)*($AW$6:$AW$1000&gt;AW6)*ISNUMBER($AV$6:$AV$1000)*ISNUMBER($AW$6:$AW$1000))+SUMPRODUCT(($AV$6:$AV$1000=AV6)*($AW$6:$AW$1000=AW6)*($AX$6:$AX$1000&gt;AX6)*ISNUMBER($AV$6:$AV$1000)*ISNUMBER($AX$6:$AX$1000))+SUMPRODUCT(($AV$6:$AV$1000=AV6)*($AW$6:$AW$1000=AW6)*($AX$6:$AX$1000=AX6)*($AY$6:$AY$1000&gt;AY6)*ISNUMBER($AV$6:$AV$1000)*ISNUMBER($AY$6:$AY$1000)),"")</f>
        <v>1</v>
      </c>
      <c r="BA6" s="36"/>
      <c r="BB6" s="37">
        <f t="shared" ref="BB6:BB37" si="11">IF(B6&lt;&gt;"",SUMPRODUCT(($AV$6:$AV$1000&gt;AV6)*ISNUMBER($AV$6:$AV$1000))+1+SUMPRODUCT(($AV$6:$AV$1000=AV6)*($AW$6:$AW$1000&gt;AW6)*ISNUMBER($AV$6:$AV$1000)*ISNUMBER($AW$6:$AW$1000))+SUMPRODUCT(($AV$6:$AV$1000=AV6)*($AW$6:$AW$1000=AW6)*($AX$6:$AX$1000&gt;AX6)*ISNUMBER($AV$6:$AV$1000)*ISNUMBER($AX$6:$AX$1000))+SUMPRODUCT(($AV$6:$AV$1000=AV6)*($AW$6:$AW$1000=AW6)*($AX$6:$AX$1000=AX6)*($AY$6:$AY$1000&gt;AY6)*ISNUMBER($AV$6:$AV$1000)*ISNUMBER($AY$6:$AY$1000))+SUMPRODUCT(($AV$6:$AV$1000=AV6)*($AW$6:$AW$1000=AW6)*($AX$6:$AX$1000=AX6)*($AY$6:$AY$1000=AY6)*($BA$6:$BA$1000&gt;BA6)*ISNUMBER($AV$6:$AV$1000)*ISNUMBER($BA$6:$BA$1000)),"")</f>
        <v>1</v>
      </c>
    </row>
    <row r="7" spans="1:55" ht="21.75" customHeight="1" x14ac:dyDescent="0.35">
      <c r="A7" s="38">
        <f>IF(B7&lt;&gt;"",COUNTA($B$6:B7),"")</f>
        <v>2</v>
      </c>
      <c r="B7" s="39" t="s">
        <v>19</v>
      </c>
      <c r="C7" s="18" t="s">
        <v>17</v>
      </c>
      <c r="D7" s="19" t="s">
        <v>20</v>
      </c>
      <c r="E7" s="29" t="str">
        <f>IF(B7="","",IF(COUNTA($B$6:$B$69)&lt;=(E5-D5+1),(D5+MOD(A7-1,(E5-D5+1))),(D5+MOD(A7-1,(E5-D5+1)))&amp;CHAR(65+FLOOR((A7-1)/(E5-D5+1),1))))</f>
        <v>4A</v>
      </c>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1">
        <f t="shared" si="0"/>
        <v>0</v>
      </c>
      <c r="AQ7" s="31">
        <f t="shared" si="1"/>
        <v>0</v>
      </c>
      <c r="AR7" s="31">
        <f t="shared" si="2"/>
        <v>0</v>
      </c>
      <c r="AS7" s="31">
        <f t="shared" si="3"/>
        <v>0</v>
      </c>
      <c r="AT7" s="31">
        <f t="shared" si="4"/>
        <v>0</v>
      </c>
      <c r="AU7" s="31">
        <f t="shared" si="5"/>
        <v>0</v>
      </c>
      <c r="AV7" s="32">
        <f t="shared" si="6"/>
        <v>0</v>
      </c>
      <c r="AW7" s="33">
        <f t="shared" si="7"/>
        <v>0</v>
      </c>
      <c r="AX7" s="34">
        <f t="shared" si="8"/>
        <v>0</v>
      </c>
      <c r="AY7" s="34">
        <f t="shared" si="9"/>
        <v>0</v>
      </c>
      <c r="AZ7" s="40">
        <f t="shared" si="10"/>
        <v>1</v>
      </c>
      <c r="BA7" s="36"/>
      <c r="BB7" s="41">
        <f t="shared" si="11"/>
        <v>1</v>
      </c>
    </row>
    <row r="8" spans="1:55" ht="21.75" customHeight="1" x14ac:dyDescent="0.35">
      <c r="A8" s="27">
        <f>IF(B8&lt;&gt;"",COUNTA($B$6:B8),"")</f>
        <v>3</v>
      </c>
      <c r="B8" s="28" t="s">
        <v>21</v>
      </c>
      <c r="C8" s="16" t="s">
        <v>22</v>
      </c>
      <c r="D8" s="17" t="s">
        <v>20</v>
      </c>
      <c r="E8" s="29" t="str">
        <f>IF(B8="","",IF(COUNTA($B$6:$B$69)&lt;=(E5-D5+1),(D5+MOD(A8-1,(E5-D5+1))),(D5+MOD(A8-1,(E5-D5+1)))&amp;CHAR(65+FLOOR((A8-1)/(E5-D5+1),1))))</f>
        <v>5A</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1">
        <f t="shared" si="0"/>
        <v>0</v>
      </c>
      <c r="AQ8" s="31">
        <f t="shared" si="1"/>
        <v>0</v>
      </c>
      <c r="AR8" s="31">
        <f t="shared" si="2"/>
        <v>0</v>
      </c>
      <c r="AS8" s="31">
        <f t="shared" si="3"/>
        <v>0</v>
      </c>
      <c r="AT8" s="31">
        <f t="shared" si="4"/>
        <v>0</v>
      </c>
      <c r="AU8" s="31">
        <f t="shared" si="5"/>
        <v>0</v>
      </c>
      <c r="AV8" s="32">
        <f t="shared" si="6"/>
        <v>0</v>
      </c>
      <c r="AW8" s="33">
        <f t="shared" si="7"/>
        <v>0</v>
      </c>
      <c r="AX8" s="34">
        <f t="shared" si="8"/>
        <v>0</v>
      </c>
      <c r="AY8" s="34">
        <f t="shared" si="9"/>
        <v>0</v>
      </c>
      <c r="AZ8" s="35">
        <f t="shared" si="10"/>
        <v>1</v>
      </c>
      <c r="BA8" s="36"/>
      <c r="BB8" s="37">
        <f t="shared" si="11"/>
        <v>1</v>
      </c>
    </row>
    <row r="9" spans="1:55" ht="21.75" customHeight="1" x14ac:dyDescent="0.35">
      <c r="A9" s="38">
        <f>IF(B9&lt;&gt;"",COUNTA($B$6:B9),"")</f>
        <v>4</v>
      </c>
      <c r="B9" s="39" t="s">
        <v>23</v>
      </c>
      <c r="C9" s="18" t="s">
        <v>22</v>
      </c>
      <c r="D9" s="19" t="s">
        <v>20</v>
      </c>
      <c r="E9" s="29" t="str">
        <f>IF(B9="","",IF(COUNTA($B$6:$B$69)&lt;=(E5-D5+1),(D5+MOD(A9-1,(E5-D5+1))),(D5+MOD(A9-1,(E5-D5+1)))&amp;CHAR(65+FLOOR((A9-1)/(E5-D5+1),1))))</f>
        <v>6A</v>
      </c>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1">
        <f t="shared" si="0"/>
        <v>0</v>
      </c>
      <c r="AQ9" s="31">
        <f t="shared" si="1"/>
        <v>0</v>
      </c>
      <c r="AR9" s="31">
        <f t="shared" si="2"/>
        <v>0</v>
      </c>
      <c r="AS9" s="31">
        <f t="shared" si="3"/>
        <v>0</v>
      </c>
      <c r="AT9" s="31">
        <f t="shared" si="4"/>
        <v>0</v>
      </c>
      <c r="AU9" s="31">
        <f t="shared" si="5"/>
        <v>0</v>
      </c>
      <c r="AV9" s="32">
        <f t="shared" si="6"/>
        <v>0</v>
      </c>
      <c r="AW9" s="33">
        <f t="shared" si="7"/>
        <v>0</v>
      </c>
      <c r="AX9" s="34">
        <f t="shared" si="8"/>
        <v>0</v>
      </c>
      <c r="AY9" s="34">
        <f t="shared" si="9"/>
        <v>0</v>
      </c>
      <c r="AZ9" s="40">
        <f t="shared" si="10"/>
        <v>1</v>
      </c>
      <c r="BA9" s="36"/>
      <c r="BB9" s="41">
        <f t="shared" si="11"/>
        <v>1</v>
      </c>
    </row>
    <row r="10" spans="1:55" ht="21.75" customHeight="1" x14ac:dyDescent="0.35">
      <c r="A10" s="27">
        <f>IF(B10&lt;&gt;"",COUNTA($B$6:B10),"")</f>
        <v>5</v>
      </c>
      <c r="B10" s="28" t="s">
        <v>24</v>
      </c>
      <c r="C10" s="16" t="s">
        <v>22</v>
      </c>
      <c r="D10" s="17" t="s">
        <v>25</v>
      </c>
      <c r="E10" s="29" t="str">
        <f>IF(B10="","",IF(COUNTA($B$6:$B$69)&lt;=(E5-D5+1),(D5+MOD(A10-1,(E5-D5+1))),(D5+MOD(A10-1,(E5-D5+1)))&amp;CHAR(65+FLOOR((A10-1)/(E5-D5+1),1))))</f>
        <v>3B</v>
      </c>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1">
        <f t="shared" si="0"/>
        <v>0</v>
      </c>
      <c r="AQ10" s="31">
        <f t="shared" si="1"/>
        <v>0</v>
      </c>
      <c r="AR10" s="31">
        <f t="shared" si="2"/>
        <v>0</v>
      </c>
      <c r="AS10" s="31">
        <f t="shared" si="3"/>
        <v>0</v>
      </c>
      <c r="AT10" s="31">
        <f t="shared" si="4"/>
        <v>0</v>
      </c>
      <c r="AU10" s="31">
        <f t="shared" si="5"/>
        <v>0</v>
      </c>
      <c r="AV10" s="32">
        <f t="shared" si="6"/>
        <v>0</v>
      </c>
      <c r="AW10" s="33">
        <f t="shared" si="7"/>
        <v>0</v>
      </c>
      <c r="AX10" s="34">
        <f t="shared" si="8"/>
        <v>0</v>
      </c>
      <c r="AY10" s="34">
        <f t="shared" si="9"/>
        <v>0</v>
      </c>
      <c r="AZ10" s="35">
        <f t="shared" si="10"/>
        <v>1</v>
      </c>
      <c r="BA10" s="36"/>
      <c r="BB10" s="37">
        <f t="shared" si="11"/>
        <v>1</v>
      </c>
    </row>
    <row r="11" spans="1:55" ht="21.75" customHeight="1" x14ac:dyDescent="0.35">
      <c r="A11" s="38">
        <f>IF(B11&lt;&gt;"",COUNTA($B$6:B11),"")</f>
        <v>6</v>
      </c>
      <c r="B11" s="39" t="s">
        <v>26</v>
      </c>
      <c r="C11" s="18" t="s">
        <v>22</v>
      </c>
      <c r="D11" s="19" t="s">
        <v>27</v>
      </c>
      <c r="E11" s="29" t="str">
        <f>IF(B11="","",IF(COUNTA($B$6:$B$69)&lt;=(E5-D5+1),(D5+MOD(A11-1,(E5-D5+1))),(D5+MOD(A11-1,(E5-D5+1)))&amp;CHAR(65+FLOOR((A11-1)/(E5-D5+1),1))))</f>
        <v>4B</v>
      </c>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1">
        <f t="shared" si="0"/>
        <v>0</v>
      </c>
      <c r="AQ11" s="31">
        <f t="shared" si="1"/>
        <v>0</v>
      </c>
      <c r="AR11" s="31">
        <f t="shared" si="2"/>
        <v>0</v>
      </c>
      <c r="AS11" s="31">
        <f t="shared" si="3"/>
        <v>0</v>
      </c>
      <c r="AT11" s="31">
        <f t="shared" si="4"/>
        <v>0</v>
      </c>
      <c r="AU11" s="31">
        <f t="shared" si="5"/>
        <v>0</v>
      </c>
      <c r="AV11" s="32">
        <f t="shared" si="6"/>
        <v>0</v>
      </c>
      <c r="AW11" s="33">
        <f t="shared" si="7"/>
        <v>0</v>
      </c>
      <c r="AX11" s="34">
        <f t="shared" si="8"/>
        <v>0</v>
      </c>
      <c r="AY11" s="34">
        <f t="shared" si="9"/>
        <v>0</v>
      </c>
      <c r="AZ11" s="40">
        <f t="shared" si="10"/>
        <v>1</v>
      </c>
      <c r="BA11" s="36"/>
      <c r="BB11" s="41">
        <f t="shared" si="11"/>
        <v>1</v>
      </c>
    </row>
    <row r="12" spans="1:55" ht="21.75" customHeight="1" x14ac:dyDescent="0.35">
      <c r="A12" s="27">
        <f>IF(B12&lt;&gt;"",COUNTA($B$6:B12),"")</f>
        <v>7</v>
      </c>
      <c r="B12" s="28" t="s">
        <v>28</v>
      </c>
      <c r="C12" s="16" t="s">
        <v>22</v>
      </c>
      <c r="D12" s="17" t="s">
        <v>29</v>
      </c>
      <c r="E12" s="29" t="str">
        <f>IF(B12="","",IF(COUNTA($B$6:$B$69)&lt;=(E5-D5+1),(D5+MOD(A12-1,(E5-D5+1))),(D5+MOD(A12-1,(E5-D5+1)))&amp;CHAR(65+FLOOR((A12-1)/(E5-D5+1),1))))</f>
        <v>5B</v>
      </c>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1">
        <f t="shared" si="0"/>
        <v>0</v>
      </c>
      <c r="AQ12" s="31">
        <f t="shared" si="1"/>
        <v>0</v>
      </c>
      <c r="AR12" s="31">
        <f t="shared" si="2"/>
        <v>0</v>
      </c>
      <c r="AS12" s="31">
        <f t="shared" si="3"/>
        <v>0</v>
      </c>
      <c r="AT12" s="31">
        <f t="shared" si="4"/>
        <v>0</v>
      </c>
      <c r="AU12" s="31">
        <f t="shared" si="5"/>
        <v>0</v>
      </c>
      <c r="AV12" s="32">
        <f t="shared" si="6"/>
        <v>0</v>
      </c>
      <c r="AW12" s="33">
        <f t="shared" si="7"/>
        <v>0</v>
      </c>
      <c r="AX12" s="34">
        <f t="shared" si="8"/>
        <v>0</v>
      </c>
      <c r="AY12" s="34">
        <f t="shared" si="9"/>
        <v>0</v>
      </c>
      <c r="AZ12" s="35">
        <f t="shared" si="10"/>
        <v>1</v>
      </c>
      <c r="BA12" s="36"/>
      <c r="BB12" s="37">
        <f t="shared" si="11"/>
        <v>1</v>
      </c>
    </row>
    <row r="13" spans="1:55" ht="21.75" customHeight="1" x14ac:dyDescent="0.35">
      <c r="A13" s="38">
        <f>IF(B13&lt;&gt;"",COUNTA($B$6:B13),"")</f>
        <v>8</v>
      </c>
      <c r="B13" s="39" t="s">
        <v>30</v>
      </c>
      <c r="C13" s="18" t="s">
        <v>22</v>
      </c>
      <c r="D13" s="19" t="s">
        <v>31</v>
      </c>
      <c r="E13" s="29" t="str">
        <f>IF(B13="","",IF(COUNTA($B$6:$B$69)&lt;=(E5-D5+1),(D5+MOD(A13-1,(E5-D5+1))),(D5+MOD(A13-1,(E5-D5+1)))&amp;CHAR(65+FLOOR((A13-1)/(E5-D5+1),1))))</f>
        <v>6B</v>
      </c>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1">
        <f t="shared" si="0"/>
        <v>0</v>
      </c>
      <c r="AQ13" s="31">
        <f t="shared" si="1"/>
        <v>0</v>
      </c>
      <c r="AR13" s="31">
        <f t="shared" si="2"/>
        <v>0</v>
      </c>
      <c r="AS13" s="31">
        <f t="shared" si="3"/>
        <v>0</v>
      </c>
      <c r="AT13" s="31">
        <f t="shared" si="4"/>
        <v>0</v>
      </c>
      <c r="AU13" s="31">
        <f t="shared" si="5"/>
        <v>0</v>
      </c>
      <c r="AV13" s="32">
        <f t="shared" si="6"/>
        <v>0</v>
      </c>
      <c r="AW13" s="33">
        <f t="shared" si="7"/>
        <v>0</v>
      </c>
      <c r="AX13" s="34">
        <f t="shared" si="8"/>
        <v>0</v>
      </c>
      <c r="AY13" s="34">
        <f t="shared" si="9"/>
        <v>0</v>
      </c>
      <c r="AZ13" s="40">
        <f t="shared" si="10"/>
        <v>1</v>
      </c>
      <c r="BA13" s="36"/>
      <c r="BB13" s="41">
        <f t="shared" si="11"/>
        <v>1</v>
      </c>
    </row>
    <row r="14" spans="1:55" ht="21.75" customHeight="1" x14ac:dyDescent="0.35">
      <c r="A14" s="27">
        <f>IF(B14&lt;&gt;"",COUNTA($B$6:B14),"")</f>
        <v>9</v>
      </c>
      <c r="B14" s="28" t="s">
        <v>32</v>
      </c>
      <c r="C14" s="16" t="s">
        <v>22</v>
      </c>
      <c r="D14" s="17" t="s">
        <v>33</v>
      </c>
      <c r="E14" s="29" t="str">
        <f>IF(B14="","",IF(COUNTA($B$6:$B$69)&lt;=(E5-D5+1),(D5+MOD(A14-1,(E5-D5+1))),(D5+MOD(A14-1,(E5-D5+1)))&amp;CHAR(65+FLOOR((A14-1)/(E5-D5+1),1))))</f>
        <v>3C</v>
      </c>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1">
        <f t="shared" si="0"/>
        <v>0</v>
      </c>
      <c r="AQ14" s="31">
        <f t="shared" si="1"/>
        <v>0</v>
      </c>
      <c r="AR14" s="31">
        <f t="shared" si="2"/>
        <v>0</v>
      </c>
      <c r="AS14" s="31">
        <f t="shared" si="3"/>
        <v>0</v>
      </c>
      <c r="AT14" s="31">
        <f t="shared" si="4"/>
        <v>0</v>
      </c>
      <c r="AU14" s="31">
        <f t="shared" si="5"/>
        <v>0</v>
      </c>
      <c r="AV14" s="32">
        <f t="shared" si="6"/>
        <v>0</v>
      </c>
      <c r="AW14" s="33">
        <f t="shared" si="7"/>
        <v>0</v>
      </c>
      <c r="AX14" s="34">
        <f t="shared" si="8"/>
        <v>0</v>
      </c>
      <c r="AY14" s="34">
        <f t="shared" si="9"/>
        <v>0</v>
      </c>
      <c r="AZ14" s="35">
        <f t="shared" si="10"/>
        <v>1</v>
      </c>
      <c r="BA14" s="36"/>
      <c r="BB14" s="37">
        <f t="shared" si="11"/>
        <v>1</v>
      </c>
    </row>
    <row r="15" spans="1:55" ht="21.75" customHeight="1" x14ac:dyDescent="0.35">
      <c r="A15" s="38">
        <f>IF(B15&lt;&gt;"",COUNTA($B$6:B15),"")</f>
        <v>10</v>
      </c>
      <c r="B15" s="39" t="s">
        <v>34</v>
      </c>
      <c r="C15" s="18" t="s">
        <v>22</v>
      </c>
      <c r="D15" s="19" t="s">
        <v>20</v>
      </c>
      <c r="E15" s="29" t="str">
        <f>IF(B15="","",IF(COUNTA($B$6:$B$69)&lt;=(E5-D5+1),(D5+MOD(A15-1,(E5-D5+1))),(D5+MOD(A15-1,(E5-D5+1)))&amp;CHAR(65+FLOOR((A15-1)/(E5-D5+1),1))))</f>
        <v>4C</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1">
        <f t="shared" si="0"/>
        <v>0</v>
      </c>
      <c r="AQ15" s="31">
        <f t="shared" si="1"/>
        <v>0</v>
      </c>
      <c r="AR15" s="31">
        <f t="shared" si="2"/>
        <v>0</v>
      </c>
      <c r="AS15" s="31">
        <f t="shared" si="3"/>
        <v>0</v>
      </c>
      <c r="AT15" s="31">
        <f t="shared" si="4"/>
        <v>0</v>
      </c>
      <c r="AU15" s="31">
        <f t="shared" si="5"/>
        <v>0</v>
      </c>
      <c r="AV15" s="32">
        <f t="shared" si="6"/>
        <v>0</v>
      </c>
      <c r="AW15" s="33">
        <f t="shared" si="7"/>
        <v>0</v>
      </c>
      <c r="AX15" s="34">
        <f t="shared" si="8"/>
        <v>0</v>
      </c>
      <c r="AY15" s="34">
        <f t="shared" si="9"/>
        <v>0</v>
      </c>
      <c r="AZ15" s="40">
        <f t="shared" si="10"/>
        <v>1</v>
      </c>
      <c r="BA15" s="36"/>
      <c r="BB15" s="41">
        <f t="shared" si="11"/>
        <v>1</v>
      </c>
    </row>
    <row r="16" spans="1:55" ht="21.75" customHeight="1" x14ac:dyDescent="0.35">
      <c r="A16" s="27">
        <f>IF(B16&lt;&gt;"",COUNTA($B$6:B16),"")</f>
        <v>11</v>
      </c>
      <c r="B16" s="28" t="s">
        <v>35</v>
      </c>
      <c r="C16" s="16" t="s">
        <v>22</v>
      </c>
      <c r="D16" s="17" t="s">
        <v>20</v>
      </c>
      <c r="E16" s="29" t="str">
        <f>IF(B16="","",IF(COUNTA($B$6:$B$69)&lt;=(E5-D5+1),(D5+MOD(A16-1,(E5-D5+1))),(D5+MOD(A16-1,(E5-D5+1)))&amp;CHAR(65+FLOOR((A16-1)/(E5-D5+1),1))))</f>
        <v>5C</v>
      </c>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1">
        <f t="shared" si="0"/>
        <v>0</v>
      </c>
      <c r="AQ16" s="31">
        <f t="shared" si="1"/>
        <v>0</v>
      </c>
      <c r="AR16" s="31">
        <f t="shared" si="2"/>
        <v>0</v>
      </c>
      <c r="AS16" s="31">
        <f t="shared" si="3"/>
        <v>0</v>
      </c>
      <c r="AT16" s="31">
        <f t="shared" si="4"/>
        <v>0</v>
      </c>
      <c r="AU16" s="31">
        <f t="shared" si="5"/>
        <v>0</v>
      </c>
      <c r="AV16" s="32">
        <f t="shared" si="6"/>
        <v>0</v>
      </c>
      <c r="AW16" s="33">
        <f t="shared" si="7"/>
        <v>0</v>
      </c>
      <c r="AX16" s="34">
        <f t="shared" si="8"/>
        <v>0</v>
      </c>
      <c r="AY16" s="34">
        <f t="shared" si="9"/>
        <v>0</v>
      </c>
      <c r="AZ16" s="35">
        <f t="shared" si="10"/>
        <v>1</v>
      </c>
      <c r="BA16" s="36"/>
      <c r="BB16" s="37">
        <f t="shared" si="11"/>
        <v>1</v>
      </c>
    </row>
    <row r="17" spans="1:54" ht="21.75" customHeight="1" x14ac:dyDescent="0.35">
      <c r="A17" s="38" t="str">
        <f>IF(B17&lt;&gt;"",COUNTA($B$6:B17),"")</f>
        <v/>
      </c>
      <c r="B17" s="39"/>
      <c r="C17" s="18"/>
      <c r="D17" s="19"/>
      <c r="E17" s="29" t="str">
        <f>IF(B17="","",IF(COUNTA($B$6:$B$69)&lt;=(E5-D5+1),(D5+MOD(A17-1,(E5-D5+1))),(D5+MOD(A17-1,(E5-D5+1)))&amp;CHAR(65+FLOOR((A17-1)/(E5-D5+1),1))))</f>
        <v/>
      </c>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1" t="str">
        <f t="shared" si="0"/>
        <v/>
      </c>
      <c r="AQ17" s="31" t="str">
        <f t="shared" si="1"/>
        <v/>
      </c>
      <c r="AR17" s="31" t="str">
        <f t="shared" si="2"/>
        <v/>
      </c>
      <c r="AS17" s="31" t="str">
        <f t="shared" si="3"/>
        <v/>
      </c>
      <c r="AT17" s="31" t="str">
        <f t="shared" si="4"/>
        <v/>
      </c>
      <c r="AU17" s="31" t="str">
        <f t="shared" si="5"/>
        <v/>
      </c>
      <c r="AV17" s="32" t="str">
        <f t="shared" si="6"/>
        <v/>
      </c>
      <c r="AW17" s="33" t="str">
        <f t="shared" si="7"/>
        <v/>
      </c>
      <c r="AX17" s="34" t="str">
        <f t="shared" si="8"/>
        <v/>
      </c>
      <c r="AY17" s="34" t="str">
        <f t="shared" si="9"/>
        <v/>
      </c>
      <c r="AZ17" s="40" t="str">
        <f t="shared" si="10"/>
        <v/>
      </c>
      <c r="BA17" s="36"/>
      <c r="BB17" s="41" t="str">
        <f t="shared" si="11"/>
        <v/>
      </c>
    </row>
    <row r="18" spans="1:54" ht="21.75" customHeight="1" x14ac:dyDescent="0.35">
      <c r="A18" s="27" t="str">
        <f>IF(B18&lt;&gt;"",COUNTA($B$6:B18),"")</f>
        <v/>
      </c>
      <c r="B18" s="28"/>
      <c r="C18" s="16"/>
      <c r="D18" s="17"/>
      <c r="E18" s="29" t="str">
        <f>IF(B18="","",IF(COUNTA($B$6:$B$69)&lt;=(E5-D5+1),(D5+MOD(A18-1,(E5-D5+1))),(D5+MOD(A18-1,(E5-D5+1)))&amp;CHAR(65+FLOOR((A18-1)/(E5-D5+1),1))))</f>
        <v/>
      </c>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1" t="str">
        <f t="shared" si="0"/>
        <v/>
      </c>
      <c r="AQ18" s="31" t="str">
        <f t="shared" si="1"/>
        <v/>
      </c>
      <c r="AR18" s="31" t="str">
        <f t="shared" si="2"/>
        <v/>
      </c>
      <c r="AS18" s="31" t="str">
        <f t="shared" si="3"/>
        <v/>
      </c>
      <c r="AT18" s="31" t="str">
        <f t="shared" si="4"/>
        <v/>
      </c>
      <c r="AU18" s="31" t="str">
        <f t="shared" si="5"/>
        <v/>
      </c>
      <c r="AV18" s="32" t="str">
        <f t="shared" si="6"/>
        <v/>
      </c>
      <c r="AW18" s="33" t="str">
        <f t="shared" si="7"/>
        <v/>
      </c>
      <c r="AX18" s="34" t="str">
        <f t="shared" si="8"/>
        <v/>
      </c>
      <c r="AY18" s="34" t="str">
        <f t="shared" si="9"/>
        <v/>
      </c>
      <c r="AZ18" s="35" t="str">
        <f t="shared" si="10"/>
        <v/>
      </c>
      <c r="BA18" s="36"/>
      <c r="BB18" s="37" t="str">
        <f t="shared" si="11"/>
        <v/>
      </c>
    </row>
    <row r="19" spans="1:54" ht="21.75" customHeight="1" x14ac:dyDescent="0.35">
      <c r="A19" s="38" t="str">
        <f>IF(B19&lt;&gt;"",COUNTA($B$6:B19),"")</f>
        <v/>
      </c>
      <c r="B19" s="39"/>
      <c r="C19" s="18"/>
      <c r="D19" s="19"/>
      <c r="E19" s="29" t="str">
        <f>IF(B19="","",IF(COUNTA($B$6:$B$69)&lt;=(E5-D5+1),(D5+MOD(A19-1,(E5-D5+1))),(D5+MOD(A19-1,(E5-D5+1)))&amp;CHAR(65+FLOOR((A19-1)/(E5-D5+1),1))))</f>
        <v/>
      </c>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1" t="str">
        <f t="shared" si="0"/>
        <v/>
      </c>
      <c r="AQ19" s="31" t="str">
        <f t="shared" si="1"/>
        <v/>
      </c>
      <c r="AR19" s="31" t="str">
        <f t="shared" si="2"/>
        <v/>
      </c>
      <c r="AS19" s="31" t="str">
        <f t="shared" si="3"/>
        <v/>
      </c>
      <c r="AT19" s="31" t="str">
        <f t="shared" si="4"/>
        <v/>
      </c>
      <c r="AU19" s="31" t="str">
        <f t="shared" si="5"/>
        <v/>
      </c>
      <c r="AV19" s="32" t="str">
        <f t="shared" si="6"/>
        <v/>
      </c>
      <c r="AW19" s="33" t="str">
        <f t="shared" si="7"/>
        <v/>
      </c>
      <c r="AX19" s="34" t="str">
        <f t="shared" si="8"/>
        <v/>
      </c>
      <c r="AY19" s="34" t="str">
        <f t="shared" si="9"/>
        <v/>
      </c>
      <c r="AZ19" s="40" t="str">
        <f t="shared" si="10"/>
        <v/>
      </c>
      <c r="BA19" s="36"/>
      <c r="BB19" s="41" t="str">
        <f t="shared" si="11"/>
        <v/>
      </c>
    </row>
    <row r="20" spans="1:54" ht="21.75" customHeight="1" x14ac:dyDescent="0.35">
      <c r="A20" s="27" t="str">
        <f>IF(B20&lt;&gt;"",COUNTA($B$6:B20),"")</f>
        <v/>
      </c>
      <c r="B20" s="28"/>
      <c r="C20" s="16"/>
      <c r="D20" s="17"/>
      <c r="E20" s="29" t="str">
        <f>IF(B20="","",IF(COUNTA($B$6:$B$69)&lt;=(E5-D5+1),(D5+MOD(A20-1,(E5-D5+1))),(D5+MOD(A20-1,(E5-D5+1)))&amp;CHAR(65+FLOOR((A20-1)/(E5-D5+1),1))))</f>
        <v/>
      </c>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1" t="str">
        <f t="shared" si="0"/>
        <v/>
      </c>
      <c r="AQ20" s="31" t="str">
        <f t="shared" si="1"/>
        <v/>
      </c>
      <c r="AR20" s="31" t="str">
        <f t="shared" si="2"/>
        <v/>
      </c>
      <c r="AS20" s="31" t="str">
        <f t="shared" si="3"/>
        <v/>
      </c>
      <c r="AT20" s="31" t="str">
        <f t="shared" si="4"/>
        <v/>
      </c>
      <c r="AU20" s="31" t="str">
        <f t="shared" si="5"/>
        <v/>
      </c>
      <c r="AV20" s="32" t="str">
        <f t="shared" si="6"/>
        <v/>
      </c>
      <c r="AW20" s="33" t="str">
        <f t="shared" si="7"/>
        <v/>
      </c>
      <c r="AX20" s="34" t="str">
        <f t="shared" si="8"/>
        <v/>
      </c>
      <c r="AY20" s="34" t="str">
        <f t="shared" si="9"/>
        <v/>
      </c>
      <c r="AZ20" s="35" t="str">
        <f t="shared" si="10"/>
        <v/>
      </c>
      <c r="BA20" s="36"/>
      <c r="BB20" s="37" t="str">
        <f t="shared" si="11"/>
        <v/>
      </c>
    </row>
    <row r="21" spans="1:54" ht="21.75" customHeight="1" x14ac:dyDescent="0.35">
      <c r="A21" s="38" t="str">
        <f>IF(B21&lt;&gt;"",COUNTA($B$6:B21),"")</f>
        <v/>
      </c>
      <c r="B21" s="39"/>
      <c r="C21" s="18"/>
      <c r="D21" s="19"/>
      <c r="E21" s="29" t="str">
        <f>IF(B21="","",IF(COUNTA($B$6:$B$69)&lt;=(E5-D5+1),(D5+MOD(A21-1,(E5-D5+1))),(D5+MOD(A21-1,(E5-D5+1)))&amp;CHAR(65+FLOOR((A21-1)/(E5-D5+1),1))))</f>
        <v/>
      </c>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1" t="str">
        <f t="shared" si="0"/>
        <v/>
      </c>
      <c r="AQ21" s="31" t="str">
        <f t="shared" si="1"/>
        <v/>
      </c>
      <c r="AR21" s="31" t="str">
        <f t="shared" si="2"/>
        <v/>
      </c>
      <c r="AS21" s="31" t="str">
        <f t="shared" si="3"/>
        <v/>
      </c>
      <c r="AT21" s="31" t="str">
        <f t="shared" si="4"/>
        <v/>
      </c>
      <c r="AU21" s="31" t="str">
        <f t="shared" si="5"/>
        <v/>
      </c>
      <c r="AV21" s="32" t="str">
        <f t="shared" si="6"/>
        <v/>
      </c>
      <c r="AW21" s="33" t="str">
        <f t="shared" si="7"/>
        <v/>
      </c>
      <c r="AX21" s="34" t="str">
        <f t="shared" si="8"/>
        <v/>
      </c>
      <c r="AY21" s="34" t="str">
        <f t="shared" si="9"/>
        <v/>
      </c>
      <c r="AZ21" s="40" t="str">
        <f t="shared" si="10"/>
        <v/>
      </c>
      <c r="BA21" s="36"/>
      <c r="BB21" s="41" t="str">
        <f t="shared" si="11"/>
        <v/>
      </c>
    </row>
    <row r="22" spans="1:54" ht="21.75" customHeight="1" x14ac:dyDescent="0.35">
      <c r="A22" s="27" t="str">
        <f>IF(B22&lt;&gt;"",COUNTA($B$6:B22),"")</f>
        <v/>
      </c>
      <c r="B22" s="28"/>
      <c r="C22" s="16"/>
      <c r="D22" s="17"/>
      <c r="E22" s="29" t="str">
        <f>IF(B22="","",IF(COUNTA($B$6:$B$69)&lt;=(E5-D5+1),(D5+MOD(A22-1,(E5-D5+1))),(D5+MOD(A22-1,(E5-D5+1)))&amp;CHAR(65+FLOOR((A22-1)/(E5-D5+1),1))))</f>
        <v/>
      </c>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1" t="str">
        <f t="shared" si="0"/>
        <v/>
      </c>
      <c r="AQ22" s="31" t="str">
        <f t="shared" si="1"/>
        <v/>
      </c>
      <c r="AR22" s="31" t="str">
        <f t="shared" si="2"/>
        <v/>
      </c>
      <c r="AS22" s="31" t="str">
        <f t="shared" si="3"/>
        <v/>
      </c>
      <c r="AT22" s="31" t="str">
        <f t="shared" si="4"/>
        <v/>
      </c>
      <c r="AU22" s="31" t="str">
        <f t="shared" si="5"/>
        <v/>
      </c>
      <c r="AV22" s="32" t="str">
        <f t="shared" si="6"/>
        <v/>
      </c>
      <c r="AW22" s="33" t="str">
        <f t="shared" si="7"/>
        <v/>
      </c>
      <c r="AX22" s="34" t="str">
        <f t="shared" si="8"/>
        <v/>
      </c>
      <c r="AY22" s="34" t="str">
        <f t="shared" si="9"/>
        <v/>
      </c>
      <c r="AZ22" s="35" t="str">
        <f t="shared" si="10"/>
        <v/>
      </c>
      <c r="BA22" s="36"/>
      <c r="BB22" s="37" t="str">
        <f t="shared" si="11"/>
        <v/>
      </c>
    </row>
    <row r="23" spans="1:54" ht="21.75" customHeight="1" x14ac:dyDescent="0.35">
      <c r="A23" s="38" t="str">
        <f>IF(B23&lt;&gt;"",COUNTA($B$6:B23),"")</f>
        <v/>
      </c>
      <c r="B23" s="39"/>
      <c r="C23" s="18"/>
      <c r="D23" s="19"/>
      <c r="E23" s="29" t="str">
        <f>IF(B23="","",IF(COUNTA($B$6:$B$69)&lt;=(E5-D5+1),(D5+MOD(A23-1,(E5-D5+1))),(D5+MOD(A23-1,(E5-D5+1)))&amp;CHAR(65+FLOOR((A23-1)/(E5-D5+1),1))))</f>
        <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1" t="str">
        <f t="shared" si="0"/>
        <v/>
      </c>
      <c r="AQ23" s="31" t="str">
        <f t="shared" si="1"/>
        <v/>
      </c>
      <c r="AR23" s="31" t="str">
        <f t="shared" si="2"/>
        <v/>
      </c>
      <c r="AS23" s="31" t="str">
        <f t="shared" si="3"/>
        <v/>
      </c>
      <c r="AT23" s="31" t="str">
        <f t="shared" si="4"/>
        <v/>
      </c>
      <c r="AU23" s="31" t="str">
        <f t="shared" si="5"/>
        <v/>
      </c>
      <c r="AV23" s="32" t="str">
        <f t="shared" si="6"/>
        <v/>
      </c>
      <c r="AW23" s="33" t="str">
        <f t="shared" si="7"/>
        <v/>
      </c>
      <c r="AX23" s="34" t="str">
        <f t="shared" si="8"/>
        <v/>
      </c>
      <c r="AY23" s="34" t="str">
        <f t="shared" si="9"/>
        <v/>
      </c>
      <c r="AZ23" s="40" t="str">
        <f t="shared" si="10"/>
        <v/>
      </c>
      <c r="BA23" s="36"/>
      <c r="BB23" s="41" t="str">
        <f t="shared" si="11"/>
        <v/>
      </c>
    </row>
    <row r="24" spans="1:54" ht="21.75" customHeight="1" x14ac:dyDescent="0.35">
      <c r="A24" s="27" t="str">
        <f>IF(B24&lt;&gt;"",COUNTA($B$6:B24),"")</f>
        <v/>
      </c>
      <c r="B24" s="28"/>
      <c r="C24" s="16"/>
      <c r="D24" s="17"/>
      <c r="E24" s="29" t="str">
        <f>IF(B24="","",IF(COUNTA($B$6:$B$69)&lt;=(E5-D5+1),(D5+MOD(A24-1,(E5-D5+1))),(D5+MOD(A24-1,(E5-D5+1)))&amp;CHAR(65+FLOOR((A24-1)/(E5-D5+1),1))))</f>
        <v/>
      </c>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1" t="str">
        <f t="shared" si="0"/>
        <v/>
      </c>
      <c r="AQ24" s="31" t="str">
        <f t="shared" si="1"/>
        <v/>
      </c>
      <c r="AR24" s="31" t="str">
        <f t="shared" si="2"/>
        <v/>
      </c>
      <c r="AS24" s="31" t="str">
        <f t="shared" si="3"/>
        <v/>
      </c>
      <c r="AT24" s="31" t="str">
        <f t="shared" si="4"/>
        <v/>
      </c>
      <c r="AU24" s="31" t="str">
        <f t="shared" si="5"/>
        <v/>
      </c>
      <c r="AV24" s="32" t="str">
        <f t="shared" si="6"/>
        <v/>
      </c>
      <c r="AW24" s="33" t="str">
        <f t="shared" si="7"/>
        <v/>
      </c>
      <c r="AX24" s="34" t="str">
        <f t="shared" si="8"/>
        <v/>
      </c>
      <c r="AY24" s="34" t="str">
        <f t="shared" si="9"/>
        <v/>
      </c>
      <c r="AZ24" s="35" t="str">
        <f t="shared" si="10"/>
        <v/>
      </c>
      <c r="BA24" s="36"/>
      <c r="BB24" s="37" t="str">
        <f t="shared" si="11"/>
        <v/>
      </c>
    </row>
    <row r="25" spans="1:54" ht="21.75" customHeight="1" x14ac:dyDescent="0.35">
      <c r="A25" s="38" t="str">
        <f>IF(B25&lt;&gt;"",COUNTA($B$6:B25),"")</f>
        <v/>
      </c>
      <c r="B25" s="39"/>
      <c r="C25" s="18"/>
      <c r="D25" s="19"/>
      <c r="E25" s="29" t="str">
        <f>IF(B25="","",IF(COUNTA($B$6:$B$69)&lt;=(E5-D5+1),(D5+MOD(A25-1,(E5-D5+1))),(D5+MOD(A25-1,(E5-D5+1)))&amp;CHAR(65+FLOOR((A25-1)/(E5-D5+1),1))))</f>
        <v/>
      </c>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1" t="str">
        <f t="shared" si="0"/>
        <v/>
      </c>
      <c r="AQ25" s="31" t="str">
        <f t="shared" si="1"/>
        <v/>
      </c>
      <c r="AR25" s="31" t="str">
        <f t="shared" si="2"/>
        <v/>
      </c>
      <c r="AS25" s="31" t="str">
        <f t="shared" si="3"/>
        <v/>
      </c>
      <c r="AT25" s="31" t="str">
        <f t="shared" si="4"/>
        <v/>
      </c>
      <c r="AU25" s="31" t="str">
        <f t="shared" si="5"/>
        <v/>
      </c>
      <c r="AV25" s="32" t="str">
        <f t="shared" si="6"/>
        <v/>
      </c>
      <c r="AW25" s="33" t="str">
        <f t="shared" si="7"/>
        <v/>
      </c>
      <c r="AX25" s="34" t="str">
        <f t="shared" si="8"/>
        <v/>
      </c>
      <c r="AY25" s="34" t="str">
        <f t="shared" si="9"/>
        <v/>
      </c>
      <c r="AZ25" s="40" t="str">
        <f t="shared" si="10"/>
        <v/>
      </c>
      <c r="BA25" s="36"/>
      <c r="BB25" s="41" t="str">
        <f t="shared" si="11"/>
        <v/>
      </c>
    </row>
    <row r="26" spans="1:54" ht="21.75" customHeight="1" x14ac:dyDescent="0.35">
      <c r="A26" s="27" t="str">
        <f>IF(B26&lt;&gt;"",COUNTA($B$6:B26),"")</f>
        <v/>
      </c>
      <c r="B26" s="28"/>
      <c r="C26" s="16"/>
      <c r="D26" s="17"/>
      <c r="E26" s="29" t="str">
        <f>IF(B26="","",IF(COUNTA($B$6:$B$69)&lt;=(E5-D5+1),(D5+MOD(A26-1,(E5-D5+1))),(D5+MOD(A26-1,(E5-D5+1)))&amp;CHAR(65+FLOOR((A26-1)/(E5-D5+1),1))))</f>
        <v/>
      </c>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1" t="str">
        <f t="shared" si="0"/>
        <v/>
      </c>
      <c r="AQ26" s="31" t="str">
        <f t="shared" si="1"/>
        <v/>
      </c>
      <c r="AR26" s="31" t="str">
        <f t="shared" si="2"/>
        <v/>
      </c>
      <c r="AS26" s="31" t="str">
        <f t="shared" si="3"/>
        <v/>
      </c>
      <c r="AT26" s="31" t="str">
        <f t="shared" si="4"/>
        <v/>
      </c>
      <c r="AU26" s="31" t="str">
        <f t="shared" si="5"/>
        <v/>
      </c>
      <c r="AV26" s="32" t="str">
        <f t="shared" si="6"/>
        <v/>
      </c>
      <c r="AW26" s="33" t="str">
        <f t="shared" si="7"/>
        <v/>
      </c>
      <c r="AX26" s="34" t="str">
        <f t="shared" si="8"/>
        <v/>
      </c>
      <c r="AY26" s="34" t="str">
        <f t="shared" si="9"/>
        <v/>
      </c>
      <c r="AZ26" s="35" t="str">
        <f t="shared" si="10"/>
        <v/>
      </c>
      <c r="BA26" s="36"/>
      <c r="BB26" s="37" t="str">
        <f t="shared" si="11"/>
        <v/>
      </c>
    </row>
    <row r="27" spans="1:54" ht="21.75" customHeight="1" x14ac:dyDescent="0.35">
      <c r="A27" s="38" t="str">
        <f>IF(B27&lt;&gt;"",COUNTA($B$6:B27),"")</f>
        <v/>
      </c>
      <c r="B27" s="39"/>
      <c r="C27" s="18"/>
      <c r="D27" s="19"/>
      <c r="E27" s="29" t="str">
        <f>IF(B27="","",IF(COUNTA($B$6:$B$69)&lt;=(E5-D5+1),(D5+MOD(A27-1,(E5-D5+1))),(D5+MOD(A27-1,(E5-D5+1)))&amp;CHAR(65+FLOOR((A27-1)/(E5-D5+1),1))))</f>
        <v/>
      </c>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1" t="str">
        <f t="shared" si="0"/>
        <v/>
      </c>
      <c r="AQ27" s="31" t="str">
        <f t="shared" si="1"/>
        <v/>
      </c>
      <c r="AR27" s="31" t="str">
        <f t="shared" si="2"/>
        <v/>
      </c>
      <c r="AS27" s="31" t="str">
        <f t="shared" si="3"/>
        <v/>
      </c>
      <c r="AT27" s="31" t="str">
        <f t="shared" si="4"/>
        <v/>
      </c>
      <c r="AU27" s="31" t="str">
        <f t="shared" si="5"/>
        <v/>
      </c>
      <c r="AV27" s="32" t="str">
        <f t="shared" si="6"/>
        <v/>
      </c>
      <c r="AW27" s="33" t="str">
        <f t="shared" si="7"/>
        <v/>
      </c>
      <c r="AX27" s="34" t="str">
        <f t="shared" si="8"/>
        <v/>
      </c>
      <c r="AY27" s="34" t="str">
        <f t="shared" si="9"/>
        <v/>
      </c>
      <c r="AZ27" s="40" t="str">
        <f t="shared" si="10"/>
        <v/>
      </c>
      <c r="BA27" s="36"/>
      <c r="BB27" s="41" t="str">
        <f t="shared" si="11"/>
        <v/>
      </c>
    </row>
    <row r="28" spans="1:54" ht="21.75" customHeight="1" x14ac:dyDescent="0.35">
      <c r="A28" s="27" t="str">
        <f>IF(B28&lt;&gt;"",COUNTA($B$6:B28),"")</f>
        <v/>
      </c>
      <c r="B28" s="28"/>
      <c r="C28" s="16"/>
      <c r="D28" s="17"/>
      <c r="E28" s="29" t="str">
        <f>IF(B28="","",IF(COUNTA($B$6:$B$69)&lt;=(E5-D5+1),(D5+MOD(A28-1,(E5-D5+1))),(D5+MOD(A28-1,(E5-D5+1)))&amp;CHAR(65+FLOOR((A28-1)/(E5-D5+1),1))))</f>
        <v/>
      </c>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1" t="str">
        <f t="shared" si="0"/>
        <v/>
      </c>
      <c r="AQ28" s="31" t="str">
        <f t="shared" si="1"/>
        <v/>
      </c>
      <c r="AR28" s="31" t="str">
        <f t="shared" si="2"/>
        <v/>
      </c>
      <c r="AS28" s="31" t="str">
        <f t="shared" si="3"/>
        <v/>
      </c>
      <c r="AT28" s="31" t="str">
        <f t="shared" si="4"/>
        <v/>
      </c>
      <c r="AU28" s="31" t="str">
        <f t="shared" si="5"/>
        <v/>
      </c>
      <c r="AV28" s="32" t="str">
        <f t="shared" si="6"/>
        <v/>
      </c>
      <c r="AW28" s="33" t="str">
        <f t="shared" si="7"/>
        <v/>
      </c>
      <c r="AX28" s="34" t="str">
        <f t="shared" si="8"/>
        <v/>
      </c>
      <c r="AY28" s="34" t="str">
        <f t="shared" si="9"/>
        <v/>
      </c>
      <c r="AZ28" s="35" t="str">
        <f t="shared" si="10"/>
        <v/>
      </c>
      <c r="BA28" s="36"/>
      <c r="BB28" s="37" t="str">
        <f t="shared" si="11"/>
        <v/>
      </c>
    </row>
    <row r="29" spans="1:54" ht="21.75" customHeight="1" x14ac:dyDescent="0.35">
      <c r="A29" s="38" t="str">
        <f>IF(B29&lt;&gt;"",COUNTA($B$6:B29),"")</f>
        <v/>
      </c>
      <c r="B29" s="39"/>
      <c r="C29" s="18"/>
      <c r="D29" s="19"/>
      <c r="E29" s="29" t="str">
        <f>IF(B29="","",IF(COUNTA($B$6:$B$69)&lt;=(E5-D5+1),(D5+MOD(A29-1,(E5-D5+1))),(D5+MOD(A29-1,(E5-D5+1)))&amp;CHAR(65+FLOOR((A29-1)/(E5-D5+1),1))))</f>
        <v/>
      </c>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1" t="str">
        <f t="shared" si="0"/>
        <v/>
      </c>
      <c r="AQ29" s="31" t="str">
        <f t="shared" si="1"/>
        <v/>
      </c>
      <c r="AR29" s="31" t="str">
        <f t="shared" si="2"/>
        <v/>
      </c>
      <c r="AS29" s="31" t="str">
        <f t="shared" si="3"/>
        <v/>
      </c>
      <c r="AT29" s="31" t="str">
        <f t="shared" si="4"/>
        <v/>
      </c>
      <c r="AU29" s="31" t="str">
        <f t="shared" si="5"/>
        <v/>
      </c>
      <c r="AV29" s="32" t="str">
        <f t="shared" si="6"/>
        <v/>
      </c>
      <c r="AW29" s="33" t="str">
        <f t="shared" si="7"/>
        <v/>
      </c>
      <c r="AX29" s="34" t="str">
        <f t="shared" si="8"/>
        <v/>
      </c>
      <c r="AY29" s="34" t="str">
        <f t="shared" si="9"/>
        <v/>
      </c>
      <c r="AZ29" s="40" t="str">
        <f t="shared" si="10"/>
        <v/>
      </c>
      <c r="BA29" s="36"/>
      <c r="BB29" s="41" t="str">
        <f t="shared" si="11"/>
        <v/>
      </c>
    </row>
    <row r="30" spans="1:54" ht="21.75" customHeight="1" x14ac:dyDescent="0.35">
      <c r="A30" s="27" t="str">
        <f>IF(B30&lt;&gt;"",COUNTA($B$6:B30),"")</f>
        <v/>
      </c>
      <c r="B30" s="28"/>
      <c r="C30" s="16"/>
      <c r="D30" s="17"/>
      <c r="E30" s="29" t="str">
        <f>IF(B30="","",IF(COUNTA($B$6:$B$69)&lt;=(E5-D5+1),(D5+MOD(A30-1,(E5-D5+1))),(D5+MOD(A30-1,(E5-D5+1)))&amp;CHAR(65+FLOOR((A30-1)/(E5-D5+1),1))))</f>
        <v/>
      </c>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1" t="str">
        <f t="shared" si="0"/>
        <v/>
      </c>
      <c r="AQ30" s="31" t="str">
        <f t="shared" si="1"/>
        <v/>
      </c>
      <c r="AR30" s="31" t="str">
        <f t="shared" si="2"/>
        <v/>
      </c>
      <c r="AS30" s="31" t="str">
        <f t="shared" si="3"/>
        <v/>
      </c>
      <c r="AT30" s="31" t="str">
        <f t="shared" si="4"/>
        <v/>
      </c>
      <c r="AU30" s="31" t="str">
        <f t="shared" si="5"/>
        <v/>
      </c>
      <c r="AV30" s="32" t="str">
        <f t="shared" si="6"/>
        <v/>
      </c>
      <c r="AW30" s="33" t="str">
        <f t="shared" si="7"/>
        <v/>
      </c>
      <c r="AX30" s="34" t="str">
        <f t="shared" si="8"/>
        <v/>
      </c>
      <c r="AY30" s="34" t="str">
        <f t="shared" si="9"/>
        <v/>
      </c>
      <c r="AZ30" s="35" t="str">
        <f t="shared" si="10"/>
        <v/>
      </c>
      <c r="BA30" s="36"/>
      <c r="BB30" s="37" t="str">
        <f t="shared" si="11"/>
        <v/>
      </c>
    </row>
    <row r="31" spans="1:54" ht="21.75" customHeight="1" x14ac:dyDescent="0.35">
      <c r="A31" s="38" t="str">
        <f>IF(B31&lt;&gt;"",COUNTA($B$6:B31),"")</f>
        <v/>
      </c>
      <c r="B31" s="39"/>
      <c r="C31" s="18"/>
      <c r="D31" s="19"/>
      <c r="E31" s="29" t="str">
        <f>IF(B31="","",IF(COUNTA($B$6:$B$69)&lt;=(E5-D5+1),(D5+MOD(A31-1,(E5-D5+1))),(D5+MOD(A31-1,(E5-D5+1)))&amp;CHAR(65+FLOOR((A31-1)/(E5-D5+1),1))))</f>
        <v/>
      </c>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1" t="str">
        <f t="shared" si="0"/>
        <v/>
      </c>
      <c r="AQ31" s="31" t="str">
        <f t="shared" si="1"/>
        <v/>
      </c>
      <c r="AR31" s="31" t="str">
        <f t="shared" si="2"/>
        <v/>
      </c>
      <c r="AS31" s="31" t="str">
        <f t="shared" si="3"/>
        <v/>
      </c>
      <c r="AT31" s="31" t="str">
        <f t="shared" si="4"/>
        <v/>
      </c>
      <c r="AU31" s="31" t="str">
        <f t="shared" si="5"/>
        <v/>
      </c>
      <c r="AV31" s="32" t="str">
        <f t="shared" si="6"/>
        <v/>
      </c>
      <c r="AW31" s="33" t="str">
        <f t="shared" si="7"/>
        <v/>
      </c>
      <c r="AX31" s="34" t="str">
        <f t="shared" si="8"/>
        <v/>
      </c>
      <c r="AY31" s="34" t="str">
        <f t="shared" si="9"/>
        <v/>
      </c>
      <c r="AZ31" s="40" t="str">
        <f t="shared" si="10"/>
        <v/>
      </c>
      <c r="BA31" s="36"/>
      <c r="BB31" s="41" t="str">
        <f t="shared" si="11"/>
        <v/>
      </c>
    </row>
    <row r="32" spans="1:54" ht="21.75" customHeight="1" x14ac:dyDescent="0.35">
      <c r="A32" s="27" t="str">
        <f>IF(B32&lt;&gt;"",COUNTA($B$6:B32),"")</f>
        <v/>
      </c>
      <c r="B32" s="28"/>
      <c r="C32" s="16"/>
      <c r="D32" s="17"/>
      <c r="E32" s="29" t="str">
        <f>IF(B32="","",IF(COUNTA($B$6:$B$69)&lt;=(E5-D5+1),(D5+MOD(A32-1,(E5-D5+1))),(D5+MOD(A32-1,(E5-D5+1)))&amp;CHAR(65+FLOOR((A32-1)/(E5-D5+1),1))))</f>
        <v/>
      </c>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1" t="str">
        <f t="shared" si="0"/>
        <v/>
      </c>
      <c r="AQ32" s="31" t="str">
        <f t="shared" si="1"/>
        <v/>
      </c>
      <c r="AR32" s="31" t="str">
        <f t="shared" si="2"/>
        <v/>
      </c>
      <c r="AS32" s="31" t="str">
        <f t="shared" si="3"/>
        <v/>
      </c>
      <c r="AT32" s="31" t="str">
        <f t="shared" si="4"/>
        <v/>
      </c>
      <c r="AU32" s="31" t="str">
        <f t="shared" si="5"/>
        <v/>
      </c>
      <c r="AV32" s="32" t="str">
        <f t="shared" si="6"/>
        <v/>
      </c>
      <c r="AW32" s="33" t="str">
        <f t="shared" si="7"/>
        <v/>
      </c>
      <c r="AX32" s="34" t="str">
        <f t="shared" si="8"/>
        <v/>
      </c>
      <c r="AY32" s="34" t="str">
        <f t="shared" si="9"/>
        <v/>
      </c>
      <c r="AZ32" s="35" t="str">
        <f t="shared" si="10"/>
        <v/>
      </c>
      <c r="BA32" s="36"/>
      <c r="BB32" s="37" t="str">
        <f t="shared" si="11"/>
        <v/>
      </c>
    </row>
    <row r="33" spans="1:54" ht="21.75" customHeight="1" x14ac:dyDescent="0.35">
      <c r="A33" s="38" t="str">
        <f>IF(B33&lt;&gt;"",COUNTA($B$6:B33),"")</f>
        <v/>
      </c>
      <c r="B33" s="39"/>
      <c r="C33" s="18"/>
      <c r="D33" s="19"/>
      <c r="E33" s="29" t="str">
        <f>IF(B33="","",IF(COUNTA($B$6:$B$69)&lt;=(E5-D5+1),(D5+MOD(A33-1,(E5-D5+1))),(D5+MOD(A33-1,(E5-D5+1)))&amp;CHAR(65+FLOOR((A33-1)/(E5-D5+1),1))))</f>
        <v/>
      </c>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1" t="str">
        <f t="shared" si="0"/>
        <v/>
      </c>
      <c r="AQ33" s="31" t="str">
        <f t="shared" si="1"/>
        <v/>
      </c>
      <c r="AR33" s="31" t="str">
        <f t="shared" si="2"/>
        <v/>
      </c>
      <c r="AS33" s="31" t="str">
        <f t="shared" si="3"/>
        <v/>
      </c>
      <c r="AT33" s="31" t="str">
        <f t="shared" si="4"/>
        <v/>
      </c>
      <c r="AU33" s="31" t="str">
        <f t="shared" si="5"/>
        <v/>
      </c>
      <c r="AV33" s="32" t="str">
        <f t="shared" si="6"/>
        <v/>
      </c>
      <c r="AW33" s="33" t="str">
        <f t="shared" si="7"/>
        <v/>
      </c>
      <c r="AX33" s="34" t="str">
        <f t="shared" si="8"/>
        <v/>
      </c>
      <c r="AY33" s="34" t="str">
        <f t="shared" si="9"/>
        <v/>
      </c>
      <c r="AZ33" s="40" t="str">
        <f t="shared" si="10"/>
        <v/>
      </c>
      <c r="BA33" s="36"/>
      <c r="BB33" s="41" t="str">
        <f t="shared" si="11"/>
        <v/>
      </c>
    </row>
    <row r="34" spans="1:54" ht="21.75" customHeight="1" x14ac:dyDescent="0.35">
      <c r="A34" s="27" t="str">
        <f>IF(B34&lt;&gt;"",COUNTA($B$6:B34),"")</f>
        <v/>
      </c>
      <c r="B34" s="28"/>
      <c r="C34" s="16"/>
      <c r="D34" s="17"/>
      <c r="E34" s="29" t="str">
        <f>IF(B34="","",IF(COUNTA($B$6:$B$69)&lt;=(E5-D5+1),(D5+MOD(A34-1,(E5-D5+1))),(D5+MOD(A34-1,(E5-D5+1)))&amp;CHAR(65+FLOOR((A34-1)/(E5-D5+1),1))))</f>
        <v/>
      </c>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1" t="str">
        <f t="shared" si="0"/>
        <v/>
      </c>
      <c r="AQ34" s="31" t="str">
        <f t="shared" si="1"/>
        <v/>
      </c>
      <c r="AR34" s="31" t="str">
        <f t="shared" si="2"/>
        <v/>
      </c>
      <c r="AS34" s="31" t="str">
        <f t="shared" si="3"/>
        <v/>
      </c>
      <c r="AT34" s="31" t="str">
        <f t="shared" si="4"/>
        <v/>
      </c>
      <c r="AU34" s="31" t="str">
        <f t="shared" si="5"/>
        <v/>
      </c>
      <c r="AV34" s="32" t="str">
        <f t="shared" si="6"/>
        <v/>
      </c>
      <c r="AW34" s="33" t="str">
        <f t="shared" si="7"/>
        <v/>
      </c>
      <c r="AX34" s="34" t="str">
        <f t="shared" si="8"/>
        <v/>
      </c>
      <c r="AY34" s="34" t="str">
        <f t="shared" si="9"/>
        <v/>
      </c>
      <c r="AZ34" s="35" t="str">
        <f t="shared" si="10"/>
        <v/>
      </c>
      <c r="BA34" s="36"/>
      <c r="BB34" s="37" t="str">
        <f t="shared" si="11"/>
        <v/>
      </c>
    </row>
    <row r="35" spans="1:54" ht="21.75" customHeight="1" x14ac:dyDescent="0.35">
      <c r="A35" s="38" t="str">
        <f>IF(B35&lt;&gt;"",COUNTA($B$6:B35),"")</f>
        <v/>
      </c>
      <c r="B35" s="39"/>
      <c r="C35" s="18"/>
      <c r="D35" s="19"/>
      <c r="E35" s="29" t="str">
        <f>IF(B35="","",IF(COUNTA($B$6:$B$69)&lt;=(E5-D5+1),(D5+MOD(A35-1,(E5-D5+1))),(D5+MOD(A35-1,(E5-D5+1)))&amp;CHAR(65+FLOOR((A35-1)/(E5-D5+1),1))))</f>
        <v/>
      </c>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1" t="str">
        <f t="shared" si="0"/>
        <v/>
      </c>
      <c r="AQ35" s="31" t="str">
        <f t="shared" si="1"/>
        <v/>
      </c>
      <c r="AR35" s="31" t="str">
        <f t="shared" si="2"/>
        <v/>
      </c>
      <c r="AS35" s="31" t="str">
        <f t="shared" si="3"/>
        <v/>
      </c>
      <c r="AT35" s="31" t="str">
        <f t="shared" si="4"/>
        <v/>
      </c>
      <c r="AU35" s="31" t="str">
        <f t="shared" si="5"/>
        <v/>
      </c>
      <c r="AV35" s="32" t="str">
        <f t="shared" si="6"/>
        <v/>
      </c>
      <c r="AW35" s="33" t="str">
        <f t="shared" si="7"/>
        <v/>
      </c>
      <c r="AX35" s="34" t="str">
        <f t="shared" si="8"/>
        <v/>
      </c>
      <c r="AY35" s="34" t="str">
        <f t="shared" si="9"/>
        <v/>
      </c>
      <c r="AZ35" s="40" t="str">
        <f t="shared" si="10"/>
        <v/>
      </c>
      <c r="BA35" s="36"/>
      <c r="BB35" s="41" t="str">
        <f t="shared" si="11"/>
        <v/>
      </c>
    </row>
    <row r="36" spans="1:54" ht="21.75" customHeight="1" x14ac:dyDescent="0.35">
      <c r="A36" s="27" t="str">
        <f>IF(B36&lt;&gt;"",COUNTA($B$6:B36),"")</f>
        <v/>
      </c>
      <c r="B36" s="28"/>
      <c r="C36" s="16"/>
      <c r="D36" s="17"/>
      <c r="E36" s="29" t="str">
        <f>IF(B36="","",IF(COUNTA($B$6:$B$69)&lt;=(E5-D5+1),(D5+MOD(A36-1,(E5-D5+1))),(D5+MOD(A36-1,(E5-D5+1)))&amp;CHAR(65+FLOOR((A36-1)/(E5-D5+1),1))))</f>
        <v/>
      </c>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1" t="str">
        <f t="shared" si="0"/>
        <v/>
      </c>
      <c r="AQ36" s="31" t="str">
        <f t="shared" si="1"/>
        <v/>
      </c>
      <c r="AR36" s="31" t="str">
        <f t="shared" si="2"/>
        <v/>
      </c>
      <c r="AS36" s="31" t="str">
        <f t="shared" si="3"/>
        <v/>
      </c>
      <c r="AT36" s="31" t="str">
        <f t="shared" si="4"/>
        <v/>
      </c>
      <c r="AU36" s="31" t="str">
        <f t="shared" si="5"/>
        <v/>
      </c>
      <c r="AV36" s="32" t="str">
        <f t="shared" si="6"/>
        <v/>
      </c>
      <c r="AW36" s="33" t="str">
        <f t="shared" si="7"/>
        <v/>
      </c>
      <c r="AX36" s="34" t="str">
        <f t="shared" si="8"/>
        <v/>
      </c>
      <c r="AY36" s="34" t="str">
        <f t="shared" si="9"/>
        <v/>
      </c>
      <c r="AZ36" s="35" t="str">
        <f t="shared" si="10"/>
        <v/>
      </c>
      <c r="BA36" s="36"/>
      <c r="BB36" s="37" t="str">
        <f t="shared" si="11"/>
        <v/>
      </c>
    </row>
    <row r="37" spans="1:54" ht="21.75" customHeight="1" x14ac:dyDescent="0.35">
      <c r="A37" s="38" t="str">
        <f>IF(B37&lt;&gt;"",COUNTA($B$6:B37),"")</f>
        <v/>
      </c>
      <c r="B37" s="39"/>
      <c r="C37" s="18"/>
      <c r="D37" s="19"/>
      <c r="E37" s="29" t="str">
        <f>IF(B37="","",IF(COUNTA($B$6:$B$69)&lt;=(E5-D5+1),(D5+MOD(A37-1,(E5-D5+1))),(D5+MOD(A37-1,(E5-D5+1)))&amp;CHAR(65+FLOOR((A37-1)/(E5-D5+1),1))))</f>
        <v/>
      </c>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1" t="str">
        <f t="shared" si="0"/>
        <v/>
      </c>
      <c r="AQ37" s="31" t="str">
        <f t="shared" si="1"/>
        <v/>
      </c>
      <c r="AR37" s="31" t="str">
        <f t="shared" si="2"/>
        <v/>
      </c>
      <c r="AS37" s="31" t="str">
        <f t="shared" si="3"/>
        <v/>
      </c>
      <c r="AT37" s="31" t="str">
        <f t="shared" si="4"/>
        <v/>
      </c>
      <c r="AU37" s="31" t="str">
        <f t="shared" si="5"/>
        <v/>
      </c>
      <c r="AV37" s="32" t="str">
        <f t="shared" si="6"/>
        <v/>
      </c>
      <c r="AW37" s="33" t="str">
        <f t="shared" si="7"/>
        <v/>
      </c>
      <c r="AX37" s="34" t="str">
        <f t="shared" si="8"/>
        <v/>
      </c>
      <c r="AY37" s="34" t="str">
        <f t="shared" si="9"/>
        <v/>
      </c>
      <c r="AZ37" s="40" t="str">
        <f t="shared" si="10"/>
        <v/>
      </c>
      <c r="BA37" s="36"/>
      <c r="BB37" s="41" t="str">
        <f t="shared" si="11"/>
        <v/>
      </c>
    </row>
    <row r="38" spans="1:54" ht="21.75" customHeight="1" x14ac:dyDescent="0.35">
      <c r="A38" s="27" t="str">
        <f>IF(B38&lt;&gt;"",COUNTA($B$6:B38),"")</f>
        <v/>
      </c>
      <c r="B38" s="28"/>
      <c r="C38" s="16"/>
      <c r="D38" s="17"/>
      <c r="E38" s="29" t="str">
        <f>IF(B38="","",IF(COUNTA($B$6:$B$69)&lt;=(E5-D5+1),(D5+MOD(A38-1,(E5-D5+1))),(D5+MOD(A38-1,(E5-D5+1)))&amp;CHAR(65+FLOOR((A38-1)/(E5-D5+1),1))))</f>
        <v/>
      </c>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1" t="str">
        <f t="shared" ref="AP38:AP69" si="12">IF(B38&lt;&gt;"",IF(F38="X",10,IF(F38="M",0,IF(ISNUMBER(F38),F38,0)))+IF(G38="X",10,IF(G38="M",0,IF(ISNUMBER(G38),G38,0)))+IF(H38="X",10,IF(H38="M",0,IF(ISNUMBER(H38),H38,0)))+IF(I38="X",10,IF(I38="M",0,IF(ISNUMBER(I38),I38,0)))+IF(J38="X",10,IF(J38="M",0,IF(ISNUMBER(J38),J38,0)))+IF(K38="X",10,IF(K38="M",0,IF(ISNUMBER(K38),K38,0))),"")</f>
        <v/>
      </c>
      <c r="AQ38" s="31" t="str">
        <f t="shared" ref="AQ38:AQ69" si="13">IF(B38&lt;&gt;"",IF(L38="X",10,IF(L38="M",0,IF(ISNUMBER(L38),L38,0)))+IF(M38="X",10,IF(M38="M",0,IF(ISNUMBER(M38),M38,0)))+IF(N38="X",10,IF(N38="M",0,IF(ISNUMBER(N38),N38,0)))+IF(O38="X",10,IF(O38="M",0,IF(ISNUMBER(O38),O38,0)))+IF(P38="X",10,IF(P38="M",0,IF(ISNUMBER(P38),P38,0)))+IF(Q38="X",10,IF(Q38="M",0,IF(ISNUMBER(Q38),Q38,0))),"")</f>
        <v/>
      </c>
      <c r="AR38" s="31" t="str">
        <f t="shared" ref="AR38:AR69" si="14">IF(B38&lt;&gt;"",IF(R38="X",10,IF(R38="M",0,IF(ISNUMBER(R38),R38,0)))+IF(S38="X",10,IF(S38="M",0,IF(ISNUMBER(S38),S38,0)))+IF(T38="X",10,IF(T38="M",0,IF(ISNUMBER(T38),T38,0)))+IF(U38="X",10,IF(U38="M",0,IF(ISNUMBER(U38),U38,0)))+IF(V38="X",10,IF(V38="M",0,IF(ISNUMBER(V38),V38,0)))+IF(W38="X",10,IF(W38="M",0,IF(ISNUMBER(W38),W38,0))),"")</f>
        <v/>
      </c>
      <c r="AS38" s="31" t="str">
        <f t="shared" ref="AS38:AS69" si="15">IF(B38&lt;&gt;"",IF(X38="X",10,IF(X38="M",0,IF(ISNUMBER(X38),X38,0)))+IF(Y38="X",10,IF(Y38="M",0,IF(ISNUMBER(Y38),Y38,0)))+IF(Z38="X",10,IF(Z38="M",0,IF(ISNUMBER(Z38),Z38,0)))+IF(AA38="X",10,IF(AA38="M",0,IF(ISNUMBER(AA38),AA38,0)))+IF(AB38="X",10,IF(AB38="M",0,IF(ISNUMBER(AB38),AB38,0)))+IF(AC38="X",10,IF(AC38="M",0,IF(ISNUMBER(AC38),AC38,0))),"")</f>
        <v/>
      </c>
      <c r="AT38" s="31" t="str">
        <f t="shared" ref="AT38:AT69" si="16">IF(B38&lt;&gt;"",IF(AD38="X",10,IF(AD38="M",0,IF(ISNUMBER(AD38),AD38,0)))+IF(AE38="X",10,IF(AE38="M",0,IF(ISNUMBER(AE38),AE38,0)))+IF(AF38="X",10,IF(AF38="M",0,IF(ISNUMBER(AF38),AF38,0)))+IF(AG38="X",10,IF(AG38="M",0,IF(ISNUMBER(AG38),AG38,0)))+IF(AH38="X",10,IF(AH38="M",0,IF(ISNUMBER(AH38),AH38,0)))+IF(AI38="X",10,IF(AI38="M",0,IF(ISNUMBER(AI38),AI38,0))),"")</f>
        <v/>
      </c>
      <c r="AU38" s="31" t="str">
        <f t="shared" ref="AU38:AU69" si="17">IF(B38&lt;&gt;"",IF(AJ38="X",10,IF(AJ38="M",0,IF(ISNUMBER(AJ38),AJ38,0)))+IF(AK38="X",10,IF(AK38="M",0,IF(ISNUMBER(AK38),AK38,0)))+IF(AL38="X",10,IF(AL38="M",0,IF(ISNUMBER(AL38),AL38,0)))+IF(AM38="X",10,IF(AM38="M",0,IF(ISNUMBER(AM38),AM38,0)))+IF(AN38="X",10,IF(AN38="M",0,IF(ISNUMBER(AN38),AN38,0)))+IF(AO38="X",10,IF(AO38="M",0,IF(ISNUMBER(AO38),AO38,0))),"")</f>
        <v/>
      </c>
      <c r="AV38" s="32" t="str">
        <f t="shared" ref="AV38:AV69" si="18">IF(B38&lt;&gt;"",AP38+AQ38+AR38+AS38+AT38+AU38,"")</f>
        <v/>
      </c>
      <c r="AW38" s="33" t="str">
        <f t="shared" ref="AW38:AW69" si="19">IF(B38&lt;&gt;"",IF(F38="X",1,0)+IF(G38="X",1,0)+IF(H38="X",1,0)+IF(I38="X",1,0)+IF(J38="X",1,0)+IF(K38="X",1,0)+IF(L38="X",1,0)+IF(M38="X",1,0)+IF(N38="X",1,0)+IF(O38="X",1,0)+IF(P38="X",1,0)+IF(Q38="X",1,0)+IF(R38="X",1,0)+IF(S38="X",1,0)+IF(T38="X",1,0)+IF(U38="X",1,0)+IF(V38="X",1,0)+IF(W38="X",1,0)+IF(X38="X",1,0)+IF(Y38="X",1,0)+IF(Z38="X",1,0)+IF(AA38="X",1,0)+IF(AB38="X",1,0)+IF(AC38="X",1,0)+IF(AD38="X",1,0)+IF(AE38="X",1,0)+IF(AF38="X",1,0)+IF(AG38="X",1,0)+IF(AH38="X",1,0)+IF(AI38="X",1,0)+IF(AJ38="X",1,0)+IF(AK38="X",1,0)+IF(AL38="X",1,0)+IF(AM38="X",1,0)+IF(AN38="X",1,0)+IF(AO38="X",1,0),"")</f>
        <v/>
      </c>
      <c r="AX38" s="34" t="str">
        <f t="shared" ref="AX38:AX69" si="20">IF(B38&lt;&gt;"",IF(OR(F38="X",F38=10),1,0)+IF(OR(G38="X",G38=10),1,0)+IF(OR(H38="X",H38=10),1,0)+IF(OR(I38="X",I38=10),1,0)+IF(OR(J38="X",J38=10),1,0)+IF(OR(K38="X",K38=10),1,0)+IF(OR(L38="X",L38=10),1,0)+IF(OR(M38="X",M38=10),1,0)+IF(OR(N38="X",N38=10),1,0)+IF(OR(O38="X",O38=10),1,0)+IF(OR(P38="X",P38=10),1,0)+IF(OR(Q38="X",Q38=10),1,0)+IF(OR(R38="X",R38=10),1,0)+IF(OR(S38="X",S38=10),1,0)+IF(OR(T38="X",T38=10),1,0)+IF(OR(U38="X",U38=10),1,0)+IF(OR(V38="X",V38=10),1,0)+IF(OR(W38="X",W38=10),1,0)+IF(OR(X38="X",X38=10),1,0)+IF(OR(Y38="X",Y38=10),1,0)+IF(OR(Z38="X",Z38=10),1,0)+IF(OR(AA38="X",AA38=10),1,0)+IF(OR(AB38="X",AB38=10),1,0)+IF(OR(AC38="X",AC38=10),1,0)+IF(OR(AD38="X",AD38=10),1,0)+IF(OR(AE38="X",AE38=10),1,0)+IF(OR(AF38="X",AF38=10),1,0)+IF(OR(AG38="X",AG38=10),1,0)+IF(OR(AH38="X",AH38=10),1,0)+IF(OR(AI38="X",AI38=10),1,0)+IF(OR(AJ38="X",AJ38=10),1,0)+IF(OR(AK38="X",AK38=10),1,0)+IF(OR(AL38="X",AL38=10),1,0)+IF(OR(AM38="X",AM38=10),1,0)+IF(OR(AN38="X",AN38=10),1,0)+IF(OR(AO38="X",AO38=10),1,0),"")</f>
        <v/>
      </c>
      <c r="AY38" s="34" t="str">
        <f t="shared" ref="AY38:AY69" si="21">IF(B38&lt;&gt;"",IF(F38=9,1,0)+IF(G38=9,1,0)+IF(H38=9,1,0)+IF(I38=9,1,0)+IF(J38=9,1,0)+IF(K38=9,1,0)+IF(L38=9,1,0)+IF(M38=9,1,0)+IF(N38=9,1,0)+IF(O38=9,1,0)+IF(P38=9,1,0)+IF(Q38=9,1,0)+IF(R38=9,1,0)+IF(S38=9,1,0)+IF(T38=9,1,0)+IF(U38=9,1,0)+IF(V38=9,1,0)+IF(W38=9,1,0)+IF(X38=9,1,0)+IF(Y38=9,1,0)+IF(Z38=9,1,0)+IF(AA38=9,1,0)+IF(AB38=9,1,0)+IF(AC38=9,1,0)+IF(AD38=9,1,0)+IF(AE38=9,1,0)+IF(AF38=9,1,0)+IF(AG38=9,1,0)+IF(AH38=9,1,0)+IF(AI38=9,1,0)+IF(AJ38=9,1,0)+IF(AK38=9,1,0)+IF(AL38=9,1,0)+IF(AM38=9,1,0)+IF(AN38=9,1,0)+IF(AO38=9,1,0),"")</f>
        <v/>
      </c>
      <c r="AZ38" s="35" t="str">
        <f t="shared" ref="AZ38:AZ69" si="22">IF(B38&lt;&gt;"",SUMPRODUCT(($AV$6:$AV$1000&gt;AV38)*ISNUMBER($AV$6:$AV$1000))+1+SUMPRODUCT(($AV$6:$AV$1000=AV38)*($AW$6:$AW$1000&gt;AW38)*ISNUMBER($AV$6:$AV$1000)*ISNUMBER($AW$6:$AW$1000))+SUMPRODUCT(($AV$6:$AV$1000=AV38)*($AW$6:$AW$1000=AW38)*($AX$6:$AX$1000&gt;AX38)*ISNUMBER($AV$6:$AV$1000)*ISNUMBER($AX$6:$AX$1000))+SUMPRODUCT(($AV$6:$AV$1000=AV38)*($AW$6:$AW$1000=AW38)*($AX$6:$AX$1000=AX38)*($AY$6:$AY$1000&gt;AY38)*ISNUMBER($AV$6:$AV$1000)*ISNUMBER($AY$6:$AY$1000)),"")</f>
        <v/>
      </c>
      <c r="BA38" s="36"/>
      <c r="BB38" s="37" t="str">
        <f t="shared" ref="BB38:BB69" si="23">IF(B38&lt;&gt;"",SUMPRODUCT(($AV$6:$AV$1000&gt;AV38)*ISNUMBER($AV$6:$AV$1000))+1+SUMPRODUCT(($AV$6:$AV$1000=AV38)*($AW$6:$AW$1000&gt;AW38)*ISNUMBER($AV$6:$AV$1000)*ISNUMBER($AW$6:$AW$1000))+SUMPRODUCT(($AV$6:$AV$1000=AV38)*($AW$6:$AW$1000=AW38)*($AX$6:$AX$1000&gt;AX38)*ISNUMBER($AV$6:$AV$1000)*ISNUMBER($AX$6:$AX$1000))+SUMPRODUCT(($AV$6:$AV$1000=AV38)*($AW$6:$AW$1000=AW38)*($AX$6:$AX$1000=AX38)*($AY$6:$AY$1000&gt;AY38)*ISNUMBER($AV$6:$AV$1000)*ISNUMBER($AY$6:$AY$1000))+SUMPRODUCT(($AV$6:$AV$1000=AV38)*($AW$6:$AW$1000=AW38)*($AX$6:$AX$1000=AX38)*($AY$6:$AY$1000=AY38)*($BA$6:$BA$1000&gt;BA38)*ISNUMBER($AV$6:$AV$1000)*ISNUMBER($BA$6:$BA$1000)),"")</f>
        <v/>
      </c>
    </row>
    <row r="39" spans="1:54" ht="21.75" customHeight="1" x14ac:dyDescent="0.35">
      <c r="A39" s="38" t="str">
        <f>IF(B39&lt;&gt;"",COUNTA($B$6:B39),"")</f>
        <v/>
      </c>
      <c r="B39" s="39"/>
      <c r="C39" s="18"/>
      <c r="D39" s="19"/>
      <c r="E39" s="29" t="str">
        <f>IF(B39="","",IF(COUNTA($B$6:$B$69)&lt;=(E5-D5+1),(D5+MOD(A39-1,(E5-D5+1))),(D5+MOD(A39-1,(E5-D5+1)))&amp;CHAR(65+FLOOR((A39-1)/(E5-D5+1),1))))</f>
        <v/>
      </c>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1" t="str">
        <f t="shared" si="12"/>
        <v/>
      </c>
      <c r="AQ39" s="31" t="str">
        <f t="shared" si="13"/>
        <v/>
      </c>
      <c r="AR39" s="31" t="str">
        <f t="shared" si="14"/>
        <v/>
      </c>
      <c r="AS39" s="31" t="str">
        <f t="shared" si="15"/>
        <v/>
      </c>
      <c r="AT39" s="31" t="str">
        <f t="shared" si="16"/>
        <v/>
      </c>
      <c r="AU39" s="31" t="str">
        <f t="shared" si="17"/>
        <v/>
      </c>
      <c r="AV39" s="32" t="str">
        <f t="shared" si="18"/>
        <v/>
      </c>
      <c r="AW39" s="33" t="str">
        <f t="shared" si="19"/>
        <v/>
      </c>
      <c r="AX39" s="34" t="str">
        <f t="shared" si="20"/>
        <v/>
      </c>
      <c r="AY39" s="34" t="str">
        <f t="shared" si="21"/>
        <v/>
      </c>
      <c r="AZ39" s="40" t="str">
        <f t="shared" si="22"/>
        <v/>
      </c>
      <c r="BA39" s="36"/>
      <c r="BB39" s="41" t="str">
        <f t="shared" si="23"/>
        <v/>
      </c>
    </row>
    <row r="40" spans="1:54" ht="21.75" customHeight="1" x14ac:dyDescent="0.35">
      <c r="A40" s="27" t="str">
        <f>IF(B40&lt;&gt;"",COUNTA($B$6:B40),"")</f>
        <v/>
      </c>
      <c r="B40" s="28"/>
      <c r="C40" s="16"/>
      <c r="D40" s="17"/>
      <c r="E40" s="29" t="str">
        <f>IF(B40="","",IF(COUNTA($B$6:$B$69)&lt;=(E5-D5+1),(D5+MOD(A40-1,(E5-D5+1))),(D5+MOD(A40-1,(E5-D5+1)))&amp;CHAR(65+FLOOR((A40-1)/(E5-D5+1),1))))</f>
        <v/>
      </c>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1" t="str">
        <f t="shared" si="12"/>
        <v/>
      </c>
      <c r="AQ40" s="31" t="str">
        <f t="shared" si="13"/>
        <v/>
      </c>
      <c r="AR40" s="31" t="str">
        <f t="shared" si="14"/>
        <v/>
      </c>
      <c r="AS40" s="31" t="str">
        <f t="shared" si="15"/>
        <v/>
      </c>
      <c r="AT40" s="31" t="str">
        <f t="shared" si="16"/>
        <v/>
      </c>
      <c r="AU40" s="31" t="str">
        <f t="shared" si="17"/>
        <v/>
      </c>
      <c r="AV40" s="32" t="str">
        <f t="shared" si="18"/>
        <v/>
      </c>
      <c r="AW40" s="33" t="str">
        <f t="shared" si="19"/>
        <v/>
      </c>
      <c r="AX40" s="34" t="str">
        <f t="shared" si="20"/>
        <v/>
      </c>
      <c r="AY40" s="34" t="str">
        <f t="shared" si="21"/>
        <v/>
      </c>
      <c r="AZ40" s="35" t="str">
        <f t="shared" si="22"/>
        <v/>
      </c>
      <c r="BA40" s="36"/>
      <c r="BB40" s="37" t="str">
        <f t="shared" si="23"/>
        <v/>
      </c>
    </row>
    <row r="41" spans="1:54" ht="21.75" customHeight="1" x14ac:dyDescent="0.35">
      <c r="A41" s="38" t="str">
        <f>IF(B41&lt;&gt;"",COUNTA($B$6:B41),"")</f>
        <v/>
      </c>
      <c r="B41" s="39"/>
      <c r="C41" s="18"/>
      <c r="D41" s="19"/>
      <c r="E41" s="29" t="str">
        <f>IF(B41="","",IF(COUNTA($B$6:$B$69)&lt;=(E5-D5+1),(D5+MOD(A41-1,(E5-D5+1))),(D5+MOD(A41-1,(E5-D5+1)))&amp;CHAR(65+FLOOR((A41-1)/(E5-D5+1),1))))</f>
        <v/>
      </c>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1" t="str">
        <f t="shared" si="12"/>
        <v/>
      </c>
      <c r="AQ41" s="31" t="str">
        <f t="shared" si="13"/>
        <v/>
      </c>
      <c r="AR41" s="31" t="str">
        <f t="shared" si="14"/>
        <v/>
      </c>
      <c r="AS41" s="31" t="str">
        <f t="shared" si="15"/>
        <v/>
      </c>
      <c r="AT41" s="31" t="str">
        <f t="shared" si="16"/>
        <v/>
      </c>
      <c r="AU41" s="31" t="str">
        <f t="shared" si="17"/>
        <v/>
      </c>
      <c r="AV41" s="32" t="str">
        <f t="shared" si="18"/>
        <v/>
      </c>
      <c r="AW41" s="33" t="str">
        <f t="shared" si="19"/>
        <v/>
      </c>
      <c r="AX41" s="34" t="str">
        <f t="shared" si="20"/>
        <v/>
      </c>
      <c r="AY41" s="34" t="str">
        <f t="shared" si="21"/>
        <v/>
      </c>
      <c r="AZ41" s="40" t="str">
        <f t="shared" si="22"/>
        <v/>
      </c>
      <c r="BA41" s="36"/>
      <c r="BB41" s="41" t="str">
        <f t="shared" si="23"/>
        <v/>
      </c>
    </row>
    <row r="42" spans="1:54" ht="21.75" customHeight="1" x14ac:dyDescent="0.35">
      <c r="A42" s="27" t="str">
        <f>IF(B42&lt;&gt;"",COUNTA($B$6:B42),"")</f>
        <v/>
      </c>
      <c r="B42" s="28"/>
      <c r="C42" s="16"/>
      <c r="D42" s="17"/>
      <c r="E42" s="29" t="str">
        <f>IF(B42="","",IF(COUNTA($B$6:$B$69)&lt;=(E5-D5+1),(D5+MOD(A42-1,(E5-D5+1))),(D5+MOD(A42-1,(E5-D5+1)))&amp;CHAR(65+FLOOR((A42-1)/(E5-D5+1),1))))</f>
        <v/>
      </c>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1" t="str">
        <f t="shared" si="12"/>
        <v/>
      </c>
      <c r="AQ42" s="31" t="str">
        <f t="shared" si="13"/>
        <v/>
      </c>
      <c r="AR42" s="31" t="str">
        <f t="shared" si="14"/>
        <v/>
      </c>
      <c r="AS42" s="31" t="str">
        <f t="shared" si="15"/>
        <v/>
      </c>
      <c r="AT42" s="31" t="str">
        <f t="shared" si="16"/>
        <v/>
      </c>
      <c r="AU42" s="31" t="str">
        <f t="shared" si="17"/>
        <v/>
      </c>
      <c r="AV42" s="32" t="str">
        <f t="shared" si="18"/>
        <v/>
      </c>
      <c r="AW42" s="33" t="str">
        <f t="shared" si="19"/>
        <v/>
      </c>
      <c r="AX42" s="34" t="str">
        <f t="shared" si="20"/>
        <v/>
      </c>
      <c r="AY42" s="34" t="str">
        <f t="shared" si="21"/>
        <v/>
      </c>
      <c r="AZ42" s="35" t="str">
        <f t="shared" si="22"/>
        <v/>
      </c>
      <c r="BA42" s="36"/>
      <c r="BB42" s="37" t="str">
        <f t="shared" si="23"/>
        <v/>
      </c>
    </row>
    <row r="43" spans="1:54" ht="21.75" customHeight="1" x14ac:dyDescent="0.35">
      <c r="A43" s="38" t="str">
        <f>IF(B43&lt;&gt;"",COUNTA($B$6:B43),"")</f>
        <v/>
      </c>
      <c r="B43" s="39"/>
      <c r="C43" s="18"/>
      <c r="D43" s="19"/>
      <c r="E43" s="29" t="str">
        <f>IF(B43="","",IF(COUNTA($B$6:$B$69)&lt;=(E5-D5+1),(D5+MOD(A43-1,(E5-D5+1))),(D5+MOD(A43-1,(E5-D5+1)))&amp;CHAR(65+FLOOR((A43-1)/(E5-D5+1),1))))</f>
        <v/>
      </c>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1" t="str">
        <f t="shared" si="12"/>
        <v/>
      </c>
      <c r="AQ43" s="31" t="str">
        <f t="shared" si="13"/>
        <v/>
      </c>
      <c r="AR43" s="31" t="str">
        <f t="shared" si="14"/>
        <v/>
      </c>
      <c r="AS43" s="31" t="str">
        <f t="shared" si="15"/>
        <v/>
      </c>
      <c r="AT43" s="31" t="str">
        <f t="shared" si="16"/>
        <v/>
      </c>
      <c r="AU43" s="31" t="str">
        <f t="shared" si="17"/>
        <v/>
      </c>
      <c r="AV43" s="32" t="str">
        <f t="shared" si="18"/>
        <v/>
      </c>
      <c r="AW43" s="33" t="str">
        <f t="shared" si="19"/>
        <v/>
      </c>
      <c r="AX43" s="34" t="str">
        <f t="shared" si="20"/>
        <v/>
      </c>
      <c r="AY43" s="34" t="str">
        <f t="shared" si="21"/>
        <v/>
      </c>
      <c r="AZ43" s="40" t="str">
        <f t="shared" si="22"/>
        <v/>
      </c>
      <c r="BA43" s="36"/>
      <c r="BB43" s="41" t="str">
        <f t="shared" si="23"/>
        <v/>
      </c>
    </row>
    <row r="44" spans="1:54" ht="21.75" customHeight="1" x14ac:dyDescent="0.35">
      <c r="A44" s="27" t="str">
        <f>IF(B44&lt;&gt;"",COUNTA($B$6:B44),"")</f>
        <v/>
      </c>
      <c r="B44" s="28"/>
      <c r="C44" s="16"/>
      <c r="D44" s="17"/>
      <c r="E44" s="29" t="str">
        <f>IF(B44="","",IF(COUNTA($B$6:$B$69)&lt;=(E5-D5+1),(D5+MOD(A44-1,(E5-D5+1))),(D5+MOD(A44-1,(E5-D5+1)))&amp;CHAR(65+FLOOR((A44-1)/(E5-D5+1),1))))</f>
        <v/>
      </c>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1" t="str">
        <f t="shared" si="12"/>
        <v/>
      </c>
      <c r="AQ44" s="31" t="str">
        <f t="shared" si="13"/>
        <v/>
      </c>
      <c r="AR44" s="31" t="str">
        <f t="shared" si="14"/>
        <v/>
      </c>
      <c r="AS44" s="31" t="str">
        <f t="shared" si="15"/>
        <v/>
      </c>
      <c r="AT44" s="31" t="str">
        <f t="shared" si="16"/>
        <v/>
      </c>
      <c r="AU44" s="31" t="str">
        <f t="shared" si="17"/>
        <v/>
      </c>
      <c r="AV44" s="32" t="str">
        <f t="shared" si="18"/>
        <v/>
      </c>
      <c r="AW44" s="33" t="str">
        <f t="shared" si="19"/>
        <v/>
      </c>
      <c r="AX44" s="34" t="str">
        <f t="shared" si="20"/>
        <v/>
      </c>
      <c r="AY44" s="34" t="str">
        <f t="shared" si="21"/>
        <v/>
      </c>
      <c r="AZ44" s="35" t="str">
        <f t="shared" si="22"/>
        <v/>
      </c>
      <c r="BA44" s="36"/>
      <c r="BB44" s="37" t="str">
        <f t="shared" si="23"/>
        <v/>
      </c>
    </row>
    <row r="45" spans="1:54" ht="21.75" customHeight="1" x14ac:dyDescent="0.35">
      <c r="A45" s="38" t="str">
        <f>IF(B45&lt;&gt;"",COUNTA($B$6:B45),"")</f>
        <v/>
      </c>
      <c r="B45" s="39"/>
      <c r="C45" s="18"/>
      <c r="D45" s="19"/>
      <c r="E45" s="29" t="str">
        <f>IF(B45="","",IF(COUNTA($B$6:$B$69)&lt;=(E5-D5+1),(D5+MOD(A45-1,(E5-D5+1))),(D5+MOD(A45-1,(E5-D5+1)))&amp;CHAR(65+FLOOR((A45-1)/(E5-D5+1),1))))</f>
        <v/>
      </c>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1" t="str">
        <f t="shared" si="12"/>
        <v/>
      </c>
      <c r="AQ45" s="31" t="str">
        <f t="shared" si="13"/>
        <v/>
      </c>
      <c r="AR45" s="31" t="str">
        <f t="shared" si="14"/>
        <v/>
      </c>
      <c r="AS45" s="31" t="str">
        <f t="shared" si="15"/>
        <v/>
      </c>
      <c r="AT45" s="31" t="str">
        <f t="shared" si="16"/>
        <v/>
      </c>
      <c r="AU45" s="31" t="str">
        <f t="shared" si="17"/>
        <v/>
      </c>
      <c r="AV45" s="32" t="str">
        <f t="shared" si="18"/>
        <v/>
      </c>
      <c r="AW45" s="33" t="str">
        <f t="shared" si="19"/>
        <v/>
      </c>
      <c r="AX45" s="34" t="str">
        <f t="shared" si="20"/>
        <v/>
      </c>
      <c r="AY45" s="34" t="str">
        <f t="shared" si="21"/>
        <v/>
      </c>
      <c r="AZ45" s="40" t="str">
        <f t="shared" si="22"/>
        <v/>
      </c>
      <c r="BA45" s="36"/>
      <c r="BB45" s="41" t="str">
        <f t="shared" si="23"/>
        <v/>
      </c>
    </row>
    <row r="46" spans="1:54" ht="21.75" customHeight="1" x14ac:dyDescent="0.35">
      <c r="A46" s="27" t="str">
        <f>IF(B46&lt;&gt;"",COUNTA($B$6:B46),"")</f>
        <v/>
      </c>
      <c r="B46" s="28"/>
      <c r="C46" s="16"/>
      <c r="D46" s="17"/>
      <c r="E46" s="29" t="str">
        <f>IF(B46="","",IF(COUNTA($B$6:$B$69)&lt;=(E5-D5+1),(D5+MOD(A46-1,(E5-D5+1))),(D5+MOD(A46-1,(E5-D5+1)))&amp;CHAR(65+FLOOR((A46-1)/(E5-D5+1),1))))</f>
        <v/>
      </c>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1" t="str">
        <f t="shared" si="12"/>
        <v/>
      </c>
      <c r="AQ46" s="31" t="str">
        <f t="shared" si="13"/>
        <v/>
      </c>
      <c r="AR46" s="31" t="str">
        <f t="shared" si="14"/>
        <v/>
      </c>
      <c r="AS46" s="31" t="str">
        <f t="shared" si="15"/>
        <v/>
      </c>
      <c r="AT46" s="31" t="str">
        <f t="shared" si="16"/>
        <v/>
      </c>
      <c r="AU46" s="31" t="str">
        <f t="shared" si="17"/>
        <v/>
      </c>
      <c r="AV46" s="32" t="str">
        <f t="shared" si="18"/>
        <v/>
      </c>
      <c r="AW46" s="33" t="str">
        <f t="shared" si="19"/>
        <v/>
      </c>
      <c r="AX46" s="34" t="str">
        <f t="shared" si="20"/>
        <v/>
      </c>
      <c r="AY46" s="34" t="str">
        <f t="shared" si="21"/>
        <v/>
      </c>
      <c r="AZ46" s="35" t="str">
        <f t="shared" si="22"/>
        <v/>
      </c>
      <c r="BA46" s="36"/>
      <c r="BB46" s="37" t="str">
        <f t="shared" si="23"/>
        <v/>
      </c>
    </row>
    <row r="47" spans="1:54" ht="21.75" customHeight="1" x14ac:dyDescent="0.35">
      <c r="A47" s="38" t="str">
        <f>IF(B47&lt;&gt;"",COUNTA($B$6:B47),"")</f>
        <v/>
      </c>
      <c r="B47" s="39"/>
      <c r="C47" s="18"/>
      <c r="D47" s="19"/>
      <c r="E47" s="29" t="str">
        <f>IF(B47="","",IF(COUNTA($B$6:$B$69)&lt;=(E5-D5+1),(D5+MOD(A47-1,(E5-D5+1))),(D5+MOD(A47-1,(E5-D5+1)))&amp;CHAR(65+FLOOR((A47-1)/(E5-D5+1),1))))</f>
        <v/>
      </c>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1" t="str">
        <f t="shared" si="12"/>
        <v/>
      </c>
      <c r="AQ47" s="31" t="str">
        <f t="shared" si="13"/>
        <v/>
      </c>
      <c r="AR47" s="31" t="str">
        <f t="shared" si="14"/>
        <v/>
      </c>
      <c r="AS47" s="31" t="str">
        <f t="shared" si="15"/>
        <v/>
      </c>
      <c r="AT47" s="31" t="str">
        <f t="shared" si="16"/>
        <v/>
      </c>
      <c r="AU47" s="31" t="str">
        <f t="shared" si="17"/>
        <v/>
      </c>
      <c r="AV47" s="32" t="str">
        <f t="shared" si="18"/>
        <v/>
      </c>
      <c r="AW47" s="33" t="str">
        <f t="shared" si="19"/>
        <v/>
      </c>
      <c r="AX47" s="34" t="str">
        <f t="shared" si="20"/>
        <v/>
      </c>
      <c r="AY47" s="34" t="str">
        <f t="shared" si="21"/>
        <v/>
      </c>
      <c r="AZ47" s="40" t="str">
        <f t="shared" si="22"/>
        <v/>
      </c>
      <c r="BA47" s="36"/>
      <c r="BB47" s="41" t="str">
        <f t="shared" si="23"/>
        <v/>
      </c>
    </row>
    <row r="48" spans="1:54" ht="21.75" customHeight="1" x14ac:dyDescent="0.35">
      <c r="A48" s="27" t="str">
        <f>IF(B48&lt;&gt;"",COUNTA($B$6:B48),"")</f>
        <v/>
      </c>
      <c r="B48" s="28"/>
      <c r="C48" s="16"/>
      <c r="D48" s="17"/>
      <c r="E48" s="29" t="str">
        <f>IF(B48="","",IF(COUNTA($B$6:$B$69)&lt;=(E5-D5+1),(D5+MOD(A48-1,(E5-D5+1))),(D5+MOD(A48-1,(E5-D5+1)))&amp;CHAR(65+FLOOR((A48-1)/(E5-D5+1),1))))</f>
        <v/>
      </c>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1" t="str">
        <f t="shared" si="12"/>
        <v/>
      </c>
      <c r="AQ48" s="31" t="str">
        <f t="shared" si="13"/>
        <v/>
      </c>
      <c r="AR48" s="31" t="str">
        <f t="shared" si="14"/>
        <v/>
      </c>
      <c r="AS48" s="31" t="str">
        <f t="shared" si="15"/>
        <v/>
      </c>
      <c r="AT48" s="31" t="str">
        <f t="shared" si="16"/>
        <v/>
      </c>
      <c r="AU48" s="31" t="str">
        <f t="shared" si="17"/>
        <v/>
      </c>
      <c r="AV48" s="32" t="str">
        <f t="shared" si="18"/>
        <v/>
      </c>
      <c r="AW48" s="33" t="str">
        <f t="shared" si="19"/>
        <v/>
      </c>
      <c r="AX48" s="34" t="str">
        <f t="shared" si="20"/>
        <v/>
      </c>
      <c r="AY48" s="34" t="str">
        <f t="shared" si="21"/>
        <v/>
      </c>
      <c r="AZ48" s="35" t="str">
        <f t="shared" si="22"/>
        <v/>
      </c>
      <c r="BA48" s="36"/>
      <c r="BB48" s="37" t="str">
        <f t="shared" si="23"/>
        <v/>
      </c>
    </row>
    <row r="49" spans="1:54" ht="21.75" customHeight="1" x14ac:dyDescent="0.35">
      <c r="A49" s="38" t="str">
        <f>IF(B49&lt;&gt;"",COUNTA($B$6:B49),"")</f>
        <v/>
      </c>
      <c r="B49" s="39"/>
      <c r="C49" s="18"/>
      <c r="D49" s="19"/>
      <c r="E49" s="29" t="str">
        <f>IF(B49="","",IF(COUNTA($B$6:$B$69)&lt;=(E5-D5+1),(D5+MOD(A49-1,(E5-D5+1))),(D5+MOD(A49-1,(E5-D5+1)))&amp;CHAR(65+FLOOR((A49-1)/(E5-D5+1),1))))</f>
        <v/>
      </c>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1" t="str">
        <f t="shared" si="12"/>
        <v/>
      </c>
      <c r="AQ49" s="31" t="str">
        <f t="shared" si="13"/>
        <v/>
      </c>
      <c r="AR49" s="31" t="str">
        <f t="shared" si="14"/>
        <v/>
      </c>
      <c r="AS49" s="31" t="str">
        <f t="shared" si="15"/>
        <v/>
      </c>
      <c r="AT49" s="31" t="str">
        <f t="shared" si="16"/>
        <v/>
      </c>
      <c r="AU49" s="31" t="str">
        <f t="shared" si="17"/>
        <v/>
      </c>
      <c r="AV49" s="32" t="str">
        <f t="shared" si="18"/>
        <v/>
      </c>
      <c r="AW49" s="33" t="str">
        <f t="shared" si="19"/>
        <v/>
      </c>
      <c r="AX49" s="34" t="str">
        <f t="shared" si="20"/>
        <v/>
      </c>
      <c r="AY49" s="34" t="str">
        <f t="shared" si="21"/>
        <v/>
      </c>
      <c r="AZ49" s="40" t="str">
        <f t="shared" si="22"/>
        <v/>
      </c>
      <c r="BA49" s="36"/>
      <c r="BB49" s="41" t="str">
        <f t="shared" si="23"/>
        <v/>
      </c>
    </row>
    <row r="50" spans="1:54" ht="21.75" customHeight="1" x14ac:dyDescent="0.35">
      <c r="A50" s="27" t="str">
        <f>IF(B50&lt;&gt;"",COUNTA($B$6:B50),"")</f>
        <v/>
      </c>
      <c r="B50" s="28"/>
      <c r="C50" s="16"/>
      <c r="D50" s="17"/>
      <c r="E50" s="29" t="str">
        <f>IF(B50="","",IF(COUNTA($B$6:$B$69)&lt;=(E5-D5+1),(D5+MOD(A50-1,(E5-D5+1))),(D5+MOD(A50-1,(E5-D5+1)))&amp;CHAR(65+FLOOR((A50-1)/(E5-D5+1),1))))</f>
        <v/>
      </c>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1" t="str">
        <f t="shared" si="12"/>
        <v/>
      </c>
      <c r="AQ50" s="31" t="str">
        <f t="shared" si="13"/>
        <v/>
      </c>
      <c r="AR50" s="31" t="str">
        <f t="shared" si="14"/>
        <v/>
      </c>
      <c r="AS50" s="31" t="str">
        <f t="shared" si="15"/>
        <v/>
      </c>
      <c r="AT50" s="31" t="str">
        <f t="shared" si="16"/>
        <v/>
      </c>
      <c r="AU50" s="31" t="str">
        <f t="shared" si="17"/>
        <v/>
      </c>
      <c r="AV50" s="32" t="str">
        <f t="shared" si="18"/>
        <v/>
      </c>
      <c r="AW50" s="33" t="str">
        <f t="shared" si="19"/>
        <v/>
      </c>
      <c r="AX50" s="34" t="str">
        <f t="shared" si="20"/>
        <v/>
      </c>
      <c r="AY50" s="34" t="str">
        <f t="shared" si="21"/>
        <v/>
      </c>
      <c r="AZ50" s="35" t="str">
        <f t="shared" si="22"/>
        <v/>
      </c>
      <c r="BA50" s="36"/>
      <c r="BB50" s="37" t="str">
        <f t="shared" si="23"/>
        <v/>
      </c>
    </row>
    <row r="51" spans="1:54" ht="21.75" customHeight="1" x14ac:dyDescent="0.35">
      <c r="A51" s="38" t="str">
        <f>IF(B51&lt;&gt;"",COUNTA($B$6:B51),"")</f>
        <v/>
      </c>
      <c r="B51" s="39"/>
      <c r="C51" s="18"/>
      <c r="D51" s="19"/>
      <c r="E51" s="29" t="str">
        <f>IF(B51="","",IF(COUNTA($B$6:$B$69)&lt;=(E5-D5+1),(D5+MOD(A51-1,(E5-D5+1))),(D5+MOD(A51-1,(E5-D5+1)))&amp;CHAR(65+FLOOR((A51-1)/(E5-D5+1),1))))</f>
        <v/>
      </c>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1" t="str">
        <f t="shared" si="12"/>
        <v/>
      </c>
      <c r="AQ51" s="31" t="str">
        <f t="shared" si="13"/>
        <v/>
      </c>
      <c r="AR51" s="31" t="str">
        <f t="shared" si="14"/>
        <v/>
      </c>
      <c r="AS51" s="31" t="str">
        <f t="shared" si="15"/>
        <v/>
      </c>
      <c r="AT51" s="31" t="str">
        <f t="shared" si="16"/>
        <v/>
      </c>
      <c r="AU51" s="31" t="str">
        <f t="shared" si="17"/>
        <v/>
      </c>
      <c r="AV51" s="32" t="str">
        <f t="shared" si="18"/>
        <v/>
      </c>
      <c r="AW51" s="33" t="str">
        <f t="shared" si="19"/>
        <v/>
      </c>
      <c r="AX51" s="34" t="str">
        <f t="shared" si="20"/>
        <v/>
      </c>
      <c r="AY51" s="34" t="str">
        <f t="shared" si="21"/>
        <v/>
      </c>
      <c r="AZ51" s="40" t="str">
        <f t="shared" si="22"/>
        <v/>
      </c>
      <c r="BA51" s="36"/>
      <c r="BB51" s="41" t="str">
        <f t="shared" si="23"/>
        <v/>
      </c>
    </row>
    <row r="52" spans="1:54" ht="21.75" customHeight="1" x14ac:dyDescent="0.35">
      <c r="A52" s="27" t="str">
        <f>IF(B52&lt;&gt;"",COUNTA($B$6:B52),"")</f>
        <v/>
      </c>
      <c r="B52" s="28"/>
      <c r="C52" s="16"/>
      <c r="D52" s="17"/>
      <c r="E52" s="29" t="str">
        <f>IF(B52="","",IF(COUNTA($B$6:$B$69)&lt;=(E5-D5+1),(D5+MOD(A52-1,(E5-D5+1))),(D5+MOD(A52-1,(E5-D5+1)))&amp;CHAR(65+FLOOR((A52-1)/(E5-D5+1),1))))</f>
        <v/>
      </c>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1" t="str">
        <f t="shared" si="12"/>
        <v/>
      </c>
      <c r="AQ52" s="31" t="str">
        <f t="shared" si="13"/>
        <v/>
      </c>
      <c r="AR52" s="31" t="str">
        <f t="shared" si="14"/>
        <v/>
      </c>
      <c r="AS52" s="31" t="str">
        <f t="shared" si="15"/>
        <v/>
      </c>
      <c r="AT52" s="31" t="str">
        <f t="shared" si="16"/>
        <v/>
      </c>
      <c r="AU52" s="31" t="str">
        <f t="shared" si="17"/>
        <v/>
      </c>
      <c r="AV52" s="32" t="str">
        <f t="shared" si="18"/>
        <v/>
      </c>
      <c r="AW52" s="33" t="str">
        <f t="shared" si="19"/>
        <v/>
      </c>
      <c r="AX52" s="34" t="str">
        <f t="shared" si="20"/>
        <v/>
      </c>
      <c r="AY52" s="34" t="str">
        <f t="shared" si="21"/>
        <v/>
      </c>
      <c r="AZ52" s="35" t="str">
        <f t="shared" si="22"/>
        <v/>
      </c>
      <c r="BA52" s="36"/>
      <c r="BB52" s="37" t="str">
        <f t="shared" si="23"/>
        <v/>
      </c>
    </row>
    <row r="53" spans="1:54" ht="21.75" customHeight="1" x14ac:dyDescent="0.35">
      <c r="A53" s="38" t="str">
        <f>IF(B53&lt;&gt;"",COUNTA($B$6:B53),"")</f>
        <v/>
      </c>
      <c r="B53" s="39"/>
      <c r="C53" s="18"/>
      <c r="D53" s="19"/>
      <c r="E53" s="29" t="str">
        <f>IF(B53="","",IF(COUNTA($B$6:$B$69)&lt;=(E5-D5+1),(D5+MOD(A53-1,(E5-D5+1))),(D5+MOD(A53-1,(E5-D5+1)))&amp;CHAR(65+FLOOR((A53-1)/(E5-D5+1),1))))</f>
        <v/>
      </c>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1" t="str">
        <f t="shared" si="12"/>
        <v/>
      </c>
      <c r="AQ53" s="31" t="str">
        <f t="shared" si="13"/>
        <v/>
      </c>
      <c r="AR53" s="31" t="str">
        <f t="shared" si="14"/>
        <v/>
      </c>
      <c r="AS53" s="31" t="str">
        <f t="shared" si="15"/>
        <v/>
      </c>
      <c r="AT53" s="31" t="str">
        <f t="shared" si="16"/>
        <v/>
      </c>
      <c r="AU53" s="31" t="str">
        <f t="shared" si="17"/>
        <v/>
      </c>
      <c r="AV53" s="32" t="str">
        <f t="shared" si="18"/>
        <v/>
      </c>
      <c r="AW53" s="33" t="str">
        <f t="shared" si="19"/>
        <v/>
      </c>
      <c r="AX53" s="34" t="str">
        <f t="shared" si="20"/>
        <v/>
      </c>
      <c r="AY53" s="34" t="str">
        <f t="shared" si="21"/>
        <v/>
      </c>
      <c r="AZ53" s="40" t="str">
        <f t="shared" si="22"/>
        <v/>
      </c>
      <c r="BA53" s="36"/>
      <c r="BB53" s="41" t="str">
        <f t="shared" si="23"/>
        <v/>
      </c>
    </row>
    <row r="54" spans="1:54" ht="21.75" customHeight="1" x14ac:dyDescent="0.35">
      <c r="A54" s="27" t="str">
        <f>IF(B54&lt;&gt;"",COUNTA($B$6:B54),"")</f>
        <v/>
      </c>
      <c r="B54" s="28"/>
      <c r="C54" s="16"/>
      <c r="D54" s="17"/>
      <c r="E54" s="29" t="str">
        <f>IF(B54="","",IF(COUNTA($B$6:$B$69)&lt;=(E5-D5+1),(D5+MOD(A54-1,(E5-D5+1))),(D5+MOD(A54-1,(E5-D5+1)))&amp;CHAR(65+FLOOR((A54-1)/(E5-D5+1),1))))</f>
        <v/>
      </c>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1" t="str">
        <f t="shared" si="12"/>
        <v/>
      </c>
      <c r="AQ54" s="31" t="str">
        <f t="shared" si="13"/>
        <v/>
      </c>
      <c r="AR54" s="31" t="str">
        <f t="shared" si="14"/>
        <v/>
      </c>
      <c r="AS54" s="31" t="str">
        <f t="shared" si="15"/>
        <v/>
      </c>
      <c r="AT54" s="31" t="str">
        <f t="shared" si="16"/>
        <v/>
      </c>
      <c r="AU54" s="31" t="str">
        <f t="shared" si="17"/>
        <v/>
      </c>
      <c r="AV54" s="32" t="str">
        <f t="shared" si="18"/>
        <v/>
      </c>
      <c r="AW54" s="33" t="str">
        <f t="shared" si="19"/>
        <v/>
      </c>
      <c r="AX54" s="34" t="str">
        <f t="shared" si="20"/>
        <v/>
      </c>
      <c r="AY54" s="34" t="str">
        <f t="shared" si="21"/>
        <v/>
      </c>
      <c r="AZ54" s="35" t="str">
        <f t="shared" si="22"/>
        <v/>
      </c>
      <c r="BA54" s="36"/>
      <c r="BB54" s="37" t="str">
        <f t="shared" si="23"/>
        <v/>
      </c>
    </row>
    <row r="55" spans="1:54" ht="21.75" customHeight="1" x14ac:dyDescent="0.35">
      <c r="A55" s="38" t="str">
        <f>IF(B55&lt;&gt;"",COUNTA($B$6:B55),"")</f>
        <v/>
      </c>
      <c r="B55" s="39"/>
      <c r="C55" s="18"/>
      <c r="D55" s="19"/>
      <c r="E55" s="29" t="str">
        <f>IF(B55="","",IF(COUNTA($B$6:$B$69)&lt;=(E5-D5+1),(D5+MOD(A55-1,(E5-D5+1))),(D5+MOD(A55-1,(E5-D5+1)))&amp;CHAR(65+FLOOR((A55-1)/(E5-D5+1),1))))</f>
        <v/>
      </c>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1" t="str">
        <f t="shared" si="12"/>
        <v/>
      </c>
      <c r="AQ55" s="31" t="str">
        <f t="shared" si="13"/>
        <v/>
      </c>
      <c r="AR55" s="31" t="str">
        <f t="shared" si="14"/>
        <v/>
      </c>
      <c r="AS55" s="31" t="str">
        <f t="shared" si="15"/>
        <v/>
      </c>
      <c r="AT55" s="31" t="str">
        <f t="shared" si="16"/>
        <v/>
      </c>
      <c r="AU55" s="31" t="str">
        <f t="shared" si="17"/>
        <v/>
      </c>
      <c r="AV55" s="32" t="str">
        <f t="shared" si="18"/>
        <v/>
      </c>
      <c r="AW55" s="33" t="str">
        <f t="shared" si="19"/>
        <v/>
      </c>
      <c r="AX55" s="34" t="str">
        <f t="shared" si="20"/>
        <v/>
      </c>
      <c r="AY55" s="34" t="str">
        <f t="shared" si="21"/>
        <v/>
      </c>
      <c r="AZ55" s="40" t="str">
        <f t="shared" si="22"/>
        <v/>
      </c>
      <c r="BA55" s="36"/>
      <c r="BB55" s="41" t="str">
        <f t="shared" si="23"/>
        <v/>
      </c>
    </row>
    <row r="56" spans="1:54" ht="21.75" customHeight="1" x14ac:dyDescent="0.35">
      <c r="A56" s="27" t="str">
        <f>IF(B56&lt;&gt;"",COUNTA($B$6:B56),"")</f>
        <v/>
      </c>
      <c r="B56" s="28"/>
      <c r="C56" s="16"/>
      <c r="D56" s="17"/>
      <c r="E56" s="29" t="str">
        <f>IF(B56="","",IF(COUNTA($B$6:$B$69)&lt;=(E5-D5+1),(D5+MOD(A56-1,(E5-D5+1))),(D5+MOD(A56-1,(E5-D5+1)))&amp;CHAR(65+FLOOR((A56-1)/(E5-D5+1),1))))</f>
        <v/>
      </c>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1" t="str">
        <f t="shared" si="12"/>
        <v/>
      </c>
      <c r="AQ56" s="31" t="str">
        <f t="shared" si="13"/>
        <v/>
      </c>
      <c r="AR56" s="31" t="str">
        <f t="shared" si="14"/>
        <v/>
      </c>
      <c r="AS56" s="31" t="str">
        <f t="shared" si="15"/>
        <v/>
      </c>
      <c r="AT56" s="31" t="str">
        <f t="shared" si="16"/>
        <v/>
      </c>
      <c r="AU56" s="31" t="str">
        <f t="shared" si="17"/>
        <v/>
      </c>
      <c r="AV56" s="32" t="str">
        <f t="shared" si="18"/>
        <v/>
      </c>
      <c r="AW56" s="33" t="str">
        <f t="shared" si="19"/>
        <v/>
      </c>
      <c r="AX56" s="34" t="str">
        <f t="shared" si="20"/>
        <v/>
      </c>
      <c r="AY56" s="34" t="str">
        <f t="shared" si="21"/>
        <v/>
      </c>
      <c r="AZ56" s="35" t="str">
        <f t="shared" si="22"/>
        <v/>
      </c>
      <c r="BA56" s="36"/>
      <c r="BB56" s="37" t="str">
        <f t="shared" si="23"/>
        <v/>
      </c>
    </row>
    <row r="57" spans="1:54" ht="21.75" customHeight="1" x14ac:dyDescent="0.35">
      <c r="A57" s="38" t="str">
        <f>IF(B57&lt;&gt;"",COUNTA($B$6:B57),"")</f>
        <v/>
      </c>
      <c r="B57" s="39"/>
      <c r="C57" s="18"/>
      <c r="D57" s="19"/>
      <c r="E57" s="29" t="str">
        <f>IF(B57="","",IF(COUNTA($B$6:$B$69)&lt;=(E5-D5+1),(D5+MOD(A57-1,(E5-D5+1))),(D5+MOD(A57-1,(E5-D5+1)))&amp;CHAR(65+FLOOR((A57-1)/(E5-D5+1),1))))</f>
        <v/>
      </c>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1" t="str">
        <f t="shared" si="12"/>
        <v/>
      </c>
      <c r="AQ57" s="31" t="str">
        <f t="shared" si="13"/>
        <v/>
      </c>
      <c r="AR57" s="31" t="str">
        <f t="shared" si="14"/>
        <v/>
      </c>
      <c r="AS57" s="31" t="str">
        <f t="shared" si="15"/>
        <v/>
      </c>
      <c r="AT57" s="31" t="str">
        <f t="shared" si="16"/>
        <v/>
      </c>
      <c r="AU57" s="31" t="str">
        <f t="shared" si="17"/>
        <v/>
      </c>
      <c r="AV57" s="32" t="str">
        <f t="shared" si="18"/>
        <v/>
      </c>
      <c r="AW57" s="33" t="str">
        <f t="shared" si="19"/>
        <v/>
      </c>
      <c r="AX57" s="34" t="str">
        <f t="shared" si="20"/>
        <v/>
      </c>
      <c r="AY57" s="34" t="str">
        <f t="shared" si="21"/>
        <v/>
      </c>
      <c r="AZ57" s="40" t="str">
        <f t="shared" si="22"/>
        <v/>
      </c>
      <c r="BA57" s="36"/>
      <c r="BB57" s="41" t="str">
        <f t="shared" si="23"/>
        <v/>
      </c>
    </row>
    <row r="58" spans="1:54" ht="21.75" customHeight="1" x14ac:dyDescent="0.35">
      <c r="A58" s="27" t="str">
        <f>IF(B58&lt;&gt;"",COUNTA($B$6:B58),"")</f>
        <v/>
      </c>
      <c r="B58" s="28"/>
      <c r="C58" s="16"/>
      <c r="D58" s="17"/>
      <c r="E58" s="29" t="str">
        <f>IF(B58="","",IF(COUNTA($B$6:$B$69)&lt;=(E5-D5+1),(D5+MOD(A58-1,(E5-D5+1))),(D5+MOD(A58-1,(E5-D5+1)))&amp;CHAR(65+FLOOR((A58-1)/(E5-D5+1),1))))</f>
        <v/>
      </c>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1" t="str">
        <f t="shared" si="12"/>
        <v/>
      </c>
      <c r="AQ58" s="31" t="str">
        <f t="shared" si="13"/>
        <v/>
      </c>
      <c r="AR58" s="31" t="str">
        <f t="shared" si="14"/>
        <v/>
      </c>
      <c r="AS58" s="31" t="str">
        <f t="shared" si="15"/>
        <v/>
      </c>
      <c r="AT58" s="31" t="str">
        <f t="shared" si="16"/>
        <v/>
      </c>
      <c r="AU58" s="31" t="str">
        <f t="shared" si="17"/>
        <v/>
      </c>
      <c r="AV58" s="32" t="str">
        <f t="shared" si="18"/>
        <v/>
      </c>
      <c r="AW58" s="33" t="str">
        <f t="shared" si="19"/>
        <v/>
      </c>
      <c r="AX58" s="34" t="str">
        <f t="shared" si="20"/>
        <v/>
      </c>
      <c r="AY58" s="34" t="str">
        <f t="shared" si="21"/>
        <v/>
      </c>
      <c r="AZ58" s="35" t="str">
        <f t="shared" si="22"/>
        <v/>
      </c>
      <c r="BA58" s="36"/>
      <c r="BB58" s="37" t="str">
        <f t="shared" si="23"/>
        <v/>
      </c>
    </row>
    <row r="59" spans="1:54" ht="21.75" customHeight="1" x14ac:dyDescent="0.35">
      <c r="A59" s="38" t="str">
        <f>IF(B59&lt;&gt;"",COUNTA($B$6:B59),"")</f>
        <v/>
      </c>
      <c r="B59" s="39"/>
      <c r="C59" s="18"/>
      <c r="D59" s="19"/>
      <c r="E59" s="29" t="str">
        <f>IF(B59="","",IF(COUNTA($B$6:$B$69)&lt;=(E5-D5+1),(D5+MOD(A59-1,(E5-D5+1))),(D5+MOD(A59-1,(E5-D5+1)))&amp;CHAR(65+FLOOR((A59-1)/(E5-D5+1),1))))</f>
        <v/>
      </c>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1" t="str">
        <f t="shared" si="12"/>
        <v/>
      </c>
      <c r="AQ59" s="31" t="str">
        <f t="shared" si="13"/>
        <v/>
      </c>
      <c r="AR59" s="31" t="str">
        <f t="shared" si="14"/>
        <v/>
      </c>
      <c r="AS59" s="31" t="str">
        <f t="shared" si="15"/>
        <v/>
      </c>
      <c r="AT59" s="31" t="str">
        <f t="shared" si="16"/>
        <v/>
      </c>
      <c r="AU59" s="31" t="str">
        <f t="shared" si="17"/>
        <v/>
      </c>
      <c r="AV59" s="32" t="str">
        <f t="shared" si="18"/>
        <v/>
      </c>
      <c r="AW59" s="33" t="str">
        <f t="shared" si="19"/>
        <v/>
      </c>
      <c r="AX59" s="34" t="str">
        <f t="shared" si="20"/>
        <v/>
      </c>
      <c r="AY59" s="34" t="str">
        <f t="shared" si="21"/>
        <v/>
      </c>
      <c r="AZ59" s="40" t="str">
        <f t="shared" si="22"/>
        <v/>
      </c>
      <c r="BA59" s="36"/>
      <c r="BB59" s="41" t="str">
        <f t="shared" si="23"/>
        <v/>
      </c>
    </row>
    <row r="60" spans="1:54" ht="21.75" customHeight="1" x14ac:dyDescent="0.35">
      <c r="A60" s="27" t="str">
        <f>IF(B60&lt;&gt;"",COUNTA($B$6:B60),"")</f>
        <v/>
      </c>
      <c r="B60" s="28"/>
      <c r="C60" s="16"/>
      <c r="D60" s="17"/>
      <c r="E60" s="29" t="str">
        <f>IF(B60="","",IF(COUNTA($B$6:$B$69)&lt;=(E5-D5+1),(D5+MOD(A60-1,(E5-D5+1))),(D5+MOD(A60-1,(E5-D5+1)))&amp;CHAR(65+FLOOR((A60-1)/(E5-D5+1),1))))</f>
        <v/>
      </c>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1" t="str">
        <f t="shared" si="12"/>
        <v/>
      </c>
      <c r="AQ60" s="31" t="str">
        <f t="shared" si="13"/>
        <v/>
      </c>
      <c r="AR60" s="31" t="str">
        <f t="shared" si="14"/>
        <v/>
      </c>
      <c r="AS60" s="31" t="str">
        <f t="shared" si="15"/>
        <v/>
      </c>
      <c r="AT60" s="31" t="str">
        <f t="shared" si="16"/>
        <v/>
      </c>
      <c r="AU60" s="31" t="str">
        <f t="shared" si="17"/>
        <v/>
      </c>
      <c r="AV60" s="32" t="str">
        <f t="shared" si="18"/>
        <v/>
      </c>
      <c r="AW60" s="33" t="str">
        <f t="shared" si="19"/>
        <v/>
      </c>
      <c r="AX60" s="34" t="str">
        <f t="shared" si="20"/>
        <v/>
      </c>
      <c r="AY60" s="34" t="str">
        <f t="shared" si="21"/>
        <v/>
      </c>
      <c r="AZ60" s="35" t="str">
        <f t="shared" si="22"/>
        <v/>
      </c>
      <c r="BA60" s="36"/>
      <c r="BB60" s="37" t="str">
        <f t="shared" si="23"/>
        <v/>
      </c>
    </row>
    <row r="61" spans="1:54" ht="21.75" customHeight="1" x14ac:dyDescent="0.35">
      <c r="A61" s="38" t="str">
        <f>IF(B61&lt;&gt;"",COUNTA($B$6:B61),"")</f>
        <v/>
      </c>
      <c r="B61" s="39"/>
      <c r="C61" s="18"/>
      <c r="D61" s="19"/>
      <c r="E61" s="29" t="str">
        <f>IF(B61="","",IF(COUNTA($B$6:$B$69)&lt;=(E5-D5+1),(D5+MOD(A61-1,(E5-D5+1))),(D5+MOD(A61-1,(E5-D5+1)))&amp;CHAR(65+FLOOR((A61-1)/(E5-D5+1),1))))</f>
        <v/>
      </c>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1" t="str">
        <f t="shared" si="12"/>
        <v/>
      </c>
      <c r="AQ61" s="31" t="str">
        <f t="shared" si="13"/>
        <v/>
      </c>
      <c r="AR61" s="31" t="str">
        <f t="shared" si="14"/>
        <v/>
      </c>
      <c r="AS61" s="31" t="str">
        <f t="shared" si="15"/>
        <v/>
      </c>
      <c r="AT61" s="31" t="str">
        <f t="shared" si="16"/>
        <v/>
      </c>
      <c r="AU61" s="31" t="str">
        <f t="shared" si="17"/>
        <v/>
      </c>
      <c r="AV61" s="32" t="str">
        <f t="shared" si="18"/>
        <v/>
      </c>
      <c r="AW61" s="33" t="str">
        <f t="shared" si="19"/>
        <v/>
      </c>
      <c r="AX61" s="34" t="str">
        <f t="shared" si="20"/>
        <v/>
      </c>
      <c r="AY61" s="34" t="str">
        <f t="shared" si="21"/>
        <v/>
      </c>
      <c r="AZ61" s="40" t="str">
        <f t="shared" si="22"/>
        <v/>
      </c>
      <c r="BA61" s="36"/>
      <c r="BB61" s="41" t="str">
        <f t="shared" si="23"/>
        <v/>
      </c>
    </row>
    <row r="62" spans="1:54" ht="21.75" customHeight="1" x14ac:dyDescent="0.35">
      <c r="A62" s="27" t="str">
        <f>IF(B62&lt;&gt;"",COUNTA($B$6:B62),"")</f>
        <v/>
      </c>
      <c r="B62" s="28"/>
      <c r="C62" s="16"/>
      <c r="D62" s="17"/>
      <c r="E62" s="29" t="str">
        <f>IF(B62="","",IF(COUNTA($B$6:$B$69)&lt;=(E5-D5+1),(D5+MOD(A62-1,(E5-D5+1))),(D5+MOD(A62-1,(E5-D5+1)))&amp;CHAR(65+FLOOR((A62-1)/(E5-D5+1),1))))</f>
        <v/>
      </c>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1" t="str">
        <f t="shared" si="12"/>
        <v/>
      </c>
      <c r="AQ62" s="31" t="str">
        <f t="shared" si="13"/>
        <v/>
      </c>
      <c r="AR62" s="31" t="str">
        <f t="shared" si="14"/>
        <v/>
      </c>
      <c r="AS62" s="31" t="str">
        <f t="shared" si="15"/>
        <v/>
      </c>
      <c r="AT62" s="31" t="str">
        <f t="shared" si="16"/>
        <v/>
      </c>
      <c r="AU62" s="31" t="str">
        <f t="shared" si="17"/>
        <v/>
      </c>
      <c r="AV62" s="32" t="str">
        <f t="shared" si="18"/>
        <v/>
      </c>
      <c r="AW62" s="33" t="str">
        <f t="shared" si="19"/>
        <v/>
      </c>
      <c r="AX62" s="34" t="str">
        <f t="shared" si="20"/>
        <v/>
      </c>
      <c r="AY62" s="34" t="str">
        <f t="shared" si="21"/>
        <v/>
      </c>
      <c r="AZ62" s="35" t="str">
        <f t="shared" si="22"/>
        <v/>
      </c>
      <c r="BA62" s="36"/>
      <c r="BB62" s="37" t="str">
        <f t="shared" si="23"/>
        <v/>
      </c>
    </row>
    <row r="63" spans="1:54" ht="21.75" customHeight="1" x14ac:dyDescent="0.35">
      <c r="A63" s="38" t="str">
        <f>IF(B63&lt;&gt;"",COUNTA($B$6:B63),"")</f>
        <v/>
      </c>
      <c r="B63" s="39"/>
      <c r="C63" s="18"/>
      <c r="D63" s="19"/>
      <c r="E63" s="29" t="str">
        <f>IF(B63="","",IF(COUNTA($B$6:$B$69)&lt;=(E5-D5+1),(D5+MOD(A63-1,(E5-D5+1))),(D5+MOD(A63-1,(E5-D5+1)))&amp;CHAR(65+FLOOR((A63-1)/(E5-D5+1),1))))</f>
        <v/>
      </c>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1" t="str">
        <f t="shared" si="12"/>
        <v/>
      </c>
      <c r="AQ63" s="31" t="str">
        <f t="shared" si="13"/>
        <v/>
      </c>
      <c r="AR63" s="31" t="str">
        <f t="shared" si="14"/>
        <v/>
      </c>
      <c r="AS63" s="31" t="str">
        <f t="shared" si="15"/>
        <v/>
      </c>
      <c r="AT63" s="31" t="str">
        <f t="shared" si="16"/>
        <v/>
      </c>
      <c r="AU63" s="31" t="str">
        <f t="shared" si="17"/>
        <v/>
      </c>
      <c r="AV63" s="32" t="str">
        <f t="shared" si="18"/>
        <v/>
      </c>
      <c r="AW63" s="33" t="str">
        <f t="shared" si="19"/>
        <v/>
      </c>
      <c r="AX63" s="34" t="str">
        <f t="shared" si="20"/>
        <v/>
      </c>
      <c r="AY63" s="34" t="str">
        <f t="shared" si="21"/>
        <v/>
      </c>
      <c r="AZ63" s="40" t="str">
        <f t="shared" si="22"/>
        <v/>
      </c>
      <c r="BA63" s="36"/>
      <c r="BB63" s="41" t="str">
        <f t="shared" si="23"/>
        <v/>
      </c>
    </row>
    <row r="64" spans="1:54" ht="21.75" customHeight="1" x14ac:dyDescent="0.35">
      <c r="A64" s="27" t="str">
        <f>IF(B64&lt;&gt;"",COUNTA($B$6:B64),"")</f>
        <v/>
      </c>
      <c r="B64" s="28"/>
      <c r="C64" s="16"/>
      <c r="D64" s="17"/>
      <c r="E64" s="29" t="str">
        <f>IF(B64="","",IF(COUNTA($B$6:$B$69)&lt;=(E5-D5+1),(D5+MOD(A64-1,(E5-D5+1))),(D5+MOD(A64-1,(E5-D5+1)))&amp;CHAR(65+FLOOR((A64-1)/(E5-D5+1),1))))</f>
        <v/>
      </c>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1" t="str">
        <f t="shared" si="12"/>
        <v/>
      </c>
      <c r="AQ64" s="31" t="str">
        <f t="shared" si="13"/>
        <v/>
      </c>
      <c r="AR64" s="31" t="str">
        <f t="shared" si="14"/>
        <v/>
      </c>
      <c r="AS64" s="31" t="str">
        <f t="shared" si="15"/>
        <v/>
      </c>
      <c r="AT64" s="31" t="str">
        <f t="shared" si="16"/>
        <v/>
      </c>
      <c r="AU64" s="31" t="str">
        <f t="shared" si="17"/>
        <v/>
      </c>
      <c r="AV64" s="32" t="str">
        <f t="shared" si="18"/>
        <v/>
      </c>
      <c r="AW64" s="33" t="str">
        <f t="shared" si="19"/>
        <v/>
      </c>
      <c r="AX64" s="34" t="str">
        <f t="shared" si="20"/>
        <v/>
      </c>
      <c r="AY64" s="34" t="str">
        <f t="shared" si="21"/>
        <v/>
      </c>
      <c r="AZ64" s="35" t="str">
        <f t="shared" si="22"/>
        <v/>
      </c>
      <c r="BA64" s="36"/>
      <c r="BB64" s="37" t="str">
        <f t="shared" si="23"/>
        <v/>
      </c>
    </row>
    <row r="65" spans="1:55" ht="21.75" customHeight="1" x14ac:dyDescent="0.35">
      <c r="A65" s="38" t="str">
        <f>IF(B65&lt;&gt;"",COUNTA($B$6:B65),"")</f>
        <v/>
      </c>
      <c r="B65" s="39"/>
      <c r="C65" s="18"/>
      <c r="D65" s="19"/>
      <c r="E65" s="29" t="str">
        <f>IF(B65="","",IF(COUNTA($B$6:$B$69)&lt;=(E5-D5+1),(D5+MOD(A65-1,(E5-D5+1))),(D5+MOD(A65-1,(E5-D5+1)))&amp;CHAR(65+FLOOR((A65-1)/(E5-D5+1),1))))</f>
        <v/>
      </c>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1" t="str">
        <f t="shared" si="12"/>
        <v/>
      </c>
      <c r="AQ65" s="31" t="str">
        <f t="shared" si="13"/>
        <v/>
      </c>
      <c r="AR65" s="31" t="str">
        <f t="shared" si="14"/>
        <v/>
      </c>
      <c r="AS65" s="31" t="str">
        <f t="shared" si="15"/>
        <v/>
      </c>
      <c r="AT65" s="31" t="str">
        <f t="shared" si="16"/>
        <v/>
      </c>
      <c r="AU65" s="31" t="str">
        <f t="shared" si="17"/>
        <v/>
      </c>
      <c r="AV65" s="32" t="str">
        <f t="shared" si="18"/>
        <v/>
      </c>
      <c r="AW65" s="33" t="str">
        <f t="shared" si="19"/>
        <v/>
      </c>
      <c r="AX65" s="34" t="str">
        <f t="shared" si="20"/>
        <v/>
      </c>
      <c r="AY65" s="34" t="str">
        <f t="shared" si="21"/>
        <v/>
      </c>
      <c r="AZ65" s="40" t="str">
        <f t="shared" si="22"/>
        <v/>
      </c>
      <c r="BA65" s="36"/>
      <c r="BB65" s="41" t="str">
        <f t="shared" si="23"/>
        <v/>
      </c>
    </row>
    <row r="66" spans="1:55" ht="21.75" customHeight="1" x14ac:dyDescent="0.35">
      <c r="A66" s="27" t="str">
        <f>IF(B66&lt;&gt;"",COUNTA($B$6:B66),"")</f>
        <v/>
      </c>
      <c r="B66" s="28"/>
      <c r="C66" s="16"/>
      <c r="D66" s="17"/>
      <c r="E66" s="29" t="str">
        <f>IF(B66="","",IF(COUNTA($B$6:$B$69)&lt;=(E5-D5+1),(D5+MOD(A66-1,(E5-D5+1))),(D5+MOD(A66-1,(E5-D5+1)))&amp;CHAR(65+FLOOR((A66-1)/(E5-D5+1),1))))</f>
        <v/>
      </c>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1" t="str">
        <f t="shared" si="12"/>
        <v/>
      </c>
      <c r="AQ66" s="31" t="str">
        <f t="shared" si="13"/>
        <v/>
      </c>
      <c r="AR66" s="31" t="str">
        <f t="shared" si="14"/>
        <v/>
      </c>
      <c r="AS66" s="31" t="str">
        <f t="shared" si="15"/>
        <v/>
      </c>
      <c r="AT66" s="31" t="str">
        <f t="shared" si="16"/>
        <v/>
      </c>
      <c r="AU66" s="31" t="str">
        <f t="shared" si="17"/>
        <v/>
      </c>
      <c r="AV66" s="32" t="str">
        <f t="shared" si="18"/>
        <v/>
      </c>
      <c r="AW66" s="33" t="str">
        <f t="shared" si="19"/>
        <v/>
      </c>
      <c r="AX66" s="34" t="str">
        <f t="shared" si="20"/>
        <v/>
      </c>
      <c r="AY66" s="34" t="str">
        <f t="shared" si="21"/>
        <v/>
      </c>
      <c r="AZ66" s="35" t="str">
        <f t="shared" si="22"/>
        <v/>
      </c>
      <c r="BA66" s="36"/>
      <c r="BB66" s="37" t="str">
        <f t="shared" si="23"/>
        <v/>
      </c>
    </row>
    <row r="67" spans="1:55" ht="21.75" customHeight="1" x14ac:dyDescent="0.35">
      <c r="A67" s="38" t="str">
        <f>IF(B67&lt;&gt;"",COUNTA($B$6:B67),"")</f>
        <v/>
      </c>
      <c r="B67" s="39"/>
      <c r="C67" s="18"/>
      <c r="D67" s="19"/>
      <c r="E67" s="29" t="str">
        <f>IF(B67="","",IF(COUNTA($B$6:$B$69)&lt;=(E5-D5+1),(D5+MOD(A67-1,(E5-D5+1))),(D5+MOD(A67-1,(E5-D5+1)))&amp;CHAR(65+FLOOR((A67-1)/(E5-D5+1),1))))</f>
        <v/>
      </c>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1" t="str">
        <f t="shared" si="12"/>
        <v/>
      </c>
      <c r="AQ67" s="31" t="str">
        <f t="shared" si="13"/>
        <v/>
      </c>
      <c r="AR67" s="31" t="str">
        <f t="shared" si="14"/>
        <v/>
      </c>
      <c r="AS67" s="31" t="str">
        <f t="shared" si="15"/>
        <v/>
      </c>
      <c r="AT67" s="31" t="str">
        <f t="shared" si="16"/>
        <v/>
      </c>
      <c r="AU67" s="31" t="str">
        <f t="shared" si="17"/>
        <v/>
      </c>
      <c r="AV67" s="32" t="str">
        <f t="shared" si="18"/>
        <v/>
      </c>
      <c r="AW67" s="33" t="str">
        <f t="shared" si="19"/>
        <v/>
      </c>
      <c r="AX67" s="34" t="str">
        <f t="shared" si="20"/>
        <v/>
      </c>
      <c r="AY67" s="34" t="str">
        <f t="shared" si="21"/>
        <v/>
      </c>
      <c r="AZ67" s="40" t="str">
        <f t="shared" si="22"/>
        <v/>
      </c>
      <c r="BA67" s="36"/>
      <c r="BB67" s="41" t="str">
        <f t="shared" si="23"/>
        <v/>
      </c>
    </row>
    <row r="68" spans="1:55" ht="21.75" customHeight="1" x14ac:dyDescent="0.35">
      <c r="A68" s="27" t="str">
        <f>IF(B68&lt;&gt;"",COUNTA($B$6:B68),"")</f>
        <v/>
      </c>
      <c r="B68" s="28"/>
      <c r="C68" s="16"/>
      <c r="D68" s="17"/>
      <c r="E68" s="29" t="str">
        <f>IF(B68="","",IF(COUNTA($B$6:$B$69)&lt;=(E5-D5+1),(D5+MOD(A68-1,(E5-D5+1))),(D5+MOD(A68-1,(E5-D5+1)))&amp;CHAR(65+FLOOR((A68-1)/(E5-D5+1),1))))</f>
        <v/>
      </c>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1" t="str">
        <f t="shared" si="12"/>
        <v/>
      </c>
      <c r="AQ68" s="31" t="str">
        <f t="shared" si="13"/>
        <v/>
      </c>
      <c r="AR68" s="31" t="str">
        <f t="shared" si="14"/>
        <v/>
      </c>
      <c r="AS68" s="31" t="str">
        <f t="shared" si="15"/>
        <v/>
      </c>
      <c r="AT68" s="31" t="str">
        <f t="shared" si="16"/>
        <v/>
      </c>
      <c r="AU68" s="31" t="str">
        <f t="shared" si="17"/>
        <v/>
      </c>
      <c r="AV68" s="32" t="str">
        <f t="shared" si="18"/>
        <v/>
      </c>
      <c r="AW68" s="33" t="str">
        <f t="shared" si="19"/>
        <v/>
      </c>
      <c r="AX68" s="34" t="str">
        <f t="shared" si="20"/>
        <v/>
      </c>
      <c r="AY68" s="34" t="str">
        <f t="shared" si="21"/>
        <v/>
      </c>
      <c r="AZ68" s="35" t="str">
        <f t="shared" si="22"/>
        <v/>
      </c>
      <c r="BA68" s="36"/>
      <c r="BB68" s="37" t="str">
        <f t="shared" si="23"/>
        <v/>
      </c>
    </row>
    <row r="69" spans="1:55" ht="21.75" customHeight="1" x14ac:dyDescent="0.35">
      <c r="A69" s="38" t="str">
        <f>IF(B69&lt;&gt;"",COUNTA($B$6:B69),"")</f>
        <v/>
      </c>
      <c r="B69" s="39"/>
      <c r="C69" s="18"/>
      <c r="D69" s="19"/>
      <c r="E69" s="29" t="str">
        <f>IF(B69="","",IF(COUNTA($B$6:$B$69)&lt;=(E5-D5+1),(D5+MOD(A69-1,(E5-D5+1))),(D5+MOD(A69-1,(E5-D5+1)))&amp;CHAR(65+FLOOR((A69-1)/(E5-D5+1),1))))</f>
        <v/>
      </c>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1" t="str">
        <f t="shared" si="12"/>
        <v/>
      </c>
      <c r="AQ69" s="31" t="str">
        <f t="shared" si="13"/>
        <v/>
      </c>
      <c r="AR69" s="31" t="str">
        <f t="shared" si="14"/>
        <v/>
      </c>
      <c r="AS69" s="31" t="str">
        <f t="shared" si="15"/>
        <v/>
      </c>
      <c r="AT69" s="31" t="str">
        <f t="shared" si="16"/>
        <v/>
      </c>
      <c r="AU69" s="31" t="str">
        <f t="shared" si="17"/>
        <v/>
      </c>
      <c r="AV69" s="32" t="str">
        <f t="shared" si="18"/>
        <v/>
      </c>
      <c r="AW69" s="33" t="str">
        <f t="shared" si="19"/>
        <v/>
      </c>
      <c r="AX69" s="34" t="str">
        <f t="shared" si="20"/>
        <v/>
      </c>
      <c r="AY69" s="34" t="str">
        <f t="shared" si="21"/>
        <v/>
      </c>
      <c r="AZ69" s="40" t="str">
        <f t="shared" si="22"/>
        <v/>
      </c>
      <c r="BA69" s="36"/>
      <c r="BB69" s="41" t="str">
        <f t="shared" si="23"/>
        <v/>
      </c>
    </row>
    <row r="71" spans="1:55" ht="15" customHeight="1" x14ac:dyDescent="0.35">
      <c r="A71" s="5" t="s">
        <v>132</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row>
  </sheetData>
  <mergeCells count="13">
    <mergeCell ref="A5:C5"/>
    <mergeCell ref="A71:BC71"/>
    <mergeCell ref="A1:BC1"/>
    <mergeCell ref="A2:BC2"/>
    <mergeCell ref="A3:BC3"/>
    <mergeCell ref="F4:K4"/>
    <mergeCell ref="L4:Q4"/>
    <mergeCell ref="R4:W4"/>
    <mergeCell ref="X4:AC4"/>
    <mergeCell ref="AD4:AI4"/>
    <mergeCell ref="AJ4:AO4"/>
    <mergeCell ref="AP4:AU4"/>
    <mergeCell ref="AV4:BB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9A825"/>
  </sheetPr>
  <dimension ref="A1:N39"/>
  <sheetViews>
    <sheetView zoomScaleNormal="100" workbookViewId="0">
      <pane ySplit="4" topLeftCell="A5" activePane="bottomLeft" state="frozen"/>
      <selection pane="bottomLeft"/>
    </sheetView>
  </sheetViews>
  <sheetFormatPr defaultColWidth="8.6328125" defaultRowHeight="14.5" x14ac:dyDescent="0.35"/>
  <cols>
    <col min="1" max="1" width="6" customWidth="1"/>
    <col min="2" max="2" width="30" customWidth="1"/>
    <col min="3" max="3" width="20" customWidth="1"/>
    <col min="4" max="6" width="28" customWidth="1"/>
    <col min="7" max="9" width="9" customWidth="1"/>
    <col min="10" max="10" width="11" customWidth="1"/>
    <col min="11" max="12" width="9" customWidth="1"/>
    <col min="13" max="13" width="8" customWidth="1"/>
    <col min="14" max="14" width="16" customWidth="1"/>
  </cols>
  <sheetData>
    <row r="1" spans="1:14" ht="15" customHeight="1" x14ac:dyDescent="0.35">
      <c r="A1" s="11" t="s">
        <v>133</v>
      </c>
      <c r="B1" s="11"/>
      <c r="C1" s="11"/>
      <c r="D1" s="11"/>
      <c r="E1" s="11"/>
      <c r="F1" s="11"/>
      <c r="G1" s="11"/>
      <c r="H1" s="11"/>
      <c r="I1" s="11"/>
      <c r="J1" s="11"/>
      <c r="K1" s="11"/>
      <c r="L1" s="11"/>
      <c r="M1" s="11"/>
      <c r="N1" s="11"/>
    </row>
    <row r="2" spans="1:14" ht="15" customHeight="1" x14ac:dyDescent="0.35">
      <c r="A2" s="10" t="s">
        <v>134</v>
      </c>
      <c r="B2" s="10"/>
      <c r="C2" s="10"/>
      <c r="D2" s="10"/>
      <c r="E2" s="10"/>
      <c r="F2" s="10"/>
      <c r="G2" s="10"/>
      <c r="H2" s="10"/>
      <c r="I2" s="10"/>
      <c r="J2" s="10"/>
      <c r="K2" s="10"/>
      <c r="L2" s="10"/>
      <c r="M2" s="10"/>
      <c r="N2" s="10"/>
    </row>
    <row r="3" spans="1:14" ht="15" customHeight="1" x14ac:dyDescent="0.35">
      <c r="A3" s="8" t="s">
        <v>135</v>
      </c>
      <c r="B3" s="8"/>
      <c r="C3" s="8"/>
      <c r="D3" s="42" t="s">
        <v>136</v>
      </c>
      <c r="E3" s="4" t="s">
        <v>137</v>
      </c>
      <c r="F3" s="4"/>
      <c r="G3" s="4"/>
      <c r="H3" s="4"/>
      <c r="I3" s="4"/>
      <c r="J3" s="4"/>
      <c r="K3" s="4"/>
      <c r="L3" s="4"/>
      <c r="M3" s="4"/>
      <c r="N3" s="4"/>
    </row>
    <row r="4" spans="1:14" ht="15" customHeight="1" x14ac:dyDescent="0.35">
      <c r="A4" s="8" t="s">
        <v>138</v>
      </c>
      <c r="B4" s="8"/>
      <c r="C4" s="8"/>
      <c r="D4" s="42" t="s">
        <v>139</v>
      </c>
      <c r="E4" s="4" t="s">
        <v>140</v>
      </c>
      <c r="F4" s="4"/>
      <c r="G4" s="4"/>
      <c r="H4" s="4"/>
      <c r="I4" s="4"/>
      <c r="J4" s="4"/>
      <c r="K4" s="4"/>
      <c r="L4" s="4"/>
      <c r="M4" s="4"/>
      <c r="N4" s="4"/>
    </row>
    <row r="5" spans="1:14" ht="42" customHeight="1" x14ac:dyDescent="0.35">
      <c r="A5" s="43" t="s">
        <v>141</v>
      </c>
      <c r="B5" s="43" t="s">
        <v>142</v>
      </c>
      <c r="C5" s="23" t="s">
        <v>143</v>
      </c>
      <c r="D5" s="23" t="s">
        <v>144</v>
      </c>
      <c r="E5" s="23" t="s">
        <v>145</v>
      </c>
      <c r="F5" s="23" t="s">
        <v>146</v>
      </c>
      <c r="G5" s="23" t="s">
        <v>147</v>
      </c>
      <c r="H5" s="23" t="s">
        <v>148</v>
      </c>
      <c r="I5" s="23" t="s">
        <v>149</v>
      </c>
      <c r="J5" s="44" t="s">
        <v>150</v>
      </c>
      <c r="K5" s="25" t="s">
        <v>151</v>
      </c>
      <c r="L5" s="26" t="s">
        <v>152</v>
      </c>
      <c r="M5" s="23" t="s">
        <v>153</v>
      </c>
      <c r="N5" s="45" t="s">
        <v>154</v>
      </c>
    </row>
    <row r="6" spans="1:14" ht="21.75" customHeight="1" x14ac:dyDescent="0.35">
      <c r="A6" s="46">
        <f>IF($D$3="Individual",IFERROR(VLOOKUP(D6,'Open 30M - Scoring'!$B:$BB,53,0),99),IF(J6&lt;&gt;"",SUMPRODUCT((J$6:J$1000&gt;J6)*ISNUMBER(J$6:J$1000))+1+SUMPRODUCT((J$6:J$1000=J6)*(K$6:K$1000&gt;K6)*ISNUMBER(J$6:J$1000)*ISNUMBER(K$6:K$1000))+SUMPRODUCT((J$6:J$1000=J6)*(K$6:K$1000=K6)*(ROW(J$6:J$1000)&lt;6)*ISNUMBER(J$6:J$1000)),""))</f>
        <v>1</v>
      </c>
      <c r="B6" s="20" t="str">
        <f t="shared" ref="B6:B37" si="0">IF($D$3="Individual",D6,IF(N6&lt;&gt;"",N6,IF($D$3="Double",IF(AND(D6&lt;&gt;"",E6&lt;&gt;""),D6&amp;" &amp; "&amp;E6,""),IF(AND(D6&lt;&gt;"",E6&lt;&gt;"",F6&lt;&gt;""),D6&amp;" &amp; "&amp;E6&amp;" &amp; "&amp;F6,""))))</f>
        <v>Joseph Nesortado Naoe</v>
      </c>
      <c r="C6" s="47" t="str">
        <f>IFERROR(IF(D6&lt;&gt;"",VLOOKUP(D6,'Open 30M - Scoring'!$B:$D,3,0),""),"")</f>
        <v>DMZ</v>
      </c>
      <c r="D6" s="48" t="str">
        <f>IF($D$4="By Club",IFERROR(IFERROR(INDEX('Open 30M - Scoring'!$B:$B,MATCH(_xludf.aggregate(15,6,IF('Open 30M - Scoring'!$D$2:$D$1000="Attack Arena",'Open 30M - Scoring'!$BB$2:$BB$1000),1),'Open 30M - Scoring'!$BB:$BB,0)),'Open 30M - Scoring'!B7),""),IF($D$3="Individual",IF(1&lt;=COUNTA('Open 30M - Scoring'!$B$6:$B$1000),IFERROR(IF(ISNUMBER(MATCH(1,'Open 30M - Scoring'!$BB:$BB,0)),IFERROR(INDEX('Open 30M - Scoring'!$B:$B,MATCH(1,'Open 30M - Scoring'!$BB:$BB,0)),""),'Open 30M - Scoring'!B6),""),""),IF($D$3="Double",IF(1&lt;=INT(COUNTA('Open 30M - Scoring'!$B$6:$B$1000)/2),IFERROR(IF(ISNUMBER(MATCH(1,'Open 30M - Scoring'!$BB:$BB,0)),IFERROR(INDEX('Open 30M - Scoring'!$B:$B,MATCH(1,'Open 30M - Scoring'!$BB:$BB,0)),""),'Open 30M - Scoring'!B6),""),""),IF(1&lt;=INT(COUNTA('Open 30M - Scoring'!$B$6:$B$1000)/3),IFERROR(IF(ISNUMBER(MATCH(1,'Open 30M - Scoring'!$BB:$BB,0)),IFERROR(INDEX('Open 30M - Scoring'!$B:$B,MATCH(1,'Open 30M - Scoring'!$BB:$BB,0)),""),'Open 30M - Scoring'!B6),""),""))))</f>
        <v>Joseph Nesortado Naoe</v>
      </c>
      <c r="E6" s="49" t="str">
        <f>IF($D$3="Individual","",IF($D$4="By Club",IFERROR(IFERROR(INDEX('Open 30M - Scoring'!$B:$B,MATCH(_xludf.aggregate(15,6,IF('Open 30M - Scoring'!$D$2:$D$1000="Attack Arena",'Open 30M - Scoring'!$BB$2:$BB$1000),2),'Open 30M - Scoring'!$BB:$BB,0)),'Open 30M - Scoring'!B8),""),IF($D$3="Double",IF(1&lt;=INT(COUNTA('Open 30M - Scoring'!$B$6:$B$1000)/2),IFERROR(IF(ISNUMBER(MATCH((COUNTA('Open 30M - Scoring'!$B$6:$B$1000)-MOD(COUNTA('Open 30M - Scoring'!$B$6:$B$1000),2))+1-1,'Open 30M - Scoring'!$BB:$BB,0)),IFERROR(INDEX('Open 30M - Scoring'!$B:$B,MATCH((COUNTA('Open 30M - Scoring'!$B$6:$B$1000)-MOD(COUNTA('Open 30M - Scoring'!$B$6:$B$1000),2))+1-1,'Open 30M - Scoring'!$BB:$BB,0)),""),'Open 30M - Scoring'!B15),""),""),IF(1&lt;=INT(COUNTA('Open 30M - Scoring'!$B$6:$B$1000)/3),IFERROR(IF(ISNUMBER(MATCH((COUNTA('Open 30M - Scoring'!$B$6:$B$1000)-MOD(COUNTA('Open 30M - Scoring'!$B$6:$B$1000),3))+1-1,'Open 30M - Scoring'!$BB:$BB,0)),IFERROR(INDEX('Open 30M - Scoring'!$B:$B,MATCH((COUNTA('Open 30M - Scoring'!$B$6:$B$1000)-MOD(COUNTA('Open 30M - Scoring'!$B$6:$B$1000),3))+1-1,'Open 30M - Scoring'!$BB:$BB,0)),""),'Open 30M - Scoring'!B14),""),""))))</f>
        <v/>
      </c>
      <c r="F6" s="49" t="str">
        <f>IF($D$3&lt;&gt;"Team (3 archers)","",IF($D$4="By Club",IFERROR(IFERROR(INDEX('Open 30M - Scoring'!$B:$B,MATCH(_xludf.aggregate(15,6,IF('Open 30M - Scoring'!$D$2:$D$1000="Attack Arena",'Open 30M - Scoring'!$BB$2:$BB$1000),3),'Open 30M - Scoring'!$BB:$BB,0)),'Open 30M - Scoring'!B9),""),IF(1&lt;=INT(COUNTA('Open 30M - Scoring'!$B$6:$B$1000)/3),IFERROR(IF(ISNUMBER(MATCH(INT((COUNTA('Open 30M - Scoring'!$B$6:$B$1000)-MOD(COUNTA('Open 30M - Scoring'!$B$6:$B$1000),3))/3)+1,'Open 30M - Scoring'!$BB:$BB,0)),IFERROR(INDEX('Open 30M - Scoring'!$B:$B,MATCH(INT((COUNTA('Open 30M - Scoring'!$B$6:$B$1000)-MOD(COUNTA('Open 30M - Scoring'!$B$6:$B$1000),3))/3)+1,'Open 30M - Scoring'!$BB:$BB,0)),""),'Open 30M - Scoring'!B9),""),"")))</f>
        <v/>
      </c>
      <c r="G6" s="50">
        <f>IFERROR(IF(D6&lt;&gt;"",VLOOKUP(D6,'Open 30M - Scoring'!$B:$AV,47,0),0),0)</f>
        <v>0</v>
      </c>
      <c r="H6" s="50">
        <f>IFERROR(IF(AND(OR($D$3="Double",$D$3="Team (3 archers)"),E6&lt;&gt;""),VLOOKUP(E6,'Open 30M - Scoring'!$B:$AV,47,0),0),0)</f>
        <v>0</v>
      </c>
      <c r="I6" s="50">
        <f>IFERROR(IF(AND($D$3="Team (3 archers)",F6&lt;&gt;""),VLOOKUP(F6,'Open 30M - Scoring'!$B:$AV,47,0),0),0)</f>
        <v>0</v>
      </c>
      <c r="J6" s="51">
        <f t="shared" ref="J6:J37" si="1">IF(D6&lt;&gt;"",G6+H6+I6,"")</f>
        <v>0</v>
      </c>
      <c r="K6" s="52">
        <f>IF(D6&lt;&gt;"",IFERROR(IF(D6&lt;&gt;"",VLOOKUP(D6,'Open 30M - Scoring'!$B:$BA,52,0),0),0)+IFERROR(IF(AND(OR($D$3="Double",$D$3="Team (3 archers)"),E6&lt;&gt;""),VLOOKUP(E6,'Open 30M - Scoring'!$B:$BA,52,0),0),0)+IFERROR(IF(AND($D$3="Team (3 archers)",F6&lt;&gt;""),VLOOKUP(F6,'Open 30M - Scoring'!$B:$BA,52,0),0),0),"")</f>
        <v>0</v>
      </c>
      <c r="L6" s="53" t="s">
        <v>155</v>
      </c>
      <c r="M6" s="54" t="str">
        <f t="shared" ref="M6:M37" si="2">IF(AND($D$4="By Club",D6&lt;&gt;""),C6,"")</f>
        <v/>
      </c>
      <c r="N6" s="55"/>
    </row>
    <row r="7" spans="1:14" ht="21.75" customHeight="1" x14ac:dyDescent="0.35">
      <c r="A7" s="46">
        <f>IF($D$3="Individual",IFERROR(VLOOKUP(D7,'Open 30M - Scoring'!$B:$BB,53,0),99),IF(J7&lt;&gt;"",SUMPRODUCT((J$6:J$1000&gt;J7)*ISNUMBER(J$6:J$1000))+1+SUMPRODUCT((J$6:J$1000=J7)*(K$6:K$1000&gt;K7)*ISNUMBER(J$6:J$1000)*ISNUMBER(K$6:K$1000))+SUMPRODUCT((J$6:J$1000=J7)*(K$6:K$1000=K7)*(ROW(J$6:J$1000)&lt;7)*ISNUMBER(J$6:J$1000)),""))</f>
        <v>1</v>
      </c>
      <c r="B7" s="20" t="str">
        <f t="shared" si="0"/>
        <v>Jebbrich Tan Lim</v>
      </c>
      <c r="C7" s="47" t="str">
        <f>IFERROR(IF(D7&lt;&gt;"",VLOOKUP(D7,'Open 30M - Scoring'!$B:$D,3,0),""),"")</f>
        <v>Attack Arena</v>
      </c>
      <c r="D7" s="48" t="str">
        <f>IF($D$4="By Club",IFERROR(IFERROR(INDEX('Open 30M - Scoring'!$B:$B,MATCH(_xludf.aggregate(15,6,IF('Open 30M - Scoring'!$D$2:$D$1000="Brgy. Sta Lucia",'Open 30M - Scoring'!$BB$2:$BB$1000),1),'Open 30M - Scoring'!$BB:$BB,0)),'Open 30M - Scoring'!B13),""),IF($D$3="Individual",IF(2&lt;=COUNTA('Open 30M - Scoring'!$B$6:$B$1000),IFERROR(IF(ISNUMBER(MATCH(2,'Open 30M - Scoring'!$BB:$BB,0)),IFERROR(INDEX('Open 30M - Scoring'!$B:$B,MATCH(2,'Open 30M - Scoring'!$BB:$BB,0)),""),'Open 30M - Scoring'!B7),""),""),IF($D$3="Double",IF(2&lt;=INT(COUNTA('Open 30M - Scoring'!$B$6:$B$1000)/2),IFERROR(IF(ISNUMBER(MATCH(2,'Open 30M - Scoring'!$BB:$BB,0)),IFERROR(INDEX('Open 30M - Scoring'!$B:$B,MATCH(2,'Open 30M - Scoring'!$BB:$BB,0)),""),'Open 30M - Scoring'!B7),""),""),IF(2&lt;=INT(COUNTA('Open 30M - Scoring'!$B$6:$B$1000)/3),IFERROR(IF(ISNUMBER(MATCH(2,'Open 30M - Scoring'!$BB:$BB,0)),IFERROR(INDEX('Open 30M - Scoring'!$B:$B,MATCH(2,'Open 30M - Scoring'!$BB:$BB,0)),""),'Open 30M - Scoring'!B7),""),""))))</f>
        <v>Jebbrich Tan Lim</v>
      </c>
      <c r="E7" s="49" t="str">
        <f>IF($D$3="Individual","",IF($D$4="By Club",IFERROR("",""),IF($D$3="Double",IF(2&lt;=INT(COUNTA('Open 30M - Scoring'!$B$6:$B$1000)/2),IFERROR(IF(ISNUMBER(MATCH((COUNTA('Open 30M - Scoring'!$B$6:$B$1000)-MOD(COUNTA('Open 30M - Scoring'!$B$6:$B$1000),2))+1-2,'Open 30M - Scoring'!$BB:$BB,0)),IFERROR(INDEX('Open 30M - Scoring'!$B:$B,MATCH((COUNTA('Open 30M - Scoring'!$B$6:$B$1000)-MOD(COUNTA('Open 30M - Scoring'!$B$6:$B$1000),2))+1-2,'Open 30M - Scoring'!$BB:$BB,0)),""),'Open 30M - Scoring'!B14),""),""),IF(2&lt;=INT(COUNTA('Open 30M - Scoring'!$B$6:$B$1000)/3),IFERROR(IF(ISNUMBER(MATCH((COUNTA('Open 30M - Scoring'!$B$6:$B$1000)-MOD(COUNTA('Open 30M - Scoring'!$B$6:$B$1000),3))+1-2,'Open 30M - Scoring'!$BB:$BB,0)),IFERROR(INDEX('Open 30M - Scoring'!$B:$B,MATCH((COUNTA('Open 30M - Scoring'!$B$6:$B$1000)-MOD(COUNTA('Open 30M - Scoring'!$B$6:$B$1000),3))+1-2,'Open 30M - Scoring'!$BB:$BB,0)),""),'Open 30M - Scoring'!B13),""),""))))</f>
        <v/>
      </c>
      <c r="F7" s="49" t="str">
        <f>IF($D$3&lt;&gt;"Team (3 archers)","",IF($D$4="By Club",IFERROR("",""),IF(2&lt;=INT(COUNTA('Open 30M - Scoring'!$B$6:$B$1000)/3),IFERROR(IF(ISNUMBER(MATCH(INT((COUNTA('Open 30M - Scoring'!$B$6:$B$1000)-MOD(COUNTA('Open 30M - Scoring'!$B$6:$B$1000),3))/3)+2,'Open 30M - Scoring'!$BB:$BB,0)),IFERROR(INDEX('Open 30M - Scoring'!$B:$B,MATCH(INT((COUNTA('Open 30M - Scoring'!$B$6:$B$1000)-MOD(COUNTA('Open 30M - Scoring'!$B$6:$B$1000),3))/3)+2,'Open 30M - Scoring'!$BB:$BB,0)),""),'Open 30M - Scoring'!B10),""),"")))</f>
        <v/>
      </c>
      <c r="G7" s="50">
        <f>IFERROR(IF(D7&lt;&gt;"",VLOOKUP(D7,'Open 30M - Scoring'!$B:$AV,47,0),0),0)</f>
        <v>0</v>
      </c>
      <c r="H7" s="50">
        <f>IFERROR(IF(AND(OR($D$3="Double",$D$3="Team (3 archers)"),E7&lt;&gt;""),VLOOKUP(E7,'Open 30M - Scoring'!$B:$AV,47,0),0),0)</f>
        <v>0</v>
      </c>
      <c r="I7" s="50">
        <f>IFERROR(IF(AND($D$3="Team (3 archers)",F7&lt;&gt;""),VLOOKUP(F7,'Open 30M - Scoring'!$B:$AV,47,0),0),0)</f>
        <v>0</v>
      </c>
      <c r="J7" s="51">
        <f t="shared" si="1"/>
        <v>0</v>
      </c>
      <c r="K7" s="52">
        <f>IF(D7&lt;&gt;"",IFERROR(IF(D7&lt;&gt;"",VLOOKUP(D7,'Open 30M - Scoring'!$B:$BA,52,0),0),0)+IFERROR(IF(AND(OR($D$3="Double",$D$3="Team (3 archers)"),E7&lt;&gt;""),VLOOKUP(E7,'Open 30M - Scoring'!$B:$BA,52,0),0),0)+IFERROR(IF(AND($D$3="Team (3 archers)",F7&lt;&gt;""),VLOOKUP(F7,'Open 30M - Scoring'!$B:$BA,52,0),0),0),"")</f>
        <v>0</v>
      </c>
      <c r="L7" s="40" t="s">
        <v>155</v>
      </c>
      <c r="M7" s="54" t="str">
        <f t="shared" si="2"/>
        <v/>
      </c>
      <c r="N7" s="55"/>
    </row>
    <row r="8" spans="1:14" ht="21.75" customHeight="1" x14ac:dyDescent="0.35">
      <c r="A8" s="46">
        <f>IF($D$3="Individual",IFERROR(VLOOKUP(D8,'Open 30M - Scoring'!$B:$BB,53,0),99),IF(J8&lt;&gt;"",SUMPRODUCT((J$6:J$1000&gt;J8)*ISNUMBER(J$6:J$1000))+1+SUMPRODUCT((J$6:J$1000=J8)*(K$6:K$1000&gt;K8)*ISNUMBER(J$6:J$1000)*ISNUMBER(K$6:K$1000))+SUMPRODUCT((J$6:J$1000=J8)*(K$6:K$1000=K8)*(ROW(J$6:J$1000)&lt;8)*ISNUMBER(J$6:J$1000)),""))</f>
        <v>1</v>
      </c>
      <c r="B8" s="20" t="str">
        <f t="shared" si="0"/>
        <v>Zhean Benito</v>
      </c>
      <c r="C8" s="47" t="str">
        <f>IFERROR(IF(D8&lt;&gt;"",VLOOKUP(D8,'Open 30M - Scoring'!$B:$D,3,0),""),"")</f>
        <v>Attack Arena</v>
      </c>
      <c r="D8" s="48" t="str">
        <f>IF($D$4="By Club",IFERROR(IFERROR(INDEX('Open 30M - Scoring'!$B:$B,MATCH(_xludf.aggregate(15,6,IF('Open 30M - Scoring'!$D$2:$D$1000="Buting",'Open 30M - Scoring'!$BB$2:$BB$1000),1),'Open 30M - Scoring'!$BB:$BB,0)),'Open 30M - Scoring'!B11),""),IF($D$3="Individual",IF(3&lt;=COUNTA('Open 30M - Scoring'!$B$6:$B$1000),IFERROR(IF(ISNUMBER(MATCH(3,'Open 30M - Scoring'!$BB:$BB,0)),IFERROR(INDEX('Open 30M - Scoring'!$B:$B,MATCH(3,'Open 30M - Scoring'!$BB:$BB,0)),""),'Open 30M - Scoring'!B8),""),""),IF($D$3="Double",IF(3&lt;=INT(COUNTA('Open 30M - Scoring'!$B$6:$B$1000)/2),IFERROR(IF(ISNUMBER(MATCH(3,'Open 30M - Scoring'!$BB:$BB,0)),IFERROR(INDEX('Open 30M - Scoring'!$B:$B,MATCH(3,'Open 30M - Scoring'!$BB:$BB,0)),""),'Open 30M - Scoring'!B8),""),""),IF(3&lt;=INT(COUNTA('Open 30M - Scoring'!$B$6:$B$1000)/3),IFERROR(IF(ISNUMBER(MATCH(3,'Open 30M - Scoring'!$BB:$BB,0)),IFERROR(INDEX('Open 30M - Scoring'!$B:$B,MATCH(3,'Open 30M - Scoring'!$BB:$BB,0)),""),'Open 30M - Scoring'!B8),""),""))))</f>
        <v>Zhean Benito</v>
      </c>
      <c r="E8" s="49" t="str">
        <f>IF($D$3="Individual","",IF($D$4="By Club",IFERROR("",""),IF($D$3="Double",IF(3&lt;=INT(COUNTA('Open 30M - Scoring'!$B$6:$B$1000)/2),IFERROR(IF(ISNUMBER(MATCH((COUNTA('Open 30M - Scoring'!$B$6:$B$1000)-MOD(COUNTA('Open 30M - Scoring'!$B$6:$B$1000),2))+1-3,'Open 30M - Scoring'!$BB:$BB,0)),IFERROR(INDEX('Open 30M - Scoring'!$B:$B,MATCH((COUNTA('Open 30M - Scoring'!$B$6:$B$1000)-MOD(COUNTA('Open 30M - Scoring'!$B$6:$B$1000),2))+1-3,'Open 30M - Scoring'!$BB:$BB,0)),""),'Open 30M - Scoring'!B13),""),""),IF(3&lt;=INT(COUNTA('Open 30M - Scoring'!$B$6:$B$1000)/3),IFERROR(IF(ISNUMBER(MATCH((COUNTA('Open 30M - Scoring'!$B$6:$B$1000)-MOD(COUNTA('Open 30M - Scoring'!$B$6:$B$1000),3))+1-3,'Open 30M - Scoring'!$BB:$BB,0)),IFERROR(INDEX('Open 30M - Scoring'!$B:$B,MATCH((COUNTA('Open 30M - Scoring'!$B$6:$B$1000)-MOD(COUNTA('Open 30M - Scoring'!$B$6:$B$1000),3))+1-3,'Open 30M - Scoring'!$BB:$BB,0)),""),'Open 30M - Scoring'!B12),""),""))))</f>
        <v/>
      </c>
      <c r="F8" s="49" t="str">
        <f>IF($D$3&lt;&gt;"Team (3 archers)","",IF($D$4="By Club",IFERROR("",""),IF(3&lt;=INT(COUNTA('Open 30M - Scoring'!$B$6:$B$1000)/3),IFERROR(IF(ISNUMBER(MATCH(INT((COUNTA('Open 30M - Scoring'!$B$6:$B$1000)-MOD(COUNTA('Open 30M - Scoring'!$B$6:$B$1000),3))/3)+3,'Open 30M - Scoring'!$BB:$BB,0)),IFERROR(INDEX('Open 30M - Scoring'!$B:$B,MATCH(INT((COUNTA('Open 30M - Scoring'!$B$6:$B$1000)-MOD(COUNTA('Open 30M - Scoring'!$B$6:$B$1000),3))/3)+3,'Open 30M - Scoring'!$BB:$BB,0)),""),'Open 30M - Scoring'!B11),""),"")))</f>
        <v/>
      </c>
      <c r="G8" s="50">
        <f>IFERROR(IF(D8&lt;&gt;"",VLOOKUP(D8,'Open 30M - Scoring'!$B:$AV,47,0),0),0)</f>
        <v>0</v>
      </c>
      <c r="H8" s="50">
        <f>IFERROR(IF(AND(OR($D$3="Double",$D$3="Team (3 archers)"),E8&lt;&gt;""),VLOOKUP(E8,'Open 30M - Scoring'!$B:$AV,47,0),0),0)</f>
        <v>0</v>
      </c>
      <c r="I8" s="50">
        <f>IFERROR(IF(AND($D$3="Team (3 archers)",F8&lt;&gt;""),VLOOKUP(F8,'Open 30M - Scoring'!$B:$AV,47,0),0),0)</f>
        <v>0</v>
      </c>
      <c r="J8" s="51">
        <f t="shared" si="1"/>
        <v>0</v>
      </c>
      <c r="K8" s="52">
        <f>IF(D8&lt;&gt;"",IFERROR(IF(D8&lt;&gt;"",VLOOKUP(D8,'Open 30M - Scoring'!$B:$BA,52,0),0),0)+IFERROR(IF(AND(OR($D$3="Double",$D$3="Team (3 archers)"),E8&lt;&gt;""),VLOOKUP(E8,'Open 30M - Scoring'!$B:$BA,52,0),0),0)+IFERROR(IF(AND($D$3="Team (3 archers)",F8&lt;&gt;""),VLOOKUP(F8,'Open 30M - Scoring'!$B:$BA,52,0),0),0),"")</f>
        <v>0</v>
      </c>
      <c r="L8" s="53" t="s">
        <v>155</v>
      </c>
      <c r="M8" s="54" t="str">
        <f t="shared" si="2"/>
        <v/>
      </c>
      <c r="N8" s="55"/>
    </row>
    <row r="9" spans="1:14" ht="21.75" customHeight="1" x14ac:dyDescent="0.35">
      <c r="A9" s="46">
        <f>IF($D$3="Individual",IFERROR(VLOOKUP(D9,'Open 30M - Scoring'!$B:$BB,53,0),99),IF(J9&lt;&gt;"",SUMPRODUCT((J$6:J$1000&gt;J9)*ISNUMBER(J$6:J$1000))+1+SUMPRODUCT((J$6:J$1000=J9)*(K$6:K$1000&gt;K9)*ISNUMBER(J$6:J$1000)*ISNUMBER(K$6:K$1000))+SUMPRODUCT((J$6:J$1000=J9)*(K$6:K$1000=K9)*(ROW(J$6:J$1000)&lt;9)*ISNUMBER(J$6:J$1000)),""))</f>
        <v>1</v>
      </c>
      <c r="B9" s="20" t="str">
        <f t="shared" si="0"/>
        <v>Allan Robert Aruego</v>
      </c>
      <c r="C9" s="47" t="str">
        <f>IFERROR(IF(D9&lt;&gt;"",VLOOKUP(D9,'Open 30M - Scoring'!$B:$D,3,0),""),"")</f>
        <v>Attack Arena</v>
      </c>
      <c r="D9" s="48" t="str">
        <f>IF($D$4="By Club",IFERROR(IFERROR(INDEX('Open 30M - Scoring'!$B:$B,MATCH(_xludf.aggregate(15,6,IF('Open 30M - Scoring'!$D$2:$D$1000="DMZ",'Open 30M - Scoring'!$BB$2:$BB$1000),1),'Open 30M - Scoring'!$BB:$BB,0)),'Open 30M - Scoring'!B6),""),IF($D$3="Individual",IF(4&lt;=COUNTA('Open 30M - Scoring'!$B$6:$B$1000),IFERROR(IF(ISNUMBER(MATCH(4,'Open 30M - Scoring'!$BB:$BB,0)),IFERROR(INDEX('Open 30M - Scoring'!$B:$B,MATCH(4,'Open 30M - Scoring'!$BB:$BB,0)),""),'Open 30M - Scoring'!B9),""),""),IF($D$3="Double",IF(4&lt;=INT(COUNTA('Open 30M - Scoring'!$B$6:$B$1000)/2),IFERROR(IF(ISNUMBER(MATCH(4,'Open 30M - Scoring'!$BB:$BB,0)),IFERROR(INDEX('Open 30M - Scoring'!$B:$B,MATCH(4,'Open 30M - Scoring'!$BB:$BB,0)),""),'Open 30M - Scoring'!B9),""),""),IF(4&lt;=INT(COUNTA('Open 30M - Scoring'!$B$6:$B$1000)/3),IFERROR(IF(ISNUMBER(MATCH(4,'Open 30M - Scoring'!$BB:$BB,0)),IFERROR(INDEX('Open 30M - Scoring'!$B:$B,MATCH(4,'Open 30M - Scoring'!$BB:$BB,0)),""),'Open 30M - Scoring'!B9),""),""))))</f>
        <v>Allan Robert Aruego</v>
      </c>
      <c r="E9" s="49" t="str">
        <f>IF($D$3="Individual","",IF($D$4="By Club",IFERROR("",""),IF($D$3="Double",IF(4&lt;=INT(COUNTA('Open 30M - Scoring'!$B$6:$B$1000)/2),IFERROR(IF(ISNUMBER(MATCH((COUNTA('Open 30M - Scoring'!$B$6:$B$1000)-MOD(COUNTA('Open 30M - Scoring'!$B$6:$B$1000),2))+1-4,'Open 30M - Scoring'!$BB:$BB,0)),IFERROR(INDEX('Open 30M - Scoring'!$B:$B,MATCH((COUNTA('Open 30M - Scoring'!$B$6:$B$1000)-MOD(COUNTA('Open 30M - Scoring'!$B$6:$B$1000),2))+1-4,'Open 30M - Scoring'!$BB:$BB,0)),""),'Open 30M - Scoring'!B12),""),""),IF(4&lt;=INT(COUNTA('Open 30M - Scoring'!$B$6:$B$1000)/3),IFERROR(IF(ISNUMBER(MATCH((COUNTA('Open 30M - Scoring'!$B$6:$B$1000)-MOD(COUNTA('Open 30M - Scoring'!$B$6:$B$1000),3))+1-4,'Open 30M - Scoring'!$BB:$BB,0)),IFERROR(INDEX('Open 30M - Scoring'!$B:$B,MATCH((COUNTA('Open 30M - Scoring'!$B$6:$B$1000)-MOD(COUNTA('Open 30M - Scoring'!$B$6:$B$1000),3))+1-4,'Open 30M - Scoring'!$BB:$BB,0)),""),'Open 30M - Scoring'!B11),""),""))))</f>
        <v/>
      </c>
      <c r="F9" s="49" t="str">
        <f>IF($D$3&lt;&gt;"Team (3 archers)","",IF($D$4="By Club",IFERROR("",""),IF(4&lt;=INT(COUNTA('Open 30M - Scoring'!$B$6:$B$1000)/3),IFERROR(IF(ISNUMBER(MATCH(INT((COUNTA('Open 30M - Scoring'!$B$6:$B$1000)-MOD(COUNTA('Open 30M - Scoring'!$B$6:$B$1000),3))/3)+4,'Open 30M - Scoring'!$BB:$BB,0)),IFERROR(INDEX('Open 30M - Scoring'!$B:$B,MATCH(INT((COUNTA('Open 30M - Scoring'!$B$6:$B$1000)-MOD(COUNTA('Open 30M - Scoring'!$B$6:$B$1000),3))/3)+4,'Open 30M - Scoring'!$BB:$BB,0)),""),'Open 30M - Scoring'!B12),""),"")))</f>
        <v/>
      </c>
      <c r="G9" s="50">
        <f>IFERROR(IF(D9&lt;&gt;"",VLOOKUP(D9,'Open 30M - Scoring'!$B:$AV,47,0),0),0)</f>
        <v>0</v>
      </c>
      <c r="H9" s="50">
        <f>IFERROR(IF(AND(OR($D$3="Double",$D$3="Team (3 archers)"),E9&lt;&gt;""),VLOOKUP(E9,'Open 30M - Scoring'!$B:$AV,47,0),0),0)</f>
        <v>0</v>
      </c>
      <c r="I9" s="50">
        <f>IFERROR(IF(AND($D$3="Team (3 archers)",F9&lt;&gt;""),VLOOKUP(F9,'Open 30M - Scoring'!$B:$AV,47,0),0),0)</f>
        <v>0</v>
      </c>
      <c r="J9" s="51">
        <f t="shared" si="1"/>
        <v>0</v>
      </c>
      <c r="K9" s="52">
        <f>IF(D9&lt;&gt;"",IFERROR(IF(D9&lt;&gt;"",VLOOKUP(D9,'Open 30M - Scoring'!$B:$BA,52,0),0),0)+IFERROR(IF(AND(OR($D$3="Double",$D$3="Team (3 archers)"),E9&lt;&gt;""),VLOOKUP(E9,'Open 30M - Scoring'!$B:$BA,52,0),0),0)+IFERROR(IF(AND($D$3="Team (3 archers)",F9&lt;&gt;""),VLOOKUP(F9,'Open 30M - Scoring'!$B:$BA,52,0),0),0),"")</f>
        <v>0</v>
      </c>
      <c r="L9" s="40" t="s">
        <v>155</v>
      </c>
      <c r="M9" s="54" t="str">
        <f t="shared" si="2"/>
        <v/>
      </c>
      <c r="N9" s="55"/>
    </row>
    <row r="10" spans="1:14" ht="21.75" customHeight="1" x14ac:dyDescent="0.35">
      <c r="A10" s="46">
        <f>IF($D$3="Individual",IFERROR(VLOOKUP(D10,'Open 30M - Scoring'!$B:$BB,53,0),99),IF(J10&lt;&gt;"",SUMPRODUCT((J$6:J$1000&gt;J10)*ISNUMBER(J$6:J$1000))+1+SUMPRODUCT((J$6:J$1000=J10)*(K$6:K$1000&gt;K10)*ISNUMBER(J$6:J$1000)*ISNUMBER(K$6:K$1000))+SUMPRODUCT((J$6:J$1000=J10)*(K$6:K$1000=K10)*(ROW(J$6:J$1000)&lt;10)*ISNUMBER(J$6:J$1000)),""))</f>
        <v>1</v>
      </c>
      <c r="B10" s="20" t="str">
        <f t="shared" si="0"/>
        <v>Sheena Marie Monico</v>
      </c>
      <c r="C10" s="47" t="str">
        <f>IFERROR(IF(D10&lt;&gt;"",VLOOKUP(D10,'Open 30M - Scoring'!$B:$D,3,0),""),"")</f>
        <v>Pasig AC</v>
      </c>
      <c r="D10" s="48" t="str">
        <f>IF($D$4="By Club",IFERROR(IFERROR(INDEX('Open 30M - Scoring'!$B:$B,MATCH(_xludf.aggregate(15,6,IF('Open 30M - Scoring'!$D$2:$D$1000="N/A",'Open 30M - Scoring'!$BB$2:$BB$1000),1),'Open 30M - Scoring'!$BB:$BB,0)),'Open 30M - Scoring'!B14),""),IF($D$3="Individual",IF(5&lt;=COUNTA('Open 30M - Scoring'!$B$6:$B$1000),IFERROR(IF(ISNUMBER(MATCH(5,'Open 30M - Scoring'!$BB:$BB,0)),IFERROR(INDEX('Open 30M - Scoring'!$B:$B,MATCH(5,'Open 30M - Scoring'!$BB:$BB,0)),""),'Open 30M - Scoring'!B10),""),""),IF($D$3="Double",IF(5&lt;=INT(COUNTA('Open 30M - Scoring'!$B$6:$B$1000)/2),IFERROR(IF(ISNUMBER(MATCH(5,'Open 30M - Scoring'!$BB:$BB,0)),IFERROR(INDEX('Open 30M - Scoring'!$B:$B,MATCH(5,'Open 30M - Scoring'!$BB:$BB,0)),""),'Open 30M - Scoring'!B10),""),""),IF(5&lt;=INT(COUNTA('Open 30M - Scoring'!$B$6:$B$1000)/3),IFERROR(IF(ISNUMBER(MATCH(5,'Open 30M - Scoring'!$BB:$BB,0)),IFERROR(INDEX('Open 30M - Scoring'!$B:$B,MATCH(5,'Open 30M - Scoring'!$BB:$BB,0)),""),'Open 30M - Scoring'!B10),""),""))))</f>
        <v>Sheena Marie Monico</v>
      </c>
      <c r="E10" s="49" t="str">
        <f>IF($D$3="Individual","",IF($D$4="By Club",IFERROR("",""),IF($D$3="Double",IF(5&lt;=INT(COUNTA('Open 30M - Scoring'!$B$6:$B$1000)/2),IFERROR(IF(ISNUMBER(MATCH((COUNTA('Open 30M - Scoring'!$B$6:$B$1000)-MOD(COUNTA('Open 30M - Scoring'!$B$6:$B$1000),2))+1-5,'Open 30M - Scoring'!$BB:$BB,0)),IFERROR(INDEX('Open 30M - Scoring'!$B:$B,MATCH((COUNTA('Open 30M - Scoring'!$B$6:$B$1000)-MOD(COUNTA('Open 30M - Scoring'!$B$6:$B$1000),2))+1-5,'Open 30M - Scoring'!$BB:$BB,0)),""),'Open 30M - Scoring'!B11),""),""),IF(5&lt;=INT(COUNTA('Open 30M - Scoring'!$B$6:$B$1000)/3),IFERROR(IF(ISNUMBER(MATCH((COUNTA('Open 30M - Scoring'!$B$6:$B$1000)-MOD(COUNTA('Open 30M - Scoring'!$B$6:$B$1000),3))+1-5,'Open 30M - Scoring'!$BB:$BB,0)),IFERROR(INDEX('Open 30M - Scoring'!$B:$B,MATCH((COUNTA('Open 30M - Scoring'!$B$6:$B$1000)-MOD(COUNTA('Open 30M - Scoring'!$B$6:$B$1000),3))+1-5,'Open 30M - Scoring'!$BB:$BB,0)),""),'Open 30M - Scoring'!B10),""),""))))</f>
        <v/>
      </c>
      <c r="F10" s="49" t="str">
        <f>IF($D$3&lt;&gt;"Team (3 archers)","",IF($D$4="By Club",IFERROR("",""),IF(5&lt;=INT(COUNTA('Open 30M - Scoring'!$B$6:$B$1000)/3),IFERROR(IF(ISNUMBER(MATCH(INT((COUNTA('Open 30M - Scoring'!$B$6:$B$1000)-MOD(COUNTA('Open 30M - Scoring'!$B$6:$B$1000),3))/3)+5,'Open 30M - Scoring'!$BB:$BB,0)),IFERROR(INDEX('Open 30M - Scoring'!$B:$B,MATCH(INT((COUNTA('Open 30M - Scoring'!$B$6:$B$1000)-MOD(COUNTA('Open 30M - Scoring'!$B$6:$B$1000),3))/3)+5,'Open 30M - Scoring'!$BB:$BB,0)),""),'Open 30M - Scoring'!B13),""),"")))</f>
        <v/>
      </c>
      <c r="G10" s="50">
        <f>IFERROR(IF(D10&lt;&gt;"",VLOOKUP(D10,'Open 30M - Scoring'!$B:$AV,47,0),0),0)</f>
        <v>0</v>
      </c>
      <c r="H10" s="50">
        <f>IFERROR(IF(AND(OR($D$3="Double",$D$3="Team (3 archers)"),E10&lt;&gt;""),VLOOKUP(E10,'Open 30M - Scoring'!$B:$AV,47,0),0),0)</f>
        <v>0</v>
      </c>
      <c r="I10" s="50">
        <f>IFERROR(IF(AND($D$3="Team (3 archers)",F10&lt;&gt;""),VLOOKUP(F10,'Open 30M - Scoring'!$B:$AV,47,0),0),0)</f>
        <v>0</v>
      </c>
      <c r="J10" s="51">
        <f t="shared" si="1"/>
        <v>0</v>
      </c>
      <c r="K10" s="52">
        <f>IF(D10&lt;&gt;"",IFERROR(IF(D10&lt;&gt;"",VLOOKUP(D10,'Open 30M - Scoring'!$B:$BA,52,0),0),0)+IFERROR(IF(AND(OR($D$3="Double",$D$3="Team (3 archers)"),E10&lt;&gt;""),VLOOKUP(E10,'Open 30M - Scoring'!$B:$BA,52,0),0),0)+IFERROR(IF(AND($D$3="Team (3 archers)",F10&lt;&gt;""),VLOOKUP(F10,'Open 30M - Scoring'!$B:$BA,52,0),0),0),"")</f>
        <v>0</v>
      </c>
      <c r="L10" s="53" t="s">
        <v>155</v>
      </c>
      <c r="M10" s="54" t="str">
        <f t="shared" si="2"/>
        <v/>
      </c>
      <c r="N10" s="55"/>
    </row>
    <row r="11" spans="1:14" ht="21.75" customHeight="1" x14ac:dyDescent="0.35">
      <c r="A11" s="46">
        <f>IF($D$3="Individual",IFERROR(VLOOKUP(D11,'Open 30M - Scoring'!$B:$BB,53,0),99),IF(J11&lt;&gt;"",SUMPRODUCT((J$6:J$1000&gt;J11)*ISNUMBER(J$6:J$1000))+1+SUMPRODUCT((J$6:J$1000=J11)*(K$6:K$1000&gt;K11)*ISNUMBER(J$6:J$1000)*ISNUMBER(K$6:K$1000))+SUMPRODUCT((J$6:J$1000=J11)*(K$6:K$1000=K11)*(ROW(J$6:J$1000)&lt;11)*ISNUMBER(J$6:J$1000)),""))</f>
        <v>1</v>
      </c>
      <c r="B11" s="20" t="str">
        <f t="shared" si="0"/>
        <v>Stella Mae Magalang</v>
      </c>
      <c r="C11" s="47" t="str">
        <f>IFERROR(IF(D11&lt;&gt;"",VLOOKUP(D11,'Open 30M - Scoring'!$B:$D,3,0),""),"")</f>
        <v>Buting</v>
      </c>
      <c r="D11" s="48" t="str">
        <f>IF($D$4="By Club",IFERROR(IFERROR(INDEX('Open 30M - Scoring'!$B:$B,MATCH(_xludf.aggregate(15,6,IF('Open 30M - Scoring'!$D$2:$D$1000="PAC Maybunga",'Open 30M - Scoring'!$BB$2:$BB$1000),1),'Open 30M - Scoring'!$BB:$BB,0)),'Open 30M - Scoring'!B12),""),IF($D$3="Individual",IF(6&lt;=COUNTA('Open 30M - Scoring'!$B$6:$B$1000),IFERROR(IF(ISNUMBER(MATCH(6,'Open 30M - Scoring'!$BB:$BB,0)),IFERROR(INDEX('Open 30M - Scoring'!$B:$B,MATCH(6,'Open 30M - Scoring'!$BB:$BB,0)),""),'Open 30M - Scoring'!B11),""),""),IF($D$3="Double",IF(6&lt;=INT(COUNTA('Open 30M - Scoring'!$B$6:$B$1000)/2),IFERROR(IF(ISNUMBER(MATCH(6,'Open 30M - Scoring'!$BB:$BB,0)),IFERROR(INDEX('Open 30M - Scoring'!$B:$B,MATCH(6,'Open 30M - Scoring'!$BB:$BB,0)),""),'Open 30M - Scoring'!B11),""),""),IF(6&lt;=INT(COUNTA('Open 30M - Scoring'!$B$6:$B$1000)/3),IFERROR(IF(ISNUMBER(MATCH(6,'Open 30M - Scoring'!$BB:$BB,0)),IFERROR(INDEX('Open 30M - Scoring'!$B:$B,MATCH(6,'Open 30M - Scoring'!$BB:$BB,0)),""),'Open 30M - Scoring'!B11),""),""))))</f>
        <v>Stella Mae Magalang</v>
      </c>
      <c r="E11" s="49" t="str">
        <f>IF($D$3="Individual","",IF($D$4="By Club",IFERROR("",""),IF($D$3="Double",IF(6&lt;=INT(COUNTA('Open 30M - Scoring'!$B$6:$B$1000)/2),IFERROR(IF(ISNUMBER(MATCH((COUNTA('Open 30M - Scoring'!$B$6:$B$1000)-MOD(COUNTA('Open 30M - Scoring'!$B$6:$B$1000),2))+1-6,'Open 30M - Scoring'!$BB:$BB,0)),IFERROR(INDEX('Open 30M - Scoring'!$B:$B,MATCH((COUNTA('Open 30M - Scoring'!$B$6:$B$1000)-MOD(COUNTA('Open 30M - Scoring'!$B$6:$B$1000),2))+1-6,'Open 30M - Scoring'!$BB:$BB,0)),""),'Open 30M - Scoring'!B10),""),""),IF(6&lt;=INT(COUNTA('Open 30M - Scoring'!$B$6:$B$1000)/3),IFERROR(IF(ISNUMBER(MATCH((COUNTA('Open 30M - Scoring'!$B$6:$B$1000)-MOD(COUNTA('Open 30M - Scoring'!$B$6:$B$1000),3))+1-6,'Open 30M - Scoring'!$BB:$BB,0)),IFERROR(INDEX('Open 30M - Scoring'!$B:$B,MATCH((COUNTA('Open 30M - Scoring'!$B$6:$B$1000)-MOD(COUNTA('Open 30M - Scoring'!$B$6:$B$1000),3))+1-6,'Open 30M - Scoring'!$BB:$BB,0)),""),'Open 30M - Scoring'!B9),""),""))))</f>
        <v/>
      </c>
      <c r="F11" s="49" t="str">
        <f>IF($D$3&lt;&gt;"Team (3 archers)","",IF($D$4="By Club",IFERROR("",""),IF(6&lt;=INT(COUNTA('Open 30M - Scoring'!$B$6:$B$1000)/3),IFERROR(IF(ISNUMBER(MATCH(INT((COUNTA('Open 30M - Scoring'!$B$6:$B$1000)-MOD(COUNTA('Open 30M - Scoring'!$B$6:$B$1000),3))/3)+6,'Open 30M - Scoring'!$BB:$BB,0)),IFERROR(INDEX('Open 30M - Scoring'!$B:$B,MATCH(INT((COUNTA('Open 30M - Scoring'!$B$6:$B$1000)-MOD(COUNTA('Open 30M - Scoring'!$B$6:$B$1000),3))/3)+6,'Open 30M - Scoring'!$BB:$BB,0)),""),'Open 30M - Scoring'!B14),""),"")))</f>
        <v/>
      </c>
      <c r="G11" s="50">
        <f>IFERROR(IF(D11&lt;&gt;"",VLOOKUP(D11,'Open 30M - Scoring'!$B:$AV,47,0),0),0)</f>
        <v>0</v>
      </c>
      <c r="H11" s="50">
        <f>IFERROR(IF(AND(OR($D$3="Double",$D$3="Team (3 archers)"),E11&lt;&gt;""),VLOOKUP(E11,'Open 30M - Scoring'!$B:$AV,47,0),0),0)</f>
        <v>0</v>
      </c>
      <c r="I11" s="50">
        <f>IFERROR(IF(AND($D$3="Team (3 archers)",F11&lt;&gt;""),VLOOKUP(F11,'Open 30M - Scoring'!$B:$AV,47,0),0),0)</f>
        <v>0</v>
      </c>
      <c r="J11" s="51">
        <f t="shared" si="1"/>
        <v>0</v>
      </c>
      <c r="K11" s="52">
        <f>IF(D11&lt;&gt;"",IFERROR(IF(D11&lt;&gt;"",VLOOKUP(D11,'Open 30M - Scoring'!$B:$BA,52,0),0),0)+IFERROR(IF(AND(OR($D$3="Double",$D$3="Team (3 archers)"),E11&lt;&gt;""),VLOOKUP(E11,'Open 30M - Scoring'!$B:$BA,52,0),0),0)+IFERROR(IF(AND($D$3="Team (3 archers)",F11&lt;&gt;""),VLOOKUP(F11,'Open 30M - Scoring'!$B:$BA,52,0),0),0),"")</f>
        <v>0</v>
      </c>
      <c r="L11" s="40" t="s">
        <v>155</v>
      </c>
      <c r="M11" s="54" t="str">
        <f t="shared" si="2"/>
        <v/>
      </c>
      <c r="N11" s="55"/>
    </row>
    <row r="12" spans="1:14" ht="21.75" customHeight="1" x14ac:dyDescent="0.35">
      <c r="A12" s="46">
        <f>IF($D$3="Individual",IFERROR(VLOOKUP(D12,'Open 30M - Scoring'!$B:$BB,53,0),99),IF(J12&lt;&gt;"",SUMPRODUCT((J$6:J$1000&gt;J12)*ISNUMBER(J$6:J$1000))+1+SUMPRODUCT((J$6:J$1000=J12)*(K$6:K$1000&gt;K12)*ISNUMBER(J$6:J$1000)*ISNUMBER(K$6:K$1000))+SUMPRODUCT((J$6:J$1000=J12)*(K$6:K$1000=K12)*(ROW(J$6:J$1000)&lt;12)*ISNUMBER(J$6:J$1000)),""))</f>
        <v>1</v>
      </c>
      <c r="B12" s="20" t="str">
        <f t="shared" si="0"/>
        <v>Aizen Zainna Quiellan M. Riego</v>
      </c>
      <c r="C12" s="47" t="str">
        <f>IFERROR(IF(D12&lt;&gt;"",VLOOKUP(D12,'Open 30M - Scoring'!$B:$D,3,0),""),"")</f>
        <v>PAC Maybunga</v>
      </c>
      <c r="D12" s="48" t="str">
        <f>IF($D$4="By Club",IFERROR(IFERROR(INDEX('Open 30M - Scoring'!$B:$B,MATCH(_xludf.aggregate(15,6,IF('Open 30M - Scoring'!$D$2:$D$1000="Pasig AC",'Open 30M - Scoring'!$BB$2:$BB$1000),1),'Open 30M - Scoring'!$BB:$BB,0)),'Open 30M - Scoring'!B10),""),IF($D$3="Individual",IF(7&lt;=COUNTA('Open 30M - Scoring'!$B$6:$B$1000),IFERROR(IF(ISNUMBER(MATCH(7,'Open 30M - Scoring'!$BB:$BB,0)),IFERROR(INDEX('Open 30M - Scoring'!$B:$B,MATCH(7,'Open 30M - Scoring'!$BB:$BB,0)),""),'Open 30M - Scoring'!B12),""),""),IF($D$3="Double",IF(7&lt;=INT(COUNTA('Open 30M - Scoring'!$B$6:$B$1000)/2),IFERROR(IF(ISNUMBER(MATCH(7,'Open 30M - Scoring'!$BB:$BB,0)),IFERROR(INDEX('Open 30M - Scoring'!$B:$B,MATCH(7,'Open 30M - Scoring'!$BB:$BB,0)),""),'Open 30M - Scoring'!B12),""),""),IF(7&lt;=INT(COUNTA('Open 30M - Scoring'!$B$6:$B$1000)/3),IFERROR(IF(ISNUMBER(MATCH(7,'Open 30M - Scoring'!$BB:$BB,0)),IFERROR(INDEX('Open 30M - Scoring'!$B:$B,MATCH(7,'Open 30M - Scoring'!$BB:$BB,0)),""),'Open 30M - Scoring'!B12),""),""))))</f>
        <v>Aizen Zainna Quiellan M. Riego</v>
      </c>
      <c r="E12" s="49" t="str">
        <f>IF($D$3="Individual","",IF($D$4="By Club",IFERROR("",""),IF($D$3="Double",IF(7&lt;=INT(COUNTA('Open 30M - Scoring'!$B$6:$B$1000)/2),IFERROR(IF(ISNUMBER(MATCH((COUNTA('Open 30M - Scoring'!$B$6:$B$1000)-MOD(COUNTA('Open 30M - Scoring'!$B$6:$B$1000),2))+1-7,'Open 30M - Scoring'!$BB:$BB,0)),IFERROR(INDEX('Open 30M - Scoring'!$B:$B,MATCH((COUNTA('Open 30M - Scoring'!$B$6:$B$1000)-MOD(COUNTA('Open 30M - Scoring'!$B$6:$B$1000),2))+1-7,'Open 30M - Scoring'!$BB:$BB,0)),""),'Open 30M - Scoring'!B9),""),""),IF(7&lt;=INT(COUNTA('Open 30M - Scoring'!$B$6:$B$1000)/3),IFERROR(IF(ISNUMBER(MATCH((COUNTA('Open 30M - Scoring'!$B$6:$B$1000)-MOD(COUNTA('Open 30M - Scoring'!$B$6:$B$1000),3))+1-7,'Open 30M - Scoring'!$BB:$BB,0)),IFERROR(INDEX('Open 30M - Scoring'!$B:$B,MATCH((COUNTA('Open 30M - Scoring'!$B$6:$B$1000)-MOD(COUNTA('Open 30M - Scoring'!$B$6:$B$1000),3))+1-7,'Open 30M - Scoring'!$BB:$BB,0)),""),'Open 30M - Scoring'!B8),""),""))))</f>
        <v/>
      </c>
      <c r="F12" s="49" t="str">
        <f>IF($D$3&lt;&gt;"Team (3 archers)","",IF($D$4="By Club",IFERROR("",""),IF(7&lt;=INT(COUNTA('Open 30M - Scoring'!$B$6:$B$1000)/3),IFERROR(IF(ISNUMBER(MATCH(INT((COUNTA('Open 30M - Scoring'!$B$6:$B$1000)-MOD(COUNTA('Open 30M - Scoring'!$B$6:$B$1000),3))/3)+7,'Open 30M - Scoring'!$BB:$BB,0)),IFERROR(INDEX('Open 30M - Scoring'!$B:$B,MATCH(INT((COUNTA('Open 30M - Scoring'!$B$6:$B$1000)-MOD(COUNTA('Open 30M - Scoring'!$B$6:$B$1000),3))/3)+7,'Open 30M - Scoring'!$BB:$BB,0)),""),'Open 30M - Scoring'!B15),""),"")))</f>
        <v/>
      </c>
      <c r="G12" s="50">
        <f>IFERROR(IF(D12&lt;&gt;"",VLOOKUP(D12,'Open 30M - Scoring'!$B:$AV,47,0),0),0)</f>
        <v>0</v>
      </c>
      <c r="H12" s="50">
        <f>IFERROR(IF(AND(OR($D$3="Double",$D$3="Team (3 archers)"),E12&lt;&gt;""),VLOOKUP(E12,'Open 30M - Scoring'!$B:$AV,47,0),0),0)</f>
        <v>0</v>
      </c>
      <c r="I12" s="50">
        <f>IFERROR(IF(AND($D$3="Team (3 archers)",F12&lt;&gt;""),VLOOKUP(F12,'Open 30M - Scoring'!$B:$AV,47,0),0),0)</f>
        <v>0</v>
      </c>
      <c r="J12" s="51">
        <f t="shared" si="1"/>
        <v>0</v>
      </c>
      <c r="K12" s="52">
        <f>IF(D12&lt;&gt;"",IFERROR(IF(D12&lt;&gt;"",VLOOKUP(D12,'Open 30M - Scoring'!$B:$BA,52,0),0),0)+IFERROR(IF(AND(OR($D$3="Double",$D$3="Team (3 archers)"),E12&lt;&gt;""),VLOOKUP(E12,'Open 30M - Scoring'!$B:$BA,52,0),0),0)+IFERROR(IF(AND($D$3="Team (3 archers)",F12&lt;&gt;""),VLOOKUP(F12,'Open 30M - Scoring'!$B:$BA,52,0),0),0),"")</f>
        <v>0</v>
      </c>
      <c r="L12" s="53" t="s">
        <v>155</v>
      </c>
      <c r="M12" s="54" t="str">
        <f t="shared" si="2"/>
        <v/>
      </c>
      <c r="N12" s="55"/>
    </row>
    <row r="13" spans="1:14" ht="21.75" customHeight="1" x14ac:dyDescent="0.35">
      <c r="A13" s="46">
        <f>IF($D$3="Individual",IFERROR(VLOOKUP(D13,'Open 30M - Scoring'!$B:$BB,53,0),99),IF(J13&lt;&gt;"",SUMPRODUCT((J$6:J$1000&gt;J13)*ISNUMBER(J$6:J$1000))+1+SUMPRODUCT((J$6:J$1000=J13)*(K$6:K$1000&gt;K13)*ISNUMBER(J$6:J$1000)*ISNUMBER(K$6:K$1000))+SUMPRODUCT((J$6:J$1000=J13)*(K$6:K$1000=K13)*(ROW(J$6:J$1000)&lt;13)*ISNUMBER(J$6:J$1000)),""))</f>
        <v>1</v>
      </c>
      <c r="B13" s="20" t="str">
        <f t="shared" si="0"/>
        <v>Leira Maxene Lagrimas</v>
      </c>
      <c r="C13" s="47" t="str">
        <f>IFERROR(IF(D13&lt;&gt;"",VLOOKUP(D13,'Open 30M - Scoring'!$B:$D,3,0),""),"")</f>
        <v>Brgy. Sta Lucia</v>
      </c>
      <c r="D13" s="48" t="str">
        <f>IF($D$4="By Club",IFERROR("",""),IF($D$3="Individual",IF(8&lt;=COUNTA('Open 30M - Scoring'!$B$6:$B$1000),IFERROR(IF(ISNUMBER(MATCH(8,'Open 30M - Scoring'!$BB:$BB,0)),IFERROR(INDEX('Open 30M - Scoring'!$B:$B,MATCH(8,'Open 30M - Scoring'!$BB:$BB,0)),""),'Open 30M - Scoring'!B13),""),""),IF($D$3="Double",IF(8&lt;=INT(COUNTA('Open 30M - Scoring'!$B$6:$B$1000)/2),IFERROR(IF(ISNUMBER(MATCH(8,'Open 30M - Scoring'!$BB:$BB,0)),IFERROR(INDEX('Open 30M - Scoring'!$B:$B,MATCH(8,'Open 30M - Scoring'!$BB:$BB,0)),""),'Open 30M - Scoring'!B13),""),""),IF(8&lt;=INT(COUNTA('Open 30M - Scoring'!$B$6:$B$1000)/3),IFERROR(IF(ISNUMBER(MATCH(8,'Open 30M - Scoring'!$BB:$BB,0)),IFERROR(INDEX('Open 30M - Scoring'!$B:$B,MATCH(8,'Open 30M - Scoring'!$BB:$BB,0)),""),'Open 30M - Scoring'!B13),""),""))))</f>
        <v>Leira Maxene Lagrimas</v>
      </c>
      <c r="E13" s="49" t="str">
        <f>IF($D$3="Individual","",IF($D$4="By Club",IFERROR("",""),IF($D$3="Double",IF(8&lt;=INT(COUNTA('Open 30M - Scoring'!$B$6:$B$1000)/2),IFERROR(IF(ISNUMBER(MATCH((COUNTA('Open 30M - Scoring'!$B$6:$B$1000)-MOD(COUNTA('Open 30M - Scoring'!$B$6:$B$1000),2))+1-8,'Open 30M - Scoring'!$BB:$BB,0)),IFERROR(INDEX('Open 30M - Scoring'!$B:$B,MATCH((COUNTA('Open 30M - Scoring'!$B$6:$B$1000)-MOD(COUNTA('Open 30M - Scoring'!$B$6:$B$1000),2))+1-8,'Open 30M - Scoring'!$BB:$BB,0)),""),'Open 30M - Scoring'!B8),""),""),IF(8&lt;=INT(COUNTA('Open 30M - Scoring'!$B$6:$B$1000)/3),IFERROR(IF(ISNUMBER(MATCH((COUNTA('Open 30M - Scoring'!$B$6:$B$1000)-MOD(COUNTA('Open 30M - Scoring'!$B$6:$B$1000),3))+1-8,'Open 30M - Scoring'!$BB:$BB,0)),IFERROR(INDEX('Open 30M - Scoring'!$B:$B,MATCH((COUNTA('Open 30M - Scoring'!$B$6:$B$1000)-MOD(COUNTA('Open 30M - Scoring'!$B$6:$B$1000),3))+1-8,'Open 30M - Scoring'!$BB:$BB,0)),""),'Open 30M - Scoring'!B7),""),""))))</f>
        <v/>
      </c>
      <c r="F13" s="49" t="str">
        <f>IF($D$3&lt;&gt;"Team (3 archers)","",IF($D$4="By Club",IFERROR("",""),IF(8&lt;=INT(COUNTA('Open 30M - Scoring'!$B$6:$B$1000)/3),IFERROR(IF(ISNUMBER(MATCH(INT((COUNTA('Open 30M - Scoring'!$B$6:$B$1000)-MOD(COUNTA('Open 30M - Scoring'!$B$6:$B$1000),3))/3)+8,'Open 30M - Scoring'!$BB:$BB,0)),IFERROR(INDEX('Open 30M - Scoring'!$B:$B,MATCH(INT((COUNTA('Open 30M - Scoring'!$B$6:$B$1000)-MOD(COUNTA('Open 30M - Scoring'!$B$6:$B$1000),3))/3)+8,'Open 30M - Scoring'!$BB:$BB,0)),""),'Open 30M - Scoring'!B16),""),"")))</f>
        <v/>
      </c>
      <c r="G13" s="50">
        <f>IFERROR(IF(D13&lt;&gt;"",VLOOKUP(D13,'Open 30M - Scoring'!$B:$AV,47,0),0),0)</f>
        <v>0</v>
      </c>
      <c r="H13" s="50">
        <f>IFERROR(IF(AND(OR($D$3="Double",$D$3="Team (3 archers)"),E13&lt;&gt;""),VLOOKUP(E13,'Open 30M - Scoring'!$B:$AV,47,0),0),0)</f>
        <v>0</v>
      </c>
      <c r="I13" s="50">
        <f>IFERROR(IF(AND($D$3="Team (3 archers)",F13&lt;&gt;""),VLOOKUP(F13,'Open 30M - Scoring'!$B:$AV,47,0),0),0)</f>
        <v>0</v>
      </c>
      <c r="J13" s="51">
        <f t="shared" si="1"/>
        <v>0</v>
      </c>
      <c r="K13" s="52">
        <f>IF(D13&lt;&gt;"",IFERROR(IF(D13&lt;&gt;"",VLOOKUP(D13,'Open 30M - Scoring'!$B:$BA,52,0),0),0)+IFERROR(IF(AND(OR($D$3="Double",$D$3="Team (3 archers)"),E13&lt;&gt;""),VLOOKUP(E13,'Open 30M - Scoring'!$B:$BA,52,0),0),0)+IFERROR(IF(AND($D$3="Team (3 archers)",F13&lt;&gt;""),VLOOKUP(F13,'Open 30M - Scoring'!$B:$BA,52,0),0),0),"")</f>
        <v>0</v>
      </c>
      <c r="L13" s="40" t="s">
        <v>155</v>
      </c>
      <c r="M13" s="54" t="str">
        <f t="shared" si="2"/>
        <v/>
      </c>
      <c r="N13" s="55"/>
    </row>
    <row r="14" spans="1:14" ht="21.75" customHeight="1" x14ac:dyDescent="0.35">
      <c r="A14" s="46">
        <f>IF($D$3="Individual",IFERROR(VLOOKUP(D14,'Open 30M - Scoring'!$B:$BB,53,0),99),IF(J14&lt;&gt;"",SUMPRODUCT((J$6:J$1000&gt;J14)*ISNUMBER(J$6:J$1000))+1+SUMPRODUCT((J$6:J$1000=J14)*(K$6:K$1000&gt;K14)*ISNUMBER(J$6:J$1000)*ISNUMBER(K$6:K$1000))+SUMPRODUCT((J$6:J$1000=J14)*(K$6:K$1000=K14)*(ROW(J$6:J$1000)&lt;14)*ISNUMBER(J$6:J$1000)),""))</f>
        <v>1</v>
      </c>
      <c r="B14" s="20" t="str">
        <f t="shared" si="0"/>
        <v>Jasmine Eizelle P. Dipad</v>
      </c>
      <c r="C14" s="47" t="str">
        <f>IFERROR(IF(D14&lt;&gt;"",VLOOKUP(D14,'Open 30M - Scoring'!$B:$D,3,0),""),"")</f>
        <v>N/A</v>
      </c>
      <c r="D14" s="48" t="str">
        <f>IF($D$4="By Club",IFERROR("",""),IF($D$3="Individual",IF(9&lt;=COUNTA('Open 30M - Scoring'!$B$6:$B$1000),IFERROR(IF(ISNUMBER(MATCH(9,'Open 30M - Scoring'!$BB:$BB,0)),IFERROR(INDEX('Open 30M - Scoring'!$B:$B,MATCH(9,'Open 30M - Scoring'!$BB:$BB,0)),""),'Open 30M - Scoring'!B14),""),""),IF($D$3="Double",IF(9&lt;=INT(COUNTA('Open 30M - Scoring'!$B$6:$B$1000)/2),IFERROR(IF(ISNUMBER(MATCH(9,'Open 30M - Scoring'!$BB:$BB,0)),IFERROR(INDEX('Open 30M - Scoring'!$B:$B,MATCH(9,'Open 30M - Scoring'!$BB:$BB,0)),""),'Open 30M - Scoring'!B14),""),""),IF(9&lt;=INT(COUNTA('Open 30M - Scoring'!$B$6:$B$1000)/3),IFERROR(IF(ISNUMBER(MATCH(9,'Open 30M - Scoring'!$BB:$BB,0)),IFERROR(INDEX('Open 30M - Scoring'!$B:$B,MATCH(9,'Open 30M - Scoring'!$BB:$BB,0)),""),'Open 30M - Scoring'!B14),""),""))))</f>
        <v>Jasmine Eizelle P. Dipad</v>
      </c>
      <c r="E14" s="49" t="str">
        <f>IF($D$3="Individual","",IF($D$4="By Club",IFERROR("",""),IF($D$3="Double",IF(9&lt;=INT(COUNTA('Open 30M - Scoring'!$B$6:$B$1000)/2),IFERROR(IF(ISNUMBER(MATCH((COUNTA('Open 30M - Scoring'!$B$6:$B$1000)-MOD(COUNTA('Open 30M - Scoring'!$B$6:$B$1000),2))+1-9,'Open 30M - Scoring'!$BB:$BB,0)),IFERROR(INDEX('Open 30M - Scoring'!$B:$B,MATCH((COUNTA('Open 30M - Scoring'!$B$6:$B$1000)-MOD(COUNTA('Open 30M - Scoring'!$B$6:$B$1000),2))+1-9,'Open 30M - Scoring'!$BB:$BB,0)),""),'Open 30M - Scoring'!B7),""),""),IF(9&lt;=INT(COUNTA('Open 30M - Scoring'!$B$6:$B$1000)/3),IFERROR(IF(ISNUMBER(MATCH((COUNTA('Open 30M - Scoring'!$B$6:$B$1000)-MOD(COUNTA('Open 30M - Scoring'!$B$6:$B$1000),3))+1-9,'Open 30M - Scoring'!$BB:$BB,0)),IFERROR(INDEX('Open 30M - Scoring'!$B:$B,MATCH((COUNTA('Open 30M - Scoring'!$B$6:$B$1000)-MOD(COUNTA('Open 30M - Scoring'!$B$6:$B$1000),3))+1-9,'Open 30M - Scoring'!$BB:$BB,0)),""),'Open 30M - Scoring'!B6),""),""))))</f>
        <v/>
      </c>
      <c r="F14" s="49" t="str">
        <f>IF($D$3&lt;&gt;"Team (3 archers)","",IF($D$4="By Club",IFERROR("",""),IF(9&lt;=INT(COUNTA('Open 30M - Scoring'!$B$6:$B$1000)/3),IFERROR(IF(ISNUMBER(MATCH(INT((COUNTA('Open 30M - Scoring'!$B$6:$B$1000)-MOD(COUNTA('Open 30M - Scoring'!$B$6:$B$1000),3))/3)+9,'Open 30M - Scoring'!$BB:$BB,0)),IFERROR(INDEX('Open 30M - Scoring'!$B:$B,MATCH(INT((COUNTA('Open 30M - Scoring'!$B$6:$B$1000)-MOD(COUNTA('Open 30M - Scoring'!$B$6:$B$1000),3))/3)+9,'Open 30M - Scoring'!$BB:$BB,0)),""),""),""),"")))</f>
        <v/>
      </c>
      <c r="G14" s="50">
        <f>IFERROR(IF(D14&lt;&gt;"",VLOOKUP(D14,'Open 30M - Scoring'!$B:$AV,47,0),0),0)</f>
        <v>0</v>
      </c>
      <c r="H14" s="50">
        <f>IFERROR(IF(AND(OR($D$3="Double",$D$3="Team (3 archers)"),E14&lt;&gt;""),VLOOKUP(E14,'Open 30M - Scoring'!$B:$AV,47,0),0),0)</f>
        <v>0</v>
      </c>
      <c r="I14" s="50">
        <f>IFERROR(IF(AND($D$3="Team (3 archers)",F14&lt;&gt;""),VLOOKUP(F14,'Open 30M - Scoring'!$B:$AV,47,0),0),0)</f>
        <v>0</v>
      </c>
      <c r="J14" s="51">
        <f t="shared" si="1"/>
        <v>0</v>
      </c>
      <c r="K14" s="52">
        <f>IF(D14&lt;&gt;"",IFERROR(IF(D14&lt;&gt;"",VLOOKUP(D14,'Open 30M - Scoring'!$B:$BA,52,0),0),0)+IFERROR(IF(AND(OR($D$3="Double",$D$3="Team (3 archers)"),E14&lt;&gt;""),VLOOKUP(E14,'Open 30M - Scoring'!$B:$BA,52,0),0),0)+IFERROR(IF(AND($D$3="Team (3 archers)",F14&lt;&gt;""),VLOOKUP(F14,'Open 30M - Scoring'!$B:$BA,52,0),0),0),"")</f>
        <v>0</v>
      </c>
      <c r="L14" s="53" t="s">
        <v>155</v>
      </c>
      <c r="M14" s="54" t="str">
        <f t="shared" si="2"/>
        <v/>
      </c>
      <c r="N14" s="55"/>
    </row>
    <row r="15" spans="1:14" ht="21.75" customHeight="1" x14ac:dyDescent="0.35">
      <c r="A15" s="46">
        <f>IF($D$3="Individual",IFERROR(VLOOKUP(D15,'Open 30M - Scoring'!$B:$BB,53,0),99),IF(J15&lt;&gt;"",SUMPRODUCT((J$6:J$1000&gt;J15)*ISNUMBER(J$6:J$1000))+1+SUMPRODUCT((J$6:J$1000=J15)*(K$6:K$1000&gt;K15)*ISNUMBER(J$6:J$1000)*ISNUMBER(K$6:K$1000))+SUMPRODUCT((J$6:J$1000=J15)*(K$6:K$1000=K15)*(ROW(J$6:J$1000)&lt;15)*ISNUMBER(J$6:J$1000)),""))</f>
        <v>1</v>
      </c>
      <c r="B15" s="20" t="str">
        <f t="shared" si="0"/>
        <v>Allan Chew</v>
      </c>
      <c r="C15" s="47" t="str">
        <f>IFERROR(IF(D15&lt;&gt;"",VLOOKUP(D15,'Open 30M - Scoring'!$B:$D,3,0),""),"")</f>
        <v>Attack Arena</v>
      </c>
      <c r="D15" s="48" t="str">
        <f>IF($D$4="By Club",IFERROR("",""),IF($D$3="Individual",IF(10&lt;=COUNTA('Open 30M - Scoring'!$B$6:$B$1000),IFERROR(IF(ISNUMBER(MATCH(10,'Open 30M - Scoring'!$BB:$BB,0)),IFERROR(INDEX('Open 30M - Scoring'!$B:$B,MATCH(10,'Open 30M - Scoring'!$BB:$BB,0)),""),'Open 30M - Scoring'!B15),""),""),IF($D$3="Double",IF(10&lt;=INT(COUNTA('Open 30M - Scoring'!$B$6:$B$1000)/2),IFERROR(IF(ISNUMBER(MATCH(10,'Open 30M - Scoring'!$BB:$BB,0)),IFERROR(INDEX('Open 30M - Scoring'!$B:$B,MATCH(10,'Open 30M - Scoring'!$BB:$BB,0)),""),'Open 30M - Scoring'!B15),""),""),IF(10&lt;=INT(COUNTA('Open 30M - Scoring'!$B$6:$B$1000)/3),IFERROR(IF(ISNUMBER(MATCH(10,'Open 30M - Scoring'!$BB:$BB,0)),IFERROR(INDEX('Open 30M - Scoring'!$B:$B,MATCH(10,'Open 30M - Scoring'!$BB:$BB,0)),""),'Open 30M - Scoring'!B15),""),""))))</f>
        <v>Allan Chew</v>
      </c>
      <c r="E15" s="49" t="str">
        <f>IF($D$3="Individual","",IF($D$4="By Club",IFERROR("",""),IF($D$3="Double",IF(10&lt;=INT(COUNTA('Open 30M - Scoring'!$B$6:$B$1000)/2),IFERROR(IF(ISNUMBER(MATCH((COUNTA('Open 30M - Scoring'!$B$6:$B$1000)-MOD(COUNTA('Open 30M - Scoring'!$B$6:$B$1000),2))+1-10,'Open 30M - Scoring'!$BB:$BB,0)),IFERROR(INDEX('Open 30M - Scoring'!$B:$B,MATCH((COUNTA('Open 30M - Scoring'!$B$6:$B$1000)-MOD(COUNTA('Open 30M - Scoring'!$B$6:$B$1000),2))+1-10,'Open 30M - Scoring'!$BB:$BB,0)),""),'Open 30M - Scoring'!B6),""),""),IF(10&lt;=INT(COUNTA('Open 30M - Scoring'!$B$6:$B$1000)/3),IFERROR(IF(ISNUMBER(MATCH((COUNTA('Open 30M - Scoring'!$B$6:$B$1000)-MOD(COUNTA('Open 30M - Scoring'!$B$6:$B$1000),3))+1-10,'Open 30M - Scoring'!$BB:$BB,0)),IFERROR(INDEX('Open 30M - Scoring'!$B:$B,MATCH((COUNTA('Open 30M - Scoring'!$B$6:$B$1000)-MOD(COUNTA('Open 30M - Scoring'!$B$6:$B$1000),3))+1-10,'Open 30M - Scoring'!$BB:$BB,0)),""),""),""),""))))</f>
        <v/>
      </c>
      <c r="F15" s="49" t="str">
        <f>IF($D$3&lt;&gt;"Team (3 archers)","",IF($D$4="By Club",IFERROR("",""),IF(10&lt;=INT(COUNTA('Open 30M - Scoring'!$B$6:$B$1000)/3),IFERROR(IF(ISNUMBER(MATCH(INT((COUNTA('Open 30M - Scoring'!$B$6:$B$1000)-MOD(COUNTA('Open 30M - Scoring'!$B$6:$B$1000),3))/3)+10,'Open 30M - Scoring'!$BB:$BB,0)),IFERROR(INDEX('Open 30M - Scoring'!$B:$B,MATCH(INT((COUNTA('Open 30M - Scoring'!$B$6:$B$1000)-MOD(COUNTA('Open 30M - Scoring'!$B$6:$B$1000),3))/3)+10,'Open 30M - Scoring'!$BB:$BB,0)),""),""),""),"")))</f>
        <v/>
      </c>
      <c r="G15" s="50">
        <f>IFERROR(IF(D15&lt;&gt;"",VLOOKUP(D15,'Open 30M - Scoring'!$B:$AV,47,0),0),0)</f>
        <v>0</v>
      </c>
      <c r="H15" s="50">
        <f>IFERROR(IF(AND(OR($D$3="Double",$D$3="Team (3 archers)"),E15&lt;&gt;""),VLOOKUP(E15,'Open 30M - Scoring'!$B:$AV,47,0),0),0)</f>
        <v>0</v>
      </c>
      <c r="I15" s="50">
        <f>IFERROR(IF(AND($D$3="Team (3 archers)",F15&lt;&gt;""),VLOOKUP(F15,'Open 30M - Scoring'!$B:$AV,47,0),0),0)</f>
        <v>0</v>
      </c>
      <c r="J15" s="51">
        <f t="shared" si="1"/>
        <v>0</v>
      </c>
      <c r="K15" s="52">
        <f>IF(D15&lt;&gt;"",IFERROR(IF(D15&lt;&gt;"",VLOOKUP(D15,'Open 30M - Scoring'!$B:$BA,52,0),0),0)+IFERROR(IF(AND(OR($D$3="Double",$D$3="Team (3 archers)"),E15&lt;&gt;""),VLOOKUP(E15,'Open 30M - Scoring'!$B:$BA,52,0),0),0)+IFERROR(IF(AND($D$3="Team (3 archers)",F15&lt;&gt;""),VLOOKUP(F15,'Open 30M - Scoring'!$B:$BA,52,0),0),0),"")</f>
        <v>0</v>
      </c>
      <c r="L15" s="40" t="s">
        <v>155</v>
      </c>
      <c r="M15" s="54" t="str">
        <f t="shared" si="2"/>
        <v/>
      </c>
      <c r="N15" s="55"/>
    </row>
    <row r="16" spans="1:14" ht="21.75" customHeight="1" x14ac:dyDescent="0.35">
      <c r="A16" s="46">
        <f>IF($D$3="Individual",IFERROR(VLOOKUP(D16,'Open 30M - Scoring'!$B:$BB,53,0),99),IF(J16&lt;&gt;"",SUMPRODUCT((J$6:J$1000&gt;J16)*ISNUMBER(J$6:J$1000))+1+SUMPRODUCT((J$6:J$1000=J16)*(K$6:K$1000&gt;K16)*ISNUMBER(J$6:J$1000)*ISNUMBER(K$6:K$1000))+SUMPRODUCT((J$6:J$1000=J16)*(K$6:K$1000=K16)*(ROW(J$6:J$1000)&lt;16)*ISNUMBER(J$6:J$1000)),""))</f>
        <v>1</v>
      </c>
      <c r="B16" s="20" t="str">
        <f t="shared" si="0"/>
        <v>Myckhielle Joji Tan</v>
      </c>
      <c r="C16" s="47" t="str">
        <f>IFERROR(IF(D16&lt;&gt;"",VLOOKUP(D16,'Open 30M - Scoring'!$B:$D,3,0),""),"")</f>
        <v>Attack Arena</v>
      </c>
      <c r="D16" s="48" t="str">
        <f>IF($D$4="By Club",IFERROR("",""),IF($D$3="Individual",IF(11&lt;=COUNTA('Open 30M - Scoring'!$B$6:$B$1000),IFERROR(IF(ISNUMBER(MATCH(11,'Open 30M - Scoring'!$BB:$BB,0)),IFERROR(INDEX('Open 30M - Scoring'!$B:$B,MATCH(11,'Open 30M - Scoring'!$BB:$BB,0)),""),'Open 30M - Scoring'!B16),""),""),IF($D$3="Double",IF(11&lt;=INT(COUNTA('Open 30M - Scoring'!$B$6:$B$1000)/2),IFERROR(IF(ISNUMBER(MATCH(11,'Open 30M - Scoring'!$BB:$BB,0)),IFERROR(INDEX('Open 30M - Scoring'!$B:$B,MATCH(11,'Open 30M - Scoring'!$BB:$BB,0)),""),'Open 30M - Scoring'!B16),""),""),IF(11&lt;=INT(COUNTA('Open 30M - Scoring'!$B$6:$B$1000)/3),IFERROR(IF(ISNUMBER(MATCH(11,'Open 30M - Scoring'!$BB:$BB,0)),IFERROR(INDEX('Open 30M - Scoring'!$B:$B,MATCH(11,'Open 30M - Scoring'!$BB:$BB,0)),""),'Open 30M - Scoring'!B16),""),""))))</f>
        <v>Myckhielle Joji Tan</v>
      </c>
      <c r="E16" s="49" t="str">
        <f>IF($D$3="Individual","",IF($D$4="By Club",IFERROR("",""),IF($D$3="Double",IF(11&lt;=INT(COUNTA('Open 30M - Scoring'!$B$6:$B$1000)/2),IFERROR(IF(ISNUMBER(MATCH((COUNTA('Open 30M - Scoring'!$B$6:$B$1000)-MOD(COUNTA('Open 30M - Scoring'!$B$6:$B$1000),2))+1-11,'Open 30M - Scoring'!$BB:$BB,0)),IFERROR(INDEX('Open 30M - Scoring'!$B:$B,MATCH((COUNTA('Open 30M - Scoring'!$B$6:$B$1000)-MOD(COUNTA('Open 30M - Scoring'!$B$6:$B$1000),2))+1-11,'Open 30M - Scoring'!$BB:$BB,0)),""),""),""),""),IF(11&lt;=INT(COUNTA('Open 30M - Scoring'!$B$6:$B$1000)/3),IFERROR(IF(ISNUMBER(MATCH((COUNTA('Open 30M - Scoring'!$B$6:$B$1000)-MOD(COUNTA('Open 30M - Scoring'!$B$6:$B$1000),3))+1-11,'Open 30M - Scoring'!$BB:$BB,0)),IFERROR(INDEX('Open 30M - Scoring'!$B:$B,MATCH((COUNTA('Open 30M - Scoring'!$B$6:$B$1000)-MOD(COUNTA('Open 30M - Scoring'!$B$6:$B$1000),3))+1-11,'Open 30M - Scoring'!$BB:$BB,0)),""),""),""),""))))</f>
        <v/>
      </c>
      <c r="F16" s="49" t="str">
        <f>IF($D$3&lt;&gt;"Team (3 archers)","",IF($D$4="By Club",IFERROR("",""),IF(11&lt;=INT(COUNTA('Open 30M - Scoring'!$B$6:$B$1000)/3),IFERROR(IF(ISNUMBER(MATCH(INT((COUNTA('Open 30M - Scoring'!$B$6:$B$1000)-MOD(COUNTA('Open 30M - Scoring'!$B$6:$B$1000),3))/3)+11,'Open 30M - Scoring'!$BB:$BB,0)),IFERROR(INDEX('Open 30M - Scoring'!$B:$B,MATCH(INT((COUNTA('Open 30M - Scoring'!$B$6:$B$1000)-MOD(COUNTA('Open 30M - Scoring'!$B$6:$B$1000),3))/3)+11,'Open 30M - Scoring'!$BB:$BB,0)),""),""),""),"")))</f>
        <v/>
      </c>
      <c r="G16" s="50">
        <f>IFERROR(IF(D16&lt;&gt;"",VLOOKUP(D16,'Open 30M - Scoring'!$B:$AV,47,0),0),0)</f>
        <v>0</v>
      </c>
      <c r="H16" s="50">
        <f>IFERROR(IF(AND(OR($D$3="Double",$D$3="Team (3 archers)"),E16&lt;&gt;""),VLOOKUP(E16,'Open 30M - Scoring'!$B:$AV,47,0),0),0)</f>
        <v>0</v>
      </c>
      <c r="I16" s="50">
        <f>IFERROR(IF(AND($D$3="Team (3 archers)",F16&lt;&gt;""),VLOOKUP(F16,'Open 30M - Scoring'!$B:$AV,47,0),0),0)</f>
        <v>0</v>
      </c>
      <c r="J16" s="51">
        <f t="shared" si="1"/>
        <v>0</v>
      </c>
      <c r="K16" s="52">
        <f>IF(D16&lt;&gt;"",IFERROR(IF(D16&lt;&gt;"",VLOOKUP(D16,'Open 30M - Scoring'!$B:$BA,52,0),0),0)+IFERROR(IF(AND(OR($D$3="Double",$D$3="Team (3 archers)"),E16&lt;&gt;""),VLOOKUP(E16,'Open 30M - Scoring'!$B:$BA,52,0),0),0)+IFERROR(IF(AND($D$3="Team (3 archers)",F16&lt;&gt;""),VLOOKUP(F16,'Open 30M - Scoring'!$B:$BA,52,0),0),0),"")</f>
        <v>0</v>
      </c>
      <c r="L16" s="53" t="s">
        <v>155</v>
      </c>
      <c r="M16" s="54" t="str">
        <f t="shared" si="2"/>
        <v/>
      </c>
      <c r="N16" s="55"/>
    </row>
    <row r="17" spans="1:14" ht="21.75" customHeight="1" x14ac:dyDescent="0.35">
      <c r="A17" s="46">
        <f>IF($D$3="Individual",IFERROR(VLOOKUP(D17,'Open 30M - Scoring'!$B:$BB,53,0),99),IF(J17&lt;&gt;"",SUMPRODUCT((J$6:J$1000&gt;J17)*ISNUMBER(J$6:J$1000))+1+SUMPRODUCT((J$6:J$1000=J17)*(K$6:K$1000&gt;K17)*ISNUMBER(J$6:J$1000)*ISNUMBER(K$6:K$1000))+SUMPRODUCT((J$6:J$1000=J17)*(K$6:K$1000=K17)*(ROW(J$6:J$1000)&lt;17)*ISNUMBER(J$6:J$1000)),""))</f>
        <v>99</v>
      </c>
      <c r="B17" s="20" t="str">
        <f t="shared" si="0"/>
        <v/>
      </c>
      <c r="C17" s="47" t="str">
        <f>IFERROR(IF(D17&lt;&gt;"",VLOOKUP(D17,'Open 30M - Scoring'!$B:$D,3,0),""),"")</f>
        <v/>
      </c>
      <c r="D17" s="48" t="str">
        <f>IF($D$4="By Club",IFERROR("",""),IF($D$3="Individual",IF(12&lt;=COUNTA('Open 30M - Scoring'!$B$6:$B$1000),IFERROR(IF(ISNUMBER(MATCH(12,'Open 30M - Scoring'!$BB:$BB,0)),IFERROR(INDEX('Open 30M - Scoring'!$B:$B,MATCH(12,'Open 30M - Scoring'!$BB:$BB,0)),""),""),""),""),IF($D$3="Double",IF(12&lt;=INT(COUNTA('Open 30M - Scoring'!$B$6:$B$1000)/2),IFERROR(IF(ISNUMBER(MATCH(12,'Open 30M - Scoring'!$BB:$BB,0)),IFERROR(INDEX('Open 30M - Scoring'!$B:$B,MATCH(12,'Open 30M - Scoring'!$BB:$BB,0)),""),""),""),""),IF(12&lt;=INT(COUNTA('Open 30M - Scoring'!$B$6:$B$1000)/3),IFERROR(IF(ISNUMBER(MATCH(12,'Open 30M - Scoring'!$BB:$BB,0)),IFERROR(INDEX('Open 30M - Scoring'!$B:$B,MATCH(12,'Open 30M - Scoring'!$BB:$BB,0)),""),""),""),""))))</f>
        <v/>
      </c>
      <c r="E17" s="49" t="str">
        <f>IF($D$3="Individual","",IF($D$4="By Club",IFERROR("",""),IF($D$3="Double",IF(12&lt;=INT(COUNTA('Open 30M - Scoring'!$B$6:$B$1000)/2),IFERROR(IF(ISNUMBER(MATCH((COUNTA('Open 30M - Scoring'!$B$6:$B$1000)-MOD(COUNTA('Open 30M - Scoring'!$B$6:$B$1000),2))+1-12,'Open 30M - Scoring'!$BB:$BB,0)),IFERROR(INDEX('Open 30M - Scoring'!$B:$B,MATCH((COUNTA('Open 30M - Scoring'!$B$6:$B$1000)-MOD(COUNTA('Open 30M - Scoring'!$B$6:$B$1000),2))+1-12,'Open 30M - Scoring'!$BB:$BB,0)),""),""),""),""),IF(12&lt;=INT(COUNTA('Open 30M - Scoring'!$B$6:$B$1000)/3),IFERROR(IF(ISNUMBER(MATCH((COUNTA('Open 30M - Scoring'!$B$6:$B$1000)-MOD(COUNTA('Open 30M - Scoring'!$B$6:$B$1000),3))+1-12,'Open 30M - Scoring'!$BB:$BB,0)),IFERROR(INDEX('Open 30M - Scoring'!$B:$B,MATCH((COUNTA('Open 30M - Scoring'!$B$6:$B$1000)-MOD(COUNTA('Open 30M - Scoring'!$B$6:$B$1000),3))+1-12,'Open 30M - Scoring'!$BB:$BB,0)),""),""),""),""))))</f>
        <v/>
      </c>
      <c r="F17" s="49" t="str">
        <f>IF($D$3&lt;&gt;"Team (3 archers)","",IF($D$4="By Club",IFERROR("",""),IF(12&lt;=INT(COUNTA('Open 30M - Scoring'!$B$6:$B$1000)/3),IFERROR(IF(ISNUMBER(MATCH(INT((COUNTA('Open 30M - Scoring'!$B$6:$B$1000)-MOD(COUNTA('Open 30M - Scoring'!$B$6:$B$1000),3))/3)+12,'Open 30M - Scoring'!$BB:$BB,0)),IFERROR(INDEX('Open 30M - Scoring'!$B:$B,MATCH(INT((COUNTA('Open 30M - Scoring'!$B$6:$B$1000)-MOD(COUNTA('Open 30M - Scoring'!$B$6:$B$1000),3))/3)+12,'Open 30M - Scoring'!$BB:$BB,0)),""),""),""),"")))</f>
        <v/>
      </c>
      <c r="G17" s="50">
        <f>IFERROR(IF(D17&lt;&gt;"",VLOOKUP(D17,'Open 30M - Scoring'!$B:$AV,47,0),0),0)</f>
        <v>0</v>
      </c>
      <c r="H17" s="50">
        <f>IFERROR(IF(AND(OR($D$3="Double",$D$3="Team (3 archers)"),E17&lt;&gt;""),VLOOKUP(E17,'Open 30M - Scoring'!$B:$AV,47,0),0),0)</f>
        <v>0</v>
      </c>
      <c r="I17" s="50">
        <f>IFERROR(IF(AND($D$3="Team (3 archers)",F17&lt;&gt;""),VLOOKUP(F17,'Open 30M - Scoring'!$B:$AV,47,0),0),0)</f>
        <v>0</v>
      </c>
      <c r="J17" s="51" t="str">
        <f t="shared" si="1"/>
        <v/>
      </c>
      <c r="K17" s="52" t="str">
        <f>IF(D17&lt;&gt;"",IFERROR(IF(D17&lt;&gt;"",VLOOKUP(D17,'Open 30M - Scoring'!$B:$BA,52,0),0),0)+IFERROR(IF(AND(OR($D$3="Double",$D$3="Team (3 archers)"),E17&lt;&gt;""),VLOOKUP(E17,'Open 30M - Scoring'!$B:$BA,52,0),0),0)+IFERROR(IF(AND($D$3="Team (3 archers)",F17&lt;&gt;""),VLOOKUP(F17,'Open 30M - Scoring'!$B:$BA,52,0),0),0),"")</f>
        <v/>
      </c>
      <c r="L17" s="40" t="s">
        <v>155</v>
      </c>
      <c r="M17" s="54" t="str">
        <f t="shared" si="2"/>
        <v/>
      </c>
      <c r="N17" s="55"/>
    </row>
    <row r="18" spans="1:14" ht="21.75" customHeight="1" x14ac:dyDescent="0.35">
      <c r="A18" s="46">
        <f>IF($D$3="Individual",IFERROR(VLOOKUP(D18,'Open 30M - Scoring'!$B:$BB,53,0),99),IF(J18&lt;&gt;"",SUMPRODUCT((J$6:J$1000&gt;J18)*ISNUMBER(J$6:J$1000))+1+SUMPRODUCT((J$6:J$1000=J18)*(K$6:K$1000&gt;K18)*ISNUMBER(J$6:J$1000)*ISNUMBER(K$6:K$1000))+SUMPRODUCT((J$6:J$1000=J18)*(K$6:K$1000=K18)*(ROW(J$6:J$1000)&lt;18)*ISNUMBER(J$6:J$1000)),""))</f>
        <v>99</v>
      </c>
      <c r="B18" s="20" t="str">
        <f t="shared" si="0"/>
        <v/>
      </c>
      <c r="C18" s="47" t="str">
        <f>IFERROR(IF(D18&lt;&gt;"",VLOOKUP(D18,'Open 30M - Scoring'!$B:$D,3,0),""),"")</f>
        <v/>
      </c>
      <c r="D18" s="48" t="str">
        <f>IF($D$4="By Club",IFERROR("",""),IF($D$3="Individual",IF(13&lt;=COUNTA('Open 30M - Scoring'!$B$6:$B$1000),IFERROR(IF(ISNUMBER(MATCH(13,'Open 30M - Scoring'!$BB:$BB,0)),IFERROR(INDEX('Open 30M - Scoring'!$B:$B,MATCH(13,'Open 30M - Scoring'!$BB:$BB,0)),""),""),""),""),IF($D$3="Double",IF(13&lt;=INT(COUNTA('Open 30M - Scoring'!$B$6:$B$1000)/2),IFERROR(IF(ISNUMBER(MATCH(13,'Open 30M - Scoring'!$BB:$BB,0)),IFERROR(INDEX('Open 30M - Scoring'!$B:$B,MATCH(13,'Open 30M - Scoring'!$BB:$BB,0)),""),""),""),""),IF(13&lt;=INT(COUNTA('Open 30M - Scoring'!$B$6:$B$1000)/3),IFERROR(IF(ISNUMBER(MATCH(13,'Open 30M - Scoring'!$BB:$BB,0)),IFERROR(INDEX('Open 30M - Scoring'!$B:$B,MATCH(13,'Open 30M - Scoring'!$BB:$BB,0)),""),""),""),""))))</f>
        <v/>
      </c>
      <c r="E18" s="49" t="str">
        <f>IF($D$3="Individual","",IF($D$4="By Club",IFERROR("",""),IF($D$3="Double",IF(13&lt;=INT(COUNTA('Open 30M - Scoring'!$B$6:$B$1000)/2),IFERROR(IF(ISNUMBER(MATCH((COUNTA('Open 30M - Scoring'!$B$6:$B$1000)-MOD(COUNTA('Open 30M - Scoring'!$B$6:$B$1000),2))+1-13,'Open 30M - Scoring'!$BB:$BB,0)),IFERROR(INDEX('Open 30M - Scoring'!$B:$B,MATCH((COUNTA('Open 30M - Scoring'!$B$6:$B$1000)-MOD(COUNTA('Open 30M - Scoring'!$B$6:$B$1000),2))+1-13,'Open 30M - Scoring'!$BB:$BB,0)),""),""),""),""),IF(13&lt;=INT(COUNTA('Open 30M - Scoring'!$B$6:$B$1000)/3),IFERROR(IF(ISNUMBER(MATCH((COUNTA('Open 30M - Scoring'!$B$6:$B$1000)-MOD(COUNTA('Open 30M - Scoring'!$B$6:$B$1000),3))+1-13,'Open 30M - Scoring'!$BB:$BB,0)),IFERROR(INDEX('Open 30M - Scoring'!$B:$B,MATCH((COUNTA('Open 30M - Scoring'!$B$6:$B$1000)-MOD(COUNTA('Open 30M - Scoring'!$B$6:$B$1000),3))+1-13,'Open 30M - Scoring'!$BB:$BB,0)),""),""),""),""))))</f>
        <v/>
      </c>
      <c r="F18" s="49" t="str">
        <f>IF($D$3&lt;&gt;"Team (3 archers)","",IF($D$4="By Club",IFERROR("",""),IF(13&lt;=INT(COUNTA('Open 30M - Scoring'!$B$6:$B$1000)/3),IFERROR(IF(ISNUMBER(MATCH(INT((COUNTA('Open 30M - Scoring'!$B$6:$B$1000)-MOD(COUNTA('Open 30M - Scoring'!$B$6:$B$1000),3))/3)+13,'Open 30M - Scoring'!$BB:$BB,0)),IFERROR(INDEX('Open 30M - Scoring'!$B:$B,MATCH(INT((COUNTA('Open 30M - Scoring'!$B$6:$B$1000)-MOD(COUNTA('Open 30M - Scoring'!$B$6:$B$1000),3))/3)+13,'Open 30M - Scoring'!$BB:$BB,0)),""),""),""),"")))</f>
        <v/>
      </c>
      <c r="G18" s="50">
        <f>IFERROR(IF(D18&lt;&gt;"",VLOOKUP(D18,'Open 30M - Scoring'!$B:$AV,47,0),0),0)</f>
        <v>0</v>
      </c>
      <c r="H18" s="50">
        <f>IFERROR(IF(AND(OR($D$3="Double",$D$3="Team (3 archers)"),E18&lt;&gt;""),VLOOKUP(E18,'Open 30M - Scoring'!$B:$AV,47,0),0),0)</f>
        <v>0</v>
      </c>
      <c r="I18" s="50">
        <f>IFERROR(IF(AND($D$3="Team (3 archers)",F18&lt;&gt;""),VLOOKUP(F18,'Open 30M - Scoring'!$B:$AV,47,0),0),0)</f>
        <v>0</v>
      </c>
      <c r="J18" s="51" t="str">
        <f t="shared" si="1"/>
        <v/>
      </c>
      <c r="K18" s="52" t="str">
        <f>IF(D18&lt;&gt;"",IFERROR(IF(D18&lt;&gt;"",VLOOKUP(D18,'Open 30M - Scoring'!$B:$BA,52,0),0),0)+IFERROR(IF(AND(OR($D$3="Double",$D$3="Team (3 archers)"),E18&lt;&gt;""),VLOOKUP(E18,'Open 30M - Scoring'!$B:$BA,52,0),0),0)+IFERROR(IF(AND($D$3="Team (3 archers)",F18&lt;&gt;""),VLOOKUP(F18,'Open 30M - Scoring'!$B:$BA,52,0),0),0),"")</f>
        <v/>
      </c>
      <c r="L18" s="53" t="s">
        <v>155</v>
      </c>
      <c r="M18" s="54" t="str">
        <f t="shared" si="2"/>
        <v/>
      </c>
      <c r="N18" s="55"/>
    </row>
    <row r="19" spans="1:14" ht="21.75" customHeight="1" x14ac:dyDescent="0.35">
      <c r="A19" s="46">
        <f>IF($D$3="Individual",IFERROR(VLOOKUP(D19,'Open 30M - Scoring'!$B:$BB,53,0),99),IF(J19&lt;&gt;"",SUMPRODUCT((J$6:J$1000&gt;J19)*ISNUMBER(J$6:J$1000))+1+SUMPRODUCT((J$6:J$1000=J19)*(K$6:K$1000&gt;K19)*ISNUMBER(J$6:J$1000)*ISNUMBER(K$6:K$1000))+SUMPRODUCT((J$6:J$1000=J19)*(K$6:K$1000=K19)*(ROW(J$6:J$1000)&lt;19)*ISNUMBER(J$6:J$1000)),""))</f>
        <v>99</v>
      </c>
      <c r="B19" s="20" t="str">
        <f t="shared" si="0"/>
        <v/>
      </c>
      <c r="C19" s="47" t="str">
        <f>IFERROR(IF(D19&lt;&gt;"",VLOOKUP(D19,'Open 30M - Scoring'!$B:$D,3,0),""),"")</f>
        <v/>
      </c>
      <c r="D19" s="48" t="str">
        <f>IF($D$4="By Club",IFERROR("",""),IF($D$3="Individual",IF(14&lt;=COUNTA('Open 30M - Scoring'!$B$6:$B$1000),IFERROR(IF(ISNUMBER(MATCH(14,'Open 30M - Scoring'!$BB:$BB,0)),IFERROR(INDEX('Open 30M - Scoring'!$B:$B,MATCH(14,'Open 30M - Scoring'!$BB:$BB,0)),""),""),""),""),IF($D$3="Double",IF(14&lt;=INT(COUNTA('Open 30M - Scoring'!$B$6:$B$1000)/2),IFERROR(IF(ISNUMBER(MATCH(14,'Open 30M - Scoring'!$BB:$BB,0)),IFERROR(INDEX('Open 30M - Scoring'!$B:$B,MATCH(14,'Open 30M - Scoring'!$BB:$BB,0)),""),""),""),""),IF(14&lt;=INT(COUNTA('Open 30M - Scoring'!$B$6:$B$1000)/3),IFERROR(IF(ISNUMBER(MATCH(14,'Open 30M - Scoring'!$BB:$BB,0)),IFERROR(INDEX('Open 30M - Scoring'!$B:$B,MATCH(14,'Open 30M - Scoring'!$BB:$BB,0)),""),""),""),""))))</f>
        <v/>
      </c>
      <c r="E19" s="49" t="str">
        <f>IF($D$3="Individual","",IF($D$4="By Club",IFERROR("",""),IF($D$3="Double",IF(14&lt;=INT(COUNTA('Open 30M - Scoring'!$B$6:$B$1000)/2),IFERROR(IF(ISNUMBER(MATCH((COUNTA('Open 30M - Scoring'!$B$6:$B$1000)-MOD(COUNTA('Open 30M - Scoring'!$B$6:$B$1000),2))+1-14,'Open 30M - Scoring'!$BB:$BB,0)),IFERROR(INDEX('Open 30M - Scoring'!$B:$B,MATCH((COUNTA('Open 30M - Scoring'!$B$6:$B$1000)-MOD(COUNTA('Open 30M - Scoring'!$B$6:$B$1000),2))+1-14,'Open 30M - Scoring'!$BB:$BB,0)),""),""),""),""),IF(14&lt;=INT(COUNTA('Open 30M - Scoring'!$B$6:$B$1000)/3),IFERROR(IF(ISNUMBER(MATCH((COUNTA('Open 30M - Scoring'!$B$6:$B$1000)-MOD(COUNTA('Open 30M - Scoring'!$B$6:$B$1000),3))+1-14,'Open 30M - Scoring'!$BB:$BB,0)),IFERROR(INDEX('Open 30M - Scoring'!$B:$B,MATCH((COUNTA('Open 30M - Scoring'!$B$6:$B$1000)-MOD(COUNTA('Open 30M - Scoring'!$B$6:$B$1000),3))+1-14,'Open 30M - Scoring'!$BB:$BB,0)),""),""),""),""))))</f>
        <v/>
      </c>
      <c r="F19" s="49" t="str">
        <f>IF($D$3&lt;&gt;"Team (3 archers)","",IF($D$4="By Club",IFERROR("",""),IF(14&lt;=INT(COUNTA('Open 30M - Scoring'!$B$6:$B$1000)/3),IFERROR(IF(ISNUMBER(MATCH(INT((COUNTA('Open 30M - Scoring'!$B$6:$B$1000)-MOD(COUNTA('Open 30M - Scoring'!$B$6:$B$1000),3))/3)+14,'Open 30M - Scoring'!$BB:$BB,0)),IFERROR(INDEX('Open 30M - Scoring'!$B:$B,MATCH(INT((COUNTA('Open 30M - Scoring'!$B$6:$B$1000)-MOD(COUNTA('Open 30M - Scoring'!$B$6:$B$1000),3))/3)+14,'Open 30M - Scoring'!$BB:$BB,0)),""),""),""),"")))</f>
        <v/>
      </c>
      <c r="G19" s="50">
        <f>IFERROR(IF(D19&lt;&gt;"",VLOOKUP(D19,'Open 30M - Scoring'!$B:$AV,47,0),0),0)</f>
        <v>0</v>
      </c>
      <c r="H19" s="50">
        <f>IFERROR(IF(AND(OR($D$3="Double",$D$3="Team (3 archers)"),E19&lt;&gt;""),VLOOKUP(E19,'Open 30M - Scoring'!$B:$AV,47,0),0),0)</f>
        <v>0</v>
      </c>
      <c r="I19" s="50">
        <f>IFERROR(IF(AND($D$3="Team (3 archers)",F19&lt;&gt;""),VLOOKUP(F19,'Open 30M - Scoring'!$B:$AV,47,0),0),0)</f>
        <v>0</v>
      </c>
      <c r="J19" s="51" t="str">
        <f t="shared" si="1"/>
        <v/>
      </c>
      <c r="K19" s="52" t="str">
        <f>IF(D19&lt;&gt;"",IFERROR(IF(D19&lt;&gt;"",VLOOKUP(D19,'Open 30M - Scoring'!$B:$BA,52,0),0),0)+IFERROR(IF(AND(OR($D$3="Double",$D$3="Team (3 archers)"),E19&lt;&gt;""),VLOOKUP(E19,'Open 30M - Scoring'!$B:$BA,52,0),0),0)+IFERROR(IF(AND($D$3="Team (3 archers)",F19&lt;&gt;""),VLOOKUP(F19,'Open 30M - Scoring'!$B:$BA,52,0),0),0),"")</f>
        <v/>
      </c>
      <c r="L19" s="40" t="s">
        <v>155</v>
      </c>
      <c r="M19" s="54" t="str">
        <f t="shared" si="2"/>
        <v/>
      </c>
      <c r="N19" s="55"/>
    </row>
    <row r="20" spans="1:14" ht="21.75" customHeight="1" x14ac:dyDescent="0.35">
      <c r="A20" s="46">
        <f>IF($D$3="Individual",IFERROR(VLOOKUP(D20,'Open 30M - Scoring'!$B:$BB,53,0),99),IF(J20&lt;&gt;"",SUMPRODUCT((J$6:J$1000&gt;J20)*ISNUMBER(J$6:J$1000))+1+SUMPRODUCT((J$6:J$1000=J20)*(K$6:K$1000&gt;K20)*ISNUMBER(J$6:J$1000)*ISNUMBER(K$6:K$1000))+SUMPRODUCT((J$6:J$1000=J20)*(K$6:K$1000=K20)*(ROW(J$6:J$1000)&lt;20)*ISNUMBER(J$6:J$1000)),""))</f>
        <v>99</v>
      </c>
      <c r="B20" s="20" t="str">
        <f t="shared" si="0"/>
        <v/>
      </c>
      <c r="C20" s="47" t="str">
        <f>IFERROR(IF(D20&lt;&gt;"",VLOOKUP(D20,'Open 30M - Scoring'!$B:$D,3,0),""),"")</f>
        <v/>
      </c>
      <c r="D20" s="48" t="str">
        <f>IF($D$4="By Club",IFERROR("",""),IF($D$3="Individual",IF(15&lt;=COUNTA('Open 30M - Scoring'!$B$6:$B$1000),IFERROR(IF(ISNUMBER(MATCH(15,'Open 30M - Scoring'!$BB:$BB,0)),IFERROR(INDEX('Open 30M - Scoring'!$B:$B,MATCH(15,'Open 30M - Scoring'!$BB:$BB,0)),""),""),""),""),IF($D$3="Double",IF(15&lt;=INT(COUNTA('Open 30M - Scoring'!$B$6:$B$1000)/2),IFERROR(IF(ISNUMBER(MATCH(15,'Open 30M - Scoring'!$BB:$BB,0)),IFERROR(INDEX('Open 30M - Scoring'!$B:$B,MATCH(15,'Open 30M - Scoring'!$BB:$BB,0)),""),""),""),""),IF(15&lt;=INT(COUNTA('Open 30M - Scoring'!$B$6:$B$1000)/3),IFERROR(IF(ISNUMBER(MATCH(15,'Open 30M - Scoring'!$BB:$BB,0)),IFERROR(INDEX('Open 30M - Scoring'!$B:$B,MATCH(15,'Open 30M - Scoring'!$BB:$BB,0)),""),""),""),""))))</f>
        <v/>
      </c>
      <c r="E20" s="49" t="str">
        <f>IF($D$3="Individual","",IF($D$4="By Club",IFERROR("",""),IF($D$3="Double",IF(15&lt;=INT(COUNTA('Open 30M - Scoring'!$B$6:$B$1000)/2),IFERROR(IF(ISNUMBER(MATCH((COUNTA('Open 30M - Scoring'!$B$6:$B$1000)-MOD(COUNTA('Open 30M - Scoring'!$B$6:$B$1000),2))+1-15,'Open 30M - Scoring'!$BB:$BB,0)),IFERROR(INDEX('Open 30M - Scoring'!$B:$B,MATCH((COUNTA('Open 30M - Scoring'!$B$6:$B$1000)-MOD(COUNTA('Open 30M - Scoring'!$B$6:$B$1000),2))+1-15,'Open 30M - Scoring'!$BB:$BB,0)),""),""),""),""),IF(15&lt;=INT(COUNTA('Open 30M - Scoring'!$B$6:$B$1000)/3),IFERROR(IF(ISNUMBER(MATCH((COUNTA('Open 30M - Scoring'!$B$6:$B$1000)-MOD(COUNTA('Open 30M - Scoring'!$B$6:$B$1000),3))+1-15,'Open 30M - Scoring'!$BB:$BB,0)),IFERROR(INDEX('Open 30M - Scoring'!$B:$B,MATCH((COUNTA('Open 30M - Scoring'!$B$6:$B$1000)-MOD(COUNTA('Open 30M - Scoring'!$B$6:$B$1000),3))+1-15,'Open 30M - Scoring'!$BB:$BB,0)),""),""),""),""))))</f>
        <v/>
      </c>
      <c r="F20" s="49" t="str">
        <f>IF($D$3&lt;&gt;"Team (3 archers)","",IF($D$4="By Club",IFERROR("",""),IF(15&lt;=INT(COUNTA('Open 30M - Scoring'!$B$6:$B$1000)/3),IFERROR(IF(ISNUMBER(MATCH(INT((COUNTA('Open 30M - Scoring'!$B$6:$B$1000)-MOD(COUNTA('Open 30M - Scoring'!$B$6:$B$1000),3))/3)+15,'Open 30M - Scoring'!$BB:$BB,0)),IFERROR(INDEX('Open 30M - Scoring'!$B:$B,MATCH(INT((COUNTA('Open 30M - Scoring'!$B$6:$B$1000)-MOD(COUNTA('Open 30M - Scoring'!$B$6:$B$1000),3))/3)+15,'Open 30M - Scoring'!$BB:$BB,0)),""),""),""),"")))</f>
        <v/>
      </c>
      <c r="G20" s="50">
        <f>IFERROR(IF(D20&lt;&gt;"",VLOOKUP(D20,'Open 30M - Scoring'!$B:$AV,47,0),0),0)</f>
        <v>0</v>
      </c>
      <c r="H20" s="50">
        <f>IFERROR(IF(AND(OR($D$3="Double",$D$3="Team (3 archers)"),E20&lt;&gt;""),VLOOKUP(E20,'Open 30M - Scoring'!$B:$AV,47,0),0),0)</f>
        <v>0</v>
      </c>
      <c r="I20" s="50">
        <f>IFERROR(IF(AND($D$3="Team (3 archers)",F20&lt;&gt;""),VLOOKUP(F20,'Open 30M - Scoring'!$B:$AV,47,0),0),0)</f>
        <v>0</v>
      </c>
      <c r="J20" s="51" t="str">
        <f t="shared" si="1"/>
        <v/>
      </c>
      <c r="K20" s="52" t="str">
        <f>IF(D20&lt;&gt;"",IFERROR(IF(D20&lt;&gt;"",VLOOKUP(D20,'Open 30M - Scoring'!$B:$BA,52,0),0),0)+IFERROR(IF(AND(OR($D$3="Double",$D$3="Team (3 archers)"),E20&lt;&gt;""),VLOOKUP(E20,'Open 30M - Scoring'!$B:$BA,52,0),0),0)+IFERROR(IF(AND($D$3="Team (3 archers)",F20&lt;&gt;""),VLOOKUP(F20,'Open 30M - Scoring'!$B:$BA,52,0),0),0),"")</f>
        <v/>
      </c>
      <c r="L20" s="53" t="s">
        <v>155</v>
      </c>
      <c r="M20" s="54" t="str">
        <f t="shared" si="2"/>
        <v/>
      </c>
      <c r="N20" s="55"/>
    </row>
    <row r="21" spans="1:14" ht="21.75" customHeight="1" x14ac:dyDescent="0.35">
      <c r="A21" s="46">
        <f>IF($D$3="Individual",IFERROR(VLOOKUP(D21,'Open 30M - Scoring'!$B:$BB,53,0),99),IF(J21&lt;&gt;"",SUMPRODUCT((J$6:J$1000&gt;J21)*ISNUMBER(J$6:J$1000))+1+SUMPRODUCT((J$6:J$1000=J21)*(K$6:K$1000&gt;K21)*ISNUMBER(J$6:J$1000)*ISNUMBER(K$6:K$1000))+SUMPRODUCT((J$6:J$1000=J21)*(K$6:K$1000=K21)*(ROW(J$6:J$1000)&lt;21)*ISNUMBER(J$6:J$1000)),""))</f>
        <v>99</v>
      </c>
      <c r="B21" s="20" t="str">
        <f t="shared" si="0"/>
        <v/>
      </c>
      <c r="C21" s="47" t="str">
        <f>IFERROR(IF(D21&lt;&gt;"",VLOOKUP(D21,'Open 30M - Scoring'!$B:$D,3,0),""),"")</f>
        <v/>
      </c>
      <c r="D21" s="48" t="str">
        <f>IF($D$4="By Club",IFERROR("",""),IF($D$3="Individual",IF(16&lt;=COUNTA('Open 30M - Scoring'!$B$6:$B$1000),IFERROR(IF(ISNUMBER(MATCH(16,'Open 30M - Scoring'!$BB:$BB,0)),IFERROR(INDEX('Open 30M - Scoring'!$B:$B,MATCH(16,'Open 30M - Scoring'!$BB:$BB,0)),""),""),""),""),IF($D$3="Double",IF(16&lt;=INT(COUNTA('Open 30M - Scoring'!$B$6:$B$1000)/2),IFERROR(IF(ISNUMBER(MATCH(16,'Open 30M - Scoring'!$BB:$BB,0)),IFERROR(INDEX('Open 30M - Scoring'!$B:$B,MATCH(16,'Open 30M - Scoring'!$BB:$BB,0)),""),""),""),""),IF(16&lt;=INT(COUNTA('Open 30M - Scoring'!$B$6:$B$1000)/3),IFERROR(IF(ISNUMBER(MATCH(16,'Open 30M - Scoring'!$BB:$BB,0)),IFERROR(INDEX('Open 30M - Scoring'!$B:$B,MATCH(16,'Open 30M - Scoring'!$BB:$BB,0)),""),""),""),""))))</f>
        <v/>
      </c>
      <c r="E21" s="49" t="str">
        <f>IF($D$3="Individual","",IF($D$4="By Club",IFERROR("",""),IF($D$3="Double",IF(16&lt;=INT(COUNTA('Open 30M - Scoring'!$B$6:$B$1000)/2),IFERROR(IF(ISNUMBER(MATCH((COUNTA('Open 30M - Scoring'!$B$6:$B$1000)-MOD(COUNTA('Open 30M - Scoring'!$B$6:$B$1000),2))+1-16,'Open 30M - Scoring'!$BB:$BB,0)),IFERROR(INDEX('Open 30M - Scoring'!$B:$B,MATCH((COUNTA('Open 30M - Scoring'!$B$6:$B$1000)-MOD(COUNTA('Open 30M - Scoring'!$B$6:$B$1000),2))+1-16,'Open 30M - Scoring'!$BB:$BB,0)),""),""),""),""),IF(16&lt;=INT(COUNTA('Open 30M - Scoring'!$B$6:$B$1000)/3),IFERROR(IF(ISNUMBER(MATCH((COUNTA('Open 30M - Scoring'!$B$6:$B$1000)-MOD(COUNTA('Open 30M - Scoring'!$B$6:$B$1000),3))+1-16,'Open 30M - Scoring'!$BB:$BB,0)),IFERROR(INDEX('Open 30M - Scoring'!$B:$B,MATCH((COUNTA('Open 30M - Scoring'!$B$6:$B$1000)-MOD(COUNTA('Open 30M - Scoring'!$B$6:$B$1000),3))+1-16,'Open 30M - Scoring'!$BB:$BB,0)),""),""),""),""))))</f>
        <v/>
      </c>
      <c r="F21" s="49" t="str">
        <f>IF($D$3&lt;&gt;"Team (3 archers)","",IF($D$4="By Club",IFERROR("",""),IF(16&lt;=INT(COUNTA('Open 30M - Scoring'!$B$6:$B$1000)/3),IFERROR(IF(ISNUMBER(MATCH(INT((COUNTA('Open 30M - Scoring'!$B$6:$B$1000)-MOD(COUNTA('Open 30M - Scoring'!$B$6:$B$1000),3))/3)+16,'Open 30M - Scoring'!$BB:$BB,0)),IFERROR(INDEX('Open 30M - Scoring'!$B:$B,MATCH(INT((COUNTA('Open 30M - Scoring'!$B$6:$B$1000)-MOD(COUNTA('Open 30M - Scoring'!$B$6:$B$1000),3))/3)+16,'Open 30M - Scoring'!$BB:$BB,0)),""),""),""),"")))</f>
        <v/>
      </c>
      <c r="G21" s="50">
        <f>IFERROR(IF(D21&lt;&gt;"",VLOOKUP(D21,'Open 30M - Scoring'!$B:$AV,47,0),0),0)</f>
        <v>0</v>
      </c>
      <c r="H21" s="50">
        <f>IFERROR(IF(AND(OR($D$3="Double",$D$3="Team (3 archers)"),E21&lt;&gt;""),VLOOKUP(E21,'Open 30M - Scoring'!$B:$AV,47,0),0),0)</f>
        <v>0</v>
      </c>
      <c r="I21" s="50">
        <f>IFERROR(IF(AND($D$3="Team (3 archers)",F21&lt;&gt;""),VLOOKUP(F21,'Open 30M - Scoring'!$B:$AV,47,0),0),0)</f>
        <v>0</v>
      </c>
      <c r="J21" s="51" t="str">
        <f t="shared" si="1"/>
        <v/>
      </c>
      <c r="K21" s="52" t="str">
        <f>IF(D21&lt;&gt;"",IFERROR(IF(D21&lt;&gt;"",VLOOKUP(D21,'Open 30M - Scoring'!$B:$BA,52,0),0),0)+IFERROR(IF(AND(OR($D$3="Double",$D$3="Team (3 archers)"),E21&lt;&gt;""),VLOOKUP(E21,'Open 30M - Scoring'!$B:$BA,52,0),0),0)+IFERROR(IF(AND($D$3="Team (3 archers)",F21&lt;&gt;""),VLOOKUP(F21,'Open 30M - Scoring'!$B:$BA,52,0),0),0),"")</f>
        <v/>
      </c>
      <c r="L21" s="40" t="s">
        <v>155</v>
      </c>
      <c r="M21" s="54" t="str">
        <f t="shared" si="2"/>
        <v/>
      </c>
      <c r="N21" s="55"/>
    </row>
    <row r="22" spans="1:14" ht="21.75" customHeight="1" x14ac:dyDescent="0.35">
      <c r="A22" s="46">
        <f>IF($D$3="Individual",IFERROR(VLOOKUP(D22,'Open 30M - Scoring'!$B:$BB,53,0),99),IF(J22&lt;&gt;"",SUMPRODUCT((J$6:J$1000&gt;J22)*ISNUMBER(J$6:J$1000))+1+SUMPRODUCT((J$6:J$1000=J22)*(K$6:K$1000&gt;K22)*ISNUMBER(J$6:J$1000)*ISNUMBER(K$6:K$1000))+SUMPRODUCT((J$6:J$1000=J22)*(K$6:K$1000=K22)*(ROW(J$6:J$1000)&lt;22)*ISNUMBER(J$6:J$1000)),""))</f>
        <v>99</v>
      </c>
      <c r="B22" s="20" t="str">
        <f t="shared" si="0"/>
        <v/>
      </c>
      <c r="C22" s="47" t="str">
        <f>IFERROR(IF(D22&lt;&gt;"",VLOOKUP(D22,'Open 30M - Scoring'!$B:$D,3,0),""),"")</f>
        <v/>
      </c>
      <c r="D22" s="48" t="str">
        <f>IF($D$4="By Club",IFERROR("",""),IF($D$3="Individual",IF(17&lt;=COUNTA('Open 30M - Scoring'!$B$6:$B$1000),IFERROR(IF(ISNUMBER(MATCH(17,'Open 30M - Scoring'!$BB:$BB,0)),IFERROR(INDEX('Open 30M - Scoring'!$B:$B,MATCH(17,'Open 30M - Scoring'!$BB:$BB,0)),""),""),""),""),IF($D$3="Double",IF(17&lt;=INT(COUNTA('Open 30M - Scoring'!$B$6:$B$1000)/2),IFERROR(IF(ISNUMBER(MATCH(17,'Open 30M - Scoring'!$BB:$BB,0)),IFERROR(INDEX('Open 30M - Scoring'!$B:$B,MATCH(17,'Open 30M - Scoring'!$BB:$BB,0)),""),""),""),""),IF(17&lt;=INT(COUNTA('Open 30M - Scoring'!$B$6:$B$1000)/3),IFERROR(IF(ISNUMBER(MATCH(17,'Open 30M - Scoring'!$BB:$BB,0)),IFERROR(INDEX('Open 30M - Scoring'!$B:$B,MATCH(17,'Open 30M - Scoring'!$BB:$BB,0)),""),""),""),""))))</f>
        <v/>
      </c>
      <c r="E22" s="49" t="str">
        <f>IF($D$3="Individual","",IF($D$4="By Club",IFERROR("",""),IF($D$3="Double",IF(17&lt;=INT(COUNTA('Open 30M - Scoring'!$B$6:$B$1000)/2),IFERROR(IF(ISNUMBER(MATCH((COUNTA('Open 30M - Scoring'!$B$6:$B$1000)-MOD(COUNTA('Open 30M - Scoring'!$B$6:$B$1000),2))+1-17,'Open 30M - Scoring'!$BB:$BB,0)),IFERROR(INDEX('Open 30M - Scoring'!$B:$B,MATCH((COUNTA('Open 30M - Scoring'!$B$6:$B$1000)-MOD(COUNTA('Open 30M - Scoring'!$B$6:$B$1000),2))+1-17,'Open 30M - Scoring'!$BB:$BB,0)),""),""),""),""),IF(17&lt;=INT(COUNTA('Open 30M - Scoring'!$B$6:$B$1000)/3),IFERROR(IF(ISNUMBER(MATCH((COUNTA('Open 30M - Scoring'!$B$6:$B$1000)-MOD(COUNTA('Open 30M - Scoring'!$B$6:$B$1000),3))+1-17,'Open 30M - Scoring'!$BB:$BB,0)),IFERROR(INDEX('Open 30M - Scoring'!$B:$B,MATCH((COUNTA('Open 30M - Scoring'!$B$6:$B$1000)-MOD(COUNTA('Open 30M - Scoring'!$B$6:$B$1000),3))+1-17,'Open 30M - Scoring'!$BB:$BB,0)),""),""),""),""))))</f>
        <v/>
      </c>
      <c r="F22" s="49" t="str">
        <f>IF($D$3&lt;&gt;"Team (3 archers)","",IF($D$4="By Club",IFERROR("",""),IF(17&lt;=INT(COUNTA('Open 30M - Scoring'!$B$6:$B$1000)/3),IFERROR(IF(ISNUMBER(MATCH(INT((COUNTA('Open 30M - Scoring'!$B$6:$B$1000)-MOD(COUNTA('Open 30M - Scoring'!$B$6:$B$1000),3))/3)+17,'Open 30M - Scoring'!$BB:$BB,0)),IFERROR(INDEX('Open 30M - Scoring'!$B:$B,MATCH(INT((COUNTA('Open 30M - Scoring'!$B$6:$B$1000)-MOD(COUNTA('Open 30M - Scoring'!$B$6:$B$1000),3))/3)+17,'Open 30M - Scoring'!$BB:$BB,0)),""),""),""),"")))</f>
        <v/>
      </c>
      <c r="G22" s="50">
        <f>IFERROR(IF(D22&lt;&gt;"",VLOOKUP(D22,'Open 30M - Scoring'!$B:$AV,47,0),0),0)</f>
        <v>0</v>
      </c>
      <c r="H22" s="50">
        <f>IFERROR(IF(AND(OR($D$3="Double",$D$3="Team (3 archers)"),E22&lt;&gt;""),VLOOKUP(E22,'Open 30M - Scoring'!$B:$AV,47,0),0),0)</f>
        <v>0</v>
      </c>
      <c r="I22" s="50">
        <f>IFERROR(IF(AND($D$3="Team (3 archers)",F22&lt;&gt;""),VLOOKUP(F22,'Open 30M - Scoring'!$B:$AV,47,0),0),0)</f>
        <v>0</v>
      </c>
      <c r="J22" s="51" t="str">
        <f t="shared" si="1"/>
        <v/>
      </c>
      <c r="K22" s="52" t="str">
        <f>IF(D22&lt;&gt;"",IFERROR(IF(D22&lt;&gt;"",VLOOKUP(D22,'Open 30M - Scoring'!$B:$BA,52,0),0),0)+IFERROR(IF(AND(OR($D$3="Double",$D$3="Team (3 archers)"),E22&lt;&gt;""),VLOOKUP(E22,'Open 30M - Scoring'!$B:$BA,52,0),0),0)+IFERROR(IF(AND($D$3="Team (3 archers)",F22&lt;&gt;""),VLOOKUP(F22,'Open 30M - Scoring'!$B:$BA,52,0),0),0),"")</f>
        <v/>
      </c>
      <c r="L22" s="53" t="s">
        <v>155</v>
      </c>
      <c r="M22" s="54" t="str">
        <f t="shared" si="2"/>
        <v/>
      </c>
      <c r="N22" s="55"/>
    </row>
    <row r="23" spans="1:14" ht="21.75" customHeight="1" x14ac:dyDescent="0.35">
      <c r="A23" s="46">
        <f>IF($D$3="Individual",IFERROR(VLOOKUP(D23,'Open 30M - Scoring'!$B:$BB,53,0),99),IF(J23&lt;&gt;"",SUMPRODUCT((J$6:J$1000&gt;J23)*ISNUMBER(J$6:J$1000))+1+SUMPRODUCT((J$6:J$1000=J23)*(K$6:K$1000&gt;K23)*ISNUMBER(J$6:J$1000)*ISNUMBER(K$6:K$1000))+SUMPRODUCT((J$6:J$1000=J23)*(K$6:K$1000=K23)*(ROW(J$6:J$1000)&lt;23)*ISNUMBER(J$6:J$1000)),""))</f>
        <v>99</v>
      </c>
      <c r="B23" s="20" t="str">
        <f t="shared" si="0"/>
        <v/>
      </c>
      <c r="C23" s="47" t="str">
        <f>IFERROR(IF(D23&lt;&gt;"",VLOOKUP(D23,'Open 30M - Scoring'!$B:$D,3,0),""),"")</f>
        <v/>
      </c>
      <c r="D23" s="48" t="str">
        <f>IF($D$4="By Club",IFERROR("",""),IF($D$3="Individual",IF(18&lt;=COUNTA('Open 30M - Scoring'!$B$6:$B$1000),IFERROR(IF(ISNUMBER(MATCH(18,'Open 30M - Scoring'!$BB:$BB,0)),IFERROR(INDEX('Open 30M - Scoring'!$B:$B,MATCH(18,'Open 30M - Scoring'!$BB:$BB,0)),""),""),""),""),IF($D$3="Double",IF(18&lt;=INT(COUNTA('Open 30M - Scoring'!$B$6:$B$1000)/2),IFERROR(IF(ISNUMBER(MATCH(18,'Open 30M - Scoring'!$BB:$BB,0)),IFERROR(INDEX('Open 30M - Scoring'!$B:$B,MATCH(18,'Open 30M - Scoring'!$BB:$BB,0)),""),""),""),""),IF(18&lt;=INT(COUNTA('Open 30M - Scoring'!$B$6:$B$1000)/3),IFERROR(IF(ISNUMBER(MATCH(18,'Open 30M - Scoring'!$BB:$BB,0)),IFERROR(INDEX('Open 30M - Scoring'!$B:$B,MATCH(18,'Open 30M - Scoring'!$BB:$BB,0)),""),""),""),""))))</f>
        <v/>
      </c>
      <c r="E23" s="49" t="str">
        <f>IF($D$3="Individual","",IF($D$4="By Club",IFERROR("",""),IF($D$3="Double",IF(18&lt;=INT(COUNTA('Open 30M - Scoring'!$B$6:$B$1000)/2),IFERROR(IF(ISNUMBER(MATCH((COUNTA('Open 30M - Scoring'!$B$6:$B$1000)-MOD(COUNTA('Open 30M - Scoring'!$B$6:$B$1000),2))+1-18,'Open 30M - Scoring'!$BB:$BB,0)),IFERROR(INDEX('Open 30M - Scoring'!$B:$B,MATCH((COUNTA('Open 30M - Scoring'!$B$6:$B$1000)-MOD(COUNTA('Open 30M - Scoring'!$B$6:$B$1000),2))+1-18,'Open 30M - Scoring'!$BB:$BB,0)),""),""),""),""),IF(18&lt;=INT(COUNTA('Open 30M - Scoring'!$B$6:$B$1000)/3),IFERROR(IF(ISNUMBER(MATCH((COUNTA('Open 30M - Scoring'!$B$6:$B$1000)-MOD(COUNTA('Open 30M - Scoring'!$B$6:$B$1000),3))+1-18,'Open 30M - Scoring'!$BB:$BB,0)),IFERROR(INDEX('Open 30M - Scoring'!$B:$B,MATCH((COUNTA('Open 30M - Scoring'!$B$6:$B$1000)-MOD(COUNTA('Open 30M - Scoring'!$B$6:$B$1000),3))+1-18,'Open 30M - Scoring'!$BB:$BB,0)),""),""),""),""))))</f>
        <v/>
      </c>
      <c r="F23" s="49" t="str">
        <f>IF($D$3&lt;&gt;"Team (3 archers)","",IF($D$4="By Club",IFERROR("",""),IF(18&lt;=INT(COUNTA('Open 30M - Scoring'!$B$6:$B$1000)/3),IFERROR(IF(ISNUMBER(MATCH(INT((COUNTA('Open 30M - Scoring'!$B$6:$B$1000)-MOD(COUNTA('Open 30M - Scoring'!$B$6:$B$1000),3))/3)+18,'Open 30M - Scoring'!$BB:$BB,0)),IFERROR(INDEX('Open 30M - Scoring'!$B:$B,MATCH(INT((COUNTA('Open 30M - Scoring'!$B$6:$B$1000)-MOD(COUNTA('Open 30M - Scoring'!$B$6:$B$1000),3))/3)+18,'Open 30M - Scoring'!$BB:$BB,0)),""),""),""),"")))</f>
        <v/>
      </c>
      <c r="G23" s="50">
        <f>IFERROR(IF(D23&lt;&gt;"",VLOOKUP(D23,'Open 30M - Scoring'!$B:$AV,47,0),0),0)</f>
        <v>0</v>
      </c>
      <c r="H23" s="50">
        <f>IFERROR(IF(AND(OR($D$3="Double",$D$3="Team (3 archers)"),E23&lt;&gt;""),VLOOKUP(E23,'Open 30M - Scoring'!$B:$AV,47,0),0),0)</f>
        <v>0</v>
      </c>
      <c r="I23" s="50">
        <f>IFERROR(IF(AND($D$3="Team (3 archers)",F23&lt;&gt;""),VLOOKUP(F23,'Open 30M - Scoring'!$B:$AV,47,0),0),0)</f>
        <v>0</v>
      </c>
      <c r="J23" s="51" t="str">
        <f t="shared" si="1"/>
        <v/>
      </c>
      <c r="K23" s="52" t="str">
        <f>IF(D23&lt;&gt;"",IFERROR(IF(D23&lt;&gt;"",VLOOKUP(D23,'Open 30M - Scoring'!$B:$BA,52,0),0),0)+IFERROR(IF(AND(OR($D$3="Double",$D$3="Team (3 archers)"),E23&lt;&gt;""),VLOOKUP(E23,'Open 30M - Scoring'!$B:$BA,52,0),0),0)+IFERROR(IF(AND($D$3="Team (3 archers)",F23&lt;&gt;""),VLOOKUP(F23,'Open 30M - Scoring'!$B:$BA,52,0),0),0),"")</f>
        <v/>
      </c>
      <c r="L23" s="40" t="s">
        <v>155</v>
      </c>
      <c r="M23" s="54" t="str">
        <f t="shared" si="2"/>
        <v/>
      </c>
      <c r="N23" s="55"/>
    </row>
    <row r="24" spans="1:14" ht="21.75" customHeight="1" x14ac:dyDescent="0.35">
      <c r="A24" s="46">
        <f>IF($D$3="Individual",IFERROR(VLOOKUP(D24,'Open 30M - Scoring'!$B:$BB,53,0),99),IF(J24&lt;&gt;"",SUMPRODUCT((J$6:J$1000&gt;J24)*ISNUMBER(J$6:J$1000))+1+SUMPRODUCT((J$6:J$1000=J24)*(K$6:K$1000&gt;K24)*ISNUMBER(J$6:J$1000)*ISNUMBER(K$6:K$1000))+SUMPRODUCT((J$6:J$1000=J24)*(K$6:K$1000=K24)*(ROW(J$6:J$1000)&lt;24)*ISNUMBER(J$6:J$1000)),""))</f>
        <v>99</v>
      </c>
      <c r="B24" s="20" t="str">
        <f t="shared" si="0"/>
        <v/>
      </c>
      <c r="C24" s="47" t="str">
        <f>IFERROR(IF(D24&lt;&gt;"",VLOOKUP(D24,'Open 30M - Scoring'!$B:$D,3,0),""),"")</f>
        <v/>
      </c>
      <c r="D24" s="48" t="str">
        <f>IF($D$4="By Club",IFERROR("",""),IF($D$3="Individual",IF(19&lt;=COUNTA('Open 30M - Scoring'!$B$6:$B$1000),IFERROR(IF(ISNUMBER(MATCH(19,'Open 30M - Scoring'!$BB:$BB,0)),IFERROR(INDEX('Open 30M - Scoring'!$B:$B,MATCH(19,'Open 30M - Scoring'!$BB:$BB,0)),""),""),""),""),IF($D$3="Double",IF(19&lt;=INT(COUNTA('Open 30M - Scoring'!$B$6:$B$1000)/2),IFERROR(IF(ISNUMBER(MATCH(19,'Open 30M - Scoring'!$BB:$BB,0)),IFERROR(INDEX('Open 30M - Scoring'!$B:$B,MATCH(19,'Open 30M - Scoring'!$BB:$BB,0)),""),""),""),""),IF(19&lt;=INT(COUNTA('Open 30M - Scoring'!$B$6:$B$1000)/3),IFERROR(IF(ISNUMBER(MATCH(19,'Open 30M - Scoring'!$BB:$BB,0)),IFERROR(INDEX('Open 30M - Scoring'!$B:$B,MATCH(19,'Open 30M - Scoring'!$BB:$BB,0)),""),""),""),""))))</f>
        <v/>
      </c>
      <c r="E24" s="49" t="str">
        <f>IF($D$3="Individual","",IF($D$4="By Club",IFERROR("",""),IF($D$3="Double",IF(19&lt;=INT(COUNTA('Open 30M - Scoring'!$B$6:$B$1000)/2),IFERROR(IF(ISNUMBER(MATCH((COUNTA('Open 30M - Scoring'!$B$6:$B$1000)-MOD(COUNTA('Open 30M - Scoring'!$B$6:$B$1000),2))+1-19,'Open 30M - Scoring'!$BB:$BB,0)),IFERROR(INDEX('Open 30M - Scoring'!$B:$B,MATCH((COUNTA('Open 30M - Scoring'!$B$6:$B$1000)-MOD(COUNTA('Open 30M - Scoring'!$B$6:$B$1000),2))+1-19,'Open 30M - Scoring'!$BB:$BB,0)),""),""),""),""),IF(19&lt;=INT(COUNTA('Open 30M - Scoring'!$B$6:$B$1000)/3),IFERROR(IF(ISNUMBER(MATCH((COUNTA('Open 30M - Scoring'!$B$6:$B$1000)-MOD(COUNTA('Open 30M - Scoring'!$B$6:$B$1000),3))+1-19,'Open 30M - Scoring'!$BB:$BB,0)),IFERROR(INDEX('Open 30M - Scoring'!$B:$B,MATCH((COUNTA('Open 30M - Scoring'!$B$6:$B$1000)-MOD(COUNTA('Open 30M - Scoring'!$B$6:$B$1000),3))+1-19,'Open 30M - Scoring'!$BB:$BB,0)),""),""),""),""))))</f>
        <v/>
      </c>
      <c r="F24" s="49" t="str">
        <f>IF($D$3&lt;&gt;"Team (3 archers)","",IF($D$4="By Club",IFERROR("",""),IF(19&lt;=INT(COUNTA('Open 30M - Scoring'!$B$6:$B$1000)/3),IFERROR(IF(ISNUMBER(MATCH(INT((COUNTA('Open 30M - Scoring'!$B$6:$B$1000)-MOD(COUNTA('Open 30M - Scoring'!$B$6:$B$1000),3))/3)+19,'Open 30M - Scoring'!$BB:$BB,0)),IFERROR(INDEX('Open 30M - Scoring'!$B:$B,MATCH(INT((COUNTA('Open 30M - Scoring'!$B$6:$B$1000)-MOD(COUNTA('Open 30M - Scoring'!$B$6:$B$1000),3))/3)+19,'Open 30M - Scoring'!$BB:$BB,0)),""),""),""),"")))</f>
        <v/>
      </c>
      <c r="G24" s="50">
        <f>IFERROR(IF(D24&lt;&gt;"",VLOOKUP(D24,'Open 30M - Scoring'!$B:$AV,47,0),0),0)</f>
        <v>0</v>
      </c>
      <c r="H24" s="50">
        <f>IFERROR(IF(AND(OR($D$3="Double",$D$3="Team (3 archers)"),E24&lt;&gt;""),VLOOKUP(E24,'Open 30M - Scoring'!$B:$AV,47,0),0),0)</f>
        <v>0</v>
      </c>
      <c r="I24" s="50">
        <f>IFERROR(IF(AND($D$3="Team (3 archers)",F24&lt;&gt;""),VLOOKUP(F24,'Open 30M - Scoring'!$B:$AV,47,0),0),0)</f>
        <v>0</v>
      </c>
      <c r="J24" s="51" t="str">
        <f t="shared" si="1"/>
        <v/>
      </c>
      <c r="K24" s="52" t="str">
        <f>IF(D24&lt;&gt;"",IFERROR(IF(D24&lt;&gt;"",VLOOKUP(D24,'Open 30M - Scoring'!$B:$BA,52,0),0),0)+IFERROR(IF(AND(OR($D$3="Double",$D$3="Team (3 archers)"),E24&lt;&gt;""),VLOOKUP(E24,'Open 30M - Scoring'!$B:$BA,52,0),0),0)+IFERROR(IF(AND($D$3="Team (3 archers)",F24&lt;&gt;""),VLOOKUP(F24,'Open 30M - Scoring'!$B:$BA,52,0),0),0),"")</f>
        <v/>
      </c>
      <c r="L24" s="53" t="s">
        <v>155</v>
      </c>
      <c r="M24" s="54" t="str">
        <f t="shared" si="2"/>
        <v/>
      </c>
      <c r="N24" s="55"/>
    </row>
    <row r="25" spans="1:14" ht="21.75" customHeight="1" x14ac:dyDescent="0.35">
      <c r="A25" s="46">
        <f>IF($D$3="Individual",IFERROR(VLOOKUP(D25,'Open 30M - Scoring'!$B:$BB,53,0),99),IF(J25&lt;&gt;"",SUMPRODUCT((J$6:J$1000&gt;J25)*ISNUMBER(J$6:J$1000))+1+SUMPRODUCT((J$6:J$1000=J25)*(K$6:K$1000&gt;K25)*ISNUMBER(J$6:J$1000)*ISNUMBER(K$6:K$1000))+SUMPRODUCT((J$6:J$1000=J25)*(K$6:K$1000=K25)*(ROW(J$6:J$1000)&lt;25)*ISNUMBER(J$6:J$1000)),""))</f>
        <v>99</v>
      </c>
      <c r="B25" s="20" t="str">
        <f t="shared" si="0"/>
        <v/>
      </c>
      <c r="C25" s="47" t="str">
        <f>IFERROR(IF(D25&lt;&gt;"",VLOOKUP(D25,'Open 30M - Scoring'!$B:$D,3,0),""),"")</f>
        <v/>
      </c>
      <c r="D25" s="48" t="str">
        <f>IF($D$4="By Club",IFERROR("",""),IF($D$3="Individual",IF(20&lt;=COUNTA('Open 30M - Scoring'!$B$6:$B$1000),IFERROR(IF(ISNUMBER(MATCH(20,'Open 30M - Scoring'!$BB:$BB,0)),IFERROR(INDEX('Open 30M - Scoring'!$B:$B,MATCH(20,'Open 30M - Scoring'!$BB:$BB,0)),""),""),""),""),IF($D$3="Double",IF(20&lt;=INT(COUNTA('Open 30M - Scoring'!$B$6:$B$1000)/2),IFERROR(IF(ISNUMBER(MATCH(20,'Open 30M - Scoring'!$BB:$BB,0)),IFERROR(INDEX('Open 30M - Scoring'!$B:$B,MATCH(20,'Open 30M - Scoring'!$BB:$BB,0)),""),""),""),""),IF(20&lt;=INT(COUNTA('Open 30M - Scoring'!$B$6:$B$1000)/3),IFERROR(IF(ISNUMBER(MATCH(20,'Open 30M - Scoring'!$BB:$BB,0)),IFERROR(INDEX('Open 30M - Scoring'!$B:$B,MATCH(20,'Open 30M - Scoring'!$BB:$BB,0)),""),""),""),""))))</f>
        <v/>
      </c>
      <c r="E25" s="49" t="str">
        <f>IF($D$3="Individual","",IF($D$4="By Club",IFERROR("",""),IF($D$3="Double",IF(20&lt;=INT(COUNTA('Open 30M - Scoring'!$B$6:$B$1000)/2),IFERROR(IF(ISNUMBER(MATCH((COUNTA('Open 30M - Scoring'!$B$6:$B$1000)-MOD(COUNTA('Open 30M - Scoring'!$B$6:$B$1000),2))+1-20,'Open 30M - Scoring'!$BB:$BB,0)),IFERROR(INDEX('Open 30M - Scoring'!$B:$B,MATCH((COUNTA('Open 30M - Scoring'!$B$6:$B$1000)-MOD(COUNTA('Open 30M - Scoring'!$B$6:$B$1000),2))+1-20,'Open 30M - Scoring'!$BB:$BB,0)),""),""),""),""),IF(20&lt;=INT(COUNTA('Open 30M - Scoring'!$B$6:$B$1000)/3),IFERROR(IF(ISNUMBER(MATCH((COUNTA('Open 30M - Scoring'!$B$6:$B$1000)-MOD(COUNTA('Open 30M - Scoring'!$B$6:$B$1000),3))+1-20,'Open 30M - Scoring'!$BB:$BB,0)),IFERROR(INDEX('Open 30M - Scoring'!$B:$B,MATCH((COUNTA('Open 30M - Scoring'!$B$6:$B$1000)-MOD(COUNTA('Open 30M - Scoring'!$B$6:$B$1000),3))+1-20,'Open 30M - Scoring'!$BB:$BB,0)),""),""),""),""))))</f>
        <v/>
      </c>
      <c r="F25" s="49" t="str">
        <f>IF($D$3&lt;&gt;"Team (3 archers)","",IF($D$4="By Club",IFERROR("",""),IF(20&lt;=INT(COUNTA('Open 30M - Scoring'!$B$6:$B$1000)/3),IFERROR(IF(ISNUMBER(MATCH(INT((COUNTA('Open 30M - Scoring'!$B$6:$B$1000)-MOD(COUNTA('Open 30M - Scoring'!$B$6:$B$1000),3))/3)+20,'Open 30M - Scoring'!$BB:$BB,0)),IFERROR(INDEX('Open 30M - Scoring'!$B:$B,MATCH(INT((COUNTA('Open 30M - Scoring'!$B$6:$B$1000)-MOD(COUNTA('Open 30M - Scoring'!$B$6:$B$1000),3))/3)+20,'Open 30M - Scoring'!$BB:$BB,0)),""),""),""),"")))</f>
        <v/>
      </c>
      <c r="G25" s="50">
        <f>IFERROR(IF(D25&lt;&gt;"",VLOOKUP(D25,'Open 30M - Scoring'!$B:$AV,47,0),0),0)</f>
        <v>0</v>
      </c>
      <c r="H25" s="50">
        <f>IFERROR(IF(AND(OR($D$3="Double",$D$3="Team (3 archers)"),E25&lt;&gt;""),VLOOKUP(E25,'Open 30M - Scoring'!$B:$AV,47,0),0),0)</f>
        <v>0</v>
      </c>
      <c r="I25" s="50">
        <f>IFERROR(IF(AND($D$3="Team (3 archers)",F25&lt;&gt;""),VLOOKUP(F25,'Open 30M - Scoring'!$B:$AV,47,0),0),0)</f>
        <v>0</v>
      </c>
      <c r="J25" s="51" t="str">
        <f t="shared" si="1"/>
        <v/>
      </c>
      <c r="K25" s="52" t="str">
        <f>IF(D25&lt;&gt;"",IFERROR(IF(D25&lt;&gt;"",VLOOKUP(D25,'Open 30M - Scoring'!$B:$BA,52,0),0),0)+IFERROR(IF(AND(OR($D$3="Double",$D$3="Team (3 archers)"),E25&lt;&gt;""),VLOOKUP(E25,'Open 30M - Scoring'!$B:$BA,52,0),0),0)+IFERROR(IF(AND($D$3="Team (3 archers)",F25&lt;&gt;""),VLOOKUP(F25,'Open 30M - Scoring'!$B:$BA,52,0),0),0),"")</f>
        <v/>
      </c>
      <c r="L25" s="40" t="s">
        <v>155</v>
      </c>
      <c r="M25" s="54" t="str">
        <f t="shared" si="2"/>
        <v/>
      </c>
      <c r="N25" s="55"/>
    </row>
    <row r="26" spans="1:14" ht="21.75" customHeight="1" x14ac:dyDescent="0.35">
      <c r="A26" s="46">
        <f>IF($D$3="Individual",IFERROR(VLOOKUP(D26,'Open 30M - Scoring'!$B:$BB,53,0),99),IF(J26&lt;&gt;"",SUMPRODUCT((J$6:J$1000&gt;J26)*ISNUMBER(J$6:J$1000))+1+SUMPRODUCT((J$6:J$1000=J26)*(K$6:K$1000&gt;K26)*ISNUMBER(J$6:J$1000)*ISNUMBER(K$6:K$1000))+SUMPRODUCT((J$6:J$1000=J26)*(K$6:K$1000=K26)*(ROW(J$6:J$1000)&lt;26)*ISNUMBER(J$6:J$1000)),""))</f>
        <v>99</v>
      </c>
      <c r="B26" s="20" t="str">
        <f t="shared" si="0"/>
        <v/>
      </c>
      <c r="C26" s="47" t="str">
        <f>IFERROR(IF(D26&lt;&gt;"",VLOOKUP(D26,'Open 30M - Scoring'!$B:$D,3,0),""),"")</f>
        <v/>
      </c>
      <c r="D26" s="48" t="str">
        <f>IF($D$4="By Club",IFERROR("",""),IF($D$3="Individual",IF(21&lt;=COUNTA('Open 30M - Scoring'!$B$6:$B$1000),IFERROR(IF(ISNUMBER(MATCH(21,'Open 30M - Scoring'!$BB:$BB,0)),IFERROR(INDEX('Open 30M - Scoring'!$B:$B,MATCH(21,'Open 30M - Scoring'!$BB:$BB,0)),""),""),""),""),IF($D$3="Double",IF(21&lt;=INT(COUNTA('Open 30M - Scoring'!$B$6:$B$1000)/2),IFERROR(IF(ISNUMBER(MATCH(21,'Open 30M - Scoring'!$BB:$BB,0)),IFERROR(INDEX('Open 30M - Scoring'!$B:$B,MATCH(21,'Open 30M - Scoring'!$BB:$BB,0)),""),""),""),""),IF(21&lt;=INT(COUNTA('Open 30M - Scoring'!$B$6:$B$1000)/3),IFERROR(IF(ISNUMBER(MATCH(21,'Open 30M - Scoring'!$BB:$BB,0)),IFERROR(INDEX('Open 30M - Scoring'!$B:$B,MATCH(21,'Open 30M - Scoring'!$BB:$BB,0)),""),""),""),""))))</f>
        <v/>
      </c>
      <c r="E26" s="49" t="str">
        <f>IF($D$3="Individual","",IF($D$4="By Club",IFERROR("",""),IF($D$3="Double",IF(21&lt;=INT(COUNTA('Open 30M - Scoring'!$B$6:$B$1000)/2),IFERROR(IF(ISNUMBER(MATCH((COUNTA('Open 30M - Scoring'!$B$6:$B$1000)-MOD(COUNTA('Open 30M - Scoring'!$B$6:$B$1000),2))+1-21,'Open 30M - Scoring'!$BB:$BB,0)),IFERROR(INDEX('Open 30M - Scoring'!$B:$B,MATCH((COUNTA('Open 30M - Scoring'!$B$6:$B$1000)-MOD(COUNTA('Open 30M - Scoring'!$B$6:$B$1000),2))+1-21,'Open 30M - Scoring'!$BB:$BB,0)),""),""),""),""),IF(21&lt;=INT(COUNTA('Open 30M - Scoring'!$B$6:$B$1000)/3),IFERROR(IF(ISNUMBER(MATCH((COUNTA('Open 30M - Scoring'!$B$6:$B$1000)-MOD(COUNTA('Open 30M - Scoring'!$B$6:$B$1000),3))+1-21,'Open 30M - Scoring'!$BB:$BB,0)),IFERROR(INDEX('Open 30M - Scoring'!$B:$B,MATCH((COUNTA('Open 30M - Scoring'!$B$6:$B$1000)-MOD(COUNTA('Open 30M - Scoring'!$B$6:$B$1000),3))+1-21,'Open 30M - Scoring'!$BB:$BB,0)),""),""),""),""))))</f>
        <v/>
      </c>
      <c r="F26" s="49" t="str">
        <f>IF($D$3&lt;&gt;"Team (3 archers)","",IF($D$4="By Club",IFERROR("",""),IF(21&lt;=INT(COUNTA('Open 30M - Scoring'!$B$6:$B$1000)/3),IFERROR(IF(ISNUMBER(MATCH(INT((COUNTA('Open 30M - Scoring'!$B$6:$B$1000)-MOD(COUNTA('Open 30M - Scoring'!$B$6:$B$1000),3))/3)+21,'Open 30M - Scoring'!$BB:$BB,0)),IFERROR(INDEX('Open 30M - Scoring'!$B:$B,MATCH(INT((COUNTA('Open 30M - Scoring'!$B$6:$B$1000)-MOD(COUNTA('Open 30M - Scoring'!$B$6:$B$1000),3))/3)+21,'Open 30M - Scoring'!$BB:$BB,0)),""),""),""),"")))</f>
        <v/>
      </c>
      <c r="G26" s="50">
        <f>IFERROR(IF(D26&lt;&gt;"",VLOOKUP(D26,'Open 30M - Scoring'!$B:$AV,47,0),0),0)</f>
        <v>0</v>
      </c>
      <c r="H26" s="50">
        <f>IFERROR(IF(AND(OR($D$3="Double",$D$3="Team (3 archers)"),E26&lt;&gt;""),VLOOKUP(E26,'Open 30M - Scoring'!$B:$AV,47,0),0),0)</f>
        <v>0</v>
      </c>
      <c r="I26" s="50">
        <f>IFERROR(IF(AND($D$3="Team (3 archers)",F26&lt;&gt;""),VLOOKUP(F26,'Open 30M - Scoring'!$B:$AV,47,0),0),0)</f>
        <v>0</v>
      </c>
      <c r="J26" s="51" t="str">
        <f t="shared" si="1"/>
        <v/>
      </c>
      <c r="K26" s="52" t="str">
        <f>IF(D26&lt;&gt;"",IFERROR(IF(D26&lt;&gt;"",VLOOKUP(D26,'Open 30M - Scoring'!$B:$BA,52,0),0),0)+IFERROR(IF(AND(OR($D$3="Double",$D$3="Team (3 archers)"),E26&lt;&gt;""),VLOOKUP(E26,'Open 30M - Scoring'!$B:$BA,52,0),0),0)+IFERROR(IF(AND($D$3="Team (3 archers)",F26&lt;&gt;""),VLOOKUP(F26,'Open 30M - Scoring'!$B:$BA,52,0),0),0),"")</f>
        <v/>
      </c>
      <c r="L26" s="53" t="s">
        <v>155</v>
      </c>
      <c r="M26" s="54" t="str">
        <f t="shared" si="2"/>
        <v/>
      </c>
      <c r="N26" s="55"/>
    </row>
    <row r="27" spans="1:14" ht="21.75" customHeight="1" x14ac:dyDescent="0.35">
      <c r="A27" s="46">
        <f>IF($D$3="Individual",IFERROR(VLOOKUP(D27,'Open 30M - Scoring'!$B:$BB,53,0),99),IF(J27&lt;&gt;"",SUMPRODUCT((J$6:J$1000&gt;J27)*ISNUMBER(J$6:J$1000))+1+SUMPRODUCT((J$6:J$1000=J27)*(K$6:K$1000&gt;K27)*ISNUMBER(J$6:J$1000)*ISNUMBER(K$6:K$1000))+SUMPRODUCT((J$6:J$1000=J27)*(K$6:K$1000=K27)*(ROW(J$6:J$1000)&lt;27)*ISNUMBER(J$6:J$1000)),""))</f>
        <v>99</v>
      </c>
      <c r="B27" s="20" t="str">
        <f t="shared" si="0"/>
        <v/>
      </c>
      <c r="C27" s="47" t="str">
        <f>IFERROR(IF(D27&lt;&gt;"",VLOOKUP(D27,'Open 30M - Scoring'!$B:$D,3,0),""),"")</f>
        <v/>
      </c>
      <c r="D27" s="48" t="str">
        <f>IF($D$4="By Club",IFERROR("",""),IF($D$3="Individual",IF(22&lt;=COUNTA('Open 30M - Scoring'!$B$6:$B$1000),IFERROR(IF(ISNUMBER(MATCH(22,'Open 30M - Scoring'!$BB:$BB,0)),IFERROR(INDEX('Open 30M - Scoring'!$B:$B,MATCH(22,'Open 30M - Scoring'!$BB:$BB,0)),""),""),""),""),IF($D$3="Double",IF(22&lt;=INT(COUNTA('Open 30M - Scoring'!$B$6:$B$1000)/2),IFERROR(IF(ISNUMBER(MATCH(22,'Open 30M - Scoring'!$BB:$BB,0)),IFERROR(INDEX('Open 30M - Scoring'!$B:$B,MATCH(22,'Open 30M - Scoring'!$BB:$BB,0)),""),""),""),""),IF(22&lt;=INT(COUNTA('Open 30M - Scoring'!$B$6:$B$1000)/3),IFERROR(IF(ISNUMBER(MATCH(22,'Open 30M - Scoring'!$BB:$BB,0)),IFERROR(INDEX('Open 30M - Scoring'!$B:$B,MATCH(22,'Open 30M - Scoring'!$BB:$BB,0)),""),""),""),""))))</f>
        <v/>
      </c>
      <c r="E27" s="49" t="str">
        <f>IF($D$3="Individual","",IF($D$4="By Club",IFERROR("",""),IF($D$3="Double",IF(22&lt;=INT(COUNTA('Open 30M - Scoring'!$B$6:$B$1000)/2),IFERROR(IF(ISNUMBER(MATCH((COUNTA('Open 30M - Scoring'!$B$6:$B$1000)-MOD(COUNTA('Open 30M - Scoring'!$B$6:$B$1000),2))+1-22,'Open 30M - Scoring'!$BB:$BB,0)),IFERROR(INDEX('Open 30M - Scoring'!$B:$B,MATCH((COUNTA('Open 30M - Scoring'!$B$6:$B$1000)-MOD(COUNTA('Open 30M - Scoring'!$B$6:$B$1000),2))+1-22,'Open 30M - Scoring'!$BB:$BB,0)),""),""),""),""),IF(22&lt;=INT(COUNTA('Open 30M - Scoring'!$B$6:$B$1000)/3),IFERROR(IF(ISNUMBER(MATCH((COUNTA('Open 30M - Scoring'!$B$6:$B$1000)-MOD(COUNTA('Open 30M - Scoring'!$B$6:$B$1000),3))+1-22,'Open 30M - Scoring'!$BB:$BB,0)),IFERROR(INDEX('Open 30M - Scoring'!$B:$B,MATCH((COUNTA('Open 30M - Scoring'!$B$6:$B$1000)-MOD(COUNTA('Open 30M - Scoring'!$B$6:$B$1000),3))+1-22,'Open 30M - Scoring'!$BB:$BB,0)),""),""),""),""))))</f>
        <v/>
      </c>
      <c r="F27" s="49" t="str">
        <f>IF($D$3&lt;&gt;"Team (3 archers)","",IF($D$4="By Club",IFERROR("",""),IF(22&lt;=INT(COUNTA('Open 30M - Scoring'!$B$6:$B$1000)/3),IFERROR(IF(ISNUMBER(MATCH(INT((COUNTA('Open 30M - Scoring'!$B$6:$B$1000)-MOD(COUNTA('Open 30M - Scoring'!$B$6:$B$1000),3))/3)+22,'Open 30M - Scoring'!$BB:$BB,0)),IFERROR(INDEX('Open 30M - Scoring'!$B:$B,MATCH(INT((COUNTA('Open 30M - Scoring'!$B$6:$B$1000)-MOD(COUNTA('Open 30M - Scoring'!$B$6:$B$1000),3))/3)+22,'Open 30M - Scoring'!$BB:$BB,0)),""),""),""),"")))</f>
        <v/>
      </c>
      <c r="G27" s="50">
        <f>IFERROR(IF(D27&lt;&gt;"",VLOOKUP(D27,'Open 30M - Scoring'!$B:$AV,47,0),0),0)</f>
        <v>0</v>
      </c>
      <c r="H27" s="50">
        <f>IFERROR(IF(AND(OR($D$3="Double",$D$3="Team (3 archers)"),E27&lt;&gt;""),VLOOKUP(E27,'Open 30M - Scoring'!$B:$AV,47,0),0),0)</f>
        <v>0</v>
      </c>
      <c r="I27" s="50">
        <f>IFERROR(IF(AND($D$3="Team (3 archers)",F27&lt;&gt;""),VLOOKUP(F27,'Open 30M - Scoring'!$B:$AV,47,0),0),0)</f>
        <v>0</v>
      </c>
      <c r="J27" s="51" t="str">
        <f t="shared" si="1"/>
        <v/>
      </c>
      <c r="K27" s="52" t="str">
        <f>IF(D27&lt;&gt;"",IFERROR(IF(D27&lt;&gt;"",VLOOKUP(D27,'Open 30M - Scoring'!$B:$BA,52,0),0),0)+IFERROR(IF(AND(OR($D$3="Double",$D$3="Team (3 archers)"),E27&lt;&gt;""),VLOOKUP(E27,'Open 30M - Scoring'!$B:$BA,52,0),0),0)+IFERROR(IF(AND($D$3="Team (3 archers)",F27&lt;&gt;""),VLOOKUP(F27,'Open 30M - Scoring'!$B:$BA,52,0),0),0),"")</f>
        <v/>
      </c>
      <c r="L27" s="40" t="s">
        <v>155</v>
      </c>
      <c r="M27" s="54" t="str">
        <f t="shared" si="2"/>
        <v/>
      </c>
      <c r="N27" s="55"/>
    </row>
    <row r="28" spans="1:14" ht="21.75" customHeight="1" x14ac:dyDescent="0.35">
      <c r="A28" s="46">
        <f>IF($D$3="Individual",IFERROR(VLOOKUP(D28,'Open 30M - Scoring'!$B:$BB,53,0),99),IF(J28&lt;&gt;"",SUMPRODUCT((J$6:J$1000&gt;J28)*ISNUMBER(J$6:J$1000))+1+SUMPRODUCT((J$6:J$1000=J28)*(K$6:K$1000&gt;K28)*ISNUMBER(J$6:J$1000)*ISNUMBER(K$6:K$1000))+SUMPRODUCT((J$6:J$1000=J28)*(K$6:K$1000=K28)*(ROW(J$6:J$1000)&lt;28)*ISNUMBER(J$6:J$1000)),""))</f>
        <v>99</v>
      </c>
      <c r="B28" s="20" t="str">
        <f t="shared" si="0"/>
        <v/>
      </c>
      <c r="C28" s="47" t="str">
        <f>IFERROR(IF(D28&lt;&gt;"",VLOOKUP(D28,'Open 30M - Scoring'!$B:$D,3,0),""),"")</f>
        <v/>
      </c>
      <c r="D28" s="48" t="str">
        <f>IF($D$4="By Club",IFERROR("",""),IF($D$3="Individual",IF(23&lt;=COUNTA('Open 30M - Scoring'!$B$6:$B$1000),IFERROR(IF(ISNUMBER(MATCH(23,'Open 30M - Scoring'!$BB:$BB,0)),IFERROR(INDEX('Open 30M - Scoring'!$B:$B,MATCH(23,'Open 30M - Scoring'!$BB:$BB,0)),""),""),""),""),IF($D$3="Double",IF(23&lt;=INT(COUNTA('Open 30M - Scoring'!$B$6:$B$1000)/2),IFERROR(IF(ISNUMBER(MATCH(23,'Open 30M - Scoring'!$BB:$BB,0)),IFERROR(INDEX('Open 30M - Scoring'!$B:$B,MATCH(23,'Open 30M - Scoring'!$BB:$BB,0)),""),""),""),""),IF(23&lt;=INT(COUNTA('Open 30M - Scoring'!$B$6:$B$1000)/3),IFERROR(IF(ISNUMBER(MATCH(23,'Open 30M - Scoring'!$BB:$BB,0)),IFERROR(INDEX('Open 30M - Scoring'!$B:$B,MATCH(23,'Open 30M - Scoring'!$BB:$BB,0)),""),""),""),""))))</f>
        <v/>
      </c>
      <c r="E28" s="49" t="str">
        <f>IF($D$3="Individual","",IF($D$4="By Club",IFERROR("",""),IF($D$3="Double",IF(23&lt;=INT(COUNTA('Open 30M - Scoring'!$B$6:$B$1000)/2),IFERROR(IF(ISNUMBER(MATCH((COUNTA('Open 30M - Scoring'!$B$6:$B$1000)-MOD(COUNTA('Open 30M - Scoring'!$B$6:$B$1000),2))+1-23,'Open 30M - Scoring'!$BB:$BB,0)),IFERROR(INDEX('Open 30M - Scoring'!$B:$B,MATCH((COUNTA('Open 30M - Scoring'!$B$6:$B$1000)-MOD(COUNTA('Open 30M - Scoring'!$B$6:$B$1000),2))+1-23,'Open 30M - Scoring'!$BB:$BB,0)),""),""),""),""),IF(23&lt;=INT(COUNTA('Open 30M - Scoring'!$B$6:$B$1000)/3),IFERROR(IF(ISNUMBER(MATCH((COUNTA('Open 30M - Scoring'!$B$6:$B$1000)-MOD(COUNTA('Open 30M - Scoring'!$B$6:$B$1000),3))+1-23,'Open 30M - Scoring'!$BB:$BB,0)),IFERROR(INDEX('Open 30M - Scoring'!$B:$B,MATCH((COUNTA('Open 30M - Scoring'!$B$6:$B$1000)-MOD(COUNTA('Open 30M - Scoring'!$B$6:$B$1000),3))+1-23,'Open 30M - Scoring'!$BB:$BB,0)),""),""),""),""))))</f>
        <v/>
      </c>
      <c r="F28" s="49" t="str">
        <f>IF($D$3&lt;&gt;"Team (3 archers)","",IF($D$4="By Club",IFERROR("",""),IF(23&lt;=INT(COUNTA('Open 30M - Scoring'!$B$6:$B$1000)/3),IFERROR(IF(ISNUMBER(MATCH(INT((COUNTA('Open 30M - Scoring'!$B$6:$B$1000)-MOD(COUNTA('Open 30M - Scoring'!$B$6:$B$1000),3))/3)+23,'Open 30M - Scoring'!$BB:$BB,0)),IFERROR(INDEX('Open 30M - Scoring'!$B:$B,MATCH(INT((COUNTA('Open 30M - Scoring'!$B$6:$B$1000)-MOD(COUNTA('Open 30M - Scoring'!$B$6:$B$1000),3))/3)+23,'Open 30M - Scoring'!$BB:$BB,0)),""),""),""),"")))</f>
        <v/>
      </c>
      <c r="G28" s="50">
        <f>IFERROR(IF(D28&lt;&gt;"",VLOOKUP(D28,'Open 30M - Scoring'!$B:$AV,47,0),0),0)</f>
        <v>0</v>
      </c>
      <c r="H28" s="50">
        <f>IFERROR(IF(AND(OR($D$3="Double",$D$3="Team (3 archers)"),E28&lt;&gt;""),VLOOKUP(E28,'Open 30M - Scoring'!$B:$AV,47,0),0),0)</f>
        <v>0</v>
      </c>
      <c r="I28" s="50">
        <f>IFERROR(IF(AND($D$3="Team (3 archers)",F28&lt;&gt;""),VLOOKUP(F28,'Open 30M - Scoring'!$B:$AV,47,0),0),0)</f>
        <v>0</v>
      </c>
      <c r="J28" s="51" t="str">
        <f t="shared" si="1"/>
        <v/>
      </c>
      <c r="K28" s="52" t="str">
        <f>IF(D28&lt;&gt;"",IFERROR(IF(D28&lt;&gt;"",VLOOKUP(D28,'Open 30M - Scoring'!$B:$BA,52,0),0),0)+IFERROR(IF(AND(OR($D$3="Double",$D$3="Team (3 archers)"),E28&lt;&gt;""),VLOOKUP(E28,'Open 30M - Scoring'!$B:$BA,52,0),0),0)+IFERROR(IF(AND($D$3="Team (3 archers)",F28&lt;&gt;""),VLOOKUP(F28,'Open 30M - Scoring'!$B:$BA,52,0),0),0),"")</f>
        <v/>
      </c>
      <c r="L28" s="53" t="s">
        <v>155</v>
      </c>
      <c r="M28" s="54" t="str">
        <f t="shared" si="2"/>
        <v/>
      </c>
      <c r="N28" s="55"/>
    </row>
    <row r="29" spans="1:14" ht="21.75" customHeight="1" x14ac:dyDescent="0.35">
      <c r="A29" s="46">
        <f>IF($D$3="Individual",IFERROR(VLOOKUP(D29,'Open 30M - Scoring'!$B:$BB,53,0),99),IF(J29&lt;&gt;"",SUMPRODUCT((J$6:J$1000&gt;J29)*ISNUMBER(J$6:J$1000))+1+SUMPRODUCT((J$6:J$1000=J29)*(K$6:K$1000&gt;K29)*ISNUMBER(J$6:J$1000)*ISNUMBER(K$6:K$1000))+SUMPRODUCT((J$6:J$1000=J29)*(K$6:K$1000=K29)*(ROW(J$6:J$1000)&lt;29)*ISNUMBER(J$6:J$1000)),""))</f>
        <v>99</v>
      </c>
      <c r="B29" s="20" t="str">
        <f t="shared" si="0"/>
        <v/>
      </c>
      <c r="C29" s="47" t="str">
        <f>IFERROR(IF(D29&lt;&gt;"",VLOOKUP(D29,'Open 30M - Scoring'!$B:$D,3,0),""),"")</f>
        <v/>
      </c>
      <c r="D29" s="48" t="str">
        <f>IF($D$4="By Club",IFERROR("",""),IF($D$3="Individual",IF(24&lt;=COUNTA('Open 30M - Scoring'!$B$6:$B$1000),IFERROR(IF(ISNUMBER(MATCH(24,'Open 30M - Scoring'!$BB:$BB,0)),IFERROR(INDEX('Open 30M - Scoring'!$B:$B,MATCH(24,'Open 30M - Scoring'!$BB:$BB,0)),""),""),""),""),IF($D$3="Double",IF(24&lt;=INT(COUNTA('Open 30M - Scoring'!$B$6:$B$1000)/2),IFERROR(IF(ISNUMBER(MATCH(24,'Open 30M - Scoring'!$BB:$BB,0)),IFERROR(INDEX('Open 30M - Scoring'!$B:$B,MATCH(24,'Open 30M - Scoring'!$BB:$BB,0)),""),""),""),""),IF(24&lt;=INT(COUNTA('Open 30M - Scoring'!$B$6:$B$1000)/3),IFERROR(IF(ISNUMBER(MATCH(24,'Open 30M - Scoring'!$BB:$BB,0)),IFERROR(INDEX('Open 30M - Scoring'!$B:$B,MATCH(24,'Open 30M - Scoring'!$BB:$BB,0)),""),""),""),""))))</f>
        <v/>
      </c>
      <c r="E29" s="49" t="str">
        <f>IF($D$3="Individual","",IF($D$4="By Club",IFERROR("",""),IF($D$3="Double",IF(24&lt;=INT(COUNTA('Open 30M - Scoring'!$B$6:$B$1000)/2),IFERROR(IF(ISNUMBER(MATCH((COUNTA('Open 30M - Scoring'!$B$6:$B$1000)-MOD(COUNTA('Open 30M - Scoring'!$B$6:$B$1000),2))+1-24,'Open 30M - Scoring'!$BB:$BB,0)),IFERROR(INDEX('Open 30M - Scoring'!$B:$B,MATCH((COUNTA('Open 30M - Scoring'!$B$6:$B$1000)-MOD(COUNTA('Open 30M - Scoring'!$B$6:$B$1000),2))+1-24,'Open 30M - Scoring'!$BB:$BB,0)),""),""),""),""),IF(24&lt;=INT(COUNTA('Open 30M - Scoring'!$B$6:$B$1000)/3),IFERROR(IF(ISNUMBER(MATCH((COUNTA('Open 30M - Scoring'!$B$6:$B$1000)-MOD(COUNTA('Open 30M - Scoring'!$B$6:$B$1000),3))+1-24,'Open 30M - Scoring'!$BB:$BB,0)),IFERROR(INDEX('Open 30M - Scoring'!$B:$B,MATCH((COUNTA('Open 30M - Scoring'!$B$6:$B$1000)-MOD(COUNTA('Open 30M - Scoring'!$B$6:$B$1000),3))+1-24,'Open 30M - Scoring'!$BB:$BB,0)),""),""),""),""))))</f>
        <v/>
      </c>
      <c r="F29" s="49" t="str">
        <f>IF($D$3&lt;&gt;"Team (3 archers)","",IF($D$4="By Club",IFERROR("",""),IF(24&lt;=INT(COUNTA('Open 30M - Scoring'!$B$6:$B$1000)/3),IFERROR(IF(ISNUMBER(MATCH(INT((COUNTA('Open 30M - Scoring'!$B$6:$B$1000)-MOD(COUNTA('Open 30M - Scoring'!$B$6:$B$1000),3))/3)+24,'Open 30M - Scoring'!$BB:$BB,0)),IFERROR(INDEX('Open 30M - Scoring'!$B:$B,MATCH(INT((COUNTA('Open 30M - Scoring'!$B$6:$B$1000)-MOD(COUNTA('Open 30M - Scoring'!$B$6:$B$1000),3))/3)+24,'Open 30M - Scoring'!$BB:$BB,0)),""),""),""),"")))</f>
        <v/>
      </c>
      <c r="G29" s="50">
        <f>IFERROR(IF(D29&lt;&gt;"",VLOOKUP(D29,'Open 30M - Scoring'!$B:$AV,47,0),0),0)</f>
        <v>0</v>
      </c>
      <c r="H29" s="50">
        <f>IFERROR(IF(AND(OR($D$3="Double",$D$3="Team (3 archers)"),E29&lt;&gt;""),VLOOKUP(E29,'Open 30M - Scoring'!$B:$AV,47,0),0),0)</f>
        <v>0</v>
      </c>
      <c r="I29" s="50">
        <f>IFERROR(IF(AND($D$3="Team (3 archers)",F29&lt;&gt;""),VLOOKUP(F29,'Open 30M - Scoring'!$B:$AV,47,0),0),0)</f>
        <v>0</v>
      </c>
      <c r="J29" s="51" t="str">
        <f t="shared" si="1"/>
        <v/>
      </c>
      <c r="K29" s="52" t="str">
        <f>IF(D29&lt;&gt;"",IFERROR(IF(D29&lt;&gt;"",VLOOKUP(D29,'Open 30M - Scoring'!$B:$BA,52,0),0),0)+IFERROR(IF(AND(OR($D$3="Double",$D$3="Team (3 archers)"),E29&lt;&gt;""),VLOOKUP(E29,'Open 30M - Scoring'!$B:$BA,52,0),0),0)+IFERROR(IF(AND($D$3="Team (3 archers)",F29&lt;&gt;""),VLOOKUP(F29,'Open 30M - Scoring'!$B:$BA,52,0),0),0),"")</f>
        <v/>
      </c>
      <c r="L29" s="40" t="s">
        <v>155</v>
      </c>
      <c r="M29" s="54" t="str">
        <f t="shared" si="2"/>
        <v/>
      </c>
      <c r="N29" s="55"/>
    </row>
    <row r="30" spans="1:14" ht="21.75" customHeight="1" x14ac:dyDescent="0.35">
      <c r="A30" s="46">
        <f>IF($D$3="Individual",IFERROR(VLOOKUP(D30,'Open 30M - Scoring'!$B:$BB,53,0),99),IF(J30&lt;&gt;"",SUMPRODUCT((J$6:J$1000&gt;J30)*ISNUMBER(J$6:J$1000))+1+SUMPRODUCT((J$6:J$1000=J30)*(K$6:K$1000&gt;K30)*ISNUMBER(J$6:J$1000)*ISNUMBER(K$6:K$1000))+SUMPRODUCT((J$6:J$1000=J30)*(K$6:K$1000=K30)*(ROW(J$6:J$1000)&lt;30)*ISNUMBER(J$6:J$1000)),""))</f>
        <v>99</v>
      </c>
      <c r="B30" s="20" t="str">
        <f t="shared" si="0"/>
        <v/>
      </c>
      <c r="C30" s="47" t="str">
        <f>IFERROR(IF(D30&lt;&gt;"",VLOOKUP(D30,'Open 30M - Scoring'!$B:$D,3,0),""),"")</f>
        <v/>
      </c>
      <c r="D30" s="48" t="str">
        <f>IF($D$4="By Club",IFERROR("",""),IF($D$3="Individual",IF(25&lt;=COUNTA('Open 30M - Scoring'!$B$6:$B$1000),IFERROR(IF(ISNUMBER(MATCH(25,'Open 30M - Scoring'!$BB:$BB,0)),IFERROR(INDEX('Open 30M - Scoring'!$B:$B,MATCH(25,'Open 30M - Scoring'!$BB:$BB,0)),""),""),""),""),IF($D$3="Double",IF(25&lt;=INT(COUNTA('Open 30M - Scoring'!$B$6:$B$1000)/2),IFERROR(IF(ISNUMBER(MATCH(25,'Open 30M - Scoring'!$BB:$BB,0)),IFERROR(INDEX('Open 30M - Scoring'!$B:$B,MATCH(25,'Open 30M - Scoring'!$BB:$BB,0)),""),""),""),""),IF(25&lt;=INT(COUNTA('Open 30M - Scoring'!$B$6:$B$1000)/3),IFERROR(IF(ISNUMBER(MATCH(25,'Open 30M - Scoring'!$BB:$BB,0)),IFERROR(INDEX('Open 30M - Scoring'!$B:$B,MATCH(25,'Open 30M - Scoring'!$BB:$BB,0)),""),""),""),""))))</f>
        <v/>
      </c>
      <c r="E30" s="49" t="str">
        <f>IF($D$3="Individual","",IF($D$4="By Club",IFERROR("",""),IF($D$3="Double",IF(25&lt;=INT(COUNTA('Open 30M - Scoring'!$B$6:$B$1000)/2),IFERROR(IF(ISNUMBER(MATCH((COUNTA('Open 30M - Scoring'!$B$6:$B$1000)-MOD(COUNTA('Open 30M - Scoring'!$B$6:$B$1000),2))+1-25,'Open 30M - Scoring'!$BB:$BB,0)),IFERROR(INDEX('Open 30M - Scoring'!$B:$B,MATCH((COUNTA('Open 30M - Scoring'!$B$6:$B$1000)-MOD(COUNTA('Open 30M - Scoring'!$B$6:$B$1000),2))+1-25,'Open 30M - Scoring'!$BB:$BB,0)),""),""),""),""),IF(25&lt;=INT(COUNTA('Open 30M - Scoring'!$B$6:$B$1000)/3),IFERROR(IF(ISNUMBER(MATCH((COUNTA('Open 30M - Scoring'!$B$6:$B$1000)-MOD(COUNTA('Open 30M - Scoring'!$B$6:$B$1000),3))+1-25,'Open 30M - Scoring'!$BB:$BB,0)),IFERROR(INDEX('Open 30M - Scoring'!$B:$B,MATCH((COUNTA('Open 30M - Scoring'!$B$6:$B$1000)-MOD(COUNTA('Open 30M - Scoring'!$B$6:$B$1000),3))+1-25,'Open 30M - Scoring'!$BB:$BB,0)),""),""),""),""))))</f>
        <v/>
      </c>
      <c r="F30" s="49" t="str">
        <f>IF($D$3&lt;&gt;"Team (3 archers)","",IF($D$4="By Club",IFERROR("",""),IF(25&lt;=INT(COUNTA('Open 30M - Scoring'!$B$6:$B$1000)/3),IFERROR(IF(ISNUMBER(MATCH(INT((COUNTA('Open 30M - Scoring'!$B$6:$B$1000)-MOD(COUNTA('Open 30M - Scoring'!$B$6:$B$1000),3))/3)+25,'Open 30M - Scoring'!$BB:$BB,0)),IFERROR(INDEX('Open 30M - Scoring'!$B:$B,MATCH(INT((COUNTA('Open 30M - Scoring'!$B$6:$B$1000)-MOD(COUNTA('Open 30M - Scoring'!$B$6:$B$1000),3))/3)+25,'Open 30M - Scoring'!$BB:$BB,0)),""),""),""),"")))</f>
        <v/>
      </c>
      <c r="G30" s="50">
        <f>IFERROR(IF(D30&lt;&gt;"",VLOOKUP(D30,'Open 30M - Scoring'!$B:$AV,47,0),0),0)</f>
        <v>0</v>
      </c>
      <c r="H30" s="50">
        <f>IFERROR(IF(AND(OR($D$3="Double",$D$3="Team (3 archers)"),E30&lt;&gt;""),VLOOKUP(E30,'Open 30M - Scoring'!$B:$AV,47,0),0),0)</f>
        <v>0</v>
      </c>
      <c r="I30" s="50">
        <f>IFERROR(IF(AND($D$3="Team (3 archers)",F30&lt;&gt;""),VLOOKUP(F30,'Open 30M - Scoring'!$B:$AV,47,0),0),0)</f>
        <v>0</v>
      </c>
      <c r="J30" s="51" t="str">
        <f t="shared" si="1"/>
        <v/>
      </c>
      <c r="K30" s="52" t="str">
        <f>IF(D30&lt;&gt;"",IFERROR(IF(D30&lt;&gt;"",VLOOKUP(D30,'Open 30M - Scoring'!$B:$BA,52,0),0),0)+IFERROR(IF(AND(OR($D$3="Double",$D$3="Team (3 archers)"),E30&lt;&gt;""),VLOOKUP(E30,'Open 30M - Scoring'!$B:$BA,52,0),0),0)+IFERROR(IF(AND($D$3="Team (3 archers)",F30&lt;&gt;""),VLOOKUP(F30,'Open 30M - Scoring'!$B:$BA,52,0),0),0),"")</f>
        <v/>
      </c>
      <c r="L30" s="53" t="s">
        <v>155</v>
      </c>
      <c r="M30" s="54" t="str">
        <f t="shared" si="2"/>
        <v/>
      </c>
      <c r="N30" s="55"/>
    </row>
    <row r="31" spans="1:14" ht="21.75" customHeight="1" x14ac:dyDescent="0.35">
      <c r="A31" s="46">
        <f>IF($D$3="Individual",IFERROR(VLOOKUP(D31,'Open 30M - Scoring'!$B:$BB,53,0),99),IF(J31&lt;&gt;"",SUMPRODUCT((J$6:J$1000&gt;J31)*ISNUMBER(J$6:J$1000))+1+SUMPRODUCT((J$6:J$1000=J31)*(K$6:K$1000&gt;K31)*ISNUMBER(J$6:J$1000)*ISNUMBER(K$6:K$1000))+SUMPRODUCT((J$6:J$1000=J31)*(K$6:K$1000=K31)*(ROW(J$6:J$1000)&lt;31)*ISNUMBER(J$6:J$1000)),""))</f>
        <v>99</v>
      </c>
      <c r="B31" s="20" t="str">
        <f t="shared" si="0"/>
        <v/>
      </c>
      <c r="C31" s="47" t="str">
        <f>IFERROR(IF(D31&lt;&gt;"",VLOOKUP(D31,'Open 30M - Scoring'!$B:$D,3,0),""),"")</f>
        <v/>
      </c>
      <c r="D31" s="48" t="str">
        <f>IF($D$4="By Club",IFERROR("",""),IF($D$3="Individual",IF(26&lt;=COUNTA('Open 30M - Scoring'!$B$6:$B$1000),IFERROR(IF(ISNUMBER(MATCH(26,'Open 30M - Scoring'!$BB:$BB,0)),IFERROR(INDEX('Open 30M - Scoring'!$B:$B,MATCH(26,'Open 30M - Scoring'!$BB:$BB,0)),""),""),""),""),IF($D$3="Double",IF(26&lt;=INT(COUNTA('Open 30M - Scoring'!$B$6:$B$1000)/2),IFERROR(IF(ISNUMBER(MATCH(26,'Open 30M - Scoring'!$BB:$BB,0)),IFERROR(INDEX('Open 30M - Scoring'!$B:$B,MATCH(26,'Open 30M - Scoring'!$BB:$BB,0)),""),""),""),""),IF(26&lt;=INT(COUNTA('Open 30M - Scoring'!$B$6:$B$1000)/3),IFERROR(IF(ISNUMBER(MATCH(26,'Open 30M - Scoring'!$BB:$BB,0)),IFERROR(INDEX('Open 30M - Scoring'!$B:$B,MATCH(26,'Open 30M - Scoring'!$BB:$BB,0)),""),""),""),""))))</f>
        <v/>
      </c>
      <c r="E31" s="49" t="str">
        <f>IF($D$3="Individual","",IF($D$4="By Club",IFERROR("",""),IF($D$3="Double",IF(26&lt;=INT(COUNTA('Open 30M - Scoring'!$B$6:$B$1000)/2),IFERROR(IF(ISNUMBER(MATCH((COUNTA('Open 30M - Scoring'!$B$6:$B$1000)-MOD(COUNTA('Open 30M - Scoring'!$B$6:$B$1000),2))+1-26,'Open 30M - Scoring'!$BB:$BB,0)),IFERROR(INDEX('Open 30M - Scoring'!$B:$B,MATCH((COUNTA('Open 30M - Scoring'!$B$6:$B$1000)-MOD(COUNTA('Open 30M - Scoring'!$B$6:$B$1000),2))+1-26,'Open 30M - Scoring'!$BB:$BB,0)),""),""),""),""),IF(26&lt;=INT(COUNTA('Open 30M - Scoring'!$B$6:$B$1000)/3),IFERROR(IF(ISNUMBER(MATCH((COUNTA('Open 30M - Scoring'!$B$6:$B$1000)-MOD(COUNTA('Open 30M - Scoring'!$B$6:$B$1000),3))+1-26,'Open 30M - Scoring'!$BB:$BB,0)),IFERROR(INDEX('Open 30M - Scoring'!$B:$B,MATCH((COUNTA('Open 30M - Scoring'!$B$6:$B$1000)-MOD(COUNTA('Open 30M - Scoring'!$B$6:$B$1000),3))+1-26,'Open 30M - Scoring'!$BB:$BB,0)),""),""),""),""))))</f>
        <v/>
      </c>
      <c r="F31" s="49" t="str">
        <f>IF($D$3&lt;&gt;"Team (3 archers)","",IF($D$4="By Club",IFERROR("",""),IF(26&lt;=INT(COUNTA('Open 30M - Scoring'!$B$6:$B$1000)/3),IFERROR(IF(ISNUMBER(MATCH(INT((COUNTA('Open 30M - Scoring'!$B$6:$B$1000)-MOD(COUNTA('Open 30M - Scoring'!$B$6:$B$1000),3))/3)+26,'Open 30M - Scoring'!$BB:$BB,0)),IFERROR(INDEX('Open 30M - Scoring'!$B:$B,MATCH(INT((COUNTA('Open 30M - Scoring'!$B$6:$B$1000)-MOD(COUNTA('Open 30M - Scoring'!$B$6:$B$1000),3))/3)+26,'Open 30M - Scoring'!$BB:$BB,0)),""),""),""),"")))</f>
        <v/>
      </c>
      <c r="G31" s="50">
        <f>IFERROR(IF(D31&lt;&gt;"",VLOOKUP(D31,'Open 30M - Scoring'!$B:$AV,47,0),0),0)</f>
        <v>0</v>
      </c>
      <c r="H31" s="50">
        <f>IFERROR(IF(AND(OR($D$3="Double",$D$3="Team (3 archers)"),E31&lt;&gt;""),VLOOKUP(E31,'Open 30M - Scoring'!$B:$AV,47,0),0),0)</f>
        <v>0</v>
      </c>
      <c r="I31" s="50">
        <f>IFERROR(IF(AND($D$3="Team (3 archers)",F31&lt;&gt;""),VLOOKUP(F31,'Open 30M - Scoring'!$B:$AV,47,0),0),0)</f>
        <v>0</v>
      </c>
      <c r="J31" s="51" t="str">
        <f t="shared" si="1"/>
        <v/>
      </c>
      <c r="K31" s="52" t="str">
        <f>IF(D31&lt;&gt;"",IFERROR(IF(D31&lt;&gt;"",VLOOKUP(D31,'Open 30M - Scoring'!$B:$BA,52,0),0),0)+IFERROR(IF(AND(OR($D$3="Double",$D$3="Team (3 archers)"),E31&lt;&gt;""),VLOOKUP(E31,'Open 30M - Scoring'!$B:$BA,52,0),0),0)+IFERROR(IF(AND($D$3="Team (3 archers)",F31&lt;&gt;""),VLOOKUP(F31,'Open 30M - Scoring'!$B:$BA,52,0),0),0),"")</f>
        <v/>
      </c>
      <c r="L31" s="40" t="s">
        <v>155</v>
      </c>
      <c r="M31" s="54" t="str">
        <f t="shared" si="2"/>
        <v/>
      </c>
      <c r="N31" s="55"/>
    </row>
    <row r="32" spans="1:14" ht="21.75" customHeight="1" x14ac:dyDescent="0.35">
      <c r="A32" s="46">
        <f>IF($D$3="Individual",IFERROR(VLOOKUP(D32,'Open 30M - Scoring'!$B:$BB,53,0),99),IF(J32&lt;&gt;"",SUMPRODUCT((J$6:J$1000&gt;J32)*ISNUMBER(J$6:J$1000))+1+SUMPRODUCT((J$6:J$1000=J32)*(K$6:K$1000&gt;K32)*ISNUMBER(J$6:J$1000)*ISNUMBER(K$6:K$1000))+SUMPRODUCT((J$6:J$1000=J32)*(K$6:K$1000=K32)*(ROW(J$6:J$1000)&lt;32)*ISNUMBER(J$6:J$1000)),""))</f>
        <v>99</v>
      </c>
      <c r="B32" s="20" t="str">
        <f t="shared" si="0"/>
        <v/>
      </c>
      <c r="C32" s="47" t="str">
        <f>IFERROR(IF(D32&lt;&gt;"",VLOOKUP(D32,'Open 30M - Scoring'!$B:$D,3,0),""),"")</f>
        <v/>
      </c>
      <c r="D32" s="48" t="str">
        <f>IF($D$4="By Club",IFERROR("",""),IF($D$3="Individual",IF(27&lt;=COUNTA('Open 30M - Scoring'!$B$6:$B$1000),IFERROR(IF(ISNUMBER(MATCH(27,'Open 30M - Scoring'!$BB:$BB,0)),IFERROR(INDEX('Open 30M - Scoring'!$B:$B,MATCH(27,'Open 30M - Scoring'!$BB:$BB,0)),""),""),""),""),IF($D$3="Double",IF(27&lt;=INT(COUNTA('Open 30M - Scoring'!$B$6:$B$1000)/2),IFERROR(IF(ISNUMBER(MATCH(27,'Open 30M - Scoring'!$BB:$BB,0)),IFERROR(INDEX('Open 30M - Scoring'!$B:$B,MATCH(27,'Open 30M - Scoring'!$BB:$BB,0)),""),""),""),""),IF(27&lt;=INT(COUNTA('Open 30M - Scoring'!$B$6:$B$1000)/3),IFERROR(IF(ISNUMBER(MATCH(27,'Open 30M - Scoring'!$BB:$BB,0)),IFERROR(INDEX('Open 30M - Scoring'!$B:$B,MATCH(27,'Open 30M - Scoring'!$BB:$BB,0)),""),""),""),""))))</f>
        <v/>
      </c>
      <c r="E32" s="49" t="str">
        <f>IF($D$3="Individual","",IF($D$4="By Club",IFERROR("",""),IF($D$3="Double",IF(27&lt;=INT(COUNTA('Open 30M - Scoring'!$B$6:$B$1000)/2),IFERROR(IF(ISNUMBER(MATCH((COUNTA('Open 30M - Scoring'!$B$6:$B$1000)-MOD(COUNTA('Open 30M - Scoring'!$B$6:$B$1000),2))+1-27,'Open 30M - Scoring'!$BB:$BB,0)),IFERROR(INDEX('Open 30M - Scoring'!$B:$B,MATCH((COUNTA('Open 30M - Scoring'!$B$6:$B$1000)-MOD(COUNTA('Open 30M - Scoring'!$B$6:$B$1000),2))+1-27,'Open 30M - Scoring'!$BB:$BB,0)),""),""),""),""),IF(27&lt;=INT(COUNTA('Open 30M - Scoring'!$B$6:$B$1000)/3),IFERROR(IF(ISNUMBER(MATCH((COUNTA('Open 30M - Scoring'!$B$6:$B$1000)-MOD(COUNTA('Open 30M - Scoring'!$B$6:$B$1000),3))+1-27,'Open 30M - Scoring'!$BB:$BB,0)),IFERROR(INDEX('Open 30M - Scoring'!$B:$B,MATCH((COUNTA('Open 30M - Scoring'!$B$6:$B$1000)-MOD(COUNTA('Open 30M - Scoring'!$B$6:$B$1000),3))+1-27,'Open 30M - Scoring'!$BB:$BB,0)),""),""),""),""))))</f>
        <v/>
      </c>
      <c r="F32" s="49" t="str">
        <f>IF($D$3&lt;&gt;"Team (3 archers)","",IF($D$4="By Club",IFERROR("",""),IF(27&lt;=INT(COUNTA('Open 30M - Scoring'!$B$6:$B$1000)/3),IFERROR(IF(ISNUMBER(MATCH(INT((COUNTA('Open 30M - Scoring'!$B$6:$B$1000)-MOD(COUNTA('Open 30M - Scoring'!$B$6:$B$1000),3))/3)+27,'Open 30M - Scoring'!$BB:$BB,0)),IFERROR(INDEX('Open 30M - Scoring'!$B:$B,MATCH(INT((COUNTA('Open 30M - Scoring'!$B$6:$B$1000)-MOD(COUNTA('Open 30M - Scoring'!$B$6:$B$1000),3))/3)+27,'Open 30M - Scoring'!$BB:$BB,0)),""),""),""),"")))</f>
        <v/>
      </c>
      <c r="G32" s="50">
        <f>IFERROR(IF(D32&lt;&gt;"",VLOOKUP(D32,'Open 30M - Scoring'!$B:$AV,47,0),0),0)</f>
        <v>0</v>
      </c>
      <c r="H32" s="50">
        <f>IFERROR(IF(AND(OR($D$3="Double",$D$3="Team (3 archers)"),E32&lt;&gt;""),VLOOKUP(E32,'Open 30M - Scoring'!$B:$AV,47,0),0),0)</f>
        <v>0</v>
      </c>
      <c r="I32" s="50">
        <f>IFERROR(IF(AND($D$3="Team (3 archers)",F32&lt;&gt;""),VLOOKUP(F32,'Open 30M - Scoring'!$B:$AV,47,0),0),0)</f>
        <v>0</v>
      </c>
      <c r="J32" s="51" t="str">
        <f t="shared" si="1"/>
        <v/>
      </c>
      <c r="K32" s="52" t="str">
        <f>IF(D32&lt;&gt;"",IFERROR(IF(D32&lt;&gt;"",VLOOKUP(D32,'Open 30M - Scoring'!$B:$BA,52,0),0),0)+IFERROR(IF(AND(OR($D$3="Double",$D$3="Team (3 archers)"),E32&lt;&gt;""),VLOOKUP(E32,'Open 30M - Scoring'!$B:$BA,52,0),0),0)+IFERROR(IF(AND($D$3="Team (3 archers)",F32&lt;&gt;""),VLOOKUP(F32,'Open 30M - Scoring'!$B:$BA,52,0),0),0),"")</f>
        <v/>
      </c>
      <c r="L32" s="53" t="s">
        <v>155</v>
      </c>
      <c r="M32" s="54" t="str">
        <f t="shared" si="2"/>
        <v/>
      </c>
      <c r="N32" s="55"/>
    </row>
    <row r="33" spans="1:14" ht="21.75" customHeight="1" x14ac:dyDescent="0.35">
      <c r="A33" s="46">
        <f>IF($D$3="Individual",IFERROR(VLOOKUP(D33,'Open 30M - Scoring'!$B:$BB,53,0),99),IF(J33&lt;&gt;"",SUMPRODUCT((J$6:J$1000&gt;J33)*ISNUMBER(J$6:J$1000))+1+SUMPRODUCT((J$6:J$1000=J33)*(K$6:K$1000&gt;K33)*ISNUMBER(J$6:J$1000)*ISNUMBER(K$6:K$1000))+SUMPRODUCT((J$6:J$1000=J33)*(K$6:K$1000=K33)*(ROW(J$6:J$1000)&lt;33)*ISNUMBER(J$6:J$1000)),""))</f>
        <v>99</v>
      </c>
      <c r="B33" s="20" t="str">
        <f t="shared" si="0"/>
        <v/>
      </c>
      <c r="C33" s="47" t="str">
        <f>IFERROR(IF(D33&lt;&gt;"",VLOOKUP(D33,'Open 30M - Scoring'!$B:$D,3,0),""),"")</f>
        <v/>
      </c>
      <c r="D33" s="48" t="str">
        <f>IF($D$4="By Club",IFERROR("",""),IF($D$3="Individual",IF(28&lt;=COUNTA('Open 30M - Scoring'!$B$6:$B$1000),IFERROR(IF(ISNUMBER(MATCH(28,'Open 30M - Scoring'!$BB:$BB,0)),IFERROR(INDEX('Open 30M - Scoring'!$B:$B,MATCH(28,'Open 30M - Scoring'!$BB:$BB,0)),""),""),""),""),IF($D$3="Double",IF(28&lt;=INT(COUNTA('Open 30M - Scoring'!$B$6:$B$1000)/2),IFERROR(IF(ISNUMBER(MATCH(28,'Open 30M - Scoring'!$BB:$BB,0)),IFERROR(INDEX('Open 30M - Scoring'!$B:$B,MATCH(28,'Open 30M - Scoring'!$BB:$BB,0)),""),""),""),""),IF(28&lt;=INT(COUNTA('Open 30M - Scoring'!$B$6:$B$1000)/3),IFERROR(IF(ISNUMBER(MATCH(28,'Open 30M - Scoring'!$BB:$BB,0)),IFERROR(INDEX('Open 30M - Scoring'!$B:$B,MATCH(28,'Open 30M - Scoring'!$BB:$BB,0)),""),""),""),""))))</f>
        <v/>
      </c>
      <c r="E33" s="49" t="str">
        <f>IF($D$3="Individual","",IF($D$4="By Club",IFERROR("",""),IF($D$3="Double",IF(28&lt;=INT(COUNTA('Open 30M - Scoring'!$B$6:$B$1000)/2),IFERROR(IF(ISNUMBER(MATCH((COUNTA('Open 30M - Scoring'!$B$6:$B$1000)-MOD(COUNTA('Open 30M - Scoring'!$B$6:$B$1000),2))+1-28,'Open 30M - Scoring'!$BB:$BB,0)),IFERROR(INDEX('Open 30M - Scoring'!$B:$B,MATCH((COUNTA('Open 30M - Scoring'!$B$6:$B$1000)-MOD(COUNTA('Open 30M - Scoring'!$B$6:$B$1000),2))+1-28,'Open 30M - Scoring'!$BB:$BB,0)),""),""),""),""),IF(28&lt;=INT(COUNTA('Open 30M - Scoring'!$B$6:$B$1000)/3),IFERROR(IF(ISNUMBER(MATCH((COUNTA('Open 30M - Scoring'!$B$6:$B$1000)-MOD(COUNTA('Open 30M - Scoring'!$B$6:$B$1000),3))+1-28,'Open 30M - Scoring'!$BB:$BB,0)),IFERROR(INDEX('Open 30M - Scoring'!$B:$B,MATCH((COUNTA('Open 30M - Scoring'!$B$6:$B$1000)-MOD(COUNTA('Open 30M - Scoring'!$B$6:$B$1000),3))+1-28,'Open 30M - Scoring'!$BB:$BB,0)),""),""),""),""))))</f>
        <v/>
      </c>
      <c r="F33" s="49" t="str">
        <f>IF($D$3&lt;&gt;"Team (3 archers)","",IF($D$4="By Club",IFERROR("",""),IF(28&lt;=INT(COUNTA('Open 30M - Scoring'!$B$6:$B$1000)/3),IFERROR(IF(ISNUMBER(MATCH(INT((COUNTA('Open 30M - Scoring'!$B$6:$B$1000)-MOD(COUNTA('Open 30M - Scoring'!$B$6:$B$1000),3))/3)+28,'Open 30M - Scoring'!$BB:$BB,0)),IFERROR(INDEX('Open 30M - Scoring'!$B:$B,MATCH(INT((COUNTA('Open 30M - Scoring'!$B$6:$B$1000)-MOD(COUNTA('Open 30M - Scoring'!$B$6:$B$1000),3))/3)+28,'Open 30M - Scoring'!$BB:$BB,0)),""),""),""),"")))</f>
        <v/>
      </c>
      <c r="G33" s="50">
        <f>IFERROR(IF(D33&lt;&gt;"",VLOOKUP(D33,'Open 30M - Scoring'!$B:$AV,47,0),0),0)</f>
        <v>0</v>
      </c>
      <c r="H33" s="50">
        <f>IFERROR(IF(AND(OR($D$3="Double",$D$3="Team (3 archers)"),E33&lt;&gt;""),VLOOKUP(E33,'Open 30M - Scoring'!$B:$AV,47,0),0),0)</f>
        <v>0</v>
      </c>
      <c r="I33" s="50">
        <f>IFERROR(IF(AND($D$3="Team (3 archers)",F33&lt;&gt;""),VLOOKUP(F33,'Open 30M - Scoring'!$B:$AV,47,0),0),0)</f>
        <v>0</v>
      </c>
      <c r="J33" s="51" t="str">
        <f t="shared" si="1"/>
        <v/>
      </c>
      <c r="K33" s="52" t="str">
        <f>IF(D33&lt;&gt;"",IFERROR(IF(D33&lt;&gt;"",VLOOKUP(D33,'Open 30M - Scoring'!$B:$BA,52,0),0),0)+IFERROR(IF(AND(OR($D$3="Double",$D$3="Team (3 archers)"),E33&lt;&gt;""),VLOOKUP(E33,'Open 30M - Scoring'!$B:$BA,52,0),0),0)+IFERROR(IF(AND($D$3="Team (3 archers)",F33&lt;&gt;""),VLOOKUP(F33,'Open 30M - Scoring'!$B:$BA,52,0),0),0),"")</f>
        <v/>
      </c>
      <c r="L33" s="40" t="s">
        <v>155</v>
      </c>
      <c r="M33" s="54" t="str">
        <f t="shared" si="2"/>
        <v/>
      </c>
      <c r="N33" s="55"/>
    </row>
    <row r="34" spans="1:14" ht="21.75" customHeight="1" x14ac:dyDescent="0.35">
      <c r="A34" s="46">
        <f>IF($D$3="Individual",IFERROR(VLOOKUP(D34,'Open 30M - Scoring'!$B:$BB,53,0),99),IF(J34&lt;&gt;"",SUMPRODUCT((J$6:J$1000&gt;J34)*ISNUMBER(J$6:J$1000))+1+SUMPRODUCT((J$6:J$1000=J34)*(K$6:K$1000&gt;K34)*ISNUMBER(J$6:J$1000)*ISNUMBER(K$6:K$1000))+SUMPRODUCT((J$6:J$1000=J34)*(K$6:K$1000=K34)*(ROW(J$6:J$1000)&lt;34)*ISNUMBER(J$6:J$1000)),""))</f>
        <v>99</v>
      </c>
      <c r="B34" s="20" t="str">
        <f t="shared" si="0"/>
        <v/>
      </c>
      <c r="C34" s="47" t="str">
        <f>IFERROR(IF(D34&lt;&gt;"",VLOOKUP(D34,'Open 30M - Scoring'!$B:$D,3,0),""),"")</f>
        <v/>
      </c>
      <c r="D34" s="48" t="str">
        <f>IF($D$4="By Club",IFERROR("",""),IF($D$3="Individual",IF(29&lt;=COUNTA('Open 30M - Scoring'!$B$6:$B$1000),IFERROR(IF(ISNUMBER(MATCH(29,'Open 30M - Scoring'!$BB:$BB,0)),IFERROR(INDEX('Open 30M - Scoring'!$B:$B,MATCH(29,'Open 30M - Scoring'!$BB:$BB,0)),""),""),""),""),IF($D$3="Double",IF(29&lt;=INT(COUNTA('Open 30M - Scoring'!$B$6:$B$1000)/2),IFERROR(IF(ISNUMBER(MATCH(29,'Open 30M - Scoring'!$BB:$BB,0)),IFERROR(INDEX('Open 30M - Scoring'!$B:$B,MATCH(29,'Open 30M - Scoring'!$BB:$BB,0)),""),""),""),""),IF(29&lt;=INT(COUNTA('Open 30M - Scoring'!$B$6:$B$1000)/3),IFERROR(IF(ISNUMBER(MATCH(29,'Open 30M - Scoring'!$BB:$BB,0)),IFERROR(INDEX('Open 30M - Scoring'!$B:$B,MATCH(29,'Open 30M - Scoring'!$BB:$BB,0)),""),""),""),""))))</f>
        <v/>
      </c>
      <c r="E34" s="49" t="str">
        <f>IF($D$3="Individual","",IF($D$4="By Club",IFERROR("",""),IF($D$3="Double",IF(29&lt;=INT(COUNTA('Open 30M - Scoring'!$B$6:$B$1000)/2),IFERROR(IF(ISNUMBER(MATCH((COUNTA('Open 30M - Scoring'!$B$6:$B$1000)-MOD(COUNTA('Open 30M - Scoring'!$B$6:$B$1000),2))+1-29,'Open 30M - Scoring'!$BB:$BB,0)),IFERROR(INDEX('Open 30M - Scoring'!$B:$B,MATCH((COUNTA('Open 30M - Scoring'!$B$6:$B$1000)-MOD(COUNTA('Open 30M - Scoring'!$B$6:$B$1000),2))+1-29,'Open 30M - Scoring'!$BB:$BB,0)),""),""),""),""),IF(29&lt;=INT(COUNTA('Open 30M - Scoring'!$B$6:$B$1000)/3),IFERROR(IF(ISNUMBER(MATCH((COUNTA('Open 30M - Scoring'!$B$6:$B$1000)-MOD(COUNTA('Open 30M - Scoring'!$B$6:$B$1000),3))+1-29,'Open 30M - Scoring'!$BB:$BB,0)),IFERROR(INDEX('Open 30M - Scoring'!$B:$B,MATCH((COUNTA('Open 30M - Scoring'!$B$6:$B$1000)-MOD(COUNTA('Open 30M - Scoring'!$B$6:$B$1000),3))+1-29,'Open 30M - Scoring'!$BB:$BB,0)),""),""),""),""))))</f>
        <v/>
      </c>
      <c r="F34" s="49" t="str">
        <f>IF($D$3&lt;&gt;"Team (3 archers)","",IF($D$4="By Club",IFERROR("",""),IF(29&lt;=INT(COUNTA('Open 30M - Scoring'!$B$6:$B$1000)/3),IFERROR(IF(ISNUMBER(MATCH(INT((COUNTA('Open 30M - Scoring'!$B$6:$B$1000)-MOD(COUNTA('Open 30M - Scoring'!$B$6:$B$1000),3))/3)+29,'Open 30M - Scoring'!$BB:$BB,0)),IFERROR(INDEX('Open 30M - Scoring'!$B:$B,MATCH(INT((COUNTA('Open 30M - Scoring'!$B$6:$B$1000)-MOD(COUNTA('Open 30M - Scoring'!$B$6:$B$1000),3))/3)+29,'Open 30M - Scoring'!$BB:$BB,0)),""),""),""),"")))</f>
        <v/>
      </c>
      <c r="G34" s="50">
        <f>IFERROR(IF(D34&lt;&gt;"",VLOOKUP(D34,'Open 30M - Scoring'!$B:$AV,47,0),0),0)</f>
        <v>0</v>
      </c>
      <c r="H34" s="50">
        <f>IFERROR(IF(AND(OR($D$3="Double",$D$3="Team (3 archers)"),E34&lt;&gt;""),VLOOKUP(E34,'Open 30M - Scoring'!$B:$AV,47,0),0),0)</f>
        <v>0</v>
      </c>
      <c r="I34" s="50">
        <f>IFERROR(IF(AND($D$3="Team (3 archers)",F34&lt;&gt;""),VLOOKUP(F34,'Open 30M - Scoring'!$B:$AV,47,0),0),0)</f>
        <v>0</v>
      </c>
      <c r="J34" s="51" t="str">
        <f t="shared" si="1"/>
        <v/>
      </c>
      <c r="K34" s="52" t="str">
        <f>IF(D34&lt;&gt;"",IFERROR(IF(D34&lt;&gt;"",VLOOKUP(D34,'Open 30M - Scoring'!$B:$BA,52,0),0),0)+IFERROR(IF(AND(OR($D$3="Double",$D$3="Team (3 archers)"),E34&lt;&gt;""),VLOOKUP(E34,'Open 30M - Scoring'!$B:$BA,52,0),0),0)+IFERROR(IF(AND($D$3="Team (3 archers)",F34&lt;&gt;""),VLOOKUP(F34,'Open 30M - Scoring'!$B:$BA,52,0),0),0),"")</f>
        <v/>
      </c>
      <c r="L34" s="53" t="s">
        <v>155</v>
      </c>
      <c r="M34" s="54" t="str">
        <f t="shared" si="2"/>
        <v/>
      </c>
      <c r="N34" s="55"/>
    </row>
    <row r="35" spans="1:14" ht="21.75" customHeight="1" x14ac:dyDescent="0.35">
      <c r="A35" s="46">
        <f>IF($D$3="Individual",IFERROR(VLOOKUP(D35,'Open 30M - Scoring'!$B:$BB,53,0),99),IF(J35&lt;&gt;"",SUMPRODUCT((J$6:J$1000&gt;J35)*ISNUMBER(J$6:J$1000))+1+SUMPRODUCT((J$6:J$1000=J35)*(K$6:K$1000&gt;K35)*ISNUMBER(J$6:J$1000)*ISNUMBER(K$6:K$1000))+SUMPRODUCT((J$6:J$1000=J35)*(K$6:K$1000=K35)*(ROW(J$6:J$1000)&lt;35)*ISNUMBER(J$6:J$1000)),""))</f>
        <v>99</v>
      </c>
      <c r="B35" s="20" t="str">
        <f t="shared" si="0"/>
        <v/>
      </c>
      <c r="C35" s="47" t="str">
        <f>IFERROR(IF(D35&lt;&gt;"",VLOOKUP(D35,'Open 30M - Scoring'!$B:$D,3,0),""),"")</f>
        <v/>
      </c>
      <c r="D35" s="48" t="str">
        <f>IF($D$4="By Club",IFERROR("",""),IF($D$3="Individual",IF(30&lt;=COUNTA('Open 30M - Scoring'!$B$6:$B$1000),IFERROR(IF(ISNUMBER(MATCH(30,'Open 30M - Scoring'!$BB:$BB,0)),IFERROR(INDEX('Open 30M - Scoring'!$B:$B,MATCH(30,'Open 30M - Scoring'!$BB:$BB,0)),""),""),""),""),IF($D$3="Double",IF(30&lt;=INT(COUNTA('Open 30M - Scoring'!$B$6:$B$1000)/2),IFERROR(IF(ISNUMBER(MATCH(30,'Open 30M - Scoring'!$BB:$BB,0)),IFERROR(INDEX('Open 30M - Scoring'!$B:$B,MATCH(30,'Open 30M - Scoring'!$BB:$BB,0)),""),""),""),""),IF(30&lt;=INT(COUNTA('Open 30M - Scoring'!$B$6:$B$1000)/3),IFERROR(IF(ISNUMBER(MATCH(30,'Open 30M - Scoring'!$BB:$BB,0)),IFERROR(INDEX('Open 30M - Scoring'!$B:$B,MATCH(30,'Open 30M - Scoring'!$BB:$BB,0)),""),""),""),""))))</f>
        <v/>
      </c>
      <c r="E35" s="49" t="str">
        <f>IF($D$3="Individual","",IF($D$4="By Club",IFERROR("",""),IF($D$3="Double",IF(30&lt;=INT(COUNTA('Open 30M - Scoring'!$B$6:$B$1000)/2),IFERROR(IF(ISNUMBER(MATCH((COUNTA('Open 30M - Scoring'!$B$6:$B$1000)-MOD(COUNTA('Open 30M - Scoring'!$B$6:$B$1000),2))+1-30,'Open 30M - Scoring'!$BB:$BB,0)),IFERROR(INDEX('Open 30M - Scoring'!$B:$B,MATCH((COUNTA('Open 30M - Scoring'!$B$6:$B$1000)-MOD(COUNTA('Open 30M - Scoring'!$B$6:$B$1000),2))+1-30,'Open 30M - Scoring'!$BB:$BB,0)),""),""),""),""),IF(30&lt;=INT(COUNTA('Open 30M - Scoring'!$B$6:$B$1000)/3),IFERROR(IF(ISNUMBER(MATCH((COUNTA('Open 30M - Scoring'!$B$6:$B$1000)-MOD(COUNTA('Open 30M - Scoring'!$B$6:$B$1000),3))+1-30,'Open 30M - Scoring'!$BB:$BB,0)),IFERROR(INDEX('Open 30M - Scoring'!$B:$B,MATCH((COUNTA('Open 30M - Scoring'!$B$6:$B$1000)-MOD(COUNTA('Open 30M - Scoring'!$B$6:$B$1000),3))+1-30,'Open 30M - Scoring'!$BB:$BB,0)),""),""),""),""))))</f>
        <v/>
      </c>
      <c r="F35" s="49" t="str">
        <f>IF($D$3&lt;&gt;"Team (3 archers)","",IF($D$4="By Club",IFERROR("",""),IF(30&lt;=INT(COUNTA('Open 30M - Scoring'!$B$6:$B$1000)/3),IFERROR(IF(ISNUMBER(MATCH(INT((COUNTA('Open 30M - Scoring'!$B$6:$B$1000)-MOD(COUNTA('Open 30M - Scoring'!$B$6:$B$1000),3))/3)+30,'Open 30M - Scoring'!$BB:$BB,0)),IFERROR(INDEX('Open 30M - Scoring'!$B:$B,MATCH(INT((COUNTA('Open 30M - Scoring'!$B$6:$B$1000)-MOD(COUNTA('Open 30M - Scoring'!$B$6:$B$1000),3))/3)+30,'Open 30M - Scoring'!$BB:$BB,0)),""),""),""),"")))</f>
        <v/>
      </c>
      <c r="G35" s="50">
        <f>IFERROR(IF(D35&lt;&gt;"",VLOOKUP(D35,'Open 30M - Scoring'!$B:$AV,47,0),0),0)</f>
        <v>0</v>
      </c>
      <c r="H35" s="50">
        <f>IFERROR(IF(AND(OR($D$3="Double",$D$3="Team (3 archers)"),E35&lt;&gt;""),VLOOKUP(E35,'Open 30M - Scoring'!$B:$AV,47,0),0),0)</f>
        <v>0</v>
      </c>
      <c r="I35" s="50">
        <f>IFERROR(IF(AND($D$3="Team (3 archers)",F35&lt;&gt;""),VLOOKUP(F35,'Open 30M - Scoring'!$B:$AV,47,0),0),0)</f>
        <v>0</v>
      </c>
      <c r="J35" s="51" t="str">
        <f t="shared" si="1"/>
        <v/>
      </c>
      <c r="K35" s="52" t="str">
        <f>IF(D35&lt;&gt;"",IFERROR(IF(D35&lt;&gt;"",VLOOKUP(D35,'Open 30M - Scoring'!$B:$BA,52,0),0),0)+IFERROR(IF(AND(OR($D$3="Double",$D$3="Team (3 archers)"),E35&lt;&gt;""),VLOOKUP(E35,'Open 30M - Scoring'!$B:$BA,52,0),0),0)+IFERROR(IF(AND($D$3="Team (3 archers)",F35&lt;&gt;""),VLOOKUP(F35,'Open 30M - Scoring'!$B:$BA,52,0),0),0),"")</f>
        <v/>
      </c>
      <c r="L35" s="40" t="s">
        <v>155</v>
      </c>
      <c r="M35" s="54" t="str">
        <f t="shared" si="2"/>
        <v/>
      </c>
      <c r="N35" s="55"/>
    </row>
    <row r="36" spans="1:14" ht="21.75" customHeight="1" x14ac:dyDescent="0.35">
      <c r="A36" s="46">
        <f>IF($D$3="Individual",IFERROR(VLOOKUP(D36,'Open 30M - Scoring'!$B:$BB,53,0),99),IF(J36&lt;&gt;"",SUMPRODUCT((J$6:J$1000&gt;J36)*ISNUMBER(J$6:J$1000))+1+SUMPRODUCT((J$6:J$1000=J36)*(K$6:K$1000&gt;K36)*ISNUMBER(J$6:J$1000)*ISNUMBER(K$6:K$1000))+SUMPRODUCT((J$6:J$1000=J36)*(K$6:K$1000=K36)*(ROW(J$6:J$1000)&lt;36)*ISNUMBER(J$6:J$1000)),""))</f>
        <v>99</v>
      </c>
      <c r="B36" s="20" t="str">
        <f t="shared" si="0"/>
        <v/>
      </c>
      <c r="C36" s="47" t="str">
        <f>IFERROR(IF(D36&lt;&gt;"",VLOOKUP(D36,'Open 30M - Scoring'!$B:$D,3,0),""),"")</f>
        <v/>
      </c>
      <c r="D36" s="48" t="str">
        <f>IF($D$4="By Club",IFERROR("",""),IF($D$3="Individual",IF(31&lt;=COUNTA('Open 30M - Scoring'!$B$6:$B$1000),IFERROR(IF(ISNUMBER(MATCH(31,'Open 30M - Scoring'!$BB:$BB,0)),IFERROR(INDEX('Open 30M - Scoring'!$B:$B,MATCH(31,'Open 30M - Scoring'!$BB:$BB,0)),""),""),""),""),IF($D$3="Double",IF(31&lt;=INT(COUNTA('Open 30M - Scoring'!$B$6:$B$1000)/2),IFERROR(IF(ISNUMBER(MATCH(31,'Open 30M - Scoring'!$BB:$BB,0)),IFERROR(INDEX('Open 30M - Scoring'!$B:$B,MATCH(31,'Open 30M - Scoring'!$BB:$BB,0)),""),""),""),""),IF(31&lt;=INT(COUNTA('Open 30M - Scoring'!$B$6:$B$1000)/3),IFERROR(IF(ISNUMBER(MATCH(31,'Open 30M - Scoring'!$BB:$BB,0)),IFERROR(INDEX('Open 30M - Scoring'!$B:$B,MATCH(31,'Open 30M - Scoring'!$BB:$BB,0)),""),""),""),""))))</f>
        <v/>
      </c>
      <c r="E36" s="49" t="str">
        <f>IF($D$3="Individual","",IF($D$4="By Club",IFERROR("",""),IF($D$3="Double",IF(31&lt;=INT(COUNTA('Open 30M - Scoring'!$B$6:$B$1000)/2),IFERROR(IF(ISNUMBER(MATCH((COUNTA('Open 30M - Scoring'!$B$6:$B$1000)-MOD(COUNTA('Open 30M - Scoring'!$B$6:$B$1000),2))+1-31,'Open 30M - Scoring'!$BB:$BB,0)),IFERROR(INDEX('Open 30M - Scoring'!$B:$B,MATCH((COUNTA('Open 30M - Scoring'!$B$6:$B$1000)-MOD(COUNTA('Open 30M - Scoring'!$B$6:$B$1000),2))+1-31,'Open 30M - Scoring'!$BB:$BB,0)),""),""),""),""),IF(31&lt;=INT(COUNTA('Open 30M - Scoring'!$B$6:$B$1000)/3),IFERROR(IF(ISNUMBER(MATCH((COUNTA('Open 30M - Scoring'!$B$6:$B$1000)-MOD(COUNTA('Open 30M - Scoring'!$B$6:$B$1000),3))+1-31,'Open 30M - Scoring'!$BB:$BB,0)),IFERROR(INDEX('Open 30M - Scoring'!$B:$B,MATCH((COUNTA('Open 30M - Scoring'!$B$6:$B$1000)-MOD(COUNTA('Open 30M - Scoring'!$B$6:$B$1000),3))+1-31,'Open 30M - Scoring'!$BB:$BB,0)),""),""),""),""))))</f>
        <v/>
      </c>
      <c r="F36" s="49" t="str">
        <f>IF($D$3&lt;&gt;"Team (3 archers)","",IF($D$4="By Club",IFERROR("",""),IF(31&lt;=INT(COUNTA('Open 30M - Scoring'!$B$6:$B$1000)/3),IFERROR(IF(ISNUMBER(MATCH(INT((COUNTA('Open 30M - Scoring'!$B$6:$B$1000)-MOD(COUNTA('Open 30M - Scoring'!$B$6:$B$1000),3))/3)+31,'Open 30M - Scoring'!$BB:$BB,0)),IFERROR(INDEX('Open 30M - Scoring'!$B:$B,MATCH(INT((COUNTA('Open 30M - Scoring'!$B$6:$B$1000)-MOD(COUNTA('Open 30M - Scoring'!$B$6:$B$1000),3))/3)+31,'Open 30M - Scoring'!$BB:$BB,0)),""),""),""),"")))</f>
        <v/>
      </c>
      <c r="G36" s="50">
        <f>IFERROR(IF(D36&lt;&gt;"",VLOOKUP(D36,'Open 30M - Scoring'!$B:$AV,47,0),0),0)</f>
        <v>0</v>
      </c>
      <c r="H36" s="50">
        <f>IFERROR(IF(AND(OR($D$3="Double",$D$3="Team (3 archers)"),E36&lt;&gt;""),VLOOKUP(E36,'Open 30M - Scoring'!$B:$AV,47,0),0),0)</f>
        <v>0</v>
      </c>
      <c r="I36" s="50">
        <f>IFERROR(IF(AND($D$3="Team (3 archers)",F36&lt;&gt;""),VLOOKUP(F36,'Open 30M - Scoring'!$B:$AV,47,0),0),0)</f>
        <v>0</v>
      </c>
      <c r="J36" s="51" t="str">
        <f t="shared" si="1"/>
        <v/>
      </c>
      <c r="K36" s="52" t="str">
        <f>IF(D36&lt;&gt;"",IFERROR(IF(D36&lt;&gt;"",VLOOKUP(D36,'Open 30M - Scoring'!$B:$BA,52,0),0),0)+IFERROR(IF(AND(OR($D$3="Double",$D$3="Team (3 archers)"),E36&lt;&gt;""),VLOOKUP(E36,'Open 30M - Scoring'!$B:$BA,52,0),0),0)+IFERROR(IF(AND($D$3="Team (3 archers)",F36&lt;&gt;""),VLOOKUP(F36,'Open 30M - Scoring'!$B:$BA,52,0),0),0),"")</f>
        <v/>
      </c>
      <c r="L36" s="53" t="s">
        <v>155</v>
      </c>
      <c r="M36" s="54" t="str">
        <f t="shared" si="2"/>
        <v/>
      </c>
      <c r="N36" s="55"/>
    </row>
    <row r="37" spans="1:14" ht="21.75" customHeight="1" x14ac:dyDescent="0.35">
      <c r="A37" s="46">
        <f>IF($D$3="Individual",IFERROR(VLOOKUP(D37,'Open 30M - Scoring'!$B:$BB,53,0),99),IF(J37&lt;&gt;"",SUMPRODUCT((J$6:J$1000&gt;J37)*ISNUMBER(J$6:J$1000))+1+SUMPRODUCT((J$6:J$1000=J37)*(K$6:K$1000&gt;K37)*ISNUMBER(J$6:J$1000)*ISNUMBER(K$6:K$1000))+SUMPRODUCT((J$6:J$1000=J37)*(K$6:K$1000=K37)*(ROW(J$6:J$1000)&lt;37)*ISNUMBER(J$6:J$1000)),""))</f>
        <v>99</v>
      </c>
      <c r="B37" s="20" t="str">
        <f t="shared" si="0"/>
        <v/>
      </c>
      <c r="C37" s="47" t="str">
        <f>IFERROR(IF(D37&lt;&gt;"",VLOOKUP(D37,'Open 30M - Scoring'!$B:$D,3,0),""),"")</f>
        <v/>
      </c>
      <c r="D37" s="48" t="str">
        <f>IF($D$4="By Club",IFERROR("",""),IF($D$3="Individual",IF(32&lt;=COUNTA('Open 30M - Scoring'!$B$6:$B$1000),IFERROR(IF(ISNUMBER(MATCH(32,'Open 30M - Scoring'!$BB:$BB,0)),IFERROR(INDEX('Open 30M - Scoring'!$B:$B,MATCH(32,'Open 30M - Scoring'!$BB:$BB,0)),""),""),""),""),IF($D$3="Double",IF(32&lt;=INT(COUNTA('Open 30M - Scoring'!$B$6:$B$1000)/2),IFERROR(IF(ISNUMBER(MATCH(32,'Open 30M - Scoring'!$BB:$BB,0)),IFERROR(INDEX('Open 30M - Scoring'!$B:$B,MATCH(32,'Open 30M - Scoring'!$BB:$BB,0)),""),""),""),""),IF(32&lt;=INT(COUNTA('Open 30M - Scoring'!$B$6:$B$1000)/3),IFERROR(IF(ISNUMBER(MATCH(32,'Open 30M - Scoring'!$BB:$BB,0)),IFERROR(INDEX('Open 30M - Scoring'!$B:$B,MATCH(32,'Open 30M - Scoring'!$BB:$BB,0)),""),""),""),""))))</f>
        <v/>
      </c>
      <c r="E37" s="49" t="str">
        <f>IF($D$3="Individual","",IF($D$4="By Club",IFERROR("",""),IF($D$3="Double",IF(32&lt;=INT(COUNTA('Open 30M - Scoring'!$B$6:$B$1000)/2),IFERROR(IF(ISNUMBER(MATCH((COUNTA('Open 30M - Scoring'!$B$6:$B$1000)-MOD(COUNTA('Open 30M - Scoring'!$B$6:$B$1000),2))+1-32,'Open 30M - Scoring'!$BB:$BB,0)),IFERROR(INDEX('Open 30M - Scoring'!$B:$B,MATCH((COUNTA('Open 30M - Scoring'!$B$6:$B$1000)-MOD(COUNTA('Open 30M - Scoring'!$B$6:$B$1000),2))+1-32,'Open 30M - Scoring'!$BB:$BB,0)),""),""),""),""),IF(32&lt;=INT(COUNTA('Open 30M - Scoring'!$B$6:$B$1000)/3),IFERROR(IF(ISNUMBER(MATCH((COUNTA('Open 30M - Scoring'!$B$6:$B$1000)-MOD(COUNTA('Open 30M - Scoring'!$B$6:$B$1000),3))+1-32,'Open 30M - Scoring'!$BB:$BB,0)),IFERROR(INDEX('Open 30M - Scoring'!$B:$B,MATCH((COUNTA('Open 30M - Scoring'!$B$6:$B$1000)-MOD(COUNTA('Open 30M - Scoring'!$B$6:$B$1000),3))+1-32,'Open 30M - Scoring'!$BB:$BB,0)),""),""),""),""))))</f>
        <v/>
      </c>
      <c r="F37" s="49" t="str">
        <f>IF($D$3&lt;&gt;"Team (3 archers)","",IF($D$4="By Club",IFERROR("",""),IF(32&lt;=INT(COUNTA('Open 30M - Scoring'!$B$6:$B$1000)/3),IFERROR(IF(ISNUMBER(MATCH(INT((COUNTA('Open 30M - Scoring'!$B$6:$B$1000)-MOD(COUNTA('Open 30M - Scoring'!$B$6:$B$1000),3))/3)+32,'Open 30M - Scoring'!$BB:$BB,0)),IFERROR(INDEX('Open 30M - Scoring'!$B:$B,MATCH(INT((COUNTA('Open 30M - Scoring'!$B$6:$B$1000)-MOD(COUNTA('Open 30M - Scoring'!$B$6:$B$1000),3))/3)+32,'Open 30M - Scoring'!$BB:$BB,0)),""),""),""),"")))</f>
        <v/>
      </c>
      <c r="G37" s="50">
        <f>IFERROR(IF(D37&lt;&gt;"",VLOOKUP(D37,'Open 30M - Scoring'!$B:$AV,47,0),0),0)</f>
        <v>0</v>
      </c>
      <c r="H37" s="50">
        <f>IFERROR(IF(AND(OR($D$3="Double",$D$3="Team (3 archers)"),E37&lt;&gt;""),VLOOKUP(E37,'Open 30M - Scoring'!$B:$AV,47,0),0),0)</f>
        <v>0</v>
      </c>
      <c r="I37" s="50">
        <f>IFERROR(IF(AND($D$3="Team (3 archers)",F37&lt;&gt;""),VLOOKUP(F37,'Open 30M - Scoring'!$B:$AV,47,0),0),0)</f>
        <v>0</v>
      </c>
      <c r="J37" s="51" t="str">
        <f t="shared" si="1"/>
        <v/>
      </c>
      <c r="K37" s="52" t="str">
        <f>IF(D37&lt;&gt;"",IFERROR(IF(D37&lt;&gt;"",VLOOKUP(D37,'Open 30M - Scoring'!$B:$BA,52,0),0),0)+IFERROR(IF(AND(OR($D$3="Double",$D$3="Team (3 archers)"),E37&lt;&gt;""),VLOOKUP(E37,'Open 30M - Scoring'!$B:$BA,52,0),0),0)+IFERROR(IF(AND($D$3="Team (3 archers)",F37&lt;&gt;""),VLOOKUP(F37,'Open 30M - Scoring'!$B:$BA,52,0),0),0),"")</f>
        <v/>
      </c>
      <c r="L37" s="40" t="s">
        <v>155</v>
      </c>
      <c r="M37" s="54" t="str">
        <f t="shared" si="2"/>
        <v/>
      </c>
      <c r="N37" s="55"/>
    </row>
    <row r="39" spans="1:14" ht="22.4" customHeight="1" x14ac:dyDescent="0.35">
      <c r="A39" s="4" t="s">
        <v>156</v>
      </c>
      <c r="B39" s="4"/>
      <c r="C39" s="4"/>
      <c r="D39" s="4"/>
      <c r="E39" s="4"/>
      <c r="F39" s="4"/>
      <c r="G39" s="4"/>
      <c r="H39" s="4"/>
      <c r="I39" s="4"/>
      <c r="J39" s="4"/>
      <c r="K39" s="4"/>
      <c r="L39" s="4"/>
      <c r="M39" s="4"/>
      <c r="N39" s="4"/>
    </row>
  </sheetData>
  <mergeCells count="7">
    <mergeCell ref="A39:N39"/>
    <mergeCell ref="A1:N1"/>
    <mergeCell ref="A2:N2"/>
    <mergeCell ref="A3:C3"/>
    <mergeCell ref="E3:N3"/>
    <mergeCell ref="A4:C4"/>
    <mergeCell ref="E4:N4"/>
  </mergeCells>
  <dataValidations count="3">
    <dataValidation type="list" sqref="D3" xr:uid="{00000000-0002-0000-0300-000000000000}">
      <formula1>"Individual,Double,Team (3 archers)"</formula1>
      <formula2>0</formula2>
    </dataValidation>
    <dataValidation type="list" sqref="D4" xr:uid="{00000000-0002-0000-0300-000001000000}">
      <formula1>"Custom (by rank),By Club"</formula1>
      <formula2>0</formula2>
    </dataValidation>
    <dataValidation type="list" sqref="L6:L37" xr:uid="{00000000-0002-0000-0300-000002000000}">
      <formula1>"No,Yes"</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62828"/>
  </sheetPr>
  <dimension ref="A1:IC48"/>
  <sheetViews>
    <sheetView zoomScaleNormal="100" workbookViewId="0"/>
  </sheetViews>
  <sheetFormatPr defaultColWidth="8.6328125" defaultRowHeight="14.5" x14ac:dyDescent="0.35"/>
  <cols>
    <col min="1" max="1" width="4" customWidth="1"/>
    <col min="2" max="4" width="6" customWidth="1"/>
    <col min="5" max="7" width="3" customWidth="1"/>
    <col min="8" max="13" width="2.26953125" customWidth="1"/>
    <col min="14" max="14" width="5" customWidth="1"/>
    <col min="15" max="20" width="2.26953125" customWidth="1"/>
    <col min="21" max="21" width="5" customWidth="1"/>
    <col min="22" max="27" width="2.26953125" customWidth="1"/>
    <col min="28" max="28" width="5" customWidth="1"/>
    <col min="29" max="34" width="2.26953125" customWidth="1"/>
    <col min="35" max="35" width="5" customWidth="1"/>
    <col min="36" max="41" width="2.26953125" customWidth="1"/>
    <col min="42" max="42" width="5" customWidth="1"/>
    <col min="43" max="48" width="2.26953125" customWidth="1"/>
    <col min="49" max="50" width="5" customWidth="1"/>
    <col min="51" max="51" width="4" customWidth="1"/>
    <col min="52" max="52" width="5" customWidth="1"/>
    <col min="53" max="53" width="8" customWidth="1"/>
    <col min="54" max="54" width="2" customWidth="1"/>
    <col min="55" max="55" width="11.54296875" hidden="1" customWidth="1"/>
    <col min="56" max="56" width="4" customWidth="1"/>
    <col min="57" max="59" width="6" customWidth="1"/>
    <col min="60" max="62" width="3" customWidth="1"/>
    <col min="63" max="68" width="2.26953125" customWidth="1"/>
    <col min="69" max="69" width="5" customWidth="1"/>
    <col min="70" max="75" width="2.26953125" customWidth="1"/>
    <col min="76" max="76" width="5" customWidth="1"/>
    <col min="77" max="82" width="2.26953125" customWidth="1"/>
    <col min="83" max="83" width="5" customWidth="1"/>
    <col min="84" max="89" width="2.26953125" customWidth="1"/>
    <col min="90" max="90" width="5" customWidth="1"/>
    <col min="91" max="96" width="2.26953125" customWidth="1"/>
    <col min="97" max="97" width="5" customWidth="1"/>
    <col min="98" max="103" width="2.26953125" customWidth="1"/>
    <col min="104" max="105" width="5" customWidth="1"/>
    <col min="106" max="106" width="4" customWidth="1"/>
    <col min="107" max="107" width="5" customWidth="1"/>
    <col min="108" max="108" width="8" customWidth="1"/>
    <col min="109" max="109" width="2" customWidth="1"/>
    <col min="110" max="110" width="11.54296875" hidden="1" customWidth="1"/>
    <col min="111" max="111" width="4" customWidth="1"/>
    <col min="112" max="114" width="6" customWidth="1"/>
    <col min="115" max="117" width="3" customWidth="1"/>
    <col min="118" max="123" width="2.26953125" customWidth="1"/>
    <col min="124" max="124" width="5" customWidth="1"/>
    <col min="125" max="130" width="2.26953125" customWidth="1"/>
    <col min="131" max="131" width="5" customWidth="1"/>
    <col min="132" max="137" width="2.26953125" customWidth="1"/>
    <col min="138" max="138" width="5" customWidth="1"/>
    <col min="139" max="144" width="2.26953125" customWidth="1"/>
    <col min="145" max="145" width="5" customWidth="1"/>
    <col min="146" max="151" width="2.26953125" customWidth="1"/>
    <col min="152" max="152" width="5" customWidth="1"/>
    <col min="153" max="158" width="2.26953125" customWidth="1"/>
    <col min="159" max="160" width="5" customWidth="1"/>
    <col min="161" max="161" width="4" customWidth="1"/>
    <col min="162" max="162" width="5" customWidth="1"/>
    <col min="163" max="163" width="8" customWidth="1"/>
    <col min="164" max="164" width="2" customWidth="1"/>
    <col min="165" max="165" width="11.54296875" hidden="1" customWidth="1"/>
    <col min="166" max="166" width="4" customWidth="1"/>
    <col min="167" max="169" width="6" customWidth="1"/>
    <col min="170" max="172" width="3" customWidth="1"/>
    <col min="173" max="178" width="2.26953125" customWidth="1"/>
    <col min="179" max="179" width="5" customWidth="1"/>
    <col min="180" max="185" width="2.26953125" customWidth="1"/>
    <col min="186" max="186" width="5" customWidth="1"/>
    <col min="187" max="192" width="2.26953125" customWidth="1"/>
    <col min="193" max="193" width="5" customWidth="1"/>
    <col min="194" max="199" width="2.26953125" customWidth="1"/>
    <col min="200" max="200" width="5" customWidth="1"/>
    <col min="201" max="206" width="2.26953125" customWidth="1"/>
    <col min="207" max="207" width="5" customWidth="1"/>
    <col min="208" max="213" width="2.26953125" customWidth="1"/>
    <col min="214" max="215" width="5" customWidth="1"/>
    <col min="216" max="216" width="4" customWidth="1"/>
    <col min="217" max="217" width="5" customWidth="1"/>
    <col min="218" max="218" width="8" customWidth="1"/>
    <col min="219" max="219" width="2" customWidth="1"/>
    <col min="220" max="220" width="11.54296875" hidden="1" customWidth="1"/>
    <col min="221" max="236" width="7" customWidth="1"/>
  </cols>
  <sheetData>
    <row r="1" spans="1:237" ht="19.5" customHeight="1" x14ac:dyDescent="0.35">
      <c r="A1" s="3" t="s">
        <v>157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row>
    <row r="2" spans="1:237" ht="13.5" customHeight="1" x14ac:dyDescent="0.35">
      <c r="A2" s="56">
        <v>3</v>
      </c>
      <c r="B2" s="56">
        <v>6</v>
      </c>
      <c r="C2" s="2" t="s">
        <v>158</v>
      </c>
      <c r="D2" s="2"/>
      <c r="E2" s="2"/>
      <c r="F2" s="2"/>
      <c r="G2" s="2"/>
      <c r="H2" s="2"/>
      <c r="I2" s="2"/>
      <c r="J2" s="2"/>
      <c r="K2" s="1" t="s">
        <v>159</v>
      </c>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row>
    <row r="3" spans="1:237" ht="13.5" customHeight="1" x14ac:dyDescent="0.35">
      <c r="A3" s="95" t="s">
        <v>160</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6" t="s">
        <v>161</v>
      </c>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t="s">
        <v>162</v>
      </c>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7" t="s">
        <v>163</v>
      </c>
      <c r="FK3" s="97"/>
      <c r="FL3" s="97"/>
      <c r="FM3" s="97"/>
      <c r="FN3" s="97"/>
      <c r="FO3" s="97"/>
      <c r="FP3" s="97"/>
      <c r="FQ3" s="97"/>
      <c r="FR3" s="97"/>
      <c r="FS3" s="97"/>
      <c r="FT3" s="97"/>
      <c r="FU3" s="97"/>
      <c r="FV3" s="97"/>
      <c r="FW3" s="97"/>
      <c r="FX3" s="97"/>
      <c r="FY3" s="97"/>
      <c r="FZ3" s="97"/>
      <c r="GA3" s="97"/>
      <c r="GB3" s="97"/>
      <c r="GC3" s="97"/>
      <c r="GD3" s="97"/>
      <c r="GE3" s="97"/>
      <c r="GF3" s="97"/>
      <c r="GG3" s="97"/>
      <c r="GH3" s="97"/>
      <c r="GI3" s="97"/>
      <c r="GJ3" s="97"/>
      <c r="GK3" s="97"/>
      <c r="GL3" s="97"/>
      <c r="GM3" s="97"/>
      <c r="GN3" s="97"/>
      <c r="GO3" s="97"/>
      <c r="GP3" s="97"/>
      <c r="GQ3" s="97"/>
      <c r="GR3" s="97"/>
      <c r="GS3" s="97"/>
      <c r="GT3" s="97"/>
      <c r="GU3" s="97"/>
      <c r="GV3" s="97"/>
      <c r="GW3" s="97"/>
      <c r="GX3" s="97"/>
      <c r="GY3" s="97"/>
      <c r="GZ3" s="97"/>
      <c r="HA3" s="97"/>
      <c r="HB3" s="97"/>
      <c r="HC3" s="97"/>
      <c r="HD3" s="97"/>
      <c r="HE3" s="97"/>
      <c r="HF3" s="97"/>
      <c r="HG3" s="97"/>
      <c r="HH3" s="97"/>
      <c r="HI3" s="97"/>
      <c r="HJ3" s="97"/>
      <c r="HK3" s="97"/>
      <c r="HL3" s="97"/>
      <c r="HM3" s="98" t="s">
        <v>164</v>
      </c>
      <c r="HN3" s="98"/>
      <c r="HO3" s="98"/>
      <c r="HP3" s="98"/>
      <c r="HQ3" s="98"/>
      <c r="HR3" s="98"/>
      <c r="HS3" s="98"/>
      <c r="HT3" s="98"/>
      <c r="HU3" s="98"/>
      <c r="HV3" s="98"/>
      <c r="HW3" s="98"/>
      <c r="HX3" s="98"/>
      <c r="HY3" s="98"/>
      <c r="HZ3" s="98"/>
      <c r="IA3" s="98"/>
      <c r="IB3" s="98"/>
    </row>
    <row r="4" spans="1:237" ht="18" customHeight="1" x14ac:dyDescent="0.35">
      <c r="A4" s="57" t="s">
        <v>2</v>
      </c>
      <c r="B4" s="99" t="s">
        <v>165</v>
      </c>
      <c r="C4" s="99"/>
      <c r="D4" s="99"/>
      <c r="E4" s="100" t="s">
        <v>8</v>
      </c>
      <c r="F4" s="100"/>
      <c r="G4" s="100"/>
      <c r="H4" s="101" t="s">
        <v>166</v>
      </c>
      <c r="I4" s="101"/>
      <c r="J4" s="101"/>
      <c r="K4" s="101"/>
      <c r="L4" s="101"/>
      <c r="M4" s="101"/>
      <c r="N4" s="101"/>
      <c r="O4" s="102" t="s">
        <v>167</v>
      </c>
      <c r="P4" s="102"/>
      <c r="Q4" s="102"/>
      <c r="R4" s="102"/>
      <c r="S4" s="102"/>
      <c r="T4" s="102"/>
      <c r="U4" s="102"/>
      <c r="V4" s="101" t="s">
        <v>168</v>
      </c>
      <c r="W4" s="101"/>
      <c r="X4" s="101"/>
      <c r="Y4" s="101"/>
      <c r="Z4" s="101"/>
      <c r="AA4" s="101"/>
      <c r="AB4" s="101"/>
      <c r="AC4" s="102" t="s">
        <v>169</v>
      </c>
      <c r="AD4" s="102"/>
      <c r="AE4" s="102"/>
      <c r="AF4" s="102"/>
      <c r="AG4" s="102"/>
      <c r="AH4" s="102"/>
      <c r="AI4" s="102"/>
      <c r="AJ4" s="101" t="s">
        <v>170</v>
      </c>
      <c r="AK4" s="101"/>
      <c r="AL4" s="101"/>
      <c r="AM4" s="101"/>
      <c r="AN4" s="101"/>
      <c r="AO4" s="101"/>
      <c r="AP4" s="101"/>
      <c r="AQ4" s="103" t="s">
        <v>171</v>
      </c>
      <c r="AR4" s="103"/>
      <c r="AS4" s="103"/>
      <c r="AT4" s="103"/>
      <c r="AU4" s="103"/>
      <c r="AV4" s="103"/>
      <c r="AW4" s="103"/>
      <c r="AX4" s="58" t="s">
        <v>172</v>
      </c>
      <c r="AY4" s="59" t="s">
        <v>173</v>
      </c>
      <c r="AZ4" s="60" t="s">
        <v>174</v>
      </c>
      <c r="BA4" s="57" t="s">
        <v>175</v>
      </c>
      <c r="BD4" s="57" t="s">
        <v>2</v>
      </c>
      <c r="BE4" s="99" t="s">
        <v>165</v>
      </c>
      <c r="BF4" s="99"/>
      <c r="BG4" s="99"/>
      <c r="BH4" s="100" t="s">
        <v>8</v>
      </c>
      <c r="BI4" s="100"/>
      <c r="BJ4" s="100"/>
      <c r="BK4" s="101" t="s">
        <v>166</v>
      </c>
      <c r="BL4" s="101"/>
      <c r="BM4" s="101"/>
      <c r="BN4" s="101"/>
      <c r="BO4" s="101"/>
      <c r="BP4" s="101"/>
      <c r="BQ4" s="101"/>
      <c r="BR4" s="102" t="s">
        <v>167</v>
      </c>
      <c r="BS4" s="102"/>
      <c r="BT4" s="102"/>
      <c r="BU4" s="102"/>
      <c r="BV4" s="102"/>
      <c r="BW4" s="102"/>
      <c r="BX4" s="102"/>
      <c r="BY4" s="101" t="s">
        <v>168</v>
      </c>
      <c r="BZ4" s="101"/>
      <c r="CA4" s="101"/>
      <c r="CB4" s="101"/>
      <c r="CC4" s="101"/>
      <c r="CD4" s="101"/>
      <c r="CE4" s="101"/>
      <c r="CF4" s="102" t="s">
        <v>169</v>
      </c>
      <c r="CG4" s="102"/>
      <c r="CH4" s="102"/>
      <c r="CI4" s="102"/>
      <c r="CJ4" s="102"/>
      <c r="CK4" s="102"/>
      <c r="CL4" s="102"/>
      <c r="CM4" s="101" t="s">
        <v>170</v>
      </c>
      <c r="CN4" s="101"/>
      <c r="CO4" s="101"/>
      <c r="CP4" s="101"/>
      <c r="CQ4" s="101"/>
      <c r="CR4" s="101"/>
      <c r="CS4" s="101"/>
      <c r="CT4" s="103" t="s">
        <v>171</v>
      </c>
      <c r="CU4" s="103"/>
      <c r="CV4" s="103"/>
      <c r="CW4" s="103"/>
      <c r="CX4" s="103"/>
      <c r="CY4" s="103"/>
      <c r="CZ4" s="103"/>
      <c r="DA4" s="58" t="s">
        <v>172</v>
      </c>
      <c r="DB4" s="59" t="s">
        <v>173</v>
      </c>
      <c r="DC4" s="60" t="s">
        <v>174</v>
      </c>
      <c r="DD4" s="57" t="s">
        <v>175</v>
      </c>
      <c r="DG4" s="57" t="s">
        <v>2</v>
      </c>
      <c r="DH4" s="99" t="s">
        <v>165</v>
      </c>
      <c r="DI4" s="99"/>
      <c r="DJ4" s="99"/>
      <c r="DK4" s="100" t="s">
        <v>8</v>
      </c>
      <c r="DL4" s="100"/>
      <c r="DM4" s="100"/>
      <c r="DN4" s="101" t="s">
        <v>166</v>
      </c>
      <c r="DO4" s="101"/>
      <c r="DP4" s="101"/>
      <c r="DQ4" s="101"/>
      <c r="DR4" s="101"/>
      <c r="DS4" s="101"/>
      <c r="DT4" s="101"/>
      <c r="DU4" s="102" t="s">
        <v>167</v>
      </c>
      <c r="DV4" s="102"/>
      <c r="DW4" s="102"/>
      <c r="DX4" s="102"/>
      <c r="DY4" s="102"/>
      <c r="DZ4" s="102"/>
      <c r="EA4" s="102"/>
      <c r="EB4" s="101" t="s">
        <v>168</v>
      </c>
      <c r="EC4" s="101"/>
      <c r="ED4" s="101"/>
      <c r="EE4" s="101"/>
      <c r="EF4" s="101"/>
      <c r="EG4" s="101"/>
      <c r="EH4" s="101"/>
      <c r="EI4" s="102" t="s">
        <v>169</v>
      </c>
      <c r="EJ4" s="102"/>
      <c r="EK4" s="102"/>
      <c r="EL4" s="102"/>
      <c r="EM4" s="102"/>
      <c r="EN4" s="102"/>
      <c r="EO4" s="102"/>
      <c r="EP4" s="101" t="s">
        <v>170</v>
      </c>
      <c r="EQ4" s="101"/>
      <c r="ER4" s="101"/>
      <c r="ES4" s="101"/>
      <c r="ET4" s="101"/>
      <c r="EU4" s="101"/>
      <c r="EV4" s="101"/>
      <c r="EW4" s="103" t="s">
        <v>171</v>
      </c>
      <c r="EX4" s="103"/>
      <c r="EY4" s="103"/>
      <c r="EZ4" s="103"/>
      <c r="FA4" s="103"/>
      <c r="FB4" s="103"/>
      <c r="FC4" s="103"/>
      <c r="FD4" s="58" t="s">
        <v>172</v>
      </c>
      <c r="FE4" s="59" t="s">
        <v>173</v>
      </c>
      <c r="FF4" s="60" t="s">
        <v>174</v>
      </c>
      <c r="FG4" s="57" t="s">
        <v>175</v>
      </c>
      <c r="FJ4" s="57" t="s">
        <v>2</v>
      </c>
      <c r="FK4" s="99" t="s">
        <v>165</v>
      </c>
      <c r="FL4" s="99"/>
      <c r="FM4" s="99"/>
      <c r="FN4" s="100" t="s">
        <v>8</v>
      </c>
      <c r="FO4" s="100"/>
      <c r="FP4" s="100"/>
      <c r="FQ4" s="101" t="s">
        <v>166</v>
      </c>
      <c r="FR4" s="101"/>
      <c r="FS4" s="101"/>
      <c r="FT4" s="101"/>
      <c r="FU4" s="101"/>
      <c r="FV4" s="101"/>
      <c r="FW4" s="101"/>
      <c r="FX4" s="102" t="s">
        <v>167</v>
      </c>
      <c r="FY4" s="102"/>
      <c r="FZ4" s="102"/>
      <c r="GA4" s="102"/>
      <c r="GB4" s="102"/>
      <c r="GC4" s="102"/>
      <c r="GD4" s="102"/>
      <c r="GE4" s="101" t="s">
        <v>168</v>
      </c>
      <c r="GF4" s="101"/>
      <c r="GG4" s="101"/>
      <c r="GH4" s="101"/>
      <c r="GI4" s="101"/>
      <c r="GJ4" s="101"/>
      <c r="GK4" s="101"/>
      <c r="GL4" s="102" t="s">
        <v>169</v>
      </c>
      <c r="GM4" s="102"/>
      <c r="GN4" s="102"/>
      <c r="GO4" s="102"/>
      <c r="GP4" s="102"/>
      <c r="GQ4" s="102"/>
      <c r="GR4" s="102"/>
      <c r="GS4" s="101" t="s">
        <v>170</v>
      </c>
      <c r="GT4" s="101"/>
      <c r="GU4" s="101"/>
      <c r="GV4" s="101"/>
      <c r="GW4" s="101"/>
      <c r="GX4" s="101"/>
      <c r="GY4" s="101"/>
      <c r="GZ4" s="103" t="s">
        <v>171</v>
      </c>
      <c r="HA4" s="103"/>
      <c r="HB4" s="103"/>
      <c r="HC4" s="103"/>
      <c r="HD4" s="103"/>
      <c r="HE4" s="103"/>
      <c r="HF4" s="103"/>
      <c r="HG4" s="58" t="s">
        <v>172</v>
      </c>
      <c r="HH4" s="59" t="s">
        <v>173</v>
      </c>
      <c r="HI4" s="60" t="s">
        <v>174</v>
      </c>
      <c r="HJ4" s="57" t="s">
        <v>175</v>
      </c>
      <c r="HM4" s="98"/>
      <c r="HN4" s="98"/>
      <c r="HO4" s="98"/>
      <c r="HP4" s="98"/>
      <c r="HQ4" s="98"/>
      <c r="HR4" s="98"/>
      <c r="HS4" s="98"/>
      <c r="HT4" s="98"/>
      <c r="HU4" s="98"/>
      <c r="HV4" s="98"/>
      <c r="HW4" s="98"/>
      <c r="HX4" s="98"/>
      <c r="HY4" s="98"/>
      <c r="HZ4" s="98"/>
      <c r="IA4" s="98"/>
      <c r="IB4" s="98"/>
    </row>
    <row r="5" spans="1:237" ht="10.5" customHeight="1" x14ac:dyDescent="0.35">
      <c r="A5" s="104" t="s">
        <v>176</v>
      </c>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t="s">
        <v>177</v>
      </c>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c r="CP5" s="104"/>
      <c r="CQ5" s="104"/>
      <c r="CR5" s="104"/>
      <c r="CS5" s="104"/>
      <c r="CT5" s="104"/>
      <c r="CU5" s="104"/>
      <c r="CV5" s="104"/>
      <c r="CW5" s="104"/>
      <c r="CX5" s="104"/>
      <c r="CY5" s="104"/>
      <c r="CZ5" s="104"/>
      <c r="DA5" s="104"/>
      <c r="DB5" s="104"/>
      <c r="DC5" s="104"/>
      <c r="DD5" s="104"/>
      <c r="DE5" s="104"/>
      <c r="DF5" s="104"/>
      <c r="DG5" s="104" t="s">
        <v>178</v>
      </c>
      <c r="DH5" s="104"/>
      <c r="DI5" s="104"/>
      <c r="DJ5" s="104"/>
      <c r="DK5" s="104"/>
      <c r="DL5" s="104"/>
      <c r="DM5" s="104"/>
      <c r="DN5" s="104"/>
      <c r="DO5" s="104"/>
      <c r="DP5" s="104"/>
      <c r="DQ5" s="104"/>
      <c r="DR5" s="104"/>
      <c r="DS5" s="104"/>
      <c r="DT5" s="104"/>
      <c r="DU5" s="104"/>
      <c r="DV5" s="104"/>
      <c r="DW5" s="104"/>
      <c r="DX5" s="104"/>
      <c r="DY5" s="104"/>
      <c r="DZ5" s="104"/>
      <c r="EA5" s="104"/>
      <c r="EB5" s="104"/>
      <c r="EC5" s="104"/>
      <c r="ED5" s="104"/>
      <c r="EE5" s="104"/>
      <c r="EF5" s="104"/>
      <c r="EG5" s="104"/>
      <c r="EH5" s="104"/>
      <c r="EI5" s="104"/>
      <c r="EJ5" s="104"/>
      <c r="EK5" s="104"/>
      <c r="EL5" s="104"/>
      <c r="EM5" s="104"/>
      <c r="EN5" s="104"/>
      <c r="EO5" s="104"/>
      <c r="EP5" s="104"/>
      <c r="EQ5" s="104"/>
      <c r="ER5" s="104"/>
      <c r="ES5" s="104"/>
      <c r="ET5" s="104"/>
      <c r="EU5" s="104"/>
      <c r="EV5" s="104"/>
      <c r="EW5" s="104"/>
      <c r="EX5" s="104"/>
      <c r="EY5" s="104"/>
      <c r="EZ5" s="104"/>
      <c r="FA5" s="104"/>
      <c r="FB5" s="104"/>
      <c r="FC5" s="104"/>
      <c r="FD5" s="104"/>
      <c r="FE5" s="104"/>
      <c r="FF5" s="104"/>
      <c r="FG5" s="104"/>
      <c r="FH5" s="104"/>
      <c r="FI5" s="104"/>
      <c r="FJ5" s="104" t="s">
        <v>179</v>
      </c>
      <c r="FK5" s="104"/>
      <c r="FL5" s="104"/>
      <c r="FM5" s="104"/>
      <c r="FN5" s="104"/>
      <c r="FO5" s="104"/>
      <c r="FP5" s="104"/>
      <c r="FQ5" s="104"/>
      <c r="FR5" s="104"/>
      <c r="FS5" s="104"/>
      <c r="FT5" s="104"/>
      <c r="FU5" s="104"/>
      <c r="FV5" s="104"/>
      <c r="FW5" s="104"/>
      <c r="FX5" s="104"/>
      <c r="FY5" s="104"/>
      <c r="FZ5" s="104"/>
      <c r="GA5" s="104"/>
      <c r="GB5" s="104"/>
      <c r="GC5" s="104"/>
      <c r="GD5" s="104"/>
      <c r="GE5" s="104"/>
      <c r="GF5" s="104"/>
      <c r="GG5" s="104"/>
      <c r="GH5" s="104"/>
      <c r="GI5" s="104"/>
      <c r="GJ5" s="104"/>
      <c r="GK5" s="104"/>
      <c r="GL5" s="104"/>
      <c r="GM5" s="104"/>
      <c r="GN5" s="104"/>
      <c r="GO5" s="104"/>
      <c r="GP5" s="104"/>
      <c r="GQ5" s="104"/>
      <c r="GR5" s="104"/>
      <c r="GS5" s="104"/>
      <c r="GT5" s="104"/>
      <c r="GU5" s="104"/>
      <c r="GV5" s="104"/>
      <c r="GW5" s="104"/>
      <c r="GX5" s="104"/>
      <c r="GY5" s="104"/>
      <c r="GZ5" s="104"/>
      <c r="HA5" s="104"/>
      <c r="HB5" s="104"/>
      <c r="HC5" s="104"/>
      <c r="HD5" s="104"/>
      <c r="HE5" s="104"/>
      <c r="HF5" s="104"/>
      <c r="HG5" s="104"/>
      <c r="HH5" s="104"/>
      <c r="HI5" s="104"/>
      <c r="HJ5" s="104"/>
      <c r="HK5" s="104"/>
      <c r="HL5" s="104"/>
      <c r="HM5" s="105" t="s">
        <v>180</v>
      </c>
      <c r="HN5" s="105"/>
      <c r="HO5" s="105"/>
      <c r="HP5" s="105"/>
      <c r="HQ5" s="105"/>
      <c r="HR5" s="105"/>
      <c r="HS5" s="105"/>
      <c r="HT5" s="105"/>
      <c r="HU5" s="105"/>
      <c r="HV5" s="105"/>
      <c r="HW5" s="105"/>
      <c r="HX5" s="105"/>
      <c r="HY5" s="105"/>
      <c r="HZ5" s="105"/>
      <c r="IA5" s="105"/>
      <c r="IB5" s="105"/>
    </row>
    <row r="6" spans="1:237" ht="15.75" customHeight="1" x14ac:dyDescent="0.35">
      <c r="A6" s="61" t="str">
        <f>IFERROR(IF(INDEX('Open 30M - Teams'!$L:$L,MATCH(1,'Open 30M - Teams'!$A:$A,0))="Yes","BYE",IF(OR(INDEX('Open 30M - Teams'!$B:$B,MATCH(1,'Open 30M - Teams'!$A:$A,0))="",ISERROR(MATCH(1,'Open 30M - Teams'!$A:$A,0))),"BYE","#1")),"BYE")</f>
        <v>#1</v>
      </c>
      <c r="B6" s="106" t="str">
        <f>IFERROR(IF(INDEX('Open 30M - Teams'!$L:$L,MATCH(1,'Open 30M - Teams'!$A:$A,0))="Yes","",IF(INDEX('Open 30M - Teams'!$N:$N,MATCH(1,'Open 30M - Teams'!$A:$A,0))&lt;&gt;"",INDEX('Open 30M - Teams'!$N:$N,MATCH(1,'Open 30M - Teams'!$A:$A,0)),IF(INDEX('Open 30M - Teams'!$B:$B,MATCH(1,'Open 30M - Teams'!$A:$A,0))="","",INDEX('Open 30M - Teams'!$B:$B,MATCH(1,'Open 30M - Teams'!$A:$A,0))))),"")</f>
        <v>Joseph Nesortado Naoe</v>
      </c>
      <c r="C6" s="106"/>
      <c r="D6" s="106"/>
      <c r="E6" s="107" t="str">
        <f>IF(OR(A6="BYE",BA6="&gt;&gt; Advance"),"",IF((B2-A2+1)&gt;=8,(A2+MOD(INT((SUMPRODUCT(IF(A6&lt;&gt;"BYE",IF(A6&lt;&gt;"",IF(BA6&lt;&gt;"&gt;&gt; Advance",1,0),0),0))-1)/2),(B2-A2+1)))&amp;IF((MOD(SUMPRODUCT(IF(A6&lt;&gt;"BYE",IF(A6&lt;&gt;"",IF(BA6&lt;&gt;"&gt;&gt; Advance",1,0),0),0))-1,2)=0)," L"," R"),(A2+MOD(INT((SUMPRODUCT(IF(A6&lt;&gt;"BYE",IF(A6&lt;&gt;"",IF(BA6&lt;&gt;"&gt;&gt; Advance",1,0),0),0))-1)/2),(B2-A2+1)))&amp;CHAR(65+FLOOR(INT((SUMPRODUCT(IF(A6&lt;&gt;"BYE",IF(A6&lt;&gt;"",IF(BA6&lt;&gt;"&gt;&gt; Advance",1,0),0),0))-1)/2)/(B2-A2+1),1)*2+MOD(SUMPRODUCT(IF(A6&lt;&gt;"BYE",IF(A6&lt;&gt;"",IF(BA6&lt;&gt;"&gt;&gt; Advance",1,0),0),0))-1,2))&amp;IF((MOD(SUMPRODUCT(IF(A6&lt;&gt;"BYE",IF(A6&lt;&gt;"",IF(BA6&lt;&gt;"&gt;&gt; Advance",1,0),0),0))-1,2)=0)," (L)"," (R)")))</f>
        <v/>
      </c>
      <c r="F6" s="107"/>
      <c r="G6" s="107"/>
      <c r="H6" s="62"/>
      <c r="I6" s="62"/>
      <c r="J6" s="62"/>
      <c r="K6" s="62"/>
      <c r="L6" s="62"/>
      <c r="M6" s="62"/>
      <c r="N6" s="63" t="str">
        <f>IF(OR(ISNUMBER(H6),ISNUMBER(I6),ISNUMBER(J6),ISNUMBER(K6),ISNUMBER(L6),ISNUMBER(M6),H6="X",I6="X",J6="X",K6="X",L6="X",M6="X",H6="M",I6="M",J6="M",K6="M",L6="M",M6="M"),IF(H6="X",10,IF(H6="M",0,IF(ISNUMBER(H6),H6,0))) + IF(I6="X",10,IF(I6="M",0,IF(ISNUMBER(I6),I6,0))) + IF(J6="X",10,IF(J6="M",0,IF(ISNUMBER(J6),J6,0))) + IF(K6="X",10,IF(K6="M",0,IF(ISNUMBER(K6),K6,0))) + IF(L6="X",10,IF(L6="M",0,IF(ISNUMBER(L6),L6,0))) + IF(M6="X",10,IF(M6="M",0,IF(ISNUMBER(M6),M6,0))),"")</f>
        <v/>
      </c>
      <c r="O6" s="62"/>
      <c r="P6" s="62"/>
      <c r="Q6" s="62"/>
      <c r="R6" s="62"/>
      <c r="S6" s="62"/>
      <c r="T6" s="62"/>
      <c r="U6" s="63" t="str">
        <f>IF(OR(ISNUMBER(O6),ISNUMBER(P6),ISNUMBER(Q6),ISNUMBER(R6),ISNUMBER(S6),ISNUMBER(T6),O6="X",P6="X",Q6="X",R6="X",S6="X",T6="X",O6="M",P6="M",Q6="M",R6="M",S6="M",T6="M"),IF(O6="X",10,IF(O6="M",0,IF(ISNUMBER(O6),O6,0))) + IF(P6="X",10,IF(P6="M",0,IF(ISNUMBER(P6),P6,0))) + IF(Q6="X",10,IF(Q6="M",0,IF(ISNUMBER(Q6),Q6,0))) + IF(R6="X",10,IF(R6="M",0,IF(ISNUMBER(R6),R6,0))) + IF(S6="X",10,IF(S6="M",0,IF(ISNUMBER(S6),S6,0))) + IF(T6="X",10,IF(T6="M",0,IF(ISNUMBER(T6),T6,0))),"")</f>
        <v/>
      </c>
      <c r="V6" s="62"/>
      <c r="W6" s="62"/>
      <c r="X6" s="62"/>
      <c r="Y6" s="62"/>
      <c r="Z6" s="62"/>
      <c r="AA6" s="62"/>
      <c r="AB6" s="63" t="str">
        <f>IF(OR(ISNUMBER(V6),ISNUMBER(W6),ISNUMBER(X6),ISNUMBER(Y6),ISNUMBER(Z6),ISNUMBER(AA6),V6="X",W6="X",X6="X",Y6="X",Z6="X",AA6="X",V6="M",W6="M",X6="M",Y6="M",Z6="M",AA6="M"),IF(V6="X",10,IF(V6="M",0,IF(ISNUMBER(V6),V6,0))) + IF(W6="X",10,IF(W6="M",0,IF(ISNUMBER(W6),W6,0))) + IF(X6="X",10,IF(X6="M",0,IF(ISNUMBER(X6),X6,0))) + IF(Y6="X",10,IF(Y6="M",0,IF(ISNUMBER(Y6),Y6,0))) + IF(Z6="X",10,IF(Z6="M",0,IF(ISNUMBER(Z6),Z6,0))) + IF(AA6="X",10,IF(AA6="M",0,IF(ISNUMBER(AA6),AA6,0))),"")</f>
        <v/>
      </c>
      <c r="AC6" s="62"/>
      <c r="AD6" s="62"/>
      <c r="AE6" s="62"/>
      <c r="AF6" s="62"/>
      <c r="AG6" s="62"/>
      <c r="AH6" s="62"/>
      <c r="AI6" s="63" t="str">
        <f>IF(OR(ISNUMBER(AC6),ISNUMBER(AD6),ISNUMBER(AE6),ISNUMBER(AF6),ISNUMBER(AG6),ISNUMBER(AH6),AC6="X",AD6="X",AE6="X",AF6="X",AG6="X",AH6="X",AC6="M",AD6="M",AE6="M",AF6="M",AG6="M",AH6="M"),IF(AC6="X",10,IF(AC6="M",0,IF(ISNUMBER(AC6),AC6,0))) + IF(AD6="X",10,IF(AD6="M",0,IF(ISNUMBER(AD6),AD6,0))) + IF(AE6="X",10,IF(AE6="M",0,IF(ISNUMBER(AE6),AE6,0))) + IF(AF6="X",10,IF(AF6="M",0,IF(ISNUMBER(AF6),AF6,0))) + IF(AG6="X",10,IF(AG6="M",0,IF(ISNUMBER(AG6),AG6,0))) + IF(AH6="X",10,IF(AH6="M",0,IF(ISNUMBER(AH6),AH6,0))),"")</f>
        <v/>
      </c>
      <c r="AJ6" s="62"/>
      <c r="AK6" s="62"/>
      <c r="AL6" s="62"/>
      <c r="AM6" s="62"/>
      <c r="AN6" s="62"/>
      <c r="AO6" s="62"/>
      <c r="AP6" s="63" t="str">
        <f>IF(OR(ISNUMBER(AJ6),ISNUMBER(AK6),ISNUMBER(AL6),ISNUMBER(AM6),ISNUMBER(AN6),ISNUMBER(AO6),AJ6="X",AK6="X",AL6="X",AM6="X",AN6="X",AO6="X",AJ6="M",AK6="M",AL6="M",AM6="M",AN6="M",AO6="M"),IF(AJ6="X",10,IF(AJ6="M",0,IF(ISNUMBER(AJ6),AJ6,0))) + IF(AK6="X",10,IF(AK6="M",0,IF(ISNUMBER(AK6),AK6,0))) + IF(AL6="X",10,IF(AL6="M",0,IF(ISNUMBER(AL6),AL6,0))) + IF(AM6="X",10,IF(AM6="M",0,IF(ISNUMBER(AM6),AM6,0))) + IF(AN6="X",10,IF(AN6="M",0,IF(ISNUMBER(AN6),AN6,0))) + IF(AO6="X",10,IF(AO6="M",0,IF(ISNUMBER(AO6),AO6,0))),"")</f>
        <v/>
      </c>
      <c r="AQ6" s="64"/>
      <c r="AR6" s="64"/>
      <c r="AS6" s="64"/>
      <c r="AT6" s="64"/>
      <c r="AU6" s="64"/>
      <c r="AV6" s="64"/>
      <c r="AW6" s="63" t="str">
        <f>IF(OR(ISNUMBER(AQ6),ISNUMBER(AR6),ISNUMBER(AS6),ISNUMBER(AT6),ISNUMBER(AU6),ISNUMBER(AV6),AQ6="X",AR6="X",AS6="X",AT6="X",AU6="X",AV6="X",AQ6="M",AR6="M",AS6="M",AT6="M",AU6="M",AV6="M"),IF(AQ6="X",10,IF(AQ6="M",0,IF(ISNUMBER(AQ6),AQ6,0))) + IF(AR6="X",10,IF(AR6="M",0,IF(ISNUMBER(AR6),AR6,0))) + IF(AS6="X",10,IF(AS6="M",0,IF(ISNUMBER(AS6),AS6,0))) + IF(AT6="X",10,IF(AT6="M",0,IF(ISNUMBER(AT6),AT6,0))) + IF(AU6="X",10,IF(AU6="M",0,IF(ISNUMBER(AU6),AU6,0))) + IF(AV6="X",10,IF(AV6="M",0,IF(ISNUMBER(AV6),AV6,0))),"")</f>
        <v/>
      </c>
      <c r="AX6" s="65">
        <f>IF(AND(ISNUMBER(N6),ISNUMBER(N8)),IF(N6&gt;N8,2,IF(N6=N8,1,0)),0)+IF(AND(ISNUMBER(U6),ISNUMBER(U8)),IF(U6&gt;U8,2,IF(U6=U8,1,0)),0)+IF(AND(ISNUMBER(AB6),ISNUMBER(AB8)),IF(AB6&gt;AB8,2,IF(AB6=AB8,1,0)),0)+IF(AND(ISNUMBER(AI6),ISNUMBER(AI8)),IF(AI6&gt;AI8,2,IF(AI6=AI8,1,0)),0)+IF(AND(ISNUMBER(AP6),ISNUMBER(AP8)),IF(AP6&gt;AP8,2,IF(AP6=AP8,1,0)),0)</f>
        <v>0</v>
      </c>
      <c r="AY6" s="66"/>
      <c r="AZ6" s="67">
        <f>IF(AX6&gt;0,IF(H6="X",10,IF(H6="M",0,IF(ISNUMBER(H6),H6,0)))+IF(I6="X",10,IF(I6="M",0,IF(ISNUMBER(I6),I6,0)))+IF(J6="X",10,IF(J6="M",0,IF(ISNUMBER(J6),J6,0)))+IF(K6="X",10,IF(K6="M",0,IF(ISNUMBER(K6),K6,0)))+IF(L6="X",10,IF(L6="M",0,IF(ISNUMBER(L6),L6,0)))+IF(M6="X",10,IF(M6="M",0,IF(ISNUMBER(M6),M6,0)))+IF(O6="X",10,IF(O6="M",0,IF(ISNUMBER(O6),O6,0)))+IF(P6="X",10,IF(P6="M",0,IF(ISNUMBER(P6),P6,0)))+IF(Q6="X",10,IF(Q6="M",0,IF(ISNUMBER(Q6),Q6,0)))+IF(R6="X",10,IF(R6="M",0,IF(ISNUMBER(R6),R6,0)))+IF(S6="X",10,IF(S6="M",0,IF(ISNUMBER(S6),S6,0)))+IF(T6="X",10,IF(T6="M",0,IF(ISNUMBER(T6),T6,0)))+IF(V6="X",10,IF(V6="M",0,IF(ISNUMBER(V6),V6,0)))+IF(W6="X",10,IF(W6="M",0,IF(ISNUMBER(W6),W6,0)))+IF(X6="X",10,IF(X6="M",0,IF(ISNUMBER(X6),X6,0)))+IF(Y6="X",10,IF(Y6="M",0,IF(ISNUMBER(Y6),Y6,0)))+IF(Z6="X",10,IF(Z6="M",0,IF(ISNUMBER(Z6),Z6,0)))+IF(AA6="X",10,IF(AA6="M",0,IF(ISNUMBER(AA6),AA6,0)))+IF(AC6="X",10,IF(AC6="M",0,IF(ISNUMBER(AC6),AC6,0)))+IF(AD6="X",10,IF(AD6="M",0,IF(ISNUMBER(AD6),AD6,0)))+IF(AE6="X",10,IF(AE6="M",0,IF(ISNUMBER(AE6),AE6,0)))+IF(AF6="X",10,IF(AF6="M",0,IF(ISNUMBER(AF6),AF6,0)))+IF(AG6="X",10,IF(AG6="M",0,IF(ISNUMBER(AG6),AG6,0)))+IF(AH6="X",10,IF(AH6="M",0,IF(ISNUMBER(AH6),AH6,0)))+IF(AJ6="X",10,IF(AJ6="M",0,IF(ISNUMBER(AJ6),AJ6,0)))+IF(AK6="X",10,IF(AK6="M",0,IF(ISNUMBER(AK6),AK6,0)))+IF(AL6="X",10,IF(AL6="M",0,IF(ISNUMBER(AL6),AL6,0)))+IF(AM6="X",10,IF(AM6="M",0,IF(ISNUMBER(AM6),AM6,0)))+IF(AN6="X",10,IF(AN6="M",0,IF(ISNUMBER(AN6),AN6,0)))+IF(AO6="X",10,IF(AO6="M",0,IF(ISNUMBER(AO6),AO6,0)))+IF(AQ6="X",10,IF(AQ6="M",0,IF(ISNUMBER(AQ6),AQ6,0)))+IF(AR6="X",10,IF(AR6="M",0,IF(ISNUMBER(AR6),AR6,0)))+IF(AS6="X",10,IF(AS6="M",0,IF(ISNUMBER(AS6),AS6,0)))+IF(AT6="X",10,IF(AT6="M",0,IF(ISNUMBER(AT6),AT6,0)))+IF(AU6="X",10,IF(AU6="M",0,IF(ISNUMBER(AU6),AU6,0)))+IF(AV6="X",10,IF(AV6="M",0,IF(ISNUMBER(AV6),AV6,0))),0)</f>
        <v>0</v>
      </c>
      <c r="BA6" s="68" t="str">
        <f>IFERROR(IF(AY6="DQ","DISQUALIFIED",IF(AY8="DQ","&gt;&gt; Advance",IF(BC8="BYE","&gt;&gt; Advance",IF(BC6="BYE","BYE",IF(AX6&gt;=6,"WIN",IF(AX8&gt;=6,"LOSS",IF(AND(ISNUMBER(AW6),ISNUMBER(AW8)),IF(AW6&gt;AW8,"WIN",IF(AW6&lt;AW8,"LOSS","Shoot-Off")),"Playing"))))))),"Error")</f>
        <v>&gt;&gt; Advance</v>
      </c>
      <c r="BC6" s="69" t="str">
        <f>IFERROR(IF(INDEX('Open 30M - Teams'!$L:$L,MATCH(1,'Open 30M - Teams'!$A:$A,0))="Yes","BYE",IF(OR(INDEX('Open 30M - Teams'!$B:$B,MATCH(1,'Open 30M - Teams'!$A:$A,0))="",ISERROR(MATCH(1,'Open 30M - Teams'!$A:$A,0))),"BYE","")),"BYE")</f>
        <v/>
      </c>
      <c r="BD6" s="61" t="s">
        <v>181</v>
      </c>
      <c r="BE6" s="106" t="str">
        <f>IFERROR(IF(BC6="BYE",IF(BC8="BYE","TBD",B8),IF(BC8="BYE",B6,IF(OR(BA6="WIN",BA6="&gt;&gt; Advance"),B6,IF(OR(BA8="WIN",BA8="&gt;&gt; Advance"),B8,"TBD")))),"TBD")</f>
        <v>Joseph Nesortado Naoe</v>
      </c>
      <c r="BF6" s="106"/>
      <c r="BG6" s="106"/>
      <c r="BH6" s="107" t="str">
        <f>IF(AND(BE6&lt;&gt;"TBD",BE6&lt;&gt;"",BE8&lt;&gt;"TBD",BE8&lt;&gt;"",DD6&lt;&gt;"&gt;&gt; Advance",DD8&lt;&gt;"&gt;&gt; Advance"),IF((B2-A2+1)&gt;=8,(A2+0)&amp;"",IF((B2-A2+1)&gt;=4,(A2+0)&amp;" L",(A2+MOD(0,(B2-A2+1)))&amp;CHAR(65+FLOOR(0/(B2-A2+1),1)*2)&amp;" (L)")),"")</f>
        <v/>
      </c>
      <c r="BI6" s="107"/>
      <c r="BJ6" s="107"/>
      <c r="BK6" s="62"/>
      <c r="BL6" s="62"/>
      <c r="BM6" s="62"/>
      <c r="BN6" s="62"/>
      <c r="BO6" s="62"/>
      <c r="BP6" s="62"/>
      <c r="BQ6" s="63" t="str">
        <f>IF(OR(ISNUMBER(BK6),ISNUMBER(BL6),ISNUMBER(BM6),ISNUMBER(BN6),ISNUMBER(BO6),ISNUMBER(BP6),BK6="X",BL6="X",BM6="X",BN6="X",BO6="X",BP6="X",BK6="M",BL6="M",BM6="M",BN6="M",BO6="M",BP6="M"),IF(BK6="X",10,IF(BK6="M",0,IF(ISNUMBER(BK6),BK6,0))) + IF(BL6="X",10,IF(BL6="M",0,IF(ISNUMBER(BL6),BL6,0))) + IF(BM6="X",10,IF(BM6="M",0,IF(ISNUMBER(BM6),BM6,0))) + IF(BN6="X",10,IF(BN6="M",0,IF(ISNUMBER(BN6),BN6,0))) + IF(BO6="X",10,IF(BO6="M",0,IF(ISNUMBER(BO6),BO6,0))) + IF(BP6="X",10,IF(BP6="M",0,IF(ISNUMBER(BP6),BP6,0))),"")</f>
        <v/>
      </c>
      <c r="BR6" s="62"/>
      <c r="BS6" s="62"/>
      <c r="BT6" s="62"/>
      <c r="BU6" s="62"/>
      <c r="BV6" s="62"/>
      <c r="BW6" s="62"/>
      <c r="BX6" s="63" t="str">
        <f>IF(OR(ISNUMBER(BR6),ISNUMBER(BS6),ISNUMBER(BT6),ISNUMBER(BU6),ISNUMBER(BV6),ISNUMBER(BW6),BR6="X",BS6="X",BT6="X",BU6="X",BV6="X",BW6="X",BR6="M",BS6="M",BT6="M",BU6="M",BV6="M",BW6="M"),IF(BR6="X",10,IF(BR6="M",0,IF(ISNUMBER(BR6),BR6,0))) + IF(BS6="X",10,IF(BS6="M",0,IF(ISNUMBER(BS6),BS6,0))) + IF(BT6="X",10,IF(BT6="M",0,IF(ISNUMBER(BT6),BT6,0))) + IF(BU6="X",10,IF(BU6="M",0,IF(ISNUMBER(BU6),BU6,0))) + IF(BV6="X",10,IF(BV6="M",0,IF(ISNUMBER(BV6),BV6,0))) + IF(BW6="X",10,IF(BW6="M",0,IF(ISNUMBER(BW6),BW6,0))),"")</f>
        <v/>
      </c>
      <c r="BY6" s="62"/>
      <c r="BZ6" s="62"/>
      <c r="CA6" s="62"/>
      <c r="CB6" s="62"/>
      <c r="CC6" s="62"/>
      <c r="CD6" s="62"/>
      <c r="CE6" s="63" t="str">
        <f>IF(OR(ISNUMBER(BY6),ISNUMBER(BZ6),ISNUMBER(CA6),ISNUMBER(CB6),ISNUMBER(CC6),ISNUMBER(CD6),BY6="X",BZ6="X",CA6="X",CB6="X",CC6="X",CD6="X",BY6="M",BZ6="M",CA6="M",CB6="M",CC6="M",CD6="M"),IF(BY6="X",10,IF(BY6="M",0,IF(ISNUMBER(BY6),BY6,0))) + IF(BZ6="X",10,IF(BZ6="M",0,IF(ISNUMBER(BZ6),BZ6,0))) + IF(CA6="X",10,IF(CA6="M",0,IF(ISNUMBER(CA6),CA6,0))) + IF(CB6="X",10,IF(CB6="M",0,IF(ISNUMBER(CB6),CB6,0))) + IF(CC6="X",10,IF(CC6="M",0,IF(ISNUMBER(CC6),CC6,0))) + IF(CD6="X",10,IF(CD6="M",0,IF(ISNUMBER(CD6),CD6,0))),"")</f>
        <v/>
      </c>
      <c r="CF6" s="62"/>
      <c r="CG6" s="62"/>
      <c r="CH6" s="62"/>
      <c r="CI6" s="62"/>
      <c r="CJ6" s="62"/>
      <c r="CK6" s="62"/>
      <c r="CL6" s="63" t="str">
        <f>IF(OR(ISNUMBER(CF6),ISNUMBER(CG6),ISNUMBER(CH6),ISNUMBER(CI6),ISNUMBER(CJ6),ISNUMBER(CK6),CF6="X",CG6="X",CH6="X",CI6="X",CJ6="X",CK6="X",CF6="M",CG6="M",CH6="M",CI6="M",CJ6="M",CK6="M"),IF(CF6="X",10,IF(CF6="M",0,IF(ISNUMBER(CF6),CF6,0))) + IF(CG6="X",10,IF(CG6="M",0,IF(ISNUMBER(CG6),CG6,0))) + IF(CH6="X",10,IF(CH6="M",0,IF(ISNUMBER(CH6),CH6,0))) + IF(CI6="X",10,IF(CI6="M",0,IF(ISNUMBER(CI6),CI6,0))) + IF(CJ6="X",10,IF(CJ6="M",0,IF(ISNUMBER(CJ6),CJ6,0))) + IF(CK6="X",10,IF(CK6="M",0,IF(ISNUMBER(CK6),CK6,0))),"")</f>
        <v/>
      </c>
      <c r="CM6" s="62"/>
      <c r="CN6" s="62"/>
      <c r="CO6" s="62"/>
      <c r="CP6" s="62"/>
      <c r="CQ6" s="62"/>
      <c r="CR6" s="62"/>
      <c r="CS6" s="63" t="str">
        <f>IF(OR(ISNUMBER(CM6),ISNUMBER(CN6),ISNUMBER(CO6),ISNUMBER(CP6),ISNUMBER(CQ6),ISNUMBER(CR6),CM6="X",CN6="X",CO6="X",CP6="X",CQ6="X",CR6="X",CM6="M",CN6="M",CO6="M",CP6="M",CQ6="M",CR6="M"),IF(CM6="X",10,IF(CM6="M",0,IF(ISNUMBER(CM6),CM6,0))) + IF(CN6="X",10,IF(CN6="M",0,IF(ISNUMBER(CN6),CN6,0))) + IF(CO6="X",10,IF(CO6="M",0,IF(ISNUMBER(CO6),CO6,0))) + IF(CP6="X",10,IF(CP6="M",0,IF(ISNUMBER(CP6),CP6,0))) + IF(CQ6="X",10,IF(CQ6="M",0,IF(ISNUMBER(CQ6),CQ6,0))) + IF(CR6="X",10,IF(CR6="M",0,IF(ISNUMBER(CR6),CR6,0))),"")</f>
        <v/>
      </c>
      <c r="CT6" s="64"/>
      <c r="CU6" s="64"/>
      <c r="CV6" s="64"/>
      <c r="CW6" s="64"/>
      <c r="CX6" s="64"/>
      <c r="CY6" s="64"/>
      <c r="CZ6" s="63" t="str">
        <f>IF(OR(ISNUMBER(CT6),ISNUMBER(CU6),ISNUMBER(CV6),ISNUMBER(CW6),ISNUMBER(CX6),ISNUMBER(CY6),CT6="X",CU6="X",CV6="X",CW6="X",CX6="X",CY6="X",CT6="M",CU6="M",CV6="M",CW6="M",CX6="M",CY6="M"),IF(CT6="X",10,IF(CT6="M",0,IF(ISNUMBER(CT6),CT6,0))) + IF(CU6="X",10,IF(CU6="M",0,IF(ISNUMBER(CU6),CU6,0))) + IF(CV6="X",10,IF(CV6="M",0,IF(ISNUMBER(CV6),CV6,0))) + IF(CW6="X",10,IF(CW6="M",0,IF(ISNUMBER(CW6),CW6,0))) + IF(CX6="X",10,IF(CX6="M",0,IF(ISNUMBER(CX6),CX6,0))) + IF(CY6="X",10,IF(CY6="M",0,IF(ISNUMBER(CY6),CY6,0))),"")</f>
        <v/>
      </c>
      <c r="DA6" s="65">
        <f>IF(AND(ISNUMBER(BQ6),ISNUMBER(BQ8)),IF(BQ6&gt;BQ8,2,IF(BQ6=BQ8,1,0)),0)+IF(AND(ISNUMBER(BX6),ISNUMBER(BX8)),IF(BX6&gt;BX8,2,IF(BX6=BX8,1,0)),0)+IF(AND(ISNUMBER(CE6),ISNUMBER(CE8)),IF(CE6&gt;CE8,2,IF(CE6=CE8,1,0)),0)+IF(AND(ISNUMBER(CL6),ISNUMBER(CL8)),IF(CL6&gt;CL8,2,IF(CL6=CL8,1,0)),0)+IF(AND(ISNUMBER(CS6),ISNUMBER(CS8)),IF(CS6&gt;CS8,2,IF(CS6=CS8,1,0)),0)</f>
        <v>0</v>
      </c>
      <c r="DB6" s="66"/>
      <c r="DC6" s="67">
        <f>IF(DA6&gt;0,IF(BK6="X",10,IF(BK6="M",0,IF(ISNUMBER(BK6),BK6,0)))+IF(BL6="X",10,IF(BL6="M",0,IF(ISNUMBER(BL6),BL6,0)))+IF(BM6="X",10,IF(BM6="M",0,IF(ISNUMBER(BM6),BM6,0)))+IF(BN6="X",10,IF(BN6="M",0,IF(ISNUMBER(BN6),BN6,0)))+IF(BO6="X",10,IF(BO6="M",0,IF(ISNUMBER(BO6),BO6,0)))+IF(BP6="X",10,IF(BP6="M",0,IF(ISNUMBER(BP6),BP6,0)))+IF(BR6="X",10,IF(BR6="M",0,IF(ISNUMBER(BR6),BR6,0)))+IF(BS6="X",10,IF(BS6="M",0,IF(ISNUMBER(BS6),BS6,0)))+IF(BT6="X",10,IF(BT6="M",0,IF(ISNUMBER(BT6),BT6,0)))+IF(BU6="X",10,IF(BU6="M",0,IF(ISNUMBER(BU6),BU6,0)))+IF(BV6="X",10,IF(BV6="M",0,IF(ISNUMBER(BV6),BV6,0)))+IF(BW6="X",10,IF(BW6="M",0,IF(ISNUMBER(BW6),BW6,0)))+IF(BY6="X",10,IF(BY6="M",0,IF(ISNUMBER(BY6),BY6,0)))+IF(BZ6="X",10,IF(BZ6="M",0,IF(ISNUMBER(BZ6),BZ6,0)))+IF(CA6="X",10,IF(CA6="M",0,IF(ISNUMBER(CA6),CA6,0)))+IF(CB6="X",10,IF(CB6="M",0,IF(ISNUMBER(CB6),CB6,0)))+IF(CC6="X",10,IF(CC6="M",0,IF(ISNUMBER(CC6),CC6,0)))+IF(CD6="X",10,IF(CD6="M",0,IF(ISNUMBER(CD6),CD6,0)))+IF(CF6="X",10,IF(CF6="M",0,IF(ISNUMBER(CF6),CF6,0)))+IF(CG6="X",10,IF(CG6="M",0,IF(ISNUMBER(CG6),CG6,0)))+IF(CH6="X",10,IF(CH6="M",0,IF(ISNUMBER(CH6),CH6,0)))+IF(CI6="X",10,IF(CI6="M",0,IF(ISNUMBER(CI6),CI6,0)))+IF(CJ6="X",10,IF(CJ6="M",0,IF(ISNUMBER(CJ6),CJ6,0)))+IF(CK6="X",10,IF(CK6="M",0,IF(ISNUMBER(CK6),CK6,0)))+IF(CM6="X",10,IF(CM6="M",0,IF(ISNUMBER(CM6),CM6,0)))+IF(CN6="X",10,IF(CN6="M",0,IF(ISNUMBER(CN6),CN6,0)))+IF(CO6="X",10,IF(CO6="M",0,IF(ISNUMBER(CO6),CO6,0)))+IF(CP6="X",10,IF(CP6="M",0,IF(ISNUMBER(CP6),CP6,0)))+IF(CQ6="X",10,IF(CQ6="M",0,IF(ISNUMBER(CQ6),CQ6,0)))+IF(CR6="X",10,IF(CR6="M",0,IF(ISNUMBER(CR6),CR6,0)))+IF(CT6="X",10,IF(CT6="M",0,IF(ISNUMBER(CT6),CT6,0)))+IF(CU6="X",10,IF(CU6="M",0,IF(ISNUMBER(CU6),CU6,0)))+IF(CV6="X",10,IF(CV6="M",0,IF(ISNUMBER(CV6),CV6,0)))+IF(CW6="X",10,IF(CW6="M",0,IF(ISNUMBER(CW6),CW6,0)))+IF(CX6="X",10,IF(CX6="M",0,IF(ISNUMBER(CX6),CX6,0)))+IF(CY6="X",10,IF(CY6="M",0,IF(ISNUMBER(CY6),CY6,0))),0)</f>
        <v>0</v>
      </c>
      <c r="DD6" s="68" t="str">
        <f>IFERROR(IF(DB6="DQ","DISQUALIFIED",IF(DB8="DQ","&gt;&gt; Advance",IF(DF8="BYE","&gt;&gt; Advance",IF(DF6="BYE","BYE",IF(DA6&gt;=6,"WIN",IF(DA8&gt;=6,"LOSS",IF(AND(ISNUMBER(CZ6),ISNUMBER(CZ8)),IF(CZ6&gt;CZ8,"WIN",IF(CZ6&lt;CZ8,"LOSS","Shoot-Off")),"Playing"))))))),"Error")</f>
        <v>&gt;&gt; Advance</v>
      </c>
      <c r="DF6" s="69" t="str">
        <f>IFERROR(IF(AND(BC6="BYE",BC8="BYE"),"BYE",""),"")</f>
        <v/>
      </c>
      <c r="DG6" s="61" t="s">
        <v>182</v>
      </c>
      <c r="DH6" s="106" t="str">
        <f>IFERROR(IF(DF6="BYE",IF(DF8="BYE","TBD",BE8),IF(DF8="BYE",BE6,IF(OR(DD6="WIN",DD6="&gt;&gt; Advance"),BE6,IF(OR(DD8="WIN",DD8="&gt;&gt; Advance"),BE8,"TBD")))),"TBD")</f>
        <v>Joseph Nesortado Naoe</v>
      </c>
      <c r="DI6" s="106"/>
      <c r="DJ6" s="106"/>
      <c r="DK6" s="107" t="str">
        <f>IF(AND(DH6&lt;&gt;"TBD",DH6&lt;&gt;"",DH8&lt;&gt;"TBD",DH8&lt;&gt;"",FG6&lt;&gt;"&gt;&gt; Advance",FG8&lt;&gt;"&gt;&gt; Advance"),IF((B2-A2+1)&gt;=4,(A2+0)&amp;"",IF((B2-A2+1)&gt;=2,(A2+0)&amp;" L",(A2+MOD(0,(B2-A2+1)))&amp;CHAR(65+FLOOR(0/(B2-A2+1),1)*2)&amp;" (L)")),"")</f>
        <v/>
      </c>
      <c r="DL6" s="107"/>
      <c r="DM6" s="107"/>
      <c r="DN6" s="62"/>
      <c r="DO6" s="62"/>
      <c r="DP6" s="62"/>
      <c r="DQ6" s="62"/>
      <c r="DR6" s="62"/>
      <c r="DS6" s="62"/>
      <c r="DT6" s="63" t="str">
        <f>IF(OR(ISNUMBER(DN6),ISNUMBER(DO6),ISNUMBER(DP6),ISNUMBER(DQ6),ISNUMBER(DR6),ISNUMBER(DS6),DN6="X",DO6="X",DP6="X",DQ6="X",DR6="X",DS6="X",DN6="M",DO6="M",DP6="M",DQ6="M",DR6="M",DS6="M"),IF(DN6="X",10,IF(DN6="M",0,IF(ISNUMBER(DN6),DN6,0))) + IF(DO6="X",10,IF(DO6="M",0,IF(ISNUMBER(DO6),DO6,0))) + IF(DP6="X",10,IF(DP6="M",0,IF(ISNUMBER(DP6),DP6,0))) + IF(DQ6="X",10,IF(DQ6="M",0,IF(ISNUMBER(DQ6),DQ6,0))) + IF(DR6="X",10,IF(DR6="M",0,IF(ISNUMBER(DR6),DR6,0))) + IF(DS6="X",10,IF(DS6="M",0,IF(ISNUMBER(DS6),DS6,0))),"")</f>
        <v/>
      </c>
      <c r="DU6" s="62"/>
      <c r="DV6" s="62"/>
      <c r="DW6" s="62"/>
      <c r="DX6" s="62"/>
      <c r="DY6" s="62"/>
      <c r="DZ6" s="62"/>
      <c r="EA6" s="63" t="str">
        <f>IF(OR(ISNUMBER(DU6),ISNUMBER(DV6),ISNUMBER(DW6),ISNUMBER(DX6),ISNUMBER(DY6),ISNUMBER(DZ6),DU6="X",DV6="X",DW6="X",DX6="X",DY6="X",DZ6="X",DU6="M",DV6="M",DW6="M",DX6="M",DY6="M",DZ6="M"),IF(DU6="X",10,IF(DU6="M",0,IF(ISNUMBER(DU6),DU6,0))) + IF(DV6="X",10,IF(DV6="M",0,IF(ISNUMBER(DV6),DV6,0))) + IF(DW6="X",10,IF(DW6="M",0,IF(ISNUMBER(DW6),DW6,0))) + IF(DX6="X",10,IF(DX6="M",0,IF(ISNUMBER(DX6),DX6,0))) + IF(DY6="X",10,IF(DY6="M",0,IF(ISNUMBER(DY6),DY6,0))) + IF(DZ6="X",10,IF(DZ6="M",0,IF(ISNUMBER(DZ6),DZ6,0))),"")</f>
        <v/>
      </c>
      <c r="EB6" s="62"/>
      <c r="EC6" s="62"/>
      <c r="ED6" s="62"/>
      <c r="EE6" s="62"/>
      <c r="EF6" s="62"/>
      <c r="EG6" s="62"/>
      <c r="EH6" s="63" t="str">
        <f>IF(OR(ISNUMBER(EB6),ISNUMBER(EC6),ISNUMBER(ED6),ISNUMBER(EE6),ISNUMBER(EF6),ISNUMBER(EG6),EB6="X",EC6="X",ED6="X",EE6="X",EF6="X",EG6="X",EB6="M",EC6="M",ED6="M",EE6="M",EF6="M",EG6="M"),IF(EB6="X",10,IF(EB6="M",0,IF(ISNUMBER(EB6),EB6,0))) + IF(EC6="X",10,IF(EC6="M",0,IF(ISNUMBER(EC6),EC6,0))) + IF(ED6="X",10,IF(ED6="M",0,IF(ISNUMBER(ED6),ED6,0))) + IF(EE6="X",10,IF(EE6="M",0,IF(ISNUMBER(EE6),EE6,0))) + IF(EF6="X",10,IF(EF6="M",0,IF(ISNUMBER(EF6),EF6,0))) + IF(EG6="X",10,IF(EG6="M",0,IF(ISNUMBER(EG6),EG6,0))),"")</f>
        <v/>
      </c>
      <c r="EI6" s="62"/>
      <c r="EJ6" s="62"/>
      <c r="EK6" s="62"/>
      <c r="EL6" s="62"/>
      <c r="EM6" s="62"/>
      <c r="EN6" s="62"/>
      <c r="EO6" s="63" t="str">
        <f>IF(OR(ISNUMBER(EI6),ISNUMBER(EJ6),ISNUMBER(EK6),ISNUMBER(EL6),ISNUMBER(EM6),ISNUMBER(EN6),EI6="X",EJ6="X",EK6="X",EL6="X",EM6="X",EN6="X",EI6="M",EJ6="M",EK6="M",EL6="M",EM6="M",EN6="M"),IF(EI6="X",10,IF(EI6="M",0,IF(ISNUMBER(EI6),EI6,0))) + IF(EJ6="X",10,IF(EJ6="M",0,IF(ISNUMBER(EJ6),EJ6,0))) + IF(EK6="X",10,IF(EK6="M",0,IF(ISNUMBER(EK6),EK6,0))) + IF(EL6="X",10,IF(EL6="M",0,IF(ISNUMBER(EL6),EL6,0))) + IF(EM6="X",10,IF(EM6="M",0,IF(ISNUMBER(EM6),EM6,0))) + IF(EN6="X",10,IF(EN6="M",0,IF(ISNUMBER(EN6),EN6,0))),"")</f>
        <v/>
      </c>
      <c r="EP6" s="62"/>
      <c r="EQ6" s="62"/>
      <c r="ER6" s="62"/>
      <c r="ES6" s="62"/>
      <c r="ET6" s="62"/>
      <c r="EU6" s="62"/>
      <c r="EV6" s="63" t="str">
        <f>IF(OR(ISNUMBER(EP6),ISNUMBER(EQ6),ISNUMBER(ER6),ISNUMBER(ES6),ISNUMBER(ET6),ISNUMBER(EU6),EP6="X",EQ6="X",ER6="X",ES6="X",ET6="X",EU6="X",EP6="M",EQ6="M",ER6="M",ES6="M",ET6="M",EU6="M"),IF(EP6="X",10,IF(EP6="M",0,IF(ISNUMBER(EP6),EP6,0))) + IF(EQ6="X",10,IF(EQ6="M",0,IF(ISNUMBER(EQ6),EQ6,0))) + IF(ER6="X",10,IF(ER6="M",0,IF(ISNUMBER(ER6),ER6,0))) + IF(ES6="X",10,IF(ES6="M",0,IF(ISNUMBER(ES6),ES6,0))) + IF(ET6="X",10,IF(ET6="M",0,IF(ISNUMBER(ET6),ET6,0))) + IF(EU6="X",10,IF(EU6="M",0,IF(ISNUMBER(EU6),EU6,0))),"")</f>
        <v/>
      </c>
      <c r="EW6" s="64"/>
      <c r="EX6" s="64"/>
      <c r="EY6" s="64"/>
      <c r="EZ6" s="64"/>
      <c r="FA6" s="64"/>
      <c r="FB6" s="64"/>
      <c r="FC6" s="63" t="str">
        <f>IF(OR(ISNUMBER(EW6),ISNUMBER(EX6),ISNUMBER(EY6),ISNUMBER(EZ6),ISNUMBER(FA6),ISNUMBER(FB6),EW6="X",EX6="X",EY6="X",EZ6="X",FA6="X",FB6="X",EW6="M",EX6="M",EY6="M",EZ6="M",FA6="M",FB6="M"),IF(EW6="X",10,IF(EW6="M",0,IF(ISNUMBER(EW6),EW6,0))) + IF(EX6="X",10,IF(EX6="M",0,IF(ISNUMBER(EX6),EX6,0))) + IF(EY6="X",10,IF(EY6="M",0,IF(ISNUMBER(EY6),EY6,0))) + IF(EZ6="X",10,IF(EZ6="M",0,IF(ISNUMBER(EZ6),EZ6,0))) + IF(FA6="X",10,IF(FA6="M",0,IF(ISNUMBER(FA6),FA6,0))) + IF(FB6="X",10,IF(FB6="M",0,IF(ISNUMBER(FB6),FB6,0))),"")</f>
        <v/>
      </c>
      <c r="FD6" s="65">
        <f>IF(AND(ISNUMBER(DT6),ISNUMBER(DT8)),IF(DT6&gt;DT8,2,IF(DT6=DT8,1,0)),0)+IF(AND(ISNUMBER(EA6),ISNUMBER(EA8)),IF(EA6&gt;EA8,2,IF(EA6=EA8,1,0)),0)+IF(AND(ISNUMBER(EH6),ISNUMBER(EH8)),IF(EH6&gt;EH8,2,IF(EH6=EH8,1,0)),0)+IF(AND(ISNUMBER(EO6),ISNUMBER(EO8)),IF(EO6&gt;EO8,2,IF(EO6=EO8,1,0)),0)+IF(AND(ISNUMBER(EV6),ISNUMBER(EV8)),IF(EV6&gt;EV8,2,IF(EV6=EV8,1,0)),0)</f>
        <v>0</v>
      </c>
      <c r="FE6" s="66"/>
      <c r="FF6" s="67">
        <f>IF(FD6&gt;0,IF(DN6="X",10,IF(DN6="M",0,IF(ISNUMBER(DN6),DN6,0)))+IF(DO6="X",10,IF(DO6="M",0,IF(ISNUMBER(DO6),DO6,0)))+IF(DP6="X",10,IF(DP6="M",0,IF(ISNUMBER(DP6),DP6,0)))+IF(DQ6="X",10,IF(DQ6="M",0,IF(ISNUMBER(DQ6),DQ6,0)))+IF(DR6="X",10,IF(DR6="M",0,IF(ISNUMBER(DR6),DR6,0)))+IF(DS6="X",10,IF(DS6="M",0,IF(ISNUMBER(DS6),DS6,0)))+IF(DU6="X",10,IF(DU6="M",0,IF(ISNUMBER(DU6),DU6,0)))+IF(DV6="X",10,IF(DV6="M",0,IF(ISNUMBER(DV6),DV6,0)))+IF(DW6="X",10,IF(DW6="M",0,IF(ISNUMBER(DW6),DW6,0)))+IF(DX6="X",10,IF(DX6="M",0,IF(ISNUMBER(DX6),DX6,0)))+IF(DY6="X",10,IF(DY6="M",0,IF(ISNUMBER(DY6),DY6,0)))+IF(DZ6="X",10,IF(DZ6="M",0,IF(ISNUMBER(DZ6),DZ6,0)))+IF(EB6="X",10,IF(EB6="M",0,IF(ISNUMBER(EB6),EB6,0)))+IF(EC6="X",10,IF(EC6="M",0,IF(ISNUMBER(EC6),EC6,0)))+IF(ED6="X",10,IF(ED6="M",0,IF(ISNUMBER(ED6),ED6,0)))+IF(EE6="X",10,IF(EE6="M",0,IF(ISNUMBER(EE6),EE6,0)))+IF(EF6="X",10,IF(EF6="M",0,IF(ISNUMBER(EF6),EF6,0)))+IF(EG6="X",10,IF(EG6="M",0,IF(ISNUMBER(EG6),EG6,0)))+IF(EI6="X",10,IF(EI6="M",0,IF(ISNUMBER(EI6),EI6,0)))+IF(EJ6="X",10,IF(EJ6="M",0,IF(ISNUMBER(EJ6),EJ6,0)))+IF(EK6="X",10,IF(EK6="M",0,IF(ISNUMBER(EK6),EK6,0)))+IF(EL6="X",10,IF(EL6="M",0,IF(ISNUMBER(EL6),EL6,0)))+IF(EM6="X",10,IF(EM6="M",0,IF(ISNUMBER(EM6),EM6,0)))+IF(EN6="X",10,IF(EN6="M",0,IF(ISNUMBER(EN6),EN6,0)))+IF(EP6="X",10,IF(EP6="M",0,IF(ISNUMBER(EP6),EP6,0)))+IF(EQ6="X",10,IF(EQ6="M",0,IF(ISNUMBER(EQ6),EQ6,0)))+IF(ER6="X",10,IF(ER6="M",0,IF(ISNUMBER(ER6),ER6,0)))+IF(ES6="X",10,IF(ES6="M",0,IF(ISNUMBER(ES6),ES6,0)))+IF(ET6="X",10,IF(ET6="M",0,IF(ISNUMBER(ET6),ET6,0)))+IF(EU6="X",10,IF(EU6="M",0,IF(ISNUMBER(EU6),EU6,0)))+IF(EW6="X",10,IF(EW6="M",0,IF(ISNUMBER(EW6),EW6,0)))+IF(EX6="X",10,IF(EX6="M",0,IF(ISNUMBER(EX6),EX6,0)))+IF(EY6="X",10,IF(EY6="M",0,IF(ISNUMBER(EY6),EY6,0)))+IF(EZ6="X",10,IF(EZ6="M",0,IF(ISNUMBER(EZ6),EZ6,0)))+IF(FA6="X",10,IF(FA6="M",0,IF(ISNUMBER(FA6),FA6,0)))+IF(FB6="X",10,IF(FB6="M",0,IF(ISNUMBER(FB6),FB6,0))),0)</f>
        <v>0</v>
      </c>
      <c r="FG6" s="68" t="str">
        <f>IFERROR(IF(FE6="DQ","DISQUALIFIED",IF(FE8="DQ","&gt;&gt; Advance",IF(FI8="BYE","&gt;&gt; Advance",IF(FI6="BYE","BYE",IF(FD6&gt;=6,"WIN",IF(FD8&gt;=6,"LOSS",IF(AND(ISNUMBER(FC6),ISNUMBER(FC8)),IF(FC6&gt;FC8,"WIN",IF(FC6&lt;FC8,"LOSS","Shoot-Off")),"Playing"))))))),"Error")</f>
        <v>&gt;&gt; Advance</v>
      </c>
      <c r="FI6" s="69" t="str">
        <f>IFERROR(IF(AND(DF6="BYE",DF8="BYE"),"BYE",""),"")</f>
        <v/>
      </c>
      <c r="FJ6" s="70" t="s">
        <v>183</v>
      </c>
      <c r="FK6" s="106" t="str">
        <f>IFERROR(IF(FI6="BYE",IF(FI8="BYE","TBD",DH8),IF(FI8="BYE",DH6,IF(OR(FG6="WIN",FG6="&gt;&gt; Advance"),DH6,IF(OR(FG8="WIN",FG8="&gt;&gt; Advance"),DH8,"TBD")))),"TBD")</f>
        <v>Joseph Nesortado Naoe</v>
      </c>
      <c r="FL6" s="106"/>
      <c r="FM6" s="106"/>
      <c r="FN6" s="107" t="str">
        <f>IF(AND(FK6&lt;&gt;"TBD",FK6&lt;&gt;"",FK8&lt;&gt;"TBD",FK8&lt;&gt;"",HJ6&lt;&gt;"&gt;&gt; Advance",HJ8&lt;&gt;"&gt;&gt; Advance"),IF((B2-A2+1)&gt;=4,(A2+0)&amp;"",IF((B2-A2+1)&gt;=2,(A2+0)&amp;" L",(A2+MOD(0,(B2-A2+1)))&amp;CHAR(65+FLOOR(0/(B2-A2+1),1)*2)&amp;" (L)")),"")</f>
        <v/>
      </c>
      <c r="FO6" s="107"/>
      <c r="FP6" s="107"/>
      <c r="FQ6" s="62"/>
      <c r="FR6" s="62"/>
      <c r="FS6" s="62"/>
      <c r="FT6" s="62"/>
      <c r="FU6" s="62"/>
      <c r="FV6" s="62"/>
      <c r="FW6" s="63" t="str">
        <f>IF(OR(ISNUMBER(FQ6),ISNUMBER(FR6),ISNUMBER(FS6),ISNUMBER(FT6),ISNUMBER(FU6),ISNUMBER(FV6),FQ6="X",FR6="X",FS6="X",FT6="X",FU6="X",FV6="X",FQ6="M",FR6="M",FS6="M",FT6="M",FU6="M",FV6="M"),IF(FQ6="X",10,IF(FQ6="M",0,IF(ISNUMBER(FQ6),FQ6,0))) + IF(FR6="X",10,IF(FR6="M",0,IF(ISNUMBER(FR6),FR6,0))) + IF(FS6="X",10,IF(FS6="M",0,IF(ISNUMBER(FS6),FS6,0))) + IF(FT6="X",10,IF(FT6="M",0,IF(ISNUMBER(FT6),FT6,0))) + IF(FU6="X",10,IF(FU6="M",0,IF(ISNUMBER(FU6),FU6,0))) + IF(FV6="X",10,IF(FV6="M",0,IF(ISNUMBER(FV6),FV6,0))),"")</f>
        <v/>
      </c>
      <c r="FX6" s="62"/>
      <c r="FY6" s="62"/>
      <c r="FZ6" s="62"/>
      <c r="GA6" s="62"/>
      <c r="GB6" s="62"/>
      <c r="GC6" s="62"/>
      <c r="GD6" s="63" t="str">
        <f>IF(OR(ISNUMBER(FX6),ISNUMBER(FY6),ISNUMBER(FZ6),ISNUMBER(GA6),ISNUMBER(GB6),ISNUMBER(GC6),FX6="X",FY6="X",FZ6="X",GA6="X",GB6="X",GC6="X",FX6="M",FY6="M",FZ6="M",GA6="M",GB6="M",GC6="M"),IF(FX6="X",10,IF(FX6="M",0,IF(ISNUMBER(FX6),FX6,0))) + IF(FY6="X",10,IF(FY6="M",0,IF(ISNUMBER(FY6),FY6,0))) + IF(FZ6="X",10,IF(FZ6="M",0,IF(ISNUMBER(FZ6),FZ6,0))) + IF(GA6="X",10,IF(GA6="M",0,IF(ISNUMBER(GA6),GA6,0))) + IF(GB6="X",10,IF(GB6="M",0,IF(ISNUMBER(GB6),GB6,0))) + IF(GC6="X",10,IF(GC6="M",0,IF(ISNUMBER(GC6),GC6,0))),"")</f>
        <v/>
      </c>
      <c r="GE6" s="62"/>
      <c r="GF6" s="62"/>
      <c r="GG6" s="62"/>
      <c r="GH6" s="62"/>
      <c r="GI6" s="62"/>
      <c r="GJ6" s="62"/>
      <c r="GK6" s="63" t="str">
        <f>IF(OR(ISNUMBER(GE6),ISNUMBER(GF6),ISNUMBER(GG6),ISNUMBER(GH6),ISNUMBER(GI6),ISNUMBER(GJ6),GE6="X",GF6="X",GG6="X",GH6="X",GI6="X",GJ6="X",GE6="M",GF6="M",GG6="M",GH6="M",GI6="M",GJ6="M"),IF(GE6="X",10,IF(GE6="M",0,IF(ISNUMBER(GE6),GE6,0))) + IF(GF6="X",10,IF(GF6="M",0,IF(ISNUMBER(GF6),GF6,0))) + IF(GG6="X",10,IF(GG6="M",0,IF(ISNUMBER(GG6),GG6,0))) + IF(GH6="X",10,IF(GH6="M",0,IF(ISNUMBER(GH6),GH6,0))) + IF(GI6="X",10,IF(GI6="M",0,IF(ISNUMBER(GI6),GI6,0))) + IF(GJ6="X",10,IF(GJ6="M",0,IF(ISNUMBER(GJ6),GJ6,0))),"")</f>
        <v/>
      </c>
      <c r="GL6" s="62"/>
      <c r="GM6" s="62"/>
      <c r="GN6" s="62"/>
      <c r="GO6" s="62"/>
      <c r="GP6" s="62"/>
      <c r="GQ6" s="62"/>
      <c r="GR6" s="63" t="str">
        <f>IF(OR(ISNUMBER(GL6),ISNUMBER(GM6),ISNUMBER(GN6),ISNUMBER(GO6),ISNUMBER(GP6),ISNUMBER(GQ6),GL6="X",GM6="X",GN6="X",GO6="X",GP6="X",GQ6="X",GL6="M",GM6="M",GN6="M",GO6="M",GP6="M",GQ6="M"),IF(GL6="X",10,IF(GL6="M",0,IF(ISNUMBER(GL6),GL6,0))) + IF(GM6="X",10,IF(GM6="M",0,IF(ISNUMBER(GM6),GM6,0))) + IF(GN6="X",10,IF(GN6="M",0,IF(ISNUMBER(GN6),GN6,0))) + IF(GO6="X",10,IF(GO6="M",0,IF(ISNUMBER(GO6),GO6,0))) + IF(GP6="X",10,IF(GP6="M",0,IF(ISNUMBER(GP6),GP6,0))) + IF(GQ6="X",10,IF(GQ6="M",0,IF(ISNUMBER(GQ6),GQ6,0))),"")</f>
        <v/>
      </c>
      <c r="GS6" s="62"/>
      <c r="GT6" s="62"/>
      <c r="GU6" s="62"/>
      <c r="GV6" s="62"/>
      <c r="GW6" s="62"/>
      <c r="GX6" s="62"/>
      <c r="GY6" s="63" t="str">
        <f>IF(OR(ISNUMBER(GS6),ISNUMBER(GT6),ISNUMBER(GU6),ISNUMBER(GV6),ISNUMBER(GW6),ISNUMBER(GX6),GS6="X",GT6="X",GU6="X",GV6="X",GW6="X",GX6="X",GS6="M",GT6="M",GU6="M",GV6="M",GW6="M",GX6="M"),IF(GS6="X",10,IF(GS6="M",0,IF(ISNUMBER(GS6),GS6,0))) + IF(GT6="X",10,IF(GT6="M",0,IF(ISNUMBER(GT6),GT6,0))) + IF(GU6="X",10,IF(GU6="M",0,IF(ISNUMBER(GU6),GU6,0))) + IF(GV6="X",10,IF(GV6="M",0,IF(ISNUMBER(GV6),GV6,0))) + IF(GW6="X",10,IF(GW6="M",0,IF(ISNUMBER(GW6),GW6,0))) + IF(GX6="X",10,IF(GX6="M",0,IF(ISNUMBER(GX6),GX6,0))),"")</f>
        <v/>
      </c>
      <c r="GZ6" s="64"/>
      <c r="HA6" s="64"/>
      <c r="HB6" s="64"/>
      <c r="HC6" s="64"/>
      <c r="HD6" s="64"/>
      <c r="HE6" s="64"/>
      <c r="HF6" s="63" t="str">
        <f>IF(OR(ISNUMBER(GZ6),ISNUMBER(HA6),ISNUMBER(HB6),ISNUMBER(HC6),ISNUMBER(HD6),ISNUMBER(HE6),GZ6="X",HA6="X",HB6="X",HC6="X",HD6="X",HE6="X",GZ6="M",HA6="M",HB6="M",HC6="M",HD6="M",HE6="M"),IF(GZ6="X",10,IF(GZ6="M",0,IF(ISNUMBER(GZ6),GZ6,0))) + IF(HA6="X",10,IF(HA6="M",0,IF(ISNUMBER(HA6),HA6,0))) + IF(HB6="X",10,IF(HB6="M",0,IF(ISNUMBER(HB6),HB6,0))) + IF(HC6="X",10,IF(HC6="M",0,IF(ISNUMBER(HC6),HC6,0))) + IF(HD6="X",10,IF(HD6="M",0,IF(ISNUMBER(HD6),HD6,0))) + IF(HE6="X",10,IF(HE6="M",0,IF(ISNUMBER(HE6),HE6,0))),"")</f>
        <v/>
      </c>
      <c r="HG6" s="65">
        <f>IF(AND(ISNUMBER(FW6),ISNUMBER(FW8)),IF(FW6&gt;FW8,2,IF(FW6=FW8,1,0)),0)+IF(AND(ISNUMBER(GD6),ISNUMBER(GD8)),IF(GD6&gt;GD8,2,IF(GD6=GD8,1,0)),0)+IF(AND(ISNUMBER(GK6),ISNUMBER(GK8)),IF(GK6&gt;GK8,2,IF(GK6=GK8,1,0)),0)+IF(AND(ISNUMBER(GR6),ISNUMBER(GR8)),IF(GR6&gt;GR8,2,IF(GR6=GR8,1,0)),0)+IF(AND(ISNUMBER(GY6),ISNUMBER(GY8)),IF(GY6&gt;GY8,2,IF(GY6=GY8,1,0)),0)</f>
        <v>0</v>
      </c>
      <c r="HH6" s="66"/>
      <c r="HI6" s="67">
        <f>IF(HG6&gt;0,IF(FQ6="X",10,IF(FQ6="M",0,IF(ISNUMBER(FQ6),FQ6,0)))+IF(FR6="X",10,IF(FR6="M",0,IF(ISNUMBER(FR6),FR6,0)))+IF(FS6="X",10,IF(FS6="M",0,IF(ISNUMBER(FS6),FS6,0)))+IF(FT6="X",10,IF(FT6="M",0,IF(ISNUMBER(FT6),FT6,0)))+IF(FU6="X",10,IF(FU6="M",0,IF(ISNUMBER(FU6),FU6,0)))+IF(FV6="X",10,IF(FV6="M",0,IF(ISNUMBER(FV6),FV6,0)))+IF(FX6="X",10,IF(FX6="M",0,IF(ISNUMBER(FX6),FX6,0)))+IF(FY6="X",10,IF(FY6="M",0,IF(ISNUMBER(FY6),FY6,0)))+IF(FZ6="X",10,IF(FZ6="M",0,IF(ISNUMBER(FZ6),FZ6,0)))+IF(GA6="X",10,IF(GA6="M",0,IF(ISNUMBER(GA6),GA6,0)))+IF(GB6="X",10,IF(GB6="M",0,IF(ISNUMBER(GB6),GB6,0)))+IF(GC6="X",10,IF(GC6="M",0,IF(ISNUMBER(GC6),GC6,0)))+IF(GE6="X",10,IF(GE6="M",0,IF(ISNUMBER(GE6),GE6,0)))+IF(GF6="X",10,IF(GF6="M",0,IF(ISNUMBER(GF6),GF6,0)))+IF(GG6="X",10,IF(GG6="M",0,IF(ISNUMBER(GG6),GG6,0)))+IF(GH6="X",10,IF(GH6="M",0,IF(ISNUMBER(GH6),GH6,0)))+IF(GI6="X",10,IF(GI6="M",0,IF(ISNUMBER(GI6),GI6,0)))+IF(GJ6="X",10,IF(GJ6="M",0,IF(ISNUMBER(GJ6),GJ6,0)))+IF(GL6="X",10,IF(GL6="M",0,IF(ISNUMBER(GL6),GL6,0)))+IF(GM6="X",10,IF(GM6="M",0,IF(ISNUMBER(GM6),GM6,0)))+IF(GN6="X",10,IF(GN6="M",0,IF(ISNUMBER(GN6),GN6,0)))+IF(GO6="X",10,IF(GO6="M",0,IF(ISNUMBER(GO6),GO6,0)))+IF(GP6="X",10,IF(GP6="M",0,IF(ISNUMBER(GP6),GP6,0)))+IF(GQ6="X",10,IF(GQ6="M",0,IF(ISNUMBER(GQ6),GQ6,0)))+IF(GS6="X",10,IF(GS6="M",0,IF(ISNUMBER(GS6),GS6,0)))+IF(GT6="X",10,IF(GT6="M",0,IF(ISNUMBER(GT6),GT6,0)))+IF(GU6="X",10,IF(GU6="M",0,IF(ISNUMBER(GU6),GU6,0)))+IF(GV6="X",10,IF(GV6="M",0,IF(ISNUMBER(GV6),GV6,0)))+IF(GW6="X",10,IF(GW6="M",0,IF(ISNUMBER(GW6),GW6,0)))+IF(GX6="X",10,IF(GX6="M",0,IF(ISNUMBER(GX6),GX6,0)))+IF(GZ6="X",10,IF(GZ6="M",0,IF(ISNUMBER(GZ6),GZ6,0)))+IF(HA6="X",10,IF(HA6="M",0,IF(ISNUMBER(HA6),HA6,0)))+IF(HB6="X",10,IF(HB6="M",0,IF(ISNUMBER(HB6),HB6,0)))+IF(HC6="X",10,IF(HC6="M",0,IF(ISNUMBER(HC6),HC6,0)))+IF(HD6="X",10,IF(HD6="M",0,IF(ISNUMBER(HD6),HD6,0)))+IF(HE6="X",10,IF(HE6="M",0,IF(ISNUMBER(HE6),HE6,0))),0)</f>
        <v>0</v>
      </c>
      <c r="HJ6" s="68" t="str">
        <f>IFERROR(IF(HH6="DQ","DISQUALIFIED",IF(HH8="DQ","&gt;&gt; Advance",IF(HL8="BYE","&gt;&gt; Advance",IF(HL6="BYE","BYE",IF(HG6&gt;=6,"WIN",IF(HG8&gt;=6,"LOSS",IF(AND(ISNUMBER(HF6),ISNUMBER(HF8)),IF(HF6&gt;HF8,"WIN",IF(HF6&lt;HF8,"LOSS","Shoot-Off")),"Playing"))))))),"Error")</f>
        <v>&gt;&gt; Advance</v>
      </c>
      <c r="HL6" s="69" t="str">
        <f>IFERROR(IF(AND(FI6="BYE",FI8="BYE"),"BYE",""),"")</f>
        <v/>
      </c>
      <c r="HM6" s="108" t="str">
        <f>IFERROR(IF(HL6="BYE",IF(HL8="BYE","TBD",FK8),IF(HL8="BYE",FK6,IF(OR(HJ6="WIN",HJ6="&gt;&gt; Advance"),FK6,IF(OR(HJ8="WIN",HJ8="&gt;&gt; Advance"),FK8,"TBD")))),"TBD")</f>
        <v>Joseph Nesortado Naoe</v>
      </c>
      <c r="HN6" s="108"/>
      <c r="HO6" s="108"/>
      <c r="HP6" s="108"/>
      <c r="HQ6" s="108"/>
      <c r="HR6" s="108"/>
      <c r="HS6" s="108"/>
      <c r="HT6" s="108"/>
      <c r="HU6" s="108"/>
      <c r="HV6" s="108"/>
      <c r="HW6" s="108"/>
      <c r="HX6" s="108"/>
      <c r="HY6" s="108"/>
      <c r="HZ6" s="108"/>
      <c r="IA6" s="108"/>
      <c r="IB6" s="108"/>
    </row>
    <row r="7" spans="1:237" ht="3" customHeight="1" x14ac:dyDescent="0.35">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c r="EO7" s="71"/>
      <c r="EP7" s="71"/>
      <c r="EQ7" s="71"/>
      <c r="ER7" s="71"/>
      <c r="ES7" s="71"/>
      <c r="ET7" s="71"/>
      <c r="EU7" s="71"/>
      <c r="EV7" s="71"/>
      <c r="EW7" s="71"/>
      <c r="EX7" s="71"/>
      <c r="EY7" s="71"/>
      <c r="EZ7" s="71"/>
      <c r="FA7" s="71"/>
      <c r="FB7" s="71"/>
      <c r="FC7" s="71"/>
      <c r="FD7" s="71"/>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c r="GE7" s="71"/>
      <c r="GF7" s="71"/>
      <c r="GG7" s="71"/>
      <c r="GH7" s="71"/>
      <c r="GI7" s="71"/>
      <c r="GJ7" s="71"/>
      <c r="GK7" s="71"/>
      <c r="GL7" s="71"/>
      <c r="GM7" s="71"/>
      <c r="GN7" s="71"/>
      <c r="GO7" s="71"/>
      <c r="GP7" s="71"/>
      <c r="GQ7" s="71"/>
      <c r="GR7" s="71"/>
      <c r="GS7" s="71"/>
      <c r="GT7" s="71"/>
      <c r="GU7" s="71"/>
      <c r="GV7" s="71"/>
      <c r="GW7" s="71"/>
      <c r="GX7" s="71"/>
      <c r="GY7" s="71"/>
      <c r="GZ7" s="71"/>
      <c r="HA7" s="71"/>
      <c r="HB7" s="71"/>
      <c r="HC7" s="71"/>
      <c r="HD7" s="71"/>
      <c r="HE7" s="71"/>
      <c r="HF7" s="71"/>
      <c r="HG7" s="71"/>
      <c r="HH7" s="71"/>
      <c r="HI7" s="71"/>
      <c r="HJ7" s="71"/>
      <c r="HK7" s="71"/>
      <c r="HL7" s="71"/>
      <c r="HM7" s="108"/>
      <c r="HN7" s="108"/>
      <c r="HO7" s="108"/>
      <c r="HP7" s="108"/>
      <c r="HQ7" s="108"/>
      <c r="HR7" s="108"/>
      <c r="HS7" s="108"/>
      <c r="HT7" s="108"/>
      <c r="HU7" s="108"/>
      <c r="HV7" s="108"/>
      <c r="HW7" s="108"/>
      <c r="HX7" s="108"/>
      <c r="HY7" s="108"/>
      <c r="HZ7" s="108"/>
      <c r="IA7" s="108"/>
      <c r="IB7" s="108"/>
    </row>
    <row r="8" spans="1:237" ht="15.75" customHeight="1" x14ac:dyDescent="0.35">
      <c r="A8" s="61" t="str">
        <f>IFERROR(IF(INDEX('Open 30M - Teams'!$L:$L,MATCH(16,'Open 30M - Teams'!$A:$A,0))="Yes","BYE",IF(OR(INDEX('Open 30M - Teams'!$B:$B,MATCH(16,'Open 30M - Teams'!$A:$A,0))="",ISERROR(MATCH(16,'Open 30M - Teams'!$A:$A,0))),"BYE","#16")),"BYE")</f>
        <v>BYE</v>
      </c>
      <c r="B8" s="106" t="str">
        <f>IFERROR(IF(INDEX('Open 30M - Teams'!$L:$L,MATCH(16,'Open 30M - Teams'!$A:$A,0))="Yes","",IF(INDEX('Open 30M - Teams'!$N:$N,MATCH(16,'Open 30M - Teams'!$A:$A,0))&lt;&gt;"",INDEX('Open 30M - Teams'!$N:$N,MATCH(16,'Open 30M - Teams'!$A:$A,0)),IF(INDEX('Open 30M - Teams'!$B:$B,MATCH(16,'Open 30M - Teams'!$A:$A,0))="","",INDEX('Open 30M - Teams'!$B:$B,MATCH(16,'Open 30M - Teams'!$A:$A,0))))),"")</f>
        <v/>
      </c>
      <c r="C8" s="106"/>
      <c r="D8" s="106"/>
      <c r="E8" s="107" t="str">
        <f>IF(OR(A8="BYE",BA8="&gt;&gt; Advance"),"",IF((B2-A2+1)&gt;=8,(A2+MOD(INT((SUMPRODUCT(IF(A6&lt;&gt;"BYE",IF(A6&lt;&gt;"",IF(BA6&lt;&gt;"&gt;&gt; Advance",1,0),0),0)+IF(A8&lt;&gt;"BYE",IF(A8&lt;&gt;"",IF(BA8&lt;&gt;"&gt;&gt; Advance",1,0),0),0))-1)/2),(B2-A2+1)))&amp;IF((MOD(SUMPRODUCT(IF(A6&lt;&gt;"BYE",IF(A6&lt;&gt;"",IF(BA6&lt;&gt;"&gt;&gt; Advance",1,0),0),0)+IF(A8&lt;&gt;"BYE",IF(A8&lt;&gt;"",IF(BA8&lt;&gt;"&gt;&gt; Advance",1,0),0),0))-1,2)=0)," L"," R"),(A2+MOD(INT((SUMPRODUCT(IF(A6&lt;&gt;"BYE",IF(A6&lt;&gt;"",IF(BA6&lt;&gt;"&gt;&gt; Advance",1,0),0),0)+IF(A8&lt;&gt;"BYE",IF(A8&lt;&gt;"",IF(BA8&lt;&gt;"&gt;&gt; Advance",1,0),0),0))-1)/2),(B2-A2+1)))&amp;CHAR(65+FLOOR(INT((SUMPRODUCT(IF(A6&lt;&gt;"BYE",IF(A6&lt;&gt;"",IF(BA6&lt;&gt;"&gt;&gt; Advance",1,0),0),0)+IF(A8&lt;&gt;"BYE",IF(A8&lt;&gt;"",IF(BA8&lt;&gt;"&gt;&gt; Advance",1,0),0),0))-1)/2)/(B2-A2+1),1)*2+MOD(SUMPRODUCT(IF(A6&lt;&gt;"BYE",IF(A6&lt;&gt;"",IF(BA6&lt;&gt;"&gt;&gt; Advance",1,0),0),0)+IF(A8&lt;&gt;"BYE",IF(A8&lt;&gt;"",IF(BA8&lt;&gt;"&gt;&gt; Advance",1,0),0),0))-1,2))&amp;IF((MOD(SUMPRODUCT(IF(A6&lt;&gt;"BYE",IF(A6&lt;&gt;"",IF(BA6&lt;&gt;"&gt;&gt; Advance",1,0),0),0)+IF(A8&lt;&gt;"BYE",IF(A8&lt;&gt;"",IF(BA8&lt;&gt;"&gt;&gt; Advance",1,0),0),0))-1,2)=0)," (L)"," (R)")))</f>
        <v/>
      </c>
      <c r="F8" s="107"/>
      <c r="G8" s="107"/>
      <c r="H8" s="62"/>
      <c r="I8" s="62"/>
      <c r="J8" s="62"/>
      <c r="K8" s="62"/>
      <c r="L8" s="62"/>
      <c r="M8" s="62"/>
      <c r="N8" s="63" t="str">
        <f>IF(OR(ISNUMBER(H8),ISNUMBER(I8),ISNUMBER(J8),ISNUMBER(K8),ISNUMBER(L8),ISNUMBER(M8),H8="X",I8="X",J8="X",K8="X",L8="X",M8="X",H8="M",I8="M",J8="M",K8="M",L8="M",M8="M"),IF(H8="X",10,IF(H8="M",0,IF(ISNUMBER(H8),H8,0))) + IF(I8="X",10,IF(I8="M",0,IF(ISNUMBER(I8),I8,0))) + IF(J8="X",10,IF(J8="M",0,IF(ISNUMBER(J8),J8,0))) + IF(K8="X",10,IF(K8="M",0,IF(ISNUMBER(K8),K8,0))) + IF(L8="X",10,IF(L8="M",0,IF(ISNUMBER(L8),L8,0))) + IF(M8="X",10,IF(M8="M",0,IF(ISNUMBER(M8),M8,0))),"")</f>
        <v/>
      </c>
      <c r="O8" s="62"/>
      <c r="P8" s="62"/>
      <c r="Q8" s="62"/>
      <c r="R8" s="62"/>
      <c r="S8" s="62"/>
      <c r="T8" s="62"/>
      <c r="U8" s="63" t="str">
        <f>IF(OR(ISNUMBER(O8),ISNUMBER(P8),ISNUMBER(Q8),ISNUMBER(R8),ISNUMBER(S8),ISNUMBER(T8),O8="X",P8="X",Q8="X",R8="X",S8="X",T8="X",O8="M",P8="M",Q8="M",R8="M",S8="M",T8="M"),IF(O8="X",10,IF(O8="M",0,IF(ISNUMBER(O8),O8,0))) + IF(P8="X",10,IF(P8="M",0,IF(ISNUMBER(P8),P8,0))) + IF(Q8="X",10,IF(Q8="M",0,IF(ISNUMBER(Q8),Q8,0))) + IF(R8="X",10,IF(R8="M",0,IF(ISNUMBER(R8),R8,0))) + IF(S8="X",10,IF(S8="M",0,IF(ISNUMBER(S8),S8,0))) + IF(T8="X",10,IF(T8="M",0,IF(ISNUMBER(T8),T8,0))),"")</f>
        <v/>
      </c>
      <c r="V8" s="62"/>
      <c r="W8" s="62"/>
      <c r="X8" s="62"/>
      <c r="Y8" s="62"/>
      <c r="Z8" s="62"/>
      <c r="AA8" s="62"/>
      <c r="AB8" s="63" t="str">
        <f>IF(OR(ISNUMBER(V8),ISNUMBER(W8),ISNUMBER(X8),ISNUMBER(Y8),ISNUMBER(Z8),ISNUMBER(AA8),V8="X",W8="X",X8="X",Y8="X",Z8="X",AA8="X",V8="M",W8="M",X8="M",Y8="M",Z8="M",AA8="M"),IF(V8="X",10,IF(V8="M",0,IF(ISNUMBER(V8),V8,0))) + IF(W8="X",10,IF(W8="M",0,IF(ISNUMBER(W8),W8,0))) + IF(X8="X",10,IF(X8="M",0,IF(ISNUMBER(X8),X8,0))) + IF(Y8="X",10,IF(Y8="M",0,IF(ISNUMBER(Y8),Y8,0))) + IF(Z8="X",10,IF(Z8="M",0,IF(ISNUMBER(Z8),Z8,0))) + IF(AA8="X",10,IF(AA8="M",0,IF(ISNUMBER(AA8),AA8,0))),"")</f>
        <v/>
      </c>
      <c r="AC8" s="62"/>
      <c r="AD8" s="62"/>
      <c r="AE8" s="62"/>
      <c r="AF8" s="62"/>
      <c r="AG8" s="62"/>
      <c r="AH8" s="62"/>
      <c r="AI8" s="63" t="str">
        <f>IF(OR(ISNUMBER(AC8),ISNUMBER(AD8),ISNUMBER(AE8),ISNUMBER(AF8),ISNUMBER(AG8),ISNUMBER(AH8),AC8="X",AD8="X",AE8="X",AF8="X",AG8="X",AH8="X",AC8="M",AD8="M",AE8="M",AF8="M",AG8="M",AH8="M"),IF(AC8="X",10,IF(AC8="M",0,IF(ISNUMBER(AC8),AC8,0))) + IF(AD8="X",10,IF(AD8="M",0,IF(ISNUMBER(AD8),AD8,0))) + IF(AE8="X",10,IF(AE8="M",0,IF(ISNUMBER(AE8),AE8,0))) + IF(AF8="X",10,IF(AF8="M",0,IF(ISNUMBER(AF8),AF8,0))) + IF(AG8="X",10,IF(AG8="M",0,IF(ISNUMBER(AG8),AG8,0))) + IF(AH8="X",10,IF(AH8="M",0,IF(ISNUMBER(AH8),AH8,0))),"")</f>
        <v/>
      </c>
      <c r="AJ8" s="62"/>
      <c r="AK8" s="62"/>
      <c r="AL8" s="62"/>
      <c r="AM8" s="62"/>
      <c r="AN8" s="62"/>
      <c r="AO8" s="62"/>
      <c r="AP8" s="63" t="str">
        <f>IF(OR(ISNUMBER(AJ8),ISNUMBER(AK8),ISNUMBER(AL8),ISNUMBER(AM8),ISNUMBER(AN8),ISNUMBER(AO8),AJ8="X",AK8="X",AL8="X",AM8="X",AN8="X",AO8="X",AJ8="M",AK8="M",AL8="M",AM8="M",AN8="M",AO8="M"),IF(AJ8="X",10,IF(AJ8="M",0,IF(ISNUMBER(AJ8),AJ8,0))) + IF(AK8="X",10,IF(AK8="M",0,IF(ISNUMBER(AK8),AK8,0))) + IF(AL8="X",10,IF(AL8="M",0,IF(ISNUMBER(AL8),AL8,0))) + IF(AM8="X",10,IF(AM8="M",0,IF(ISNUMBER(AM8),AM8,0))) + IF(AN8="X",10,IF(AN8="M",0,IF(ISNUMBER(AN8),AN8,0))) + IF(AO8="X",10,IF(AO8="M",0,IF(ISNUMBER(AO8),AO8,0))),"")</f>
        <v/>
      </c>
      <c r="AQ8" s="64"/>
      <c r="AR8" s="64"/>
      <c r="AS8" s="64"/>
      <c r="AT8" s="64"/>
      <c r="AU8" s="64"/>
      <c r="AV8" s="64"/>
      <c r="AW8" s="63" t="str">
        <f>IF(OR(ISNUMBER(AQ8),ISNUMBER(AR8),ISNUMBER(AS8),ISNUMBER(AT8),ISNUMBER(AU8),ISNUMBER(AV8),AQ8="X",AR8="X",AS8="X",AT8="X",AU8="X",AV8="X",AQ8="M",AR8="M",AS8="M",AT8="M",AU8="M",AV8="M"),IF(AQ8="X",10,IF(AQ8="M",0,IF(ISNUMBER(AQ8),AQ8,0))) + IF(AR8="X",10,IF(AR8="M",0,IF(ISNUMBER(AR8),AR8,0))) + IF(AS8="X",10,IF(AS8="M",0,IF(ISNUMBER(AS8),AS8,0))) + IF(AT8="X",10,IF(AT8="M",0,IF(ISNUMBER(AT8),AT8,0))) + IF(AU8="X",10,IF(AU8="M",0,IF(ISNUMBER(AU8),AU8,0))) + IF(AV8="X",10,IF(AV8="M",0,IF(ISNUMBER(AV8),AV8,0))),"")</f>
        <v/>
      </c>
      <c r="AX8" s="65">
        <f>IF(AND(ISNUMBER(N8),ISNUMBER(N6)),IF(N8&gt;N6,2,IF(N8=N6,1,0)),0)+IF(AND(ISNUMBER(U8),ISNUMBER(U6)),IF(U8&gt;U6,2,IF(U8=U6,1,0)),0)+IF(AND(ISNUMBER(AB8),ISNUMBER(AB6)),IF(AB8&gt;AB6,2,IF(AB8=AB6,1,0)),0)+IF(AND(ISNUMBER(AI8),ISNUMBER(AI6)),IF(AI8&gt;AI6,2,IF(AI8=AI6,1,0)),0)+IF(AND(ISNUMBER(AP8),ISNUMBER(AP6)),IF(AP8&gt;AP6,2,IF(AP8=AP6,1,0)),0)</f>
        <v>0</v>
      </c>
      <c r="AY8" s="66"/>
      <c r="AZ8" s="67">
        <f>IF(AX8&gt;0,IF(H8="X",10,IF(H8="M",0,IF(ISNUMBER(H8),H8,0)))+IF(I8="X",10,IF(I8="M",0,IF(ISNUMBER(I8),I8,0)))+IF(J8="X",10,IF(J8="M",0,IF(ISNUMBER(J8),J8,0)))+IF(K8="X",10,IF(K8="M",0,IF(ISNUMBER(K8),K8,0)))+IF(L8="X",10,IF(L8="M",0,IF(ISNUMBER(L8),L8,0)))+IF(M8="X",10,IF(M8="M",0,IF(ISNUMBER(M8),M8,0)))+IF(O8="X",10,IF(O8="M",0,IF(ISNUMBER(O8),O8,0)))+IF(P8="X",10,IF(P8="M",0,IF(ISNUMBER(P8),P8,0)))+IF(Q8="X",10,IF(Q8="M",0,IF(ISNUMBER(Q8),Q8,0)))+IF(R8="X",10,IF(R8="M",0,IF(ISNUMBER(R8),R8,0)))+IF(S8="X",10,IF(S8="M",0,IF(ISNUMBER(S8),S8,0)))+IF(T8="X",10,IF(T8="M",0,IF(ISNUMBER(T8),T8,0)))+IF(V8="X",10,IF(V8="M",0,IF(ISNUMBER(V8),V8,0)))+IF(W8="X",10,IF(W8="M",0,IF(ISNUMBER(W8),W8,0)))+IF(X8="X",10,IF(X8="M",0,IF(ISNUMBER(X8),X8,0)))+IF(Y8="X",10,IF(Y8="M",0,IF(ISNUMBER(Y8),Y8,0)))+IF(Z8="X",10,IF(Z8="M",0,IF(ISNUMBER(Z8),Z8,0)))+IF(AA8="X",10,IF(AA8="M",0,IF(ISNUMBER(AA8),AA8,0)))+IF(AC8="X",10,IF(AC8="M",0,IF(ISNUMBER(AC8),AC8,0)))+IF(AD8="X",10,IF(AD8="M",0,IF(ISNUMBER(AD8),AD8,0)))+IF(AE8="X",10,IF(AE8="M",0,IF(ISNUMBER(AE8),AE8,0)))+IF(AF8="X",10,IF(AF8="M",0,IF(ISNUMBER(AF8),AF8,0)))+IF(AG8="X",10,IF(AG8="M",0,IF(ISNUMBER(AG8),AG8,0)))+IF(AH8="X",10,IF(AH8="M",0,IF(ISNUMBER(AH8),AH8,0)))+IF(AJ8="X",10,IF(AJ8="M",0,IF(ISNUMBER(AJ8),AJ8,0)))+IF(AK8="X",10,IF(AK8="M",0,IF(ISNUMBER(AK8),AK8,0)))+IF(AL8="X",10,IF(AL8="M",0,IF(ISNUMBER(AL8),AL8,0)))+IF(AM8="X",10,IF(AM8="M",0,IF(ISNUMBER(AM8),AM8,0)))+IF(AN8="X",10,IF(AN8="M",0,IF(ISNUMBER(AN8),AN8,0)))+IF(AO8="X",10,IF(AO8="M",0,IF(ISNUMBER(AO8),AO8,0)))+IF(AQ8="X",10,IF(AQ8="M",0,IF(ISNUMBER(AQ8),AQ8,0)))+IF(AR8="X",10,IF(AR8="M",0,IF(ISNUMBER(AR8),AR8,0)))+IF(AS8="X",10,IF(AS8="M",0,IF(ISNUMBER(AS8),AS8,0)))+IF(AT8="X",10,IF(AT8="M",0,IF(ISNUMBER(AT8),AT8,0)))+IF(AU8="X",10,IF(AU8="M",0,IF(ISNUMBER(AU8),AU8,0)))+IF(AV8="X",10,IF(AV8="M",0,IF(ISNUMBER(AV8),AV8,0))),0)</f>
        <v>0</v>
      </c>
      <c r="BA8" s="68" t="str">
        <f>IFERROR(IF(AY8="DQ","DISQUALIFIED",IF(AY6="DQ","&gt;&gt; Advance",IF(BC6="BYE","&gt;&gt; Advance",IF(BC8="BYE","BYE",IF(AX8&gt;=6,"WIN",IF(AX6&gt;=6,"LOSS",IF(AND(ISNUMBER(AW8),ISNUMBER(AW6)),IF(AW8&gt;AW6,"WIN",IF(AW8&lt;AW6,"LOSS","Shoot-Off")),"Playing"))))))),"Error")</f>
        <v>BYE</v>
      </c>
      <c r="BC8" s="69" t="str">
        <f>IFERROR(IF(INDEX('Open 30M - Teams'!$L:$L,MATCH(16,'Open 30M - Teams'!$A:$A,0))="Yes","BYE",IF(OR(INDEX('Open 30M - Teams'!$B:$B,MATCH(16,'Open 30M - Teams'!$A:$A,0))="",ISERROR(MATCH(16,'Open 30M - Teams'!$A:$A,0))),"BYE","")),"BYE")</f>
        <v>BYE</v>
      </c>
      <c r="BD8" s="61" t="s">
        <v>184</v>
      </c>
      <c r="BE8" s="106" t="str">
        <f>IFERROR(IF(BC11="BYE",IF(BC13="BYE","TBD",B13),IF(BC13="BYE",B11,IF(OR(BA11="WIN",BA11="&gt;&gt; Advance"),B11,IF(OR(BA13="WIN",BA13="&gt;&gt; Advance"),B13,"TBD")))),"TBD")</f>
        <v>TBD</v>
      </c>
      <c r="BF8" s="106"/>
      <c r="BG8" s="106"/>
      <c r="BH8" s="107" t="str">
        <f>IF(AND(BE6&lt;&gt;"TBD",BE6&lt;&gt;"",BE8&lt;&gt;"TBD",BE8&lt;&gt;"",DD6&lt;&gt;"&gt;&gt; Advance",DD8&lt;&gt;"&gt;&gt; Advance"),IF((B2-A2+1)&gt;=8,(A2+1)&amp;"",IF((B2-A2+1)&gt;=4,(A2+0)&amp;" R",(A2+MOD(0,(B2-A2+1)))&amp;CHAR(65+FLOOR(0/(B2-A2+1),1)*2+1)&amp;" (R)")),"")</f>
        <v/>
      </c>
      <c r="BI8" s="107"/>
      <c r="BJ8" s="107"/>
      <c r="BK8" s="62"/>
      <c r="BL8" s="62"/>
      <c r="BM8" s="62"/>
      <c r="BN8" s="62"/>
      <c r="BO8" s="62"/>
      <c r="BP8" s="62"/>
      <c r="BQ8" s="63" t="str">
        <f>IF(OR(ISNUMBER(BK8),ISNUMBER(BL8),ISNUMBER(BM8),ISNUMBER(BN8),ISNUMBER(BO8),ISNUMBER(BP8),BK8="X",BL8="X",BM8="X",BN8="X",BO8="X",BP8="X",BK8="M",BL8="M",BM8="M",BN8="M",BO8="M",BP8="M"),IF(BK8="X",10,IF(BK8="M",0,IF(ISNUMBER(BK8),BK8,0))) + IF(BL8="X",10,IF(BL8="M",0,IF(ISNUMBER(BL8),BL8,0))) + IF(BM8="X",10,IF(BM8="M",0,IF(ISNUMBER(BM8),BM8,0))) + IF(BN8="X",10,IF(BN8="M",0,IF(ISNUMBER(BN8),BN8,0))) + IF(BO8="X",10,IF(BO8="M",0,IF(ISNUMBER(BO8),BO8,0))) + IF(BP8="X",10,IF(BP8="M",0,IF(ISNUMBER(BP8),BP8,0))),"")</f>
        <v/>
      </c>
      <c r="BR8" s="62"/>
      <c r="BS8" s="62"/>
      <c r="BT8" s="62"/>
      <c r="BU8" s="62"/>
      <c r="BV8" s="62"/>
      <c r="BW8" s="62"/>
      <c r="BX8" s="63" t="str">
        <f>IF(OR(ISNUMBER(BR8),ISNUMBER(BS8),ISNUMBER(BT8),ISNUMBER(BU8),ISNUMBER(BV8),ISNUMBER(BW8),BR8="X",BS8="X",BT8="X",BU8="X",BV8="X",BW8="X",BR8="M",BS8="M",BT8="M",BU8="M",BV8="M",BW8="M"),IF(BR8="X",10,IF(BR8="M",0,IF(ISNUMBER(BR8),BR8,0))) + IF(BS8="X",10,IF(BS8="M",0,IF(ISNUMBER(BS8),BS8,0))) + IF(BT8="X",10,IF(BT8="M",0,IF(ISNUMBER(BT8),BT8,0))) + IF(BU8="X",10,IF(BU8="M",0,IF(ISNUMBER(BU8),BU8,0))) + IF(BV8="X",10,IF(BV8="M",0,IF(ISNUMBER(BV8),BV8,0))) + IF(BW8="X",10,IF(BW8="M",0,IF(ISNUMBER(BW8),BW8,0))),"")</f>
        <v/>
      </c>
      <c r="BY8" s="62"/>
      <c r="BZ8" s="62"/>
      <c r="CA8" s="62"/>
      <c r="CB8" s="62"/>
      <c r="CC8" s="62"/>
      <c r="CD8" s="62"/>
      <c r="CE8" s="63" t="str">
        <f>IF(OR(ISNUMBER(BY8),ISNUMBER(BZ8),ISNUMBER(CA8),ISNUMBER(CB8),ISNUMBER(CC8),ISNUMBER(CD8),BY8="X",BZ8="X",CA8="X",CB8="X",CC8="X",CD8="X",BY8="M",BZ8="M",CA8="M",CB8="M",CC8="M",CD8="M"),IF(BY8="X",10,IF(BY8="M",0,IF(ISNUMBER(BY8),BY8,0))) + IF(BZ8="X",10,IF(BZ8="M",0,IF(ISNUMBER(BZ8),BZ8,0))) + IF(CA8="X",10,IF(CA8="M",0,IF(ISNUMBER(CA8),CA8,0))) + IF(CB8="X",10,IF(CB8="M",0,IF(ISNUMBER(CB8),CB8,0))) + IF(CC8="X",10,IF(CC8="M",0,IF(ISNUMBER(CC8),CC8,0))) + IF(CD8="X",10,IF(CD8="M",0,IF(ISNUMBER(CD8),CD8,0))),"")</f>
        <v/>
      </c>
      <c r="CF8" s="62"/>
      <c r="CG8" s="62"/>
      <c r="CH8" s="62"/>
      <c r="CI8" s="62"/>
      <c r="CJ8" s="62"/>
      <c r="CK8" s="62"/>
      <c r="CL8" s="63" t="str">
        <f>IF(OR(ISNUMBER(CF8),ISNUMBER(CG8),ISNUMBER(CH8),ISNUMBER(CI8),ISNUMBER(CJ8),ISNUMBER(CK8),CF8="X",CG8="X",CH8="X",CI8="X",CJ8="X",CK8="X",CF8="M",CG8="M",CH8="M",CI8="M",CJ8="M",CK8="M"),IF(CF8="X",10,IF(CF8="M",0,IF(ISNUMBER(CF8),CF8,0))) + IF(CG8="X",10,IF(CG8="M",0,IF(ISNUMBER(CG8),CG8,0))) + IF(CH8="X",10,IF(CH8="M",0,IF(ISNUMBER(CH8),CH8,0))) + IF(CI8="X",10,IF(CI8="M",0,IF(ISNUMBER(CI8),CI8,0))) + IF(CJ8="X",10,IF(CJ8="M",0,IF(ISNUMBER(CJ8),CJ8,0))) + IF(CK8="X",10,IF(CK8="M",0,IF(ISNUMBER(CK8),CK8,0))),"")</f>
        <v/>
      </c>
      <c r="CM8" s="62"/>
      <c r="CN8" s="62"/>
      <c r="CO8" s="62"/>
      <c r="CP8" s="62"/>
      <c r="CQ8" s="62"/>
      <c r="CR8" s="62"/>
      <c r="CS8" s="63" t="str">
        <f>IF(OR(ISNUMBER(CM8),ISNUMBER(CN8),ISNUMBER(CO8),ISNUMBER(CP8),ISNUMBER(CQ8),ISNUMBER(CR8),CM8="X",CN8="X",CO8="X",CP8="X",CQ8="X",CR8="X",CM8="M",CN8="M",CO8="M",CP8="M",CQ8="M",CR8="M"),IF(CM8="X",10,IF(CM8="M",0,IF(ISNUMBER(CM8),CM8,0))) + IF(CN8="X",10,IF(CN8="M",0,IF(ISNUMBER(CN8),CN8,0))) + IF(CO8="X",10,IF(CO8="M",0,IF(ISNUMBER(CO8),CO8,0))) + IF(CP8="X",10,IF(CP8="M",0,IF(ISNUMBER(CP8),CP8,0))) + IF(CQ8="X",10,IF(CQ8="M",0,IF(ISNUMBER(CQ8),CQ8,0))) + IF(CR8="X",10,IF(CR8="M",0,IF(ISNUMBER(CR8),CR8,0))),"")</f>
        <v/>
      </c>
      <c r="CT8" s="64"/>
      <c r="CU8" s="64"/>
      <c r="CV8" s="64"/>
      <c r="CW8" s="64"/>
      <c r="CX8" s="64"/>
      <c r="CY8" s="64"/>
      <c r="CZ8" s="63" t="str">
        <f>IF(OR(ISNUMBER(CT8),ISNUMBER(CU8),ISNUMBER(CV8),ISNUMBER(CW8),ISNUMBER(CX8),ISNUMBER(CY8),CT8="X",CU8="X",CV8="X",CW8="X",CX8="X",CY8="X",CT8="M",CU8="M",CV8="M",CW8="M",CX8="M",CY8="M"),IF(CT8="X",10,IF(CT8="M",0,IF(ISNUMBER(CT8),CT8,0))) + IF(CU8="X",10,IF(CU8="M",0,IF(ISNUMBER(CU8),CU8,0))) + IF(CV8="X",10,IF(CV8="M",0,IF(ISNUMBER(CV8),CV8,0))) + IF(CW8="X",10,IF(CW8="M",0,IF(ISNUMBER(CW8),CW8,0))) + IF(CX8="X",10,IF(CX8="M",0,IF(ISNUMBER(CX8),CX8,0))) + IF(CY8="X",10,IF(CY8="M",0,IF(ISNUMBER(CY8),CY8,0))),"")</f>
        <v/>
      </c>
      <c r="DA8" s="65">
        <f>IF(AND(ISNUMBER(BQ8),ISNUMBER(BQ6)),IF(BQ8&gt;BQ6,2,IF(BQ8=BQ6,1,0)),0)+IF(AND(ISNUMBER(BX8),ISNUMBER(BX6)),IF(BX8&gt;BX6,2,IF(BX8=BX6,1,0)),0)+IF(AND(ISNUMBER(CE8),ISNUMBER(CE6)),IF(CE8&gt;CE6,2,IF(CE8=CE6,1,0)),0)+IF(AND(ISNUMBER(CL8),ISNUMBER(CL6)),IF(CL8&gt;CL6,2,IF(CL8=CL6,1,0)),0)+IF(AND(ISNUMBER(CS8),ISNUMBER(CS6)),IF(CS8&gt;CS6,2,IF(CS8=CS6,1,0)),0)</f>
        <v>0</v>
      </c>
      <c r="DB8" s="66"/>
      <c r="DC8" s="67">
        <f>IF(DA8&gt;0,IF(BK8="X",10,IF(BK8="M",0,IF(ISNUMBER(BK8),BK8,0)))+IF(BL8="X",10,IF(BL8="M",0,IF(ISNUMBER(BL8),BL8,0)))+IF(BM8="X",10,IF(BM8="M",0,IF(ISNUMBER(BM8),BM8,0)))+IF(BN8="X",10,IF(BN8="M",0,IF(ISNUMBER(BN8),BN8,0)))+IF(BO8="X",10,IF(BO8="M",0,IF(ISNUMBER(BO8),BO8,0)))+IF(BP8="X",10,IF(BP8="M",0,IF(ISNUMBER(BP8),BP8,0)))+IF(BR8="X",10,IF(BR8="M",0,IF(ISNUMBER(BR8),BR8,0)))+IF(BS8="X",10,IF(BS8="M",0,IF(ISNUMBER(BS8),BS8,0)))+IF(BT8="X",10,IF(BT8="M",0,IF(ISNUMBER(BT8),BT8,0)))+IF(BU8="X",10,IF(BU8="M",0,IF(ISNUMBER(BU8),BU8,0)))+IF(BV8="X",10,IF(BV8="M",0,IF(ISNUMBER(BV8),BV8,0)))+IF(BW8="X",10,IF(BW8="M",0,IF(ISNUMBER(BW8),BW8,0)))+IF(BY8="X",10,IF(BY8="M",0,IF(ISNUMBER(BY8),BY8,0)))+IF(BZ8="X",10,IF(BZ8="M",0,IF(ISNUMBER(BZ8),BZ8,0)))+IF(CA8="X",10,IF(CA8="M",0,IF(ISNUMBER(CA8),CA8,0)))+IF(CB8="X",10,IF(CB8="M",0,IF(ISNUMBER(CB8),CB8,0)))+IF(CC8="X",10,IF(CC8="M",0,IF(ISNUMBER(CC8),CC8,0)))+IF(CD8="X",10,IF(CD8="M",0,IF(ISNUMBER(CD8),CD8,0)))+IF(CF8="X",10,IF(CF8="M",0,IF(ISNUMBER(CF8),CF8,0)))+IF(CG8="X",10,IF(CG8="M",0,IF(ISNUMBER(CG8),CG8,0)))+IF(CH8="X",10,IF(CH8="M",0,IF(ISNUMBER(CH8),CH8,0)))+IF(CI8="X",10,IF(CI8="M",0,IF(ISNUMBER(CI8),CI8,0)))+IF(CJ8="X",10,IF(CJ8="M",0,IF(ISNUMBER(CJ8),CJ8,0)))+IF(CK8="X",10,IF(CK8="M",0,IF(ISNUMBER(CK8),CK8,0)))+IF(CM8="X",10,IF(CM8="M",0,IF(ISNUMBER(CM8),CM8,0)))+IF(CN8="X",10,IF(CN8="M",0,IF(ISNUMBER(CN8),CN8,0)))+IF(CO8="X",10,IF(CO8="M",0,IF(ISNUMBER(CO8),CO8,0)))+IF(CP8="X",10,IF(CP8="M",0,IF(ISNUMBER(CP8),CP8,0)))+IF(CQ8="X",10,IF(CQ8="M",0,IF(ISNUMBER(CQ8),CQ8,0)))+IF(CR8="X",10,IF(CR8="M",0,IF(ISNUMBER(CR8),CR8,0)))+IF(CT8="X",10,IF(CT8="M",0,IF(ISNUMBER(CT8),CT8,0)))+IF(CU8="X",10,IF(CU8="M",0,IF(ISNUMBER(CU8),CU8,0)))+IF(CV8="X",10,IF(CV8="M",0,IF(ISNUMBER(CV8),CV8,0)))+IF(CW8="X",10,IF(CW8="M",0,IF(ISNUMBER(CW8),CW8,0)))+IF(CX8="X",10,IF(CX8="M",0,IF(ISNUMBER(CX8),CX8,0)))+IF(CY8="X",10,IF(CY8="M",0,IF(ISNUMBER(CY8),CY8,0))),0)</f>
        <v>0</v>
      </c>
      <c r="DD8" s="68" t="str">
        <f>IFERROR(IF(DB8="DQ","DISQUALIFIED",IF(DB6="DQ","&gt;&gt; Advance",IF(DF6="BYE","&gt;&gt; Advance",IF(DF8="BYE","BYE",IF(DA8&gt;=6,"WIN",IF(DA6&gt;=6,"LOSS",IF(AND(ISNUMBER(CZ8),ISNUMBER(CZ6)),IF(CZ8&gt;CZ6,"WIN",IF(CZ8&lt;CZ6,"LOSS","Shoot-Off")),"Playing"))))))),"Error")</f>
        <v>BYE</v>
      </c>
      <c r="DF8" s="69" t="str">
        <f>IFERROR(IF(AND(BC11="BYE",BC13="BYE"),"BYE",""),"")</f>
        <v>BYE</v>
      </c>
      <c r="DG8" s="61" t="s">
        <v>185</v>
      </c>
      <c r="DH8" s="106" t="str">
        <f>IFERROR(IF(DF11="BYE",IF(DF13="BYE","TBD",BE13),IF(DF13="BYE",BE11,IF(OR(DD11="WIN",DD11="&gt;&gt; Advance"),BE11,IF(OR(DD13="WIN",DD13="&gt;&gt; Advance"),BE13,"TBD")))),"TBD")</f>
        <v>TBD</v>
      </c>
      <c r="DI8" s="106"/>
      <c r="DJ8" s="106"/>
      <c r="DK8" s="107" t="str">
        <f>IF(AND(DH6&lt;&gt;"TBD",DH6&lt;&gt;"",DH8&lt;&gt;"TBD",DH8&lt;&gt;"",FG6&lt;&gt;"&gt;&gt; Advance",FG8&lt;&gt;"&gt;&gt; Advance"),IF((B2-A2+1)&gt;=4,(A2+1)&amp;"",IF((B2-A2+1)&gt;=2,(A2+0)&amp;" R",(A2+MOD(0,(B2-A2+1)))&amp;CHAR(65+FLOOR(0/(B2-A2+1),1)*2+1)&amp;" (R)")),"")</f>
        <v/>
      </c>
      <c r="DL8" s="107"/>
      <c r="DM8" s="107"/>
      <c r="DN8" s="62"/>
      <c r="DO8" s="62"/>
      <c r="DP8" s="62"/>
      <c r="DQ8" s="62"/>
      <c r="DR8" s="62"/>
      <c r="DS8" s="62"/>
      <c r="DT8" s="63" t="str">
        <f>IF(OR(ISNUMBER(DN8),ISNUMBER(DO8),ISNUMBER(DP8),ISNUMBER(DQ8),ISNUMBER(DR8),ISNUMBER(DS8),DN8="X",DO8="X",DP8="X",DQ8="X",DR8="X",DS8="X",DN8="M",DO8="M",DP8="M",DQ8="M",DR8="M",DS8="M"),IF(DN8="X",10,IF(DN8="M",0,IF(ISNUMBER(DN8),DN8,0))) + IF(DO8="X",10,IF(DO8="M",0,IF(ISNUMBER(DO8),DO8,0))) + IF(DP8="X",10,IF(DP8="M",0,IF(ISNUMBER(DP8),DP8,0))) + IF(DQ8="X",10,IF(DQ8="M",0,IF(ISNUMBER(DQ8),DQ8,0))) + IF(DR8="X",10,IF(DR8="M",0,IF(ISNUMBER(DR8),DR8,0))) + IF(DS8="X",10,IF(DS8="M",0,IF(ISNUMBER(DS8),DS8,0))),"")</f>
        <v/>
      </c>
      <c r="DU8" s="62"/>
      <c r="DV8" s="62"/>
      <c r="DW8" s="62"/>
      <c r="DX8" s="62"/>
      <c r="DY8" s="62"/>
      <c r="DZ8" s="62"/>
      <c r="EA8" s="63" t="str">
        <f>IF(OR(ISNUMBER(DU8),ISNUMBER(DV8),ISNUMBER(DW8),ISNUMBER(DX8),ISNUMBER(DY8),ISNUMBER(DZ8),DU8="X",DV8="X",DW8="X",DX8="X",DY8="X",DZ8="X",DU8="M",DV8="M",DW8="M",DX8="M",DY8="M",DZ8="M"),IF(DU8="X",10,IF(DU8="M",0,IF(ISNUMBER(DU8),DU8,0))) + IF(DV8="X",10,IF(DV8="M",0,IF(ISNUMBER(DV8),DV8,0))) + IF(DW8="X",10,IF(DW8="M",0,IF(ISNUMBER(DW8),DW8,0))) + IF(DX8="X",10,IF(DX8="M",0,IF(ISNUMBER(DX8),DX8,0))) + IF(DY8="X",10,IF(DY8="M",0,IF(ISNUMBER(DY8),DY8,0))) + IF(DZ8="X",10,IF(DZ8="M",0,IF(ISNUMBER(DZ8),DZ8,0))),"")</f>
        <v/>
      </c>
      <c r="EB8" s="62"/>
      <c r="EC8" s="62"/>
      <c r="ED8" s="62"/>
      <c r="EE8" s="62"/>
      <c r="EF8" s="62"/>
      <c r="EG8" s="62"/>
      <c r="EH8" s="63" t="str">
        <f>IF(OR(ISNUMBER(EB8),ISNUMBER(EC8),ISNUMBER(ED8),ISNUMBER(EE8),ISNUMBER(EF8),ISNUMBER(EG8),EB8="X",EC8="X",ED8="X",EE8="X",EF8="X",EG8="X",EB8="M",EC8="M",ED8="M",EE8="M",EF8="M",EG8="M"),IF(EB8="X",10,IF(EB8="M",0,IF(ISNUMBER(EB8),EB8,0))) + IF(EC8="X",10,IF(EC8="M",0,IF(ISNUMBER(EC8),EC8,0))) + IF(ED8="X",10,IF(ED8="M",0,IF(ISNUMBER(ED8),ED8,0))) + IF(EE8="X",10,IF(EE8="M",0,IF(ISNUMBER(EE8),EE8,0))) + IF(EF8="X",10,IF(EF8="M",0,IF(ISNUMBER(EF8),EF8,0))) + IF(EG8="X",10,IF(EG8="M",0,IF(ISNUMBER(EG8),EG8,0))),"")</f>
        <v/>
      </c>
      <c r="EI8" s="62"/>
      <c r="EJ8" s="62"/>
      <c r="EK8" s="62"/>
      <c r="EL8" s="62"/>
      <c r="EM8" s="62"/>
      <c r="EN8" s="62"/>
      <c r="EO8" s="63" t="str">
        <f>IF(OR(ISNUMBER(EI8),ISNUMBER(EJ8),ISNUMBER(EK8),ISNUMBER(EL8),ISNUMBER(EM8),ISNUMBER(EN8),EI8="X",EJ8="X",EK8="X",EL8="X",EM8="X",EN8="X",EI8="M",EJ8="M",EK8="M",EL8="M",EM8="M",EN8="M"),IF(EI8="X",10,IF(EI8="M",0,IF(ISNUMBER(EI8),EI8,0))) + IF(EJ8="X",10,IF(EJ8="M",0,IF(ISNUMBER(EJ8),EJ8,0))) + IF(EK8="X",10,IF(EK8="M",0,IF(ISNUMBER(EK8),EK8,0))) + IF(EL8="X",10,IF(EL8="M",0,IF(ISNUMBER(EL8),EL8,0))) + IF(EM8="X",10,IF(EM8="M",0,IF(ISNUMBER(EM8),EM8,0))) + IF(EN8="X",10,IF(EN8="M",0,IF(ISNUMBER(EN8),EN8,0))),"")</f>
        <v/>
      </c>
      <c r="EP8" s="62"/>
      <c r="EQ8" s="62"/>
      <c r="ER8" s="62"/>
      <c r="ES8" s="62"/>
      <c r="ET8" s="62"/>
      <c r="EU8" s="62"/>
      <c r="EV8" s="63" t="str">
        <f>IF(OR(ISNUMBER(EP8),ISNUMBER(EQ8),ISNUMBER(ER8),ISNUMBER(ES8),ISNUMBER(ET8),ISNUMBER(EU8),EP8="X",EQ8="X",ER8="X",ES8="X",ET8="X",EU8="X",EP8="M",EQ8="M",ER8="M",ES8="M",ET8="M",EU8="M"),IF(EP8="X",10,IF(EP8="M",0,IF(ISNUMBER(EP8),EP8,0))) + IF(EQ8="X",10,IF(EQ8="M",0,IF(ISNUMBER(EQ8),EQ8,0))) + IF(ER8="X",10,IF(ER8="M",0,IF(ISNUMBER(ER8),ER8,0))) + IF(ES8="X",10,IF(ES8="M",0,IF(ISNUMBER(ES8),ES8,0))) + IF(ET8="X",10,IF(ET8="M",0,IF(ISNUMBER(ET8),ET8,0))) + IF(EU8="X",10,IF(EU8="M",0,IF(ISNUMBER(EU8),EU8,0))),"")</f>
        <v/>
      </c>
      <c r="EW8" s="64"/>
      <c r="EX8" s="64"/>
      <c r="EY8" s="64"/>
      <c r="EZ8" s="64"/>
      <c r="FA8" s="64"/>
      <c r="FB8" s="64"/>
      <c r="FC8" s="63" t="str">
        <f>IF(OR(ISNUMBER(EW8),ISNUMBER(EX8),ISNUMBER(EY8),ISNUMBER(EZ8),ISNUMBER(FA8),ISNUMBER(FB8),EW8="X",EX8="X",EY8="X",EZ8="X",FA8="X",FB8="X",EW8="M",EX8="M",EY8="M",EZ8="M",FA8="M",FB8="M"),IF(EW8="X",10,IF(EW8="M",0,IF(ISNUMBER(EW8),EW8,0))) + IF(EX8="X",10,IF(EX8="M",0,IF(ISNUMBER(EX8),EX8,0))) + IF(EY8="X",10,IF(EY8="M",0,IF(ISNUMBER(EY8),EY8,0))) + IF(EZ8="X",10,IF(EZ8="M",0,IF(ISNUMBER(EZ8),EZ8,0))) + IF(FA8="X",10,IF(FA8="M",0,IF(ISNUMBER(FA8),FA8,0))) + IF(FB8="X",10,IF(FB8="M",0,IF(ISNUMBER(FB8),FB8,0))),"")</f>
        <v/>
      </c>
      <c r="FD8" s="65">
        <f>IF(AND(ISNUMBER(DT8),ISNUMBER(DT6)),IF(DT8&gt;DT6,2,IF(DT8=DT6,1,0)),0)+IF(AND(ISNUMBER(EA8),ISNUMBER(EA6)),IF(EA8&gt;EA6,2,IF(EA8=EA6,1,0)),0)+IF(AND(ISNUMBER(EH8),ISNUMBER(EH6)),IF(EH8&gt;EH6,2,IF(EH8=EH6,1,0)),0)+IF(AND(ISNUMBER(EO8),ISNUMBER(EO6)),IF(EO8&gt;EO6,2,IF(EO8=EO6,1,0)),0)+IF(AND(ISNUMBER(EV8),ISNUMBER(EV6)),IF(EV8&gt;EV6,2,IF(EV8=EV6,1,0)),0)</f>
        <v>0</v>
      </c>
      <c r="FE8" s="66"/>
      <c r="FF8" s="67">
        <f>IF(FD8&gt;0,IF(DN8="X",10,IF(DN8="M",0,IF(ISNUMBER(DN8),DN8,0)))+IF(DO8="X",10,IF(DO8="M",0,IF(ISNUMBER(DO8),DO8,0)))+IF(DP8="X",10,IF(DP8="M",0,IF(ISNUMBER(DP8),DP8,0)))+IF(DQ8="X",10,IF(DQ8="M",0,IF(ISNUMBER(DQ8),DQ8,0)))+IF(DR8="X",10,IF(DR8="M",0,IF(ISNUMBER(DR8),DR8,0)))+IF(DS8="X",10,IF(DS8="M",0,IF(ISNUMBER(DS8),DS8,0)))+IF(DU8="X",10,IF(DU8="M",0,IF(ISNUMBER(DU8),DU8,0)))+IF(DV8="X",10,IF(DV8="M",0,IF(ISNUMBER(DV8),DV8,0)))+IF(DW8="X",10,IF(DW8="M",0,IF(ISNUMBER(DW8),DW8,0)))+IF(DX8="X",10,IF(DX8="M",0,IF(ISNUMBER(DX8),DX8,0)))+IF(DY8="X",10,IF(DY8="M",0,IF(ISNUMBER(DY8),DY8,0)))+IF(DZ8="X",10,IF(DZ8="M",0,IF(ISNUMBER(DZ8),DZ8,0)))+IF(EB8="X",10,IF(EB8="M",0,IF(ISNUMBER(EB8),EB8,0)))+IF(EC8="X",10,IF(EC8="M",0,IF(ISNUMBER(EC8),EC8,0)))+IF(ED8="X",10,IF(ED8="M",0,IF(ISNUMBER(ED8),ED8,0)))+IF(EE8="X",10,IF(EE8="M",0,IF(ISNUMBER(EE8),EE8,0)))+IF(EF8="X",10,IF(EF8="M",0,IF(ISNUMBER(EF8),EF8,0)))+IF(EG8="X",10,IF(EG8="M",0,IF(ISNUMBER(EG8),EG8,0)))+IF(EI8="X",10,IF(EI8="M",0,IF(ISNUMBER(EI8),EI8,0)))+IF(EJ8="X",10,IF(EJ8="M",0,IF(ISNUMBER(EJ8),EJ8,0)))+IF(EK8="X",10,IF(EK8="M",0,IF(ISNUMBER(EK8),EK8,0)))+IF(EL8="X",10,IF(EL8="M",0,IF(ISNUMBER(EL8),EL8,0)))+IF(EM8="X",10,IF(EM8="M",0,IF(ISNUMBER(EM8),EM8,0)))+IF(EN8="X",10,IF(EN8="M",0,IF(ISNUMBER(EN8),EN8,0)))+IF(EP8="X",10,IF(EP8="M",0,IF(ISNUMBER(EP8),EP8,0)))+IF(EQ8="X",10,IF(EQ8="M",0,IF(ISNUMBER(EQ8),EQ8,0)))+IF(ER8="X",10,IF(ER8="M",0,IF(ISNUMBER(ER8),ER8,0)))+IF(ES8="X",10,IF(ES8="M",0,IF(ISNUMBER(ES8),ES8,0)))+IF(ET8="X",10,IF(ET8="M",0,IF(ISNUMBER(ET8),ET8,0)))+IF(EU8="X",10,IF(EU8="M",0,IF(ISNUMBER(EU8),EU8,0)))+IF(EW8="X",10,IF(EW8="M",0,IF(ISNUMBER(EW8),EW8,0)))+IF(EX8="X",10,IF(EX8="M",0,IF(ISNUMBER(EX8),EX8,0)))+IF(EY8="X",10,IF(EY8="M",0,IF(ISNUMBER(EY8),EY8,0)))+IF(EZ8="X",10,IF(EZ8="M",0,IF(ISNUMBER(EZ8),EZ8,0)))+IF(FA8="X",10,IF(FA8="M",0,IF(ISNUMBER(FA8),FA8,0)))+IF(FB8="X",10,IF(FB8="M",0,IF(ISNUMBER(FB8),FB8,0))),0)</f>
        <v>0</v>
      </c>
      <c r="FG8" s="68" t="str">
        <f>IFERROR(IF(FE8="DQ","DISQUALIFIED",IF(FE6="DQ","&gt;&gt; Advance",IF(FI6="BYE","&gt;&gt; Advance",IF(FI8="BYE","BYE",IF(FD8&gt;=6,"WIN",IF(FD6&gt;=6,"LOSS",IF(AND(ISNUMBER(FC8),ISNUMBER(FC6)),IF(FC8&gt;FC6,"WIN",IF(FC8&lt;FC6,"LOSS","Shoot-Off")),"Playing"))))))),"Error")</f>
        <v>BYE</v>
      </c>
      <c r="FI8" s="69" t="str">
        <f>IFERROR(IF(AND(DF11="BYE",DF13="BYE"),"BYE",""),"")</f>
        <v>BYE</v>
      </c>
      <c r="FJ8" s="70" t="s">
        <v>186</v>
      </c>
      <c r="FK8" s="106" t="str">
        <f>IFERROR(IF(FI11="BYE",IF(FI13="BYE","TBD",DH13),IF(FI13="BYE",DH11,IF(OR(FG11="WIN",FG11="&gt;&gt; Advance"),DH11,IF(OR(FG13="WIN",FG13="&gt;&gt; Advance"),DH13,"TBD")))),"TBD")</f>
        <v>TBD</v>
      </c>
      <c r="FL8" s="106"/>
      <c r="FM8" s="106"/>
      <c r="FN8" s="107" t="str">
        <f>IF(AND(FK6&lt;&gt;"TBD",FK6&lt;&gt;"",FK8&lt;&gt;"TBD",FK8&lt;&gt;"",HJ6&lt;&gt;"&gt;&gt; Advance",HJ8&lt;&gt;"&gt;&gt; Advance"),IF((B2-A2+1)&gt;=4,(A2+1)&amp;"",IF((B2-A2+1)&gt;=2,(A2+0)&amp;" R",(A2+MOD(0,(B2-A2+1)))&amp;CHAR(65+FLOOR(0/(B2-A2+1),1)*2+1)&amp;" (R)")),"")</f>
        <v/>
      </c>
      <c r="FO8" s="107"/>
      <c r="FP8" s="107"/>
      <c r="FQ8" s="62"/>
      <c r="FR8" s="62"/>
      <c r="FS8" s="62"/>
      <c r="FT8" s="62"/>
      <c r="FU8" s="62"/>
      <c r="FV8" s="62"/>
      <c r="FW8" s="63" t="str">
        <f>IF(OR(ISNUMBER(FQ8),ISNUMBER(FR8),ISNUMBER(FS8),ISNUMBER(FT8),ISNUMBER(FU8),ISNUMBER(FV8),FQ8="X",FR8="X",FS8="X",FT8="X",FU8="X",FV8="X",FQ8="M",FR8="M",FS8="M",FT8="M",FU8="M",FV8="M"),IF(FQ8="X",10,IF(FQ8="M",0,IF(ISNUMBER(FQ8),FQ8,0))) + IF(FR8="X",10,IF(FR8="M",0,IF(ISNUMBER(FR8),FR8,0))) + IF(FS8="X",10,IF(FS8="M",0,IF(ISNUMBER(FS8),FS8,0))) + IF(FT8="X",10,IF(FT8="M",0,IF(ISNUMBER(FT8),FT8,0))) + IF(FU8="X",10,IF(FU8="M",0,IF(ISNUMBER(FU8),FU8,0))) + IF(FV8="X",10,IF(FV8="M",0,IF(ISNUMBER(FV8),FV8,0))),"")</f>
        <v/>
      </c>
      <c r="FX8" s="62"/>
      <c r="FY8" s="62"/>
      <c r="FZ8" s="62"/>
      <c r="GA8" s="62"/>
      <c r="GB8" s="62"/>
      <c r="GC8" s="62"/>
      <c r="GD8" s="63" t="str">
        <f>IF(OR(ISNUMBER(FX8),ISNUMBER(FY8),ISNUMBER(FZ8),ISNUMBER(GA8),ISNUMBER(GB8),ISNUMBER(GC8),FX8="X",FY8="X",FZ8="X",GA8="X",GB8="X",GC8="X",FX8="M",FY8="M",FZ8="M",GA8="M",GB8="M",GC8="M"),IF(FX8="X",10,IF(FX8="M",0,IF(ISNUMBER(FX8),FX8,0))) + IF(FY8="X",10,IF(FY8="M",0,IF(ISNUMBER(FY8),FY8,0))) + IF(FZ8="X",10,IF(FZ8="M",0,IF(ISNUMBER(FZ8),FZ8,0))) + IF(GA8="X",10,IF(GA8="M",0,IF(ISNUMBER(GA8),GA8,0))) + IF(GB8="X",10,IF(GB8="M",0,IF(ISNUMBER(GB8),GB8,0))) + IF(GC8="X",10,IF(GC8="M",0,IF(ISNUMBER(GC8),GC8,0))),"")</f>
        <v/>
      </c>
      <c r="GE8" s="62"/>
      <c r="GF8" s="62"/>
      <c r="GG8" s="62"/>
      <c r="GH8" s="62"/>
      <c r="GI8" s="62"/>
      <c r="GJ8" s="62"/>
      <c r="GK8" s="63" t="str">
        <f>IF(OR(ISNUMBER(GE8),ISNUMBER(GF8),ISNUMBER(GG8),ISNUMBER(GH8),ISNUMBER(GI8),ISNUMBER(GJ8),GE8="X",GF8="X",GG8="X",GH8="X",GI8="X",GJ8="X",GE8="M",GF8="M",GG8="M",GH8="M",GI8="M",GJ8="M"),IF(GE8="X",10,IF(GE8="M",0,IF(ISNUMBER(GE8),GE8,0))) + IF(GF8="X",10,IF(GF8="M",0,IF(ISNUMBER(GF8),GF8,0))) + IF(GG8="X",10,IF(GG8="M",0,IF(ISNUMBER(GG8),GG8,0))) + IF(GH8="X",10,IF(GH8="M",0,IF(ISNUMBER(GH8),GH8,0))) + IF(GI8="X",10,IF(GI8="M",0,IF(ISNUMBER(GI8),GI8,0))) + IF(GJ8="X",10,IF(GJ8="M",0,IF(ISNUMBER(GJ8),GJ8,0))),"")</f>
        <v/>
      </c>
      <c r="GL8" s="62"/>
      <c r="GM8" s="62"/>
      <c r="GN8" s="62"/>
      <c r="GO8" s="62"/>
      <c r="GP8" s="62"/>
      <c r="GQ8" s="62"/>
      <c r="GR8" s="63" t="str">
        <f>IF(OR(ISNUMBER(GL8),ISNUMBER(GM8),ISNUMBER(GN8),ISNUMBER(GO8),ISNUMBER(GP8),ISNUMBER(GQ8),GL8="X",GM8="X",GN8="X",GO8="X",GP8="X",GQ8="X",GL8="M",GM8="M",GN8="M",GO8="M",GP8="M",GQ8="M"),IF(GL8="X",10,IF(GL8="M",0,IF(ISNUMBER(GL8),GL8,0))) + IF(GM8="X",10,IF(GM8="M",0,IF(ISNUMBER(GM8),GM8,0))) + IF(GN8="X",10,IF(GN8="M",0,IF(ISNUMBER(GN8),GN8,0))) + IF(GO8="X",10,IF(GO8="M",0,IF(ISNUMBER(GO8),GO8,0))) + IF(GP8="X",10,IF(GP8="M",0,IF(ISNUMBER(GP8),GP8,0))) + IF(GQ8="X",10,IF(GQ8="M",0,IF(ISNUMBER(GQ8),GQ8,0))),"")</f>
        <v/>
      </c>
      <c r="GS8" s="62"/>
      <c r="GT8" s="62"/>
      <c r="GU8" s="62"/>
      <c r="GV8" s="62"/>
      <c r="GW8" s="62"/>
      <c r="GX8" s="62"/>
      <c r="GY8" s="63" t="str">
        <f>IF(OR(ISNUMBER(GS8),ISNUMBER(GT8),ISNUMBER(GU8),ISNUMBER(GV8),ISNUMBER(GW8),ISNUMBER(GX8),GS8="X",GT8="X",GU8="X",GV8="X",GW8="X",GX8="X",GS8="M",GT8="M",GU8="M",GV8="M",GW8="M",GX8="M"),IF(GS8="X",10,IF(GS8="M",0,IF(ISNUMBER(GS8),GS8,0))) + IF(GT8="X",10,IF(GT8="M",0,IF(ISNUMBER(GT8),GT8,0))) + IF(GU8="X",10,IF(GU8="M",0,IF(ISNUMBER(GU8),GU8,0))) + IF(GV8="X",10,IF(GV8="M",0,IF(ISNUMBER(GV8),GV8,0))) + IF(GW8="X",10,IF(GW8="M",0,IF(ISNUMBER(GW8),GW8,0))) + IF(GX8="X",10,IF(GX8="M",0,IF(ISNUMBER(GX8),GX8,0))),"")</f>
        <v/>
      </c>
      <c r="GZ8" s="64"/>
      <c r="HA8" s="64"/>
      <c r="HB8" s="64"/>
      <c r="HC8" s="64"/>
      <c r="HD8" s="64"/>
      <c r="HE8" s="64"/>
      <c r="HF8" s="63" t="str">
        <f>IF(OR(ISNUMBER(GZ8),ISNUMBER(HA8),ISNUMBER(HB8),ISNUMBER(HC8),ISNUMBER(HD8),ISNUMBER(HE8),GZ8="X",HA8="X",HB8="X",HC8="X",HD8="X",HE8="X",GZ8="M",HA8="M",HB8="M",HC8="M",HD8="M",HE8="M"),IF(GZ8="X",10,IF(GZ8="M",0,IF(ISNUMBER(GZ8),GZ8,0))) + IF(HA8="X",10,IF(HA8="M",0,IF(ISNUMBER(HA8),HA8,0))) + IF(HB8="X",10,IF(HB8="M",0,IF(ISNUMBER(HB8),HB8,0))) + IF(HC8="X",10,IF(HC8="M",0,IF(ISNUMBER(HC8),HC8,0))) + IF(HD8="X",10,IF(HD8="M",0,IF(ISNUMBER(HD8),HD8,0))) + IF(HE8="X",10,IF(HE8="M",0,IF(ISNUMBER(HE8),HE8,0))),"")</f>
        <v/>
      </c>
      <c r="HG8" s="65">
        <f>IF(AND(ISNUMBER(FW8),ISNUMBER(FW6)),IF(FW8&gt;FW6,2,IF(FW8=FW6,1,0)),0)+IF(AND(ISNUMBER(GD8),ISNUMBER(GD6)),IF(GD8&gt;GD6,2,IF(GD8=GD6,1,0)),0)+IF(AND(ISNUMBER(GK8),ISNUMBER(GK6)),IF(GK8&gt;GK6,2,IF(GK8=GK6,1,0)),0)+IF(AND(ISNUMBER(GR8),ISNUMBER(GR6)),IF(GR8&gt;GR6,2,IF(GR8=GR6,1,0)),0)+IF(AND(ISNUMBER(GY8),ISNUMBER(GY6)),IF(GY8&gt;GY6,2,IF(GY8=GY6,1,0)),0)</f>
        <v>0</v>
      </c>
      <c r="HH8" s="66"/>
      <c r="HI8" s="67">
        <f>IF(HG8&gt;0,IF(FQ8="X",10,IF(FQ8="M",0,IF(ISNUMBER(FQ8),FQ8,0)))+IF(FR8="X",10,IF(FR8="M",0,IF(ISNUMBER(FR8),FR8,0)))+IF(FS8="X",10,IF(FS8="M",0,IF(ISNUMBER(FS8),FS8,0)))+IF(FT8="X",10,IF(FT8="M",0,IF(ISNUMBER(FT8),FT8,0)))+IF(FU8="X",10,IF(FU8="M",0,IF(ISNUMBER(FU8),FU8,0)))+IF(FV8="X",10,IF(FV8="M",0,IF(ISNUMBER(FV8),FV8,0)))+IF(FX8="X",10,IF(FX8="M",0,IF(ISNUMBER(FX8),FX8,0)))+IF(FY8="X",10,IF(FY8="M",0,IF(ISNUMBER(FY8),FY8,0)))+IF(FZ8="X",10,IF(FZ8="M",0,IF(ISNUMBER(FZ8),FZ8,0)))+IF(GA8="X",10,IF(GA8="M",0,IF(ISNUMBER(GA8),GA8,0)))+IF(GB8="X",10,IF(GB8="M",0,IF(ISNUMBER(GB8),GB8,0)))+IF(GC8="X",10,IF(GC8="M",0,IF(ISNUMBER(GC8),GC8,0)))+IF(GE8="X",10,IF(GE8="M",0,IF(ISNUMBER(GE8),GE8,0)))+IF(GF8="X",10,IF(GF8="M",0,IF(ISNUMBER(GF8),GF8,0)))+IF(GG8="X",10,IF(GG8="M",0,IF(ISNUMBER(GG8),GG8,0)))+IF(GH8="X",10,IF(GH8="M",0,IF(ISNUMBER(GH8),GH8,0)))+IF(GI8="X",10,IF(GI8="M",0,IF(ISNUMBER(GI8),GI8,0)))+IF(GJ8="X",10,IF(GJ8="M",0,IF(ISNUMBER(GJ8),GJ8,0)))+IF(GL8="X",10,IF(GL8="M",0,IF(ISNUMBER(GL8),GL8,0)))+IF(GM8="X",10,IF(GM8="M",0,IF(ISNUMBER(GM8),GM8,0)))+IF(GN8="X",10,IF(GN8="M",0,IF(ISNUMBER(GN8),GN8,0)))+IF(GO8="X",10,IF(GO8="M",0,IF(ISNUMBER(GO8),GO8,0)))+IF(GP8="X",10,IF(GP8="M",0,IF(ISNUMBER(GP8),GP8,0)))+IF(GQ8="X",10,IF(GQ8="M",0,IF(ISNUMBER(GQ8),GQ8,0)))+IF(GS8="X",10,IF(GS8="M",0,IF(ISNUMBER(GS8),GS8,0)))+IF(GT8="X",10,IF(GT8="M",0,IF(ISNUMBER(GT8),GT8,0)))+IF(GU8="X",10,IF(GU8="M",0,IF(ISNUMBER(GU8),GU8,0)))+IF(GV8="X",10,IF(GV8="M",0,IF(ISNUMBER(GV8),GV8,0)))+IF(GW8="X",10,IF(GW8="M",0,IF(ISNUMBER(GW8),GW8,0)))+IF(GX8="X",10,IF(GX8="M",0,IF(ISNUMBER(GX8),GX8,0)))+IF(GZ8="X",10,IF(GZ8="M",0,IF(ISNUMBER(GZ8),GZ8,0)))+IF(HA8="X",10,IF(HA8="M",0,IF(ISNUMBER(HA8),HA8,0)))+IF(HB8="X",10,IF(HB8="M",0,IF(ISNUMBER(HB8),HB8,0)))+IF(HC8="X",10,IF(HC8="M",0,IF(ISNUMBER(HC8),HC8,0)))+IF(HD8="X",10,IF(HD8="M",0,IF(ISNUMBER(HD8),HD8,0)))+IF(HE8="X",10,IF(HE8="M",0,IF(ISNUMBER(HE8),HE8,0))),0)</f>
        <v>0</v>
      </c>
      <c r="HJ8" s="68" t="str">
        <f>IFERROR(IF(HH8="DQ","DISQUALIFIED",IF(HH6="DQ","&gt;&gt; Advance",IF(HL6="BYE","&gt;&gt; Advance",IF(HL8="BYE","BYE",IF(HG8&gt;=6,"WIN",IF(HG6&gt;=6,"LOSS",IF(AND(ISNUMBER(HF8),ISNUMBER(HF6)),IF(HF8&gt;HF6,"WIN",IF(HF8&lt;HF6,"LOSS","Shoot-Off")),"Playing"))))))),"Error")</f>
        <v>BYE</v>
      </c>
      <c r="HL8" s="69" t="str">
        <f>IFERROR(IF(AND(FI11="BYE",FI13="BYE"),"BYE",""),"")</f>
        <v>BYE</v>
      </c>
      <c r="HM8" s="109" t="str">
        <f>IFERROR(IF(OR(HM6="TBD",HM6=""),"",IF(OR(ISNUMBER(MATCH(HM6,'Open 30M - Teams'!$N:$N,0)),ISNUMBER(MATCH(HM6,'Open 30M - Teams'!$B:$B,0))),IF(ISNUMBER(MATCH(HM6,'Open 30M - Teams'!$N:$N,0)),"Club: "&amp;INDEX('Open 30M - Teams'!$C:$C,IF(ISNUMBER(MATCH(HM6,'Open 30M - Teams'!$N:$N,0)),MATCH(HM6,'Open 30M - Teams'!$N:$N,0),MATCH(HM6,'Open 30M - Teams'!$B:$B,0)))&amp;"  |  "&amp;INDEX('Open 30M - Teams'!$D:$D,IF(ISNUMBER(MATCH(HM6,'Open 30M - Teams'!$N:$N,0)),MATCH(HM6,'Open 30M - Teams'!$N:$N,0),MATCH(HM6,'Open 30M - Teams'!$B:$B,0)))&amp;IF(INDEX('Open 30M - Teams'!$E:$E,IF(ISNUMBER(MATCH(HM6,'Open 30M - Teams'!$N:$N,0)),MATCH(HM6,'Open 30M - Teams'!$N:$N,0),MATCH(HM6,'Open 30M - Teams'!$B:$B,0)))&lt;&gt;"",", "&amp;INDEX('Open 30M - Teams'!$E:$E,IF(ISNUMBER(MATCH(HM6,'Open 30M - Teams'!$N:$N,0)),MATCH(HM6,'Open 30M - Teams'!$N:$N,0),MATCH(HM6,'Open 30M - Teams'!$B:$B,0))),"")&amp;IF(INDEX('Open 30M - Teams'!$F:$F,IF(ISNUMBER(MATCH(HM6,'Open 30M - Teams'!$N:$N,0)),MATCH(HM6,'Open 30M - Teams'!$N:$N,0),MATCH(HM6,'Open 30M - Teams'!$B:$B,0)))&lt;&gt;"",", "&amp;INDEX('Open 30M - Teams'!$F:$F,IF(ISNUMBER(MATCH(HM6,'Open 30M - Teams'!$N:$N,0)),MATCH(HM6,'Open 30M - Teams'!$N:$N,0),MATCH(HM6,'Open 30M - Teams'!$B:$B,0))),""),"Club: "&amp;INDEX('Open 30M - Teams'!$C:$C,IF(ISNUMBER(MATCH(HM6,'Open 30M - Teams'!$N:$N,0)),MATCH(HM6,'Open 30M - Teams'!$N:$N,0),MATCH(HM6,'Open 30M - Teams'!$B:$B,0)))),"")),"")</f>
        <v>Club: DMZ</v>
      </c>
      <c r="HN8" s="109"/>
      <c r="HO8" s="109"/>
      <c r="HP8" s="109"/>
      <c r="HQ8" s="109"/>
      <c r="HR8" s="109"/>
      <c r="HS8" s="109"/>
      <c r="HT8" s="109"/>
      <c r="HU8" s="109"/>
      <c r="HV8" s="109"/>
      <c r="HW8" s="109"/>
      <c r="HX8" s="109"/>
      <c r="HY8" s="109"/>
      <c r="HZ8" s="109"/>
      <c r="IA8" s="109"/>
      <c r="IB8" s="109"/>
    </row>
    <row r="9" spans="1:237" ht="1.5" customHeight="1" x14ac:dyDescent="0.35">
      <c r="FJ9" s="110" t="s">
        <v>187</v>
      </c>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09"/>
      <c r="HN9" s="109"/>
      <c r="HO9" s="109"/>
      <c r="HP9" s="109"/>
      <c r="HQ9" s="109"/>
      <c r="HR9" s="109"/>
      <c r="HS9" s="109"/>
      <c r="HT9" s="109"/>
      <c r="HU9" s="109"/>
      <c r="HV9" s="109"/>
      <c r="HW9" s="109"/>
      <c r="HX9" s="109"/>
      <c r="HY9" s="109"/>
      <c r="HZ9" s="109"/>
      <c r="IA9" s="109"/>
      <c r="IB9" s="109"/>
    </row>
    <row r="10" spans="1:237" ht="10.5" customHeight="1" x14ac:dyDescent="0.35">
      <c r="A10" s="104" t="s">
        <v>188</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t="s">
        <v>189</v>
      </c>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c r="CI10" s="104"/>
      <c r="CJ10" s="104"/>
      <c r="CK10" s="104"/>
      <c r="CL10" s="104"/>
      <c r="CM10" s="104"/>
      <c r="CN10" s="104"/>
      <c r="CO10" s="104"/>
      <c r="CP10" s="104"/>
      <c r="CQ10" s="104"/>
      <c r="CR10" s="104"/>
      <c r="CS10" s="104"/>
      <c r="CT10" s="104"/>
      <c r="CU10" s="104"/>
      <c r="CV10" s="104"/>
      <c r="CW10" s="104"/>
      <c r="CX10" s="104"/>
      <c r="CY10" s="104"/>
      <c r="CZ10" s="104"/>
      <c r="DA10" s="104"/>
      <c r="DB10" s="104"/>
      <c r="DC10" s="104"/>
      <c r="DD10" s="104"/>
      <c r="DE10" s="104"/>
      <c r="DF10" s="104"/>
      <c r="DG10" s="104" t="s">
        <v>190</v>
      </c>
      <c r="DH10" s="104"/>
      <c r="DI10" s="104"/>
      <c r="DJ10" s="104"/>
      <c r="DK10" s="104"/>
      <c r="DL10" s="104"/>
      <c r="DM10" s="104"/>
      <c r="DN10" s="104"/>
      <c r="DO10" s="104"/>
      <c r="DP10" s="104"/>
      <c r="DQ10" s="104"/>
      <c r="DR10" s="104"/>
      <c r="DS10" s="104"/>
      <c r="DT10" s="104"/>
      <c r="DU10" s="104"/>
      <c r="DV10" s="104"/>
      <c r="DW10" s="104"/>
      <c r="DX10" s="104"/>
      <c r="DY10" s="104"/>
      <c r="DZ10" s="104"/>
      <c r="EA10" s="104"/>
      <c r="EB10" s="104"/>
      <c r="EC10" s="104"/>
      <c r="ED10" s="104"/>
      <c r="EE10" s="104"/>
      <c r="EF10" s="104"/>
      <c r="EG10" s="104"/>
      <c r="EH10" s="104"/>
      <c r="EI10" s="104"/>
      <c r="EJ10" s="104"/>
      <c r="EK10" s="104"/>
      <c r="EL10" s="104"/>
      <c r="EM10" s="104"/>
      <c r="EN10" s="104"/>
      <c r="EO10" s="104"/>
      <c r="EP10" s="104"/>
      <c r="EQ10" s="104"/>
      <c r="ER10" s="104"/>
      <c r="ES10" s="104"/>
      <c r="ET10" s="104"/>
      <c r="EU10" s="104"/>
      <c r="EV10" s="104"/>
      <c r="EW10" s="104"/>
      <c r="EX10" s="104"/>
      <c r="EY10" s="104"/>
      <c r="EZ10" s="104"/>
      <c r="FA10" s="104"/>
      <c r="FB10" s="104"/>
      <c r="FC10" s="104"/>
      <c r="FD10" s="104"/>
      <c r="FE10" s="104"/>
      <c r="FF10" s="104"/>
      <c r="FG10" s="104"/>
      <c r="FH10" s="104"/>
      <c r="FI10" s="104"/>
      <c r="FJ10" s="104" t="s">
        <v>187</v>
      </c>
      <c r="FK10" s="104"/>
      <c r="FL10" s="104"/>
      <c r="FM10" s="104"/>
      <c r="FN10" s="104"/>
      <c r="FO10" s="104"/>
      <c r="FP10" s="104"/>
      <c r="FQ10" s="104"/>
      <c r="FR10" s="104"/>
      <c r="FS10" s="104"/>
      <c r="FT10" s="104"/>
      <c r="FU10" s="104"/>
      <c r="FV10" s="104"/>
      <c r="FW10" s="104"/>
      <c r="FX10" s="104"/>
      <c r="FY10" s="104"/>
      <c r="FZ10" s="104"/>
      <c r="GA10" s="104"/>
      <c r="GB10" s="104"/>
      <c r="GC10" s="104"/>
      <c r="GD10" s="104"/>
      <c r="GE10" s="104"/>
      <c r="GF10" s="104"/>
      <c r="GG10" s="104"/>
      <c r="GH10" s="104"/>
      <c r="GI10" s="104"/>
      <c r="GJ10" s="104"/>
      <c r="GK10" s="104"/>
      <c r="GL10" s="104"/>
      <c r="GM10" s="104"/>
      <c r="GN10" s="104"/>
      <c r="GO10" s="104"/>
      <c r="GP10" s="104"/>
      <c r="GQ10" s="104"/>
      <c r="GR10" s="104"/>
      <c r="GS10" s="104"/>
      <c r="GT10" s="104"/>
      <c r="GU10" s="104"/>
      <c r="GV10" s="104"/>
      <c r="GW10" s="104"/>
      <c r="GX10" s="104"/>
      <c r="GY10" s="104"/>
      <c r="GZ10" s="104"/>
      <c r="HA10" s="104"/>
      <c r="HB10" s="104"/>
      <c r="HC10" s="104"/>
      <c r="HD10" s="104"/>
      <c r="HE10" s="104"/>
      <c r="HF10" s="104"/>
      <c r="HG10" s="104"/>
      <c r="HH10" s="104"/>
      <c r="HI10" s="104"/>
      <c r="HJ10" s="104"/>
      <c r="HK10" s="104"/>
      <c r="HL10" s="104"/>
      <c r="HM10" s="111" t="s">
        <v>191</v>
      </c>
      <c r="HN10" s="111"/>
      <c r="HO10" s="111"/>
      <c r="HP10" s="111"/>
      <c r="HQ10" s="111"/>
      <c r="HR10" s="111"/>
      <c r="HS10" s="111"/>
      <c r="HT10" s="111"/>
      <c r="HU10" s="111"/>
      <c r="HV10" s="111"/>
      <c r="HW10" s="111"/>
      <c r="HX10" s="111"/>
      <c r="HY10" s="111"/>
      <c r="HZ10" s="111"/>
      <c r="IA10" s="111"/>
      <c r="IB10" s="111"/>
    </row>
    <row r="11" spans="1:237" ht="15.75" customHeight="1" x14ac:dyDescent="0.35">
      <c r="A11" s="61" t="str">
        <f>IFERROR(IF(INDEX('Open 30M - Teams'!$L:$L,MATCH(8,'Open 30M - Teams'!$A:$A,0))="Yes","BYE",IF(OR(INDEX('Open 30M - Teams'!$B:$B,MATCH(8,'Open 30M - Teams'!$A:$A,0))="",ISERROR(MATCH(8,'Open 30M - Teams'!$A:$A,0))),"BYE","#8")),"BYE")</f>
        <v>BYE</v>
      </c>
      <c r="B11" s="106" t="str">
        <f>IFERROR(IF(INDEX('Open 30M - Teams'!$L:$L,MATCH(8,'Open 30M - Teams'!$A:$A,0))="Yes","",IF(INDEX('Open 30M - Teams'!$N:$N,MATCH(8,'Open 30M - Teams'!$A:$A,0))&lt;&gt;"",INDEX('Open 30M - Teams'!$N:$N,MATCH(8,'Open 30M - Teams'!$A:$A,0)),IF(INDEX('Open 30M - Teams'!$B:$B,MATCH(8,'Open 30M - Teams'!$A:$A,0))="","",INDEX('Open 30M - Teams'!$B:$B,MATCH(8,'Open 30M - Teams'!$A:$A,0))))),"")</f>
        <v/>
      </c>
      <c r="C11" s="106"/>
      <c r="D11" s="106"/>
      <c r="E11" s="107" t="str">
        <f>IF(OR(A11="BYE",BA11="&gt;&gt; Advance"),"",IF((B2-A2+1)&gt;=8,(A2+MOD(INT((SUMPRODUCT(IF(A6&lt;&gt;"BYE",IF(A6&lt;&gt;"",IF(BA6&lt;&gt;"&gt;&gt; Advance",1,0),0),0)+IF(A8&lt;&gt;"BYE",IF(A8&lt;&gt;"",IF(BA8&lt;&gt;"&gt;&gt; Advance",1,0),0),0)+IF(A11&lt;&gt;"BYE",IF(A11&lt;&gt;"",IF(BA11&lt;&gt;"&gt;&gt; Advance",1,0),0),0))-1)/2),(B2-A2+1)))&amp;IF((MOD(SUMPRODUCT(IF(A6&lt;&gt;"BYE",IF(A6&lt;&gt;"",IF(BA6&lt;&gt;"&gt;&gt; Advance",1,0),0),0)+IF(A8&lt;&gt;"BYE",IF(A8&lt;&gt;"",IF(BA8&lt;&gt;"&gt;&gt; Advance",1,0),0),0)+IF(A11&lt;&gt;"BYE",IF(A11&lt;&gt;"",IF(BA11&lt;&gt;"&gt;&gt; Advance",1,0),0),0))-1,2)=0)," L"," R"),(A2+MOD(INT((SUMPRODUCT(IF(A6&lt;&gt;"BYE",IF(A6&lt;&gt;"",IF(BA6&lt;&gt;"&gt;&gt; Advance",1,0),0),0)+IF(A8&lt;&gt;"BYE",IF(A8&lt;&gt;"",IF(BA8&lt;&gt;"&gt;&gt; Advance",1,0),0),0)+IF(A11&lt;&gt;"BYE",IF(A11&lt;&gt;"",IF(BA11&lt;&gt;"&gt;&gt; Advance",1,0),0),0))-1)/2),(B2-A2+1)))&amp;CHAR(65+FLOOR(INT((SUMPRODUCT(IF(A6&lt;&gt;"BYE",IF(A6&lt;&gt;"",IF(BA6&lt;&gt;"&gt;&gt; Advance",1,0),0),0)+IF(A8&lt;&gt;"BYE",IF(A8&lt;&gt;"",IF(BA8&lt;&gt;"&gt;&gt; Advance",1,0),0),0)+IF(A11&lt;&gt;"BYE",IF(A11&lt;&gt;"",IF(BA11&lt;&gt;"&gt;&gt; Advance",1,0),0),0))-1)/2)/(B2-A2+1),1)*2+MOD(SUMPRODUCT(IF(A6&lt;&gt;"BYE",IF(A6&lt;&gt;"",IF(BA6&lt;&gt;"&gt;&gt; Advance",1,0),0),0)+IF(A8&lt;&gt;"BYE",IF(A8&lt;&gt;"",IF(BA8&lt;&gt;"&gt;&gt; Advance",1,0),0),0)+IF(A11&lt;&gt;"BYE",IF(A11&lt;&gt;"",IF(BA11&lt;&gt;"&gt;&gt; Advance",1,0),0),0))-1,2))&amp;IF((MOD(SUMPRODUCT(IF(A6&lt;&gt;"BYE",IF(A6&lt;&gt;"",IF(BA6&lt;&gt;"&gt;&gt; Advance",1,0),0),0)+IF(A8&lt;&gt;"BYE",IF(A8&lt;&gt;"",IF(BA8&lt;&gt;"&gt;&gt; Advance",1,0),0),0)+IF(A11&lt;&gt;"BYE",IF(A11&lt;&gt;"",IF(BA11&lt;&gt;"&gt;&gt; Advance",1,0),0),0))-1,2)=0)," (L)"," (R)")))</f>
        <v/>
      </c>
      <c r="F11" s="107"/>
      <c r="G11" s="107"/>
      <c r="H11" s="62"/>
      <c r="I11" s="62"/>
      <c r="J11" s="62"/>
      <c r="K11" s="62"/>
      <c r="L11" s="62"/>
      <c r="M11" s="62"/>
      <c r="N11" s="63" t="str">
        <f>IF(OR(ISNUMBER(H11),ISNUMBER(I11),ISNUMBER(J11),ISNUMBER(K11),ISNUMBER(L11),ISNUMBER(M11),H11="X",I11="X",J11="X",K11="X",L11="X",M11="X",H11="M",I11="M",J11="M",K11="M",L11="M",M11="M"),IF(H11="X",10,IF(H11="M",0,IF(ISNUMBER(H11),H11,0))) + IF(I11="X",10,IF(I11="M",0,IF(ISNUMBER(I11),I11,0))) + IF(J11="X",10,IF(J11="M",0,IF(ISNUMBER(J11),J11,0))) + IF(K11="X",10,IF(K11="M",0,IF(ISNUMBER(K11),K11,0))) + IF(L11="X",10,IF(L11="M",0,IF(ISNUMBER(L11),L11,0))) + IF(M11="X",10,IF(M11="M",0,IF(ISNUMBER(M11),M11,0))),"")</f>
        <v/>
      </c>
      <c r="O11" s="62"/>
      <c r="P11" s="62"/>
      <c r="Q11" s="62"/>
      <c r="R11" s="62"/>
      <c r="S11" s="62"/>
      <c r="T11" s="62"/>
      <c r="U11" s="63" t="str">
        <f>IF(OR(ISNUMBER(O11),ISNUMBER(P11),ISNUMBER(Q11),ISNUMBER(R11),ISNUMBER(S11),ISNUMBER(T11),O11="X",P11="X",Q11="X",R11="X",S11="X",T11="X",O11="M",P11="M",Q11="M",R11="M",S11="M",T11="M"),IF(O11="X",10,IF(O11="M",0,IF(ISNUMBER(O11),O11,0))) + IF(P11="X",10,IF(P11="M",0,IF(ISNUMBER(P11),P11,0))) + IF(Q11="X",10,IF(Q11="M",0,IF(ISNUMBER(Q11),Q11,0))) + IF(R11="X",10,IF(R11="M",0,IF(ISNUMBER(R11),R11,0))) + IF(S11="X",10,IF(S11="M",0,IF(ISNUMBER(S11),S11,0))) + IF(T11="X",10,IF(T11="M",0,IF(ISNUMBER(T11),T11,0))),"")</f>
        <v/>
      </c>
      <c r="V11" s="62"/>
      <c r="W11" s="62"/>
      <c r="X11" s="62"/>
      <c r="Y11" s="62"/>
      <c r="Z11" s="62"/>
      <c r="AA11" s="62"/>
      <c r="AB11" s="63" t="str">
        <f>IF(OR(ISNUMBER(V11),ISNUMBER(W11),ISNUMBER(X11),ISNUMBER(Y11),ISNUMBER(Z11),ISNUMBER(AA11),V11="X",W11="X",X11="X",Y11="X",Z11="X",AA11="X",V11="M",W11="M",X11="M",Y11="M",Z11="M",AA11="M"),IF(V11="X",10,IF(V11="M",0,IF(ISNUMBER(V11),V11,0))) + IF(W11="X",10,IF(W11="M",0,IF(ISNUMBER(W11),W11,0))) + IF(X11="X",10,IF(X11="M",0,IF(ISNUMBER(X11),X11,0))) + IF(Y11="X",10,IF(Y11="M",0,IF(ISNUMBER(Y11),Y11,0))) + IF(Z11="X",10,IF(Z11="M",0,IF(ISNUMBER(Z11),Z11,0))) + IF(AA11="X",10,IF(AA11="M",0,IF(ISNUMBER(AA11),AA11,0))),"")</f>
        <v/>
      </c>
      <c r="AC11" s="62"/>
      <c r="AD11" s="62"/>
      <c r="AE11" s="62"/>
      <c r="AF11" s="62"/>
      <c r="AG11" s="62"/>
      <c r="AH11" s="62"/>
      <c r="AI11" s="63" t="str">
        <f>IF(OR(ISNUMBER(AC11),ISNUMBER(AD11),ISNUMBER(AE11),ISNUMBER(AF11),ISNUMBER(AG11),ISNUMBER(AH11),AC11="X",AD11="X",AE11="X",AF11="X",AG11="X",AH11="X",AC11="M",AD11="M",AE11="M",AF11="M",AG11="M",AH11="M"),IF(AC11="X",10,IF(AC11="M",0,IF(ISNUMBER(AC11),AC11,0))) + IF(AD11="X",10,IF(AD11="M",0,IF(ISNUMBER(AD11),AD11,0))) + IF(AE11="X",10,IF(AE11="M",0,IF(ISNUMBER(AE11),AE11,0))) + IF(AF11="X",10,IF(AF11="M",0,IF(ISNUMBER(AF11),AF11,0))) + IF(AG11="X",10,IF(AG11="M",0,IF(ISNUMBER(AG11),AG11,0))) + IF(AH11="X",10,IF(AH11="M",0,IF(ISNUMBER(AH11),AH11,0))),"")</f>
        <v/>
      </c>
      <c r="AJ11" s="62"/>
      <c r="AK11" s="62"/>
      <c r="AL11" s="62"/>
      <c r="AM11" s="62"/>
      <c r="AN11" s="62"/>
      <c r="AO11" s="62"/>
      <c r="AP11" s="63" t="str">
        <f>IF(OR(ISNUMBER(AJ11),ISNUMBER(AK11),ISNUMBER(AL11),ISNUMBER(AM11),ISNUMBER(AN11),ISNUMBER(AO11),AJ11="X",AK11="X",AL11="X",AM11="X",AN11="X",AO11="X",AJ11="M",AK11="M",AL11="M",AM11="M",AN11="M",AO11="M"),IF(AJ11="X",10,IF(AJ11="M",0,IF(ISNUMBER(AJ11),AJ11,0))) + IF(AK11="X",10,IF(AK11="M",0,IF(ISNUMBER(AK11),AK11,0))) + IF(AL11="X",10,IF(AL11="M",0,IF(ISNUMBER(AL11),AL11,0))) + IF(AM11="X",10,IF(AM11="M",0,IF(ISNUMBER(AM11),AM11,0))) + IF(AN11="X",10,IF(AN11="M",0,IF(ISNUMBER(AN11),AN11,0))) + IF(AO11="X",10,IF(AO11="M",0,IF(ISNUMBER(AO11),AO11,0))),"")</f>
        <v/>
      </c>
      <c r="AQ11" s="64"/>
      <c r="AR11" s="64"/>
      <c r="AS11" s="64"/>
      <c r="AT11" s="64"/>
      <c r="AU11" s="64"/>
      <c r="AV11" s="64"/>
      <c r="AW11" s="63" t="str">
        <f>IF(OR(ISNUMBER(AQ11),ISNUMBER(AR11),ISNUMBER(AS11),ISNUMBER(AT11),ISNUMBER(AU11),ISNUMBER(AV11),AQ11="X",AR11="X",AS11="X",AT11="X",AU11="X",AV11="X",AQ11="M",AR11="M",AS11="M",AT11="M",AU11="M",AV11="M"),IF(AQ11="X",10,IF(AQ11="M",0,IF(ISNUMBER(AQ11),AQ11,0))) + IF(AR11="X",10,IF(AR11="M",0,IF(ISNUMBER(AR11),AR11,0))) + IF(AS11="X",10,IF(AS11="M",0,IF(ISNUMBER(AS11),AS11,0))) + IF(AT11="X",10,IF(AT11="M",0,IF(ISNUMBER(AT11),AT11,0))) + IF(AU11="X",10,IF(AU11="M",0,IF(ISNUMBER(AU11),AU11,0))) + IF(AV11="X",10,IF(AV11="M",0,IF(ISNUMBER(AV11),AV11,0))),"")</f>
        <v/>
      </c>
      <c r="AX11" s="65">
        <f>IF(AND(ISNUMBER(N11),ISNUMBER(N13)),IF(N11&gt;N13,2,IF(N11=N13,1,0)),0)+IF(AND(ISNUMBER(U11),ISNUMBER(U13)),IF(U11&gt;U13,2,IF(U11=U13,1,0)),0)+IF(AND(ISNUMBER(AB11),ISNUMBER(AB13)),IF(AB11&gt;AB13,2,IF(AB11=AB13,1,0)),0)+IF(AND(ISNUMBER(AI11),ISNUMBER(AI13)),IF(AI11&gt;AI13,2,IF(AI11=AI13,1,0)),0)+IF(AND(ISNUMBER(AP11),ISNUMBER(AP13)),IF(AP11&gt;AP13,2,IF(AP11=AP13,1,0)),0)</f>
        <v>0</v>
      </c>
      <c r="AY11" s="66"/>
      <c r="AZ11" s="67">
        <f>IF(AX11&gt;0,IF(H11="X",10,IF(H11="M",0,IF(ISNUMBER(H11),H11,0)))+IF(I11="X",10,IF(I11="M",0,IF(ISNUMBER(I11),I11,0)))+IF(J11="X",10,IF(J11="M",0,IF(ISNUMBER(J11),J11,0)))+IF(K11="X",10,IF(K11="M",0,IF(ISNUMBER(K11),K11,0)))+IF(L11="X",10,IF(L11="M",0,IF(ISNUMBER(L11),L11,0)))+IF(M11="X",10,IF(M11="M",0,IF(ISNUMBER(M11),M11,0)))+IF(O11="X",10,IF(O11="M",0,IF(ISNUMBER(O11),O11,0)))+IF(P11="X",10,IF(P11="M",0,IF(ISNUMBER(P11),P11,0)))+IF(Q11="X",10,IF(Q11="M",0,IF(ISNUMBER(Q11),Q11,0)))+IF(R11="X",10,IF(R11="M",0,IF(ISNUMBER(R11),R11,0)))+IF(S11="X",10,IF(S11="M",0,IF(ISNUMBER(S11),S11,0)))+IF(T11="X",10,IF(T11="M",0,IF(ISNUMBER(T11),T11,0)))+IF(V11="X",10,IF(V11="M",0,IF(ISNUMBER(V11),V11,0)))+IF(W11="X",10,IF(W11="M",0,IF(ISNUMBER(W11),W11,0)))+IF(X11="X",10,IF(X11="M",0,IF(ISNUMBER(X11),X11,0)))+IF(Y11="X",10,IF(Y11="M",0,IF(ISNUMBER(Y11),Y11,0)))+IF(Z11="X",10,IF(Z11="M",0,IF(ISNUMBER(Z11),Z11,0)))+IF(AA11="X",10,IF(AA11="M",0,IF(ISNUMBER(AA11),AA11,0)))+IF(AC11="X",10,IF(AC11="M",0,IF(ISNUMBER(AC11),AC11,0)))+IF(AD11="X",10,IF(AD11="M",0,IF(ISNUMBER(AD11),AD11,0)))+IF(AE11="X",10,IF(AE11="M",0,IF(ISNUMBER(AE11),AE11,0)))+IF(AF11="X",10,IF(AF11="M",0,IF(ISNUMBER(AF11),AF11,0)))+IF(AG11="X",10,IF(AG11="M",0,IF(ISNUMBER(AG11),AG11,0)))+IF(AH11="X",10,IF(AH11="M",0,IF(ISNUMBER(AH11),AH11,0)))+IF(AJ11="X",10,IF(AJ11="M",0,IF(ISNUMBER(AJ11),AJ11,0)))+IF(AK11="X",10,IF(AK11="M",0,IF(ISNUMBER(AK11),AK11,0)))+IF(AL11="X",10,IF(AL11="M",0,IF(ISNUMBER(AL11),AL11,0)))+IF(AM11="X",10,IF(AM11="M",0,IF(ISNUMBER(AM11),AM11,0)))+IF(AN11="X",10,IF(AN11="M",0,IF(ISNUMBER(AN11),AN11,0)))+IF(AO11="X",10,IF(AO11="M",0,IF(ISNUMBER(AO11),AO11,0)))+IF(AQ11="X",10,IF(AQ11="M",0,IF(ISNUMBER(AQ11),AQ11,0)))+IF(AR11="X",10,IF(AR11="M",0,IF(ISNUMBER(AR11),AR11,0)))+IF(AS11="X",10,IF(AS11="M",0,IF(ISNUMBER(AS11),AS11,0)))+IF(AT11="X",10,IF(AT11="M",0,IF(ISNUMBER(AT11),AT11,0)))+IF(AU11="X",10,IF(AU11="M",0,IF(ISNUMBER(AU11),AU11,0)))+IF(AV11="X",10,IF(AV11="M",0,IF(ISNUMBER(AV11),AV11,0))),0)</f>
        <v>0</v>
      </c>
      <c r="BA11" s="68" t="str">
        <f>IFERROR(IF(AY11="DQ","DISQUALIFIED",IF(AY13="DQ","&gt;&gt; Advance",IF(BC13="BYE","&gt;&gt; Advance",IF(BC11="BYE","BYE",IF(AX11&gt;=6,"WIN",IF(AX13&gt;=6,"LOSS",IF(AND(ISNUMBER(AW11),ISNUMBER(AW13)),IF(AW11&gt;AW13,"WIN",IF(AW11&lt;AW13,"LOSS","Shoot-Off")),"Playing"))))))),"Error")</f>
        <v>&gt;&gt; Advance</v>
      </c>
      <c r="BC11" s="69" t="str">
        <f>IFERROR(IF(INDEX('Open 30M - Teams'!$L:$L,MATCH(8,'Open 30M - Teams'!$A:$A,0))="Yes","BYE",IF(OR(INDEX('Open 30M - Teams'!$B:$B,MATCH(8,'Open 30M - Teams'!$A:$A,0))="",ISERROR(MATCH(8,'Open 30M - Teams'!$A:$A,0))),"BYE","")),"BYE")</f>
        <v>BYE</v>
      </c>
      <c r="BD11" s="61" t="s">
        <v>192</v>
      </c>
      <c r="BE11" s="106" t="str">
        <f>IFERROR(IF(BC16="BYE",IF(BC18="BYE","TBD",B18),IF(BC18="BYE",B16,IF(OR(BA16="WIN",BA16="&gt;&gt; Advance"),B16,IF(OR(BA18="WIN",BA18="&gt;&gt; Advance"),B18,"TBD")))),"TBD")</f>
        <v>TBD</v>
      </c>
      <c r="BF11" s="106"/>
      <c r="BG11" s="106"/>
      <c r="BH11" s="107" t="str">
        <f>IF(AND(BE11&lt;&gt;"TBD",BE11&lt;&gt;"",BE13&lt;&gt;"TBD",BE13&lt;&gt;"",DD11&lt;&gt;"&gt;&gt; Advance",DD13&lt;&gt;"&gt;&gt; Advance"),IF((B2-A2+1)&gt;=8,(A2+2)&amp;"",IF((B2-A2+1)&gt;=4,(A2+1)&amp;" L",(A2+MOD(1,(B2-A2+1)))&amp;CHAR(65+FLOOR(1/(B2-A2+1),1)*2)&amp;" (L)")),"")</f>
        <v/>
      </c>
      <c r="BI11" s="107"/>
      <c r="BJ11" s="107"/>
      <c r="BK11" s="62"/>
      <c r="BL11" s="62"/>
      <c r="BM11" s="62"/>
      <c r="BN11" s="62"/>
      <c r="BO11" s="62"/>
      <c r="BP11" s="62"/>
      <c r="BQ11" s="63" t="str">
        <f>IF(OR(ISNUMBER(BK11),ISNUMBER(BL11),ISNUMBER(BM11),ISNUMBER(BN11),ISNUMBER(BO11),ISNUMBER(BP11),BK11="X",BL11="X",BM11="X",BN11="X",BO11="X",BP11="X",BK11="M",BL11="M",BM11="M",BN11="M",BO11="M",BP11="M"),IF(BK11="X",10,IF(BK11="M",0,IF(ISNUMBER(BK11),BK11,0))) + IF(BL11="X",10,IF(BL11="M",0,IF(ISNUMBER(BL11),BL11,0))) + IF(BM11="X",10,IF(BM11="M",0,IF(ISNUMBER(BM11),BM11,0))) + IF(BN11="X",10,IF(BN11="M",0,IF(ISNUMBER(BN11),BN11,0))) + IF(BO11="X",10,IF(BO11="M",0,IF(ISNUMBER(BO11),BO11,0))) + IF(BP11="X",10,IF(BP11="M",0,IF(ISNUMBER(BP11),BP11,0))),"")</f>
        <v/>
      </c>
      <c r="BR11" s="62"/>
      <c r="BS11" s="62"/>
      <c r="BT11" s="62"/>
      <c r="BU11" s="62"/>
      <c r="BV11" s="62"/>
      <c r="BW11" s="62"/>
      <c r="BX11" s="63" t="str">
        <f>IF(OR(ISNUMBER(BR11),ISNUMBER(BS11),ISNUMBER(BT11),ISNUMBER(BU11),ISNUMBER(BV11),ISNUMBER(BW11),BR11="X",BS11="X",BT11="X",BU11="X",BV11="X",BW11="X",BR11="M",BS11="M",BT11="M",BU11="M",BV11="M",BW11="M"),IF(BR11="X",10,IF(BR11="M",0,IF(ISNUMBER(BR11),BR11,0))) + IF(BS11="X",10,IF(BS11="M",0,IF(ISNUMBER(BS11),BS11,0))) + IF(BT11="X",10,IF(BT11="M",0,IF(ISNUMBER(BT11),BT11,0))) + IF(BU11="X",10,IF(BU11="M",0,IF(ISNUMBER(BU11),BU11,0))) + IF(BV11="X",10,IF(BV11="M",0,IF(ISNUMBER(BV11),BV11,0))) + IF(BW11="X",10,IF(BW11="M",0,IF(ISNUMBER(BW11),BW11,0))),"")</f>
        <v/>
      </c>
      <c r="BY11" s="62"/>
      <c r="BZ11" s="62"/>
      <c r="CA11" s="62"/>
      <c r="CB11" s="62"/>
      <c r="CC11" s="62"/>
      <c r="CD11" s="62"/>
      <c r="CE11" s="63" t="str">
        <f>IF(OR(ISNUMBER(BY11),ISNUMBER(BZ11),ISNUMBER(CA11),ISNUMBER(CB11),ISNUMBER(CC11),ISNUMBER(CD11),BY11="X",BZ11="X",CA11="X",CB11="X",CC11="X",CD11="X",BY11="M",BZ11="M",CA11="M",CB11="M",CC11="M",CD11="M"),IF(BY11="X",10,IF(BY11="M",0,IF(ISNUMBER(BY11),BY11,0))) + IF(BZ11="X",10,IF(BZ11="M",0,IF(ISNUMBER(BZ11),BZ11,0))) + IF(CA11="X",10,IF(CA11="M",0,IF(ISNUMBER(CA11),CA11,0))) + IF(CB11="X",10,IF(CB11="M",0,IF(ISNUMBER(CB11),CB11,0))) + IF(CC11="X",10,IF(CC11="M",0,IF(ISNUMBER(CC11),CC11,0))) + IF(CD11="X",10,IF(CD11="M",0,IF(ISNUMBER(CD11),CD11,0))),"")</f>
        <v/>
      </c>
      <c r="CF11" s="62"/>
      <c r="CG11" s="62"/>
      <c r="CH11" s="62"/>
      <c r="CI11" s="62"/>
      <c r="CJ11" s="62"/>
      <c r="CK11" s="62"/>
      <c r="CL11" s="63" t="str">
        <f>IF(OR(ISNUMBER(CF11),ISNUMBER(CG11),ISNUMBER(CH11),ISNUMBER(CI11),ISNUMBER(CJ11),ISNUMBER(CK11),CF11="X",CG11="X",CH11="X",CI11="X",CJ11="X",CK11="X",CF11="M",CG11="M",CH11="M",CI11="M",CJ11="M",CK11="M"),IF(CF11="X",10,IF(CF11="M",0,IF(ISNUMBER(CF11),CF11,0))) + IF(CG11="X",10,IF(CG11="M",0,IF(ISNUMBER(CG11),CG11,0))) + IF(CH11="X",10,IF(CH11="M",0,IF(ISNUMBER(CH11),CH11,0))) + IF(CI11="X",10,IF(CI11="M",0,IF(ISNUMBER(CI11),CI11,0))) + IF(CJ11="X",10,IF(CJ11="M",0,IF(ISNUMBER(CJ11),CJ11,0))) + IF(CK11="X",10,IF(CK11="M",0,IF(ISNUMBER(CK11),CK11,0))),"")</f>
        <v/>
      </c>
      <c r="CM11" s="62"/>
      <c r="CN11" s="62"/>
      <c r="CO11" s="62"/>
      <c r="CP11" s="62"/>
      <c r="CQ11" s="62"/>
      <c r="CR11" s="62"/>
      <c r="CS11" s="63" t="str">
        <f>IF(OR(ISNUMBER(CM11),ISNUMBER(CN11),ISNUMBER(CO11),ISNUMBER(CP11),ISNUMBER(CQ11),ISNUMBER(CR11),CM11="X",CN11="X",CO11="X",CP11="X",CQ11="X",CR11="X",CM11="M",CN11="M",CO11="M",CP11="M",CQ11="M",CR11="M"),IF(CM11="X",10,IF(CM11="M",0,IF(ISNUMBER(CM11),CM11,0))) + IF(CN11="X",10,IF(CN11="M",0,IF(ISNUMBER(CN11),CN11,0))) + IF(CO11="X",10,IF(CO11="M",0,IF(ISNUMBER(CO11),CO11,0))) + IF(CP11="X",10,IF(CP11="M",0,IF(ISNUMBER(CP11),CP11,0))) + IF(CQ11="X",10,IF(CQ11="M",0,IF(ISNUMBER(CQ11),CQ11,0))) + IF(CR11="X",10,IF(CR11="M",0,IF(ISNUMBER(CR11),CR11,0))),"")</f>
        <v/>
      </c>
      <c r="CT11" s="64"/>
      <c r="CU11" s="64"/>
      <c r="CV11" s="64"/>
      <c r="CW11" s="64"/>
      <c r="CX11" s="64"/>
      <c r="CY11" s="64"/>
      <c r="CZ11" s="63" t="str">
        <f>IF(OR(ISNUMBER(CT11),ISNUMBER(CU11),ISNUMBER(CV11),ISNUMBER(CW11),ISNUMBER(CX11),ISNUMBER(CY11),CT11="X",CU11="X",CV11="X",CW11="X",CX11="X",CY11="X",CT11="M",CU11="M",CV11="M",CW11="M",CX11="M",CY11="M"),IF(CT11="X",10,IF(CT11="M",0,IF(ISNUMBER(CT11),CT11,0))) + IF(CU11="X",10,IF(CU11="M",0,IF(ISNUMBER(CU11),CU11,0))) + IF(CV11="X",10,IF(CV11="M",0,IF(ISNUMBER(CV11),CV11,0))) + IF(CW11="X",10,IF(CW11="M",0,IF(ISNUMBER(CW11),CW11,0))) + IF(CX11="X",10,IF(CX11="M",0,IF(ISNUMBER(CX11),CX11,0))) + IF(CY11="X",10,IF(CY11="M",0,IF(ISNUMBER(CY11),CY11,0))),"")</f>
        <v/>
      </c>
      <c r="DA11" s="65">
        <f>IF(AND(ISNUMBER(BQ11),ISNUMBER(BQ13)),IF(BQ11&gt;BQ13,2,IF(BQ11=BQ13,1,0)),0)+IF(AND(ISNUMBER(BX11),ISNUMBER(BX13)),IF(BX11&gt;BX13,2,IF(BX11=BX13,1,0)),0)+IF(AND(ISNUMBER(CE11),ISNUMBER(CE13)),IF(CE11&gt;CE13,2,IF(CE11=CE13,1,0)),0)+IF(AND(ISNUMBER(CL11),ISNUMBER(CL13)),IF(CL11&gt;CL13,2,IF(CL11=CL13,1,0)),0)+IF(AND(ISNUMBER(CS11),ISNUMBER(CS13)),IF(CS11&gt;CS13,2,IF(CS11=CS13,1,0)),0)</f>
        <v>0</v>
      </c>
      <c r="DB11" s="66"/>
      <c r="DC11" s="67">
        <f>IF(DA11&gt;0,IF(BK11="X",10,IF(BK11="M",0,IF(ISNUMBER(BK11),BK11,0)))+IF(BL11="X",10,IF(BL11="M",0,IF(ISNUMBER(BL11),BL11,0)))+IF(BM11="X",10,IF(BM11="M",0,IF(ISNUMBER(BM11),BM11,0)))+IF(BN11="X",10,IF(BN11="M",0,IF(ISNUMBER(BN11),BN11,0)))+IF(BO11="X",10,IF(BO11="M",0,IF(ISNUMBER(BO11),BO11,0)))+IF(BP11="X",10,IF(BP11="M",0,IF(ISNUMBER(BP11),BP11,0)))+IF(BR11="X",10,IF(BR11="M",0,IF(ISNUMBER(BR11),BR11,0)))+IF(BS11="X",10,IF(BS11="M",0,IF(ISNUMBER(BS11),BS11,0)))+IF(BT11="X",10,IF(BT11="M",0,IF(ISNUMBER(BT11),BT11,0)))+IF(BU11="X",10,IF(BU11="M",0,IF(ISNUMBER(BU11),BU11,0)))+IF(BV11="X",10,IF(BV11="M",0,IF(ISNUMBER(BV11),BV11,0)))+IF(BW11="X",10,IF(BW11="M",0,IF(ISNUMBER(BW11),BW11,0)))+IF(BY11="X",10,IF(BY11="M",0,IF(ISNUMBER(BY11),BY11,0)))+IF(BZ11="X",10,IF(BZ11="M",0,IF(ISNUMBER(BZ11),BZ11,0)))+IF(CA11="X",10,IF(CA11="M",0,IF(ISNUMBER(CA11),CA11,0)))+IF(CB11="X",10,IF(CB11="M",0,IF(ISNUMBER(CB11),CB11,0)))+IF(CC11="X",10,IF(CC11="M",0,IF(ISNUMBER(CC11),CC11,0)))+IF(CD11="X",10,IF(CD11="M",0,IF(ISNUMBER(CD11),CD11,0)))+IF(CF11="X",10,IF(CF11="M",0,IF(ISNUMBER(CF11),CF11,0)))+IF(CG11="X",10,IF(CG11="M",0,IF(ISNUMBER(CG11),CG11,0)))+IF(CH11="X",10,IF(CH11="M",0,IF(ISNUMBER(CH11),CH11,0)))+IF(CI11="X",10,IF(CI11="M",0,IF(ISNUMBER(CI11),CI11,0)))+IF(CJ11="X",10,IF(CJ11="M",0,IF(ISNUMBER(CJ11),CJ11,0)))+IF(CK11="X",10,IF(CK11="M",0,IF(ISNUMBER(CK11),CK11,0)))+IF(CM11="X",10,IF(CM11="M",0,IF(ISNUMBER(CM11),CM11,0)))+IF(CN11="X",10,IF(CN11="M",0,IF(ISNUMBER(CN11),CN11,0)))+IF(CO11="X",10,IF(CO11="M",0,IF(ISNUMBER(CO11),CO11,0)))+IF(CP11="X",10,IF(CP11="M",0,IF(ISNUMBER(CP11),CP11,0)))+IF(CQ11="X",10,IF(CQ11="M",0,IF(ISNUMBER(CQ11),CQ11,0)))+IF(CR11="X",10,IF(CR11="M",0,IF(ISNUMBER(CR11),CR11,0)))+IF(CT11="X",10,IF(CT11="M",0,IF(ISNUMBER(CT11),CT11,0)))+IF(CU11="X",10,IF(CU11="M",0,IF(ISNUMBER(CU11),CU11,0)))+IF(CV11="X",10,IF(CV11="M",0,IF(ISNUMBER(CV11),CV11,0)))+IF(CW11="X",10,IF(CW11="M",0,IF(ISNUMBER(CW11),CW11,0)))+IF(CX11="X",10,IF(CX11="M",0,IF(ISNUMBER(CX11),CX11,0)))+IF(CY11="X",10,IF(CY11="M",0,IF(ISNUMBER(CY11),CY11,0))),0)</f>
        <v>0</v>
      </c>
      <c r="DD11" s="68" t="str">
        <f>IFERROR(IF(DB11="DQ","DISQUALIFIED",IF(DB13="DQ","&gt;&gt; Advance",IF(DF13="BYE","&gt;&gt; Advance",IF(DF11="BYE","BYE",IF(DA11&gt;=6,"WIN",IF(DA13&gt;=6,"LOSS",IF(AND(ISNUMBER(CZ11),ISNUMBER(CZ13)),IF(CZ11&gt;CZ13,"WIN",IF(CZ11&lt;CZ13,"LOSS","Shoot-Off")),"Playing"))))))),"Error")</f>
        <v>&gt;&gt; Advance</v>
      </c>
      <c r="DF11" s="69" t="str">
        <f>IFERROR(IF(AND(BC16="BYE",BC18="BYE"),"BYE",""),"")</f>
        <v>BYE</v>
      </c>
      <c r="DG11" s="61" t="s">
        <v>193</v>
      </c>
      <c r="DH11" s="106" t="str">
        <f>IFERROR(IF(DF16="BYE",IF(DF18="BYE","TBD",BE18),IF(DF18="BYE",BE16,IF(OR(DD16="WIN",DD16="&gt;&gt; Advance"),BE16,IF(OR(DD18="WIN",DD18="&gt;&gt; Advance"),BE18,"TBD")))),"TBD")</f>
        <v>TBD</v>
      </c>
      <c r="DI11" s="106"/>
      <c r="DJ11" s="106"/>
      <c r="DK11" s="107" t="str">
        <f>IF(AND(DH11&lt;&gt;"TBD",DH11&lt;&gt;"",DH13&lt;&gt;"TBD",DH13&lt;&gt;"",FG11&lt;&gt;"&gt;&gt; Advance",FG13&lt;&gt;"&gt;&gt; Advance"),IF((B2-A2+1)&gt;=4,(A2+2)&amp;"",IF((B2-A2+1)&gt;=2,(A2+1)&amp;" L",(A2+MOD(1,(B2-A2+1)))&amp;CHAR(65+FLOOR(1/(B2-A2+1),1)*2)&amp;" (L)")),"")</f>
        <v/>
      </c>
      <c r="DL11" s="107"/>
      <c r="DM11" s="107"/>
      <c r="DN11" s="62"/>
      <c r="DO11" s="62"/>
      <c r="DP11" s="62"/>
      <c r="DQ11" s="62"/>
      <c r="DR11" s="62"/>
      <c r="DS11" s="62"/>
      <c r="DT11" s="63" t="str">
        <f>IF(OR(ISNUMBER(DN11),ISNUMBER(DO11),ISNUMBER(DP11),ISNUMBER(DQ11),ISNUMBER(DR11),ISNUMBER(DS11),DN11="X",DO11="X",DP11="X",DQ11="X",DR11="X",DS11="X",DN11="M",DO11="M",DP11="M",DQ11="M",DR11="M",DS11="M"),IF(DN11="X",10,IF(DN11="M",0,IF(ISNUMBER(DN11),DN11,0))) + IF(DO11="X",10,IF(DO11="M",0,IF(ISNUMBER(DO11),DO11,0))) + IF(DP11="X",10,IF(DP11="M",0,IF(ISNUMBER(DP11),DP11,0))) + IF(DQ11="X",10,IF(DQ11="M",0,IF(ISNUMBER(DQ11),DQ11,0))) + IF(DR11="X",10,IF(DR11="M",0,IF(ISNUMBER(DR11),DR11,0))) + IF(DS11="X",10,IF(DS11="M",0,IF(ISNUMBER(DS11),DS11,0))),"")</f>
        <v/>
      </c>
      <c r="DU11" s="62"/>
      <c r="DV11" s="62"/>
      <c r="DW11" s="62"/>
      <c r="DX11" s="62"/>
      <c r="DY11" s="62"/>
      <c r="DZ11" s="62"/>
      <c r="EA11" s="63" t="str">
        <f>IF(OR(ISNUMBER(DU11),ISNUMBER(DV11),ISNUMBER(DW11),ISNUMBER(DX11),ISNUMBER(DY11),ISNUMBER(DZ11),DU11="X",DV11="X",DW11="X",DX11="X",DY11="X",DZ11="X",DU11="M",DV11="M",DW11="M",DX11="M",DY11="M",DZ11="M"),IF(DU11="X",10,IF(DU11="M",0,IF(ISNUMBER(DU11),DU11,0))) + IF(DV11="X",10,IF(DV11="M",0,IF(ISNUMBER(DV11),DV11,0))) + IF(DW11="X",10,IF(DW11="M",0,IF(ISNUMBER(DW11),DW11,0))) + IF(DX11="X",10,IF(DX11="M",0,IF(ISNUMBER(DX11),DX11,0))) + IF(DY11="X",10,IF(DY11="M",0,IF(ISNUMBER(DY11),DY11,0))) + IF(DZ11="X",10,IF(DZ11="M",0,IF(ISNUMBER(DZ11),DZ11,0))),"")</f>
        <v/>
      </c>
      <c r="EB11" s="62"/>
      <c r="EC11" s="62"/>
      <c r="ED11" s="62"/>
      <c r="EE11" s="62"/>
      <c r="EF11" s="62"/>
      <c r="EG11" s="62"/>
      <c r="EH11" s="63" t="str">
        <f>IF(OR(ISNUMBER(EB11),ISNUMBER(EC11),ISNUMBER(ED11),ISNUMBER(EE11),ISNUMBER(EF11),ISNUMBER(EG11),EB11="X",EC11="X",ED11="X",EE11="X",EF11="X",EG11="X",EB11="M",EC11="M",ED11="M",EE11="M",EF11="M",EG11="M"),IF(EB11="X",10,IF(EB11="M",0,IF(ISNUMBER(EB11),EB11,0))) + IF(EC11="X",10,IF(EC11="M",0,IF(ISNUMBER(EC11),EC11,0))) + IF(ED11="X",10,IF(ED11="M",0,IF(ISNUMBER(ED11),ED11,0))) + IF(EE11="X",10,IF(EE11="M",0,IF(ISNUMBER(EE11),EE11,0))) + IF(EF11="X",10,IF(EF11="M",0,IF(ISNUMBER(EF11),EF11,0))) + IF(EG11="X",10,IF(EG11="M",0,IF(ISNUMBER(EG11),EG11,0))),"")</f>
        <v/>
      </c>
      <c r="EI11" s="62"/>
      <c r="EJ11" s="62"/>
      <c r="EK11" s="62"/>
      <c r="EL11" s="62"/>
      <c r="EM11" s="62"/>
      <c r="EN11" s="62"/>
      <c r="EO11" s="63" t="str">
        <f>IF(OR(ISNUMBER(EI11),ISNUMBER(EJ11),ISNUMBER(EK11),ISNUMBER(EL11),ISNUMBER(EM11),ISNUMBER(EN11),EI11="X",EJ11="X",EK11="X",EL11="X",EM11="X",EN11="X",EI11="M",EJ11="M",EK11="M",EL11="M",EM11="M",EN11="M"),IF(EI11="X",10,IF(EI11="M",0,IF(ISNUMBER(EI11),EI11,0))) + IF(EJ11="X",10,IF(EJ11="M",0,IF(ISNUMBER(EJ11),EJ11,0))) + IF(EK11="X",10,IF(EK11="M",0,IF(ISNUMBER(EK11),EK11,0))) + IF(EL11="X",10,IF(EL11="M",0,IF(ISNUMBER(EL11),EL11,0))) + IF(EM11="X",10,IF(EM11="M",0,IF(ISNUMBER(EM11),EM11,0))) + IF(EN11="X",10,IF(EN11="M",0,IF(ISNUMBER(EN11),EN11,0))),"")</f>
        <v/>
      </c>
      <c r="EP11" s="62"/>
      <c r="EQ11" s="62"/>
      <c r="ER11" s="62"/>
      <c r="ES11" s="62"/>
      <c r="ET11" s="62"/>
      <c r="EU11" s="62"/>
      <c r="EV11" s="63" t="str">
        <f>IF(OR(ISNUMBER(EP11),ISNUMBER(EQ11),ISNUMBER(ER11),ISNUMBER(ES11),ISNUMBER(ET11),ISNUMBER(EU11),EP11="X",EQ11="X",ER11="X",ES11="X",ET11="X",EU11="X",EP11="M",EQ11="M",ER11="M",ES11="M",ET11="M",EU11="M"),IF(EP11="X",10,IF(EP11="M",0,IF(ISNUMBER(EP11),EP11,0))) + IF(EQ11="X",10,IF(EQ11="M",0,IF(ISNUMBER(EQ11),EQ11,0))) + IF(ER11="X",10,IF(ER11="M",0,IF(ISNUMBER(ER11),ER11,0))) + IF(ES11="X",10,IF(ES11="M",0,IF(ISNUMBER(ES11),ES11,0))) + IF(ET11="X",10,IF(ET11="M",0,IF(ISNUMBER(ET11),ET11,0))) + IF(EU11="X",10,IF(EU11="M",0,IF(ISNUMBER(EU11),EU11,0))),"")</f>
        <v/>
      </c>
      <c r="EW11" s="64"/>
      <c r="EX11" s="64"/>
      <c r="EY11" s="64"/>
      <c r="EZ11" s="64"/>
      <c r="FA11" s="64"/>
      <c r="FB11" s="64"/>
      <c r="FC11" s="63" t="str">
        <f>IF(OR(ISNUMBER(EW11),ISNUMBER(EX11),ISNUMBER(EY11),ISNUMBER(EZ11),ISNUMBER(FA11),ISNUMBER(FB11),EW11="X",EX11="X",EY11="X",EZ11="X",FA11="X",FB11="X",EW11="M",EX11="M",EY11="M",EZ11="M",FA11="M",FB11="M"),IF(EW11="X",10,IF(EW11="M",0,IF(ISNUMBER(EW11),EW11,0))) + IF(EX11="X",10,IF(EX11="M",0,IF(ISNUMBER(EX11),EX11,0))) + IF(EY11="X",10,IF(EY11="M",0,IF(ISNUMBER(EY11),EY11,0))) + IF(EZ11="X",10,IF(EZ11="M",0,IF(ISNUMBER(EZ11),EZ11,0))) + IF(FA11="X",10,IF(FA11="M",0,IF(ISNUMBER(FA11),FA11,0))) + IF(FB11="X",10,IF(FB11="M",0,IF(ISNUMBER(FB11),FB11,0))),"")</f>
        <v/>
      </c>
      <c r="FD11" s="65">
        <f>IF(AND(ISNUMBER(DT11),ISNUMBER(DT13)),IF(DT11&gt;DT13,2,IF(DT11=DT13,1,0)),0)+IF(AND(ISNUMBER(EA11),ISNUMBER(EA13)),IF(EA11&gt;EA13,2,IF(EA11=EA13,1,0)),0)+IF(AND(ISNUMBER(EH11),ISNUMBER(EH13)),IF(EH11&gt;EH13,2,IF(EH11=EH13,1,0)),0)+IF(AND(ISNUMBER(EO11),ISNUMBER(EO13)),IF(EO11&gt;EO13,2,IF(EO11=EO13,1,0)),0)+IF(AND(ISNUMBER(EV11),ISNUMBER(EV13)),IF(EV11&gt;EV13,2,IF(EV11=EV13,1,0)),0)</f>
        <v>0</v>
      </c>
      <c r="FE11" s="66"/>
      <c r="FF11" s="67">
        <f>IF(FD11&gt;0,IF(DN11="X",10,IF(DN11="M",0,IF(ISNUMBER(DN11),DN11,0)))+IF(DO11="X",10,IF(DO11="M",0,IF(ISNUMBER(DO11),DO11,0)))+IF(DP11="X",10,IF(DP11="M",0,IF(ISNUMBER(DP11),DP11,0)))+IF(DQ11="X",10,IF(DQ11="M",0,IF(ISNUMBER(DQ11),DQ11,0)))+IF(DR11="X",10,IF(DR11="M",0,IF(ISNUMBER(DR11),DR11,0)))+IF(DS11="X",10,IF(DS11="M",0,IF(ISNUMBER(DS11),DS11,0)))+IF(DU11="X",10,IF(DU11="M",0,IF(ISNUMBER(DU11),DU11,0)))+IF(DV11="X",10,IF(DV11="M",0,IF(ISNUMBER(DV11),DV11,0)))+IF(DW11="X",10,IF(DW11="M",0,IF(ISNUMBER(DW11),DW11,0)))+IF(DX11="X",10,IF(DX11="M",0,IF(ISNUMBER(DX11),DX11,0)))+IF(DY11="X",10,IF(DY11="M",0,IF(ISNUMBER(DY11),DY11,0)))+IF(DZ11="X",10,IF(DZ11="M",0,IF(ISNUMBER(DZ11),DZ11,0)))+IF(EB11="X",10,IF(EB11="M",0,IF(ISNUMBER(EB11),EB11,0)))+IF(EC11="X",10,IF(EC11="M",0,IF(ISNUMBER(EC11),EC11,0)))+IF(ED11="X",10,IF(ED11="M",0,IF(ISNUMBER(ED11),ED11,0)))+IF(EE11="X",10,IF(EE11="M",0,IF(ISNUMBER(EE11),EE11,0)))+IF(EF11="X",10,IF(EF11="M",0,IF(ISNUMBER(EF11),EF11,0)))+IF(EG11="X",10,IF(EG11="M",0,IF(ISNUMBER(EG11),EG11,0)))+IF(EI11="X",10,IF(EI11="M",0,IF(ISNUMBER(EI11),EI11,0)))+IF(EJ11="X",10,IF(EJ11="M",0,IF(ISNUMBER(EJ11),EJ11,0)))+IF(EK11="X",10,IF(EK11="M",0,IF(ISNUMBER(EK11),EK11,0)))+IF(EL11="X",10,IF(EL11="M",0,IF(ISNUMBER(EL11),EL11,0)))+IF(EM11="X",10,IF(EM11="M",0,IF(ISNUMBER(EM11),EM11,0)))+IF(EN11="X",10,IF(EN11="M",0,IF(ISNUMBER(EN11),EN11,0)))+IF(EP11="X",10,IF(EP11="M",0,IF(ISNUMBER(EP11),EP11,0)))+IF(EQ11="X",10,IF(EQ11="M",0,IF(ISNUMBER(EQ11),EQ11,0)))+IF(ER11="X",10,IF(ER11="M",0,IF(ISNUMBER(ER11),ER11,0)))+IF(ES11="X",10,IF(ES11="M",0,IF(ISNUMBER(ES11),ES11,0)))+IF(ET11="X",10,IF(ET11="M",0,IF(ISNUMBER(ET11),ET11,0)))+IF(EU11="X",10,IF(EU11="M",0,IF(ISNUMBER(EU11),EU11,0)))+IF(EW11="X",10,IF(EW11="M",0,IF(ISNUMBER(EW11),EW11,0)))+IF(EX11="X",10,IF(EX11="M",0,IF(ISNUMBER(EX11),EX11,0)))+IF(EY11="X",10,IF(EY11="M",0,IF(ISNUMBER(EY11),EY11,0)))+IF(EZ11="X",10,IF(EZ11="M",0,IF(ISNUMBER(EZ11),EZ11,0)))+IF(FA11="X",10,IF(FA11="M",0,IF(ISNUMBER(FA11),FA11,0)))+IF(FB11="X",10,IF(FB11="M",0,IF(ISNUMBER(FB11),FB11,0))),0)</f>
        <v>0</v>
      </c>
      <c r="FG11" s="68" t="str">
        <f>IFERROR(IF(FE11="DQ","DISQUALIFIED",IF(FE13="DQ","&gt;&gt; Advance",IF(FI13="BYE","&gt;&gt; Advance",IF(FI11="BYE","BYE",IF(FD11&gt;=6,"WIN",IF(FD13&gt;=6,"LOSS",IF(AND(ISNUMBER(FC11),ISNUMBER(FC13)),IF(FC11&gt;FC13,"WIN",IF(FC11&lt;FC13,"LOSS","Shoot-Off")),"Playing"))))))),"Error")</f>
        <v>&gt;&gt; Advance</v>
      </c>
      <c r="FI11" s="69" t="str">
        <f>IFERROR(IF(AND(DF16="BYE",DF18="BYE"),"BYE",""),"")</f>
        <v>BYE</v>
      </c>
      <c r="FJ11" s="72" t="s">
        <v>194</v>
      </c>
      <c r="FK11" s="106" t="str">
        <f>IFERROR(IF(OR(FI6="BYE",FI8="BYE"),"",IF(OR(FG6="WIN",FG6="&gt;&gt; Advance"),DH8,IF(OR(FG8="WIN",FG8="&gt;&gt; Advance"),DH6,"TBD"))),"TBD")</f>
        <v/>
      </c>
      <c r="FL11" s="106"/>
      <c r="FM11" s="106"/>
      <c r="FN11" s="107" t="str">
        <f>IF(AND(FK11&lt;&gt;"TBD",FK11&lt;&gt;"",FK13&lt;&gt;"TBD",FK13&lt;&gt;"",HJ11&lt;&gt;"&gt;&gt; Advance",HJ13&lt;&gt;"&gt;&gt; Advance"),IF((B2-A2+1)&gt;=4,(A2+2)&amp;"",IF((B2-A2+1)&gt;=2,(A2+1)&amp;" L",(A2+MOD(1,(B2-A2+1)))&amp;CHAR(65+FLOOR(1/(B2-A2+1),1)*2)&amp;" (L)")),"")</f>
        <v/>
      </c>
      <c r="FO11" s="107"/>
      <c r="FP11" s="107"/>
      <c r="FQ11" s="62"/>
      <c r="FR11" s="62"/>
      <c r="FS11" s="62"/>
      <c r="FT11" s="62"/>
      <c r="FU11" s="62"/>
      <c r="FV11" s="62"/>
      <c r="FW11" s="63" t="str">
        <f>IF(OR(ISNUMBER(FQ11),ISNUMBER(FR11),ISNUMBER(FS11),ISNUMBER(FT11),ISNUMBER(FU11),ISNUMBER(FV11),FQ11="X",FR11="X",FS11="X",FT11="X",FU11="X",FV11="X",FQ11="M",FR11="M",FS11="M",FT11="M",FU11="M",FV11="M"),IF(FQ11="X",10,IF(FQ11="M",0,IF(ISNUMBER(FQ11),FQ11,0))) + IF(FR11="X",10,IF(FR11="M",0,IF(ISNUMBER(FR11),FR11,0))) + IF(FS11="X",10,IF(FS11="M",0,IF(ISNUMBER(FS11),FS11,0))) + IF(FT11="X",10,IF(FT11="M",0,IF(ISNUMBER(FT11),FT11,0))) + IF(FU11="X",10,IF(FU11="M",0,IF(ISNUMBER(FU11),FU11,0))) + IF(FV11="X",10,IF(FV11="M",0,IF(ISNUMBER(FV11),FV11,0))),"")</f>
        <v/>
      </c>
      <c r="FX11" s="62"/>
      <c r="FY11" s="62"/>
      <c r="FZ11" s="62"/>
      <c r="GA11" s="62"/>
      <c r="GB11" s="62"/>
      <c r="GC11" s="62"/>
      <c r="GD11" s="63" t="str">
        <f>IF(OR(ISNUMBER(FX11),ISNUMBER(FY11),ISNUMBER(FZ11),ISNUMBER(GA11),ISNUMBER(GB11),ISNUMBER(GC11),FX11="X",FY11="X",FZ11="X",GA11="X",GB11="X",GC11="X",FX11="M",FY11="M",FZ11="M",GA11="M",GB11="M",GC11="M"),IF(FX11="X",10,IF(FX11="M",0,IF(ISNUMBER(FX11),FX11,0))) + IF(FY11="X",10,IF(FY11="M",0,IF(ISNUMBER(FY11),FY11,0))) + IF(FZ11="X",10,IF(FZ11="M",0,IF(ISNUMBER(FZ11),FZ11,0))) + IF(GA11="X",10,IF(GA11="M",0,IF(ISNUMBER(GA11),GA11,0))) + IF(GB11="X",10,IF(GB11="M",0,IF(ISNUMBER(GB11),GB11,0))) + IF(GC11="X",10,IF(GC11="M",0,IF(ISNUMBER(GC11),GC11,0))),"")</f>
        <v/>
      </c>
      <c r="GE11" s="62"/>
      <c r="GF11" s="62"/>
      <c r="GG11" s="62"/>
      <c r="GH11" s="62"/>
      <c r="GI11" s="62"/>
      <c r="GJ11" s="62"/>
      <c r="GK11" s="63" t="str">
        <f>IF(OR(ISNUMBER(GE11),ISNUMBER(GF11),ISNUMBER(GG11),ISNUMBER(GH11),ISNUMBER(GI11),ISNUMBER(GJ11),GE11="X",GF11="X",GG11="X",GH11="X",GI11="X",GJ11="X",GE11="M",GF11="M",GG11="M",GH11="M",GI11="M",GJ11="M"),IF(GE11="X",10,IF(GE11="M",0,IF(ISNUMBER(GE11),GE11,0))) + IF(GF11="X",10,IF(GF11="M",0,IF(ISNUMBER(GF11),GF11,0))) + IF(GG11="X",10,IF(GG11="M",0,IF(ISNUMBER(GG11),GG11,0))) + IF(GH11="X",10,IF(GH11="M",0,IF(ISNUMBER(GH11),GH11,0))) + IF(GI11="X",10,IF(GI11="M",0,IF(ISNUMBER(GI11),GI11,0))) + IF(GJ11="X",10,IF(GJ11="M",0,IF(ISNUMBER(GJ11),GJ11,0))),"")</f>
        <v/>
      </c>
      <c r="GL11" s="62"/>
      <c r="GM11" s="62"/>
      <c r="GN11" s="62"/>
      <c r="GO11" s="62"/>
      <c r="GP11" s="62"/>
      <c r="GQ11" s="62"/>
      <c r="GR11" s="63" t="str">
        <f>IF(OR(ISNUMBER(GL11),ISNUMBER(GM11),ISNUMBER(GN11),ISNUMBER(GO11),ISNUMBER(GP11),ISNUMBER(GQ11),GL11="X",GM11="X",GN11="X",GO11="X",GP11="X",GQ11="X",GL11="M",GM11="M",GN11="M",GO11="M",GP11="M",GQ11="M"),IF(GL11="X",10,IF(GL11="M",0,IF(ISNUMBER(GL11),GL11,0))) + IF(GM11="X",10,IF(GM11="M",0,IF(ISNUMBER(GM11),GM11,0))) + IF(GN11="X",10,IF(GN11="M",0,IF(ISNUMBER(GN11),GN11,0))) + IF(GO11="X",10,IF(GO11="M",0,IF(ISNUMBER(GO11),GO11,0))) + IF(GP11="X",10,IF(GP11="M",0,IF(ISNUMBER(GP11),GP11,0))) + IF(GQ11="X",10,IF(GQ11="M",0,IF(ISNUMBER(GQ11),GQ11,0))),"")</f>
        <v/>
      </c>
      <c r="GS11" s="62"/>
      <c r="GT11" s="62"/>
      <c r="GU11" s="62"/>
      <c r="GV11" s="62"/>
      <c r="GW11" s="62"/>
      <c r="GX11" s="62"/>
      <c r="GY11" s="63" t="str">
        <f>IF(OR(ISNUMBER(GS11),ISNUMBER(GT11),ISNUMBER(GU11),ISNUMBER(GV11),ISNUMBER(GW11),ISNUMBER(GX11),GS11="X",GT11="X",GU11="X",GV11="X",GW11="X",GX11="X",GS11="M",GT11="M",GU11="M",GV11="M",GW11="M",GX11="M"),IF(GS11="X",10,IF(GS11="M",0,IF(ISNUMBER(GS11),GS11,0))) + IF(GT11="X",10,IF(GT11="M",0,IF(ISNUMBER(GT11),GT11,0))) + IF(GU11="X",10,IF(GU11="M",0,IF(ISNUMBER(GU11),GU11,0))) + IF(GV11="X",10,IF(GV11="M",0,IF(ISNUMBER(GV11),GV11,0))) + IF(GW11="X",10,IF(GW11="M",0,IF(ISNUMBER(GW11),GW11,0))) + IF(GX11="X",10,IF(GX11="M",0,IF(ISNUMBER(GX11),GX11,0))),"")</f>
        <v/>
      </c>
      <c r="GZ11" s="64"/>
      <c r="HA11" s="64"/>
      <c r="HB11" s="64"/>
      <c r="HC11" s="64"/>
      <c r="HD11" s="64"/>
      <c r="HE11" s="64"/>
      <c r="HF11" s="63" t="str">
        <f>IF(OR(ISNUMBER(GZ11),ISNUMBER(HA11),ISNUMBER(HB11),ISNUMBER(HC11),ISNUMBER(HD11),ISNUMBER(HE11),GZ11="X",HA11="X",HB11="X",HC11="X",HD11="X",HE11="X",GZ11="M",HA11="M",HB11="M",HC11="M",HD11="M",HE11="M"),IF(GZ11="X",10,IF(GZ11="M",0,IF(ISNUMBER(GZ11),GZ11,0))) + IF(HA11="X",10,IF(HA11="M",0,IF(ISNUMBER(HA11),HA11,0))) + IF(HB11="X",10,IF(HB11="M",0,IF(ISNUMBER(HB11),HB11,0))) + IF(HC11="X",10,IF(HC11="M",0,IF(ISNUMBER(HC11),HC11,0))) + IF(HD11="X",10,IF(HD11="M",0,IF(ISNUMBER(HD11),HD11,0))) + IF(HE11="X",10,IF(HE11="M",0,IF(ISNUMBER(HE11),HE11,0))),"")</f>
        <v/>
      </c>
      <c r="HG11" s="65">
        <f>IF(AND(ISNUMBER(FW11),ISNUMBER(FW13)),IF(FW11&gt;FW13,2,IF(FW11=FW13,1,0)),0)+IF(AND(ISNUMBER(GD11),ISNUMBER(GD13)),IF(GD11&gt;GD13,2,IF(GD11=GD13,1,0)),0)+IF(AND(ISNUMBER(GK11),ISNUMBER(GK13)),IF(GK11&gt;GK13,2,IF(GK11=GK13,1,0)),0)+IF(AND(ISNUMBER(GR11),ISNUMBER(GR13)),IF(GR11&gt;GR13,2,IF(GR11=GR13,1,0)),0)+IF(AND(ISNUMBER(GY11),ISNUMBER(GY13)),IF(GY11&gt;GY13,2,IF(GY11=GY13,1,0)),0)</f>
        <v>0</v>
      </c>
      <c r="HH11" s="66"/>
      <c r="HI11" s="67">
        <f>IF(HG11&gt;0,IF(FQ11="X",10,IF(FQ11="M",0,IF(ISNUMBER(FQ11),FQ11,0)))+IF(FR11="X",10,IF(FR11="M",0,IF(ISNUMBER(FR11),FR11,0)))+IF(FS11="X",10,IF(FS11="M",0,IF(ISNUMBER(FS11),FS11,0)))+IF(FT11="X",10,IF(FT11="M",0,IF(ISNUMBER(FT11),FT11,0)))+IF(FU11="X",10,IF(FU11="M",0,IF(ISNUMBER(FU11),FU11,0)))+IF(FV11="X",10,IF(FV11="M",0,IF(ISNUMBER(FV11),FV11,0)))+IF(FX11="X",10,IF(FX11="M",0,IF(ISNUMBER(FX11),FX11,0)))+IF(FY11="X",10,IF(FY11="M",0,IF(ISNUMBER(FY11),FY11,0)))+IF(FZ11="X",10,IF(FZ11="M",0,IF(ISNUMBER(FZ11),FZ11,0)))+IF(GA11="X",10,IF(GA11="M",0,IF(ISNUMBER(GA11),GA11,0)))+IF(GB11="X",10,IF(GB11="M",0,IF(ISNUMBER(GB11),GB11,0)))+IF(GC11="X",10,IF(GC11="M",0,IF(ISNUMBER(GC11),GC11,0)))+IF(GE11="X",10,IF(GE11="M",0,IF(ISNUMBER(GE11),GE11,0)))+IF(GF11="X",10,IF(GF11="M",0,IF(ISNUMBER(GF11),GF11,0)))+IF(GG11="X",10,IF(GG11="M",0,IF(ISNUMBER(GG11),GG11,0)))+IF(GH11="X",10,IF(GH11="M",0,IF(ISNUMBER(GH11),GH11,0)))+IF(GI11="X",10,IF(GI11="M",0,IF(ISNUMBER(GI11),GI11,0)))+IF(GJ11="X",10,IF(GJ11="M",0,IF(ISNUMBER(GJ11),GJ11,0)))+IF(GL11="X",10,IF(GL11="M",0,IF(ISNUMBER(GL11),GL11,0)))+IF(GM11="X",10,IF(GM11="M",0,IF(ISNUMBER(GM11),GM11,0)))+IF(GN11="X",10,IF(GN11="M",0,IF(ISNUMBER(GN11),GN11,0)))+IF(GO11="X",10,IF(GO11="M",0,IF(ISNUMBER(GO11),GO11,0)))+IF(GP11="X",10,IF(GP11="M",0,IF(ISNUMBER(GP11),GP11,0)))+IF(GQ11="X",10,IF(GQ11="M",0,IF(ISNUMBER(GQ11),GQ11,0)))+IF(GS11="X",10,IF(GS11="M",0,IF(ISNUMBER(GS11),GS11,0)))+IF(GT11="X",10,IF(GT11="M",0,IF(ISNUMBER(GT11),GT11,0)))+IF(GU11="X",10,IF(GU11="M",0,IF(ISNUMBER(GU11),GU11,0)))+IF(GV11="X",10,IF(GV11="M",0,IF(ISNUMBER(GV11),GV11,0)))+IF(GW11="X",10,IF(GW11="M",0,IF(ISNUMBER(GW11),GW11,0)))+IF(GX11="X",10,IF(GX11="M",0,IF(ISNUMBER(GX11),GX11,0)))+IF(GZ11="X",10,IF(GZ11="M",0,IF(ISNUMBER(GZ11),GZ11,0)))+IF(HA11="X",10,IF(HA11="M",0,IF(ISNUMBER(HA11),HA11,0)))+IF(HB11="X",10,IF(HB11="M",0,IF(ISNUMBER(HB11),HB11,0)))+IF(HC11="X",10,IF(HC11="M",0,IF(ISNUMBER(HC11),HC11,0)))+IF(HD11="X",10,IF(HD11="M",0,IF(ISNUMBER(HD11),HD11,0)))+IF(HE11="X",10,IF(HE11="M",0,IF(ISNUMBER(HE11),HE11,0))),0)</f>
        <v>0</v>
      </c>
      <c r="HJ11" s="68" t="str">
        <f>IFERROR(IF(HH11="DQ","DISQUALIFIED",IF(HH13="DQ","&gt;&gt; Advance",IF(HL13="BYE","&gt;&gt; Advance",IF(HL11="BYE","BYE",IF(HG11&gt;=6,"WIN",IF(HG13&gt;=6,"LOSS",IF(AND(ISNUMBER(HF11),ISNUMBER(HF13)),IF(HF11&gt;HF13,"WIN",IF(HF11&lt;HF13,"LOSS","Shoot-Off")),"Playing"))))))),"Error")</f>
        <v>Playing</v>
      </c>
      <c r="HL11" s="69" t="str">
        <f>""</f>
        <v/>
      </c>
      <c r="HM11" s="112" t="str">
        <f>IFERROR(IF(OR(HL6="BYE",HL8="BYE"),"",IF(OR(HJ6="WIN",HJ6="&gt;&gt; Advance"),FK8,IF(OR(HJ8="WIN",HJ8="&gt;&gt; Advance"),FK6,"TBD"))),"TBD")</f>
        <v/>
      </c>
      <c r="HN11" s="112"/>
      <c r="HO11" s="112"/>
      <c r="HP11" s="112"/>
      <c r="HQ11" s="112"/>
      <c r="HR11" s="112"/>
      <c r="HS11" s="112"/>
      <c r="HT11" s="112"/>
      <c r="HU11" s="112"/>
      <c r="HV11" s="112"/>
      <c r="HW11" s="112"/>
      <c r="HX11" s="112"/>
      <c r="HY11" s="112"/>
      <c r="HZ11" s="112"/>
      <c r="IA11" s="112"/>
      <c r="IB11" s="112"/>
    </row>
    <row r="12" spans="1:237" ht="3" customHeight="1" x14ac:dyDescent="0.35">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c r="EQ12" s="71"/>
      <c r="ER12" s="71"/>
      <c r="ES12" s="71"/>
      <c r="ET12" s="71"/>
      <c r="EU12" s="71"/>
      <c r="EV12" s="71"/>
      <c r="EW12" s="71"/>
      <c r="EX12" s="71"/>
      <c r="EY12" s="71"/>
      <c r="EZ12" s="71"/>
      <c r="FA12" s="71"/>
      <c r="FB12" s="71"/>
      <c r="FC12" s="71"/>
      <c r="FD12" s="71"/>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c r="GW12" s="71"/>
      <c r="GX12" s="71"/>
      <c r="GY12" s="71"/>
      <c r="GZ12" s="71"/>
      <c r="HA12" s="71"/>
      <c r="HB12" s="71"/>
      <c r="HC12" s="71"/>
      <c r="HD12" s="71"/>
      <c r="HE12" s="71"/>
      <c r="HF12" s="71"/>
      <c r="HG12" s="71"/>
      <c r="HH12" s="71"/>
      <c r="HI12" s="71"/>
      <c r="HJ12" s="71"/>
      <c r="HK12" s="71"/>
      <c r="HL12" s="71"/>
      <c r="HM12" s="112"/>
      <c r="HN12" s="112"/>
      <c r="HO12" s="112"/>
      <c r="HP12" s="112"/>
      <c r="HQ12" s="112"/>
      <c r="HR12" s="112"/>
      <c r="HS12" s="112"/>
      <c r="HT12" s="112"/>
      <c r="HU12" s="112"/>
      <c r="HV12" s="112"/>
      <c r="HW12" s="112"/>
      <c r="HX12" s="112"/>
      <c r="HY12" s="112"/>
      <c r="HZ12" s="112"/>
      <c r="IA12" s="112"/>
      <c r="IB12" s="112"/>
    </row>
    <row r="13" spans="1:237" ht="15.75" customHeight="1" x14ac:dyDescent="0.35">
      <c r="A13" s="61" t="str">
        <f>IFERROR(IF(INDEX('Open 30M - Teams'!$L:$L,MATCH(9,'Open 30M - Teams'!$A:$A,0))="Yes","BYE",IF(OR(INDEX('Open 30M - Teams'!$B:$B,MATCH(9,'Open 30M - Teams'!$A:$A,0))="",ISERROR(MATCH(9,'Open 30M - Teams'!$A:$A,0))),"BYE","#9")),"BYE")</f>
        <v>BYE</v>
      </c>
      <c r="B13" s="106" t="str">
        <f>IFERROR(IF(INDEX('Open 30M - Teams'!$L:$L,MATCH(9,'Open 30M - Teams'!$A:$A,0))="Yes","",IF(INDEX('Open 30M - Teams'!$N:$N,MATCH(9,'Open 30M - Teams'!$A:$A,0))&lt;&gt;"",INDEX('Open 30M - Teams'!$N:$N,MATCH(9,'Open 30M - Teams'!$A:$A,0)),IF(INDEX('Open 30M - Teams'!$B:$B,MATCH(9,'Open 30M - Teams'!$A:$A,0))="","",INDEX('Open 30M - Teams'!$B:$B,MATCH(9,'Open 30M - Teams'!$A:$A,0))))),"")</f>
        <v/>
      </c>
      <c r="C13" s="106"/>
      <c r="D13" s="106"/>
      <c r="E13" s="107" t="str">
        <f>IF(OR(A13="BYE",BA13="&gt;&gt; Advance"),"",IF((B2-A2+1)&gt;=8,(A2+MOD(INT((SUMPRODUCT(IF(A6&lt;&gt;"BYE",IF(A6&lt;&gt;"",IF(BA6&lt;&gt;"&gt;&gt; Advance",1,0),0),0)+IF(A8&lt;&gt;"BYE",IF(A8&lt;&gt;"",IF(BA8&lt;&gt;"&gt;&gt; Advance",1,0),0),0)+IF(A11&lt;&gt;"BYE",IF(A11&lt;&gt;"",IF(BA11&lt;&gt;"&gt;&gt; Advance",1,0),0),0)+IF(A13&lt;&gt;"BYE",IF(A13&lt;&gt;"",IF(BA13&lt;&gt;"&gt;&gt; Advance",1,0),0),0))-1)/2),(B2-A2+1)))&amp;IF((MOD(SUMPRODUCT(IF(A6&lt;&gt;"BYE",IF(A6&lt;&gt;"",IF(BA6&lt;&gt;"&gt;&gt; Advance",1,0),0),0)+IF(A8&lt;&gt;"BYE",IF(A8&lt;&gt;"",IF(BA8&lt;&gt;"&gt;&gt; Advance",1,0),0),0)+IF(A11&lt;&gt;"BYE",IF(A11&lt;&gt;"",IF(BA11&lt;&gt;"&gt;&gt; Advance",1,0),0),0)+IF(A13&lt;&gt;"BYE",IF(A13&lt;&gt;"",IF(BA13&lt;&gt;"&gt;&gt; Advance",1,0),0),0))-1,2)=0)," L"," R"),(A2+MOD(INT((SUMPRODUCT(IF(A6&lt;&gt;"BYE",IF(A6&lt;&gt;"",IF(BA6&lt;&gt;"&gt;&gt; Advance",1,0),0),0)+IF(A8&lt;&gt;"BYE",IF(A8&lt;&gt;"",IF(BA8&lt;&gt;"&gt;&gt; Advance",1,0),0),0)+IF(A11&lt;&gt;"BYE",IF(A11&lt;&gt;"",IF(BA11&lt;&gt;"&gt;&gt; Advance",1,0),0),0)+IF(A13&lt;&gt;"BYE",IF(A13&lt;&gt;"",IF(BA13&lt;&gt;"&gt;&gt; Advance",1,0),0),0))-1)/2),(B2-A2+1)))&amp;CHAR(65+FLOOR(INT((SUMPRODUCT(IF(A6&lt;&gt;"BYE",IF(A6&lt;&gt;"",IF(BA6&lt;&gt;"&gt;&gt; Advance",1,0),0),0)+IF(A8&lt;&gt;"BYE",IF(A8&lt;&gt;"",IF(BA8&lt;&gt;"&gt;&gt; Advance",1,0),0),0)+IF(A11&lt;&gt;"BYE",IF(A11&lt;&gt;"",IF(BA11&lt;&gt;"&gt;&gt; Advance",1,0),0),0)+IF(A13&lt;&gt;"BYE",IF(A13&lt;&gt;"",IF(BA13&lt;&gt;"&gt;&gt; Advance",1,0),0),0))-1)/2)/(B2-A2+1),1)*2+MOD(SUMPRODUCT(IF(A6&lt;&gt;"BYE",IF(A6&lt;&gt;"",IF(BA6&lt;&gt;"&gt;&gt; Advance",1,0),0),0)+IF(A8&lt;&gt;"BYE",IF(A8&lt;&gt;"",IF(BA8&lt;&gt;"&gt;&gt; Advance",1,0),0),0)+IF(A11&lt;&gt;"BYE",IF(A11&lt;&gt;"",IF(BA11&lt;&gt;"&gt;&gt; Advance",1,0),0),0)+IF(A13&lt;&gt;"BYE",IF(A13&lt;&gt;"",IF(BA13&lt;&gt;"&gt;&gt; Advance",1,0),0),0))-1,2))&amp;IF((MOD(SUMPRODUCT(IF(A6&lt;&gt;"BYE",IF(A6&lt;&gt;"",IF(BA6&lt;&gt;"&gt;&gt; Advance",1,0),0),0)+IF(A8&lt;&gt;"BYE",IF(A8&lt;&gt;"",IF(BA8&lt;&gt;"&gt;&gt; Advance",1,0),0),0)+IF(A11&lt;&gt;"BYE",IF(A11&lt;&gt;"",IF(BA11&lt;&gt;"&gt;&gt; Advance",1,0),0),0)+IF(A13&lt;&gt;"BYE",IF(A13&lt;&gt;"",IF(BA13&lt;&gt;"&gt;&gt; Advance",1,0),0),0))-1,2)=0)," (L)"," (R)")))</f>
        <v/>
      </c>
      <c r="F13" s="107"/>
      <c r="G13" s="107"/>
      <c r="H13" s="62"/>
      <c r="I13" s="62"/>
      <c r="J13" s="62"/>
      <c r="K13" s="62"/>
      <c r="L13" s="62"/>
      <c r="M13" s="62"/>
      <c r="N13" s="63" t="str">
        <f>IF(OR(ISNUMBER(H13),ISNUMBER(I13),ISNUMBER(J13),ISNUMBER(K13),ISNUMBER(L13),ISNUMBER(M13),H13="X",I13="X",J13="X",K13="X",L13="X",M13="X",H13="M",I13="M",J13="M",K13="M",L13="M",M13="M"),IF(H13="X",10,IF(H13="M",0,IF(ISNUMBER(H13),H13,0))) + IF(I13="X",10,IF(I13="M",0,IF(ISNUMBER(I13),I13,0))) + IF(J13="X",10,IF(J13="M",0,IF(ISNUMBER(J13),J13,0))) + IF(K13="X",10,IF(K13="M",0,IF(ISNUMBER(K13),K13,0))) + IF(L13="X",10,IF(L13="M",0,IF(ISNUMBER(L13),L13,0))) + IF(M13="X",10,IF(M13="M",0,IF(ISNUMBER(M13),M13,0))),"")</f>
        <v/>
      </c>
      <c r="O13" s="62"/>
      <c r="P13" s="62"/>
      <c r="Q13" s="62"/>
      <c r="R13" s="62"/>
      <c r="S13" s="62"/>
      <c r="T13" s="62"/>
      <c r="U13" s="63" t="str">
        <f>IF(OR(ISNUMBER(O13),ISNUMBER(P13),ISNUMBER(Q13),ISNUMBER(R13),ISNUMBER(S13),ISNUMBER(T13),O13="X",P13="X",Q13="X",R13="X",S13="X",T13="X",O13="M",P13="M",Q13="M",R13="M",S13="M",T13="M"),IF(O13="X",10,IF(O13="M",0,IF(ISNUMBER(O13),O13,0))) + IF(P13="X",10,IF(P13="M",0,IF(ISNUMBER(P13),P13,0))) + IF(Q13="X",10,IF(Q13="M",0,IF(ISNUMBER(Q13),Q13,0))) + IF(R13="X",10,IF(R13="M",0,IF(ISNUMBER(R13),R13,0))) + IF(S13="X",10,IF(S13="M",0,IF(ISNUMBER(S13),S13,0))) + IF(T13="X",10,IF(T13="M",0,IF(ISNUMBER(T13),T13,0))),"")</f>
        <v/>
      </c>
      <c r="V13" s="62"/>
      <c r="W13" s="62"/>
      <c r="X13" s="62"/>
      <c r="Y13" s="62"/>
      <c r="Z13" s="62"/>
      <c r="AA13" s="62"/>
      <c r="AB13" s="63" t="str">
        <f>IF(OR(ISNUMBER(V13),ISNUMBER(W13),ISNUMBER(X13),ISNUMBER(Y13),ISNUMBER(Z13),ISNUMBER(AA13),V13="X",W13="X",X13="X",Y13="X",Z13="X",AA13="X",V13="M",W13="M",X13="M",Y13="M",Z13="M",AA13="M"),IF(V13="X",10,IF(V13="M",0,IF(ISNUMBER(V13),V13,0))) + IF(W13="X",10,IF(W13="M",0,IF(ISNUMBER(W13),W13,0))) + IF(X13="X",10,IF(X13="M",0,IF(ISNUMBER(X13),X13,0))) + IF(Y13="X",10,IF(Y13="M",0,IF(ISNUMBER(Y13),Y13,0))) + IF(Z13="X",10,IF(Z13="M",0,IF(ISNUMBER(Z13),Z13,0))) + IF(AA13="X",10,IF(AA13="M",0,IF(ISNUMBER(AA13),AA13,0))),"")</f>
        <v/>
      </c>
      <c r="AC13" s="62"/>
      <c r="AD13" s="62"/>
      <c r="AE13" s="62"/>
      <c r="AF13" s="62"/>
      <c r="AG13" s="62"/>
      <c r="AH13" s="62"/>
      <c r="AI13" s="63" t="str">
        <f>IF(OR(ISNUMBER(AC13),ISNUMBER(AD13),ISNUMBER(AE13),ISNUMBER(AF13),ISNUMBER(AG13),ISNUMBER(AH13),AC13="X",AD13="X",AE13="X",AF13="X",AG13="X",AH13="X",AC13="M",AD13="M",AE13="M",AF13="M",AG13="M",AH13="M"),IF(AC13="X",10,IF(AC13="M",0,IF(ISNUMBER(AC13),AC13,0))) + IF(AD13="X",10,IF(AD13="M",0,IF(ISNUMBER(AD13),AD13,0))) + IF(AE13="X",10,IF(AE13="M",0,IF(ISNUMBER(AE13),AE13,0))) + IF(AF13="X",10,IF(AF13="M",0,IF(ISNUMBER(AF13),AF13,0))) + IF(AG13="X",10,IF(AG13="M",0,IF(ISNUMBER(AG13),AG13,0))) + IF(AH13="X",10,IF(AH13="M",0,IF(ISNUMBER(AH13),AH13,0))),"")</f>
        <v/>
      </c>
      <c r="AJ13" s="62"/>
      <c r="AK13" s="62"/>
      <c r="AL13" s="62"/>
      <c r="AM13" s="62"/>
      <c r="AN13" s="62"/>
      <c r="AO13" s="62"/>
      <c r="AP13" s="63" t="str">
        <f>IF(OR(ISNUMBER(AJ13),ISNUMBER(AK13),ISNUMBER(AL13),ISNUMBER(AM13),ISNUMBER(AN13),ISNUMBER(AO13),AJ13="X",AK13="X",AL13="X",AM13="X",AN13="X",AO13="X",AJ13="M",AK13="M",AL13="M",AM13="M",AN13="M",AO13="M"),IF(AJ13="X",10,IF(AJ13="M",0,IF(ISNUMBER(AJ13),AJ13,0))) + IF(AK13="X",10,IF(AK13="M",0,IF(ISNUMBER(AK13),AK13,0))) + IF(AL13="X",10,IF(AL13="M",0,IF(ISNUMBER(AL13),AL13,0))) + IF(AM13="X",10,IF(AM13="M",0,IF(ISNUMBER(AM13),AM13,0))) + IF(AN13="X",10,IF(AN13="M",0,IF(ISNUMBER(AN13),AN13,0))) + IF(AO13="X",10,IF(AO13="M",0,IF(ISNUMBER(AO13),AO13,0))),"")</f>
        <v/>
      </c>
      <c r="AQ13" s="64"/>
      <c r="AR13" s="64"/>
      <c r="AS13" s="64"/>
      <c r="AT13" s="64"/>
      <c r="AU13" s="64"/>
      <c r="AV13" s="64"/>
      <c r="AW13" s="63" t="str">
        <f>IF(OR(ISNUMBER(AQ13),ISNUMBER(AR13),ISNUMBER(AS13),ISNUMBER(AT13),ISNUMBER(AU13),ISNUMBER(AV13),AQ13="X",AR13="X",AS13="X",AT13="X",AU13="X",AV13="X",AQ13="M",AR13="M",AS13="M",AT13="M",AU13="M",AV13="M"),IF(AQ13="X",10,IF(AQ13="M",0,IF(ISNUMBER(AQ13),AQ13,0))) + IF(AR13="X",10,IF(AR13="M",0,IF(ISNUMBER(AR13),AR13,0))) + IF(AS13="X",10,IF(AS13="M",0,IF(ISNUMBER(AS13),AS13,0))) + IF(AT13="X",10,IF(AT13="M",0,IF(ISNUMBER(AT13),AT13,0))) + IF(AU13="X",10,IF(AU13="M",0,IF(ISNUMBER(AU13),AU13,0))) + IF(AV13="X",10,IF(AV13="M",0,IF(ISNUMBER(AV13),AV13,0))),"")</f>
        <v/>
      </c>
      <c r="AX13" s="65">
        <f>IF(AND(ISNUMBER(N13),ISNUMBER(N11)),IF(N13&gt;N11,2,IF(N13=N11,1,0)),0)+IF(AND(ISNUMBER(U13),ISNUMBER(U11)),IF(U13&gt;U11,2,IF(U13=U11,1,0)),0)+IF(AND(ISNUMBER(AB13),ISNUMBER(AB11)),IF(AB13&gt;AB11,2,IF(AB13=AB11,1,0)),0)+IF(AND(ISNUMBER(AI13),ISNUMBER(AI11)),IF(AI13&gt;AI11,2,IF(AI13=AI11,1,0)),0)+IF(AND(ISNUMBER(AP13),ISNUMBER(AP11)),IF(AP13&gt;AP11,2,IF(AP13=AP11,1,0)),0)</f>
        <v>0</v>
      </c>
      <c r="AY13" s="66"/>
      <c r="AZ13" s="67">
        <f>IF(AX13&gt;0,IF(H13="X",10,IF(H13="M",0,IF(ISNUMBER(H13),H13,0)))+IF(I13="X",10,IF(I13="M",0,IF(ISNUMBER(I13),I13,0)))+IF(J13="X",10,IF(J13="M",0,IF(ISNUMBER(J13),J13,0)))+IF(K13="X",10,IF(K13="M",0,IF(ISNUMBER(K13),K13,0)))+IF(L13="X",10,IF(L13="M",0,IF(ISNUMBER(L13),L13,0)))+IF(M13="X",10,IF(M13="M",0,IF(ISNUMBER(M13),M13,0)))+IF(O13="X",10,IF(O13="M",0,IF(ISNUMBER(O13),O13,0)))+IF(P13="X",10,IF(P13="M",0,IF(ISNUMBER(P13),P13,0)))+IF(Q13="X",10,IF(Q13="M",0,IF(ISNUMBER(Q13),Q13,0)))+IF(R13="X",10,IF(R13="M",0,IF(ISNUMBER(R13),R13,0)))+IF(S13="X",10,IF(S13="M",0,IF(ISNUMBER(S13),S13,0)))+IF(T13="X",10,IF(T13="M",0,IF(ISNUMBER(T13),T13,0)))+IF(V13="X",10,IF(V13="M",0,IF(ISNUMBER(V13),V13,0)))+IF(W13="X",10,IF(W13="M",0,IF(ISNUMBER(W13),W13,0)))+IF(X13="X",10,IF(X13="M",0,IF(ISNUMBER(X13),X13,0)))+IF(Y13="X",10,IF(Y13="M",0,IF(ISNUMBER(Y13),Y13,0)))+IF(Z13="X",10,IF(Z13="M",0,IF(ISNUMBER(Z13),Z13,0)))+IF(AA13="X",10,IF(AA13="M",0,IF(ISNUMBER(AA13),AA13,0)))+IF(AC13="X",10,IF(AC13="M",0,IF(ISNUMBER(AC13),AC13,0)))+IF(AD13="X",10,IF(AD13="M",0,IF(ISNUMBER(AD13),AD13,0)))+IF(AE13="X",10,IF(AE13="M",0,IF(ISNUMBER(AE13),AE13,0)))+IF(AF13="X",10,IF(AF13="M",0,IF(ISNUMBER(AF13),AF13,0)))+IF(AG13="X",10,IF(AG13="M",0,IF(ISNUMBER(AG13),AG13,0)))+IF(AH13="X",10,IF(AH13="M",0,IF(ISNUMBER(AH13),AH13,0)))+IF(AJ13="X",10,IF(AJ13="M",0,IF(ISNUMBER(AJ13),AJ13,0)))+IF(AK13="X",10,IF(AK13="M",0,IF(ISNUMBER(AK13),AK13,0)))+IF(AL13="X",10,IF(AL13="M",0,IF(ISNUMBER(AL13),AL13,0)))+IF(AM13="X",10,IF(AM13="M",0,IF(ISNUMBER(AM13),AM13,0)))+IF(AN13="X",10,IF(AN13="M",0,IF(ISNUMBER(AN13),AN13,0)))+IF(AO13="X",10,IF(AO13="M",0,IF(ISNUMBER(AO13),AO13,0)))+IF(AQ13="X",10,IF(AQ13="M",0,IF(ISNUMBER(AQ13),AQ13,0)))+IF(AR13="X",10,IF(AR13="M",0,IF(ISNUMBER(AR13),AR13,0)))+IF(AS13="X",10,IF(AS13="M",0,IF(ISNUMBER(AS13),AS13,0)))+IF(AT13="X",10,IF(AT13="M",0,IF(ISNUMBER(AT13),AT13,0)))+IF(AU13="X",10,IF(AU13="M",0,IF(ISNUMBER(AU13),AU13,0)))+IF(AV13="X",10,IF(AV13="M",0,IF(ISNUMBER(AV13),AV13,0))),0)</f>
        <v>0</v>
      </c>
      <c r="BA13" s="68" t="str">
        <f>IFERROR(IF(AY13="DQ","DISQUALIFIED",IF(AY11="DQ","&gt;&gt; Advance",IF(BC11="BYE","&gt;&gt; Advance",IF(BC13="BYE","BYE",IF(AX13&gt;=6,"WIN",IF(AX11&gt;=6,"LOSS",IF(AND(ISNUMBER(AW13),ISNUMBER(AW11)),IF(AW13&gt;AW11,"WIN",IF(AW13&lt;AW11,"LOSS","Shoot-Off")),"Playing"))))))),"Error")</f>
        <v>&gt;&gt; Advance</v>
      </c>
      <c r="BC13" s="69" t="str">
        <f>IFERROR(IF(INDEX('Open 30M - Teams'!$L:$L,MATCH(9,'Open 30M - Teams'!$A:$A,0))="Yes","BYE",IF(OR(INDEX('Open 30M - Teams'!$B:$B,MATCH(9,'Open 30M - Teams'!$A:$A,0))="",ISERROR(MATCH(9,'Open 30M - Teams'!$A:$A,0))),"BYE","")),"BYE")</f>
        <v>BYE</v>
      </c>
      <c r="BD13" s="61" t="s">
        <v>195</v>
      </c>
      <c r="BE13" s="106" t="str">
        <f>IFERROR(IF(BC21="BYE",IF(BC23="BYE","TBD",B23),IF(BC23="BYE",B21,IF(OR(BA21="WIN",BA21="&gt;&gt; Advance"),B21,IF(OR(BA23="WIN",BA23="&gt;&gt; Advance"),B23,"TBD")))),"TBD")</f>
        <v>TBD</v>
      </c>
      <c r="BF13" s="106"/>
      <c r="BG13" s="106"/>
      <c r="BH13" s="107" t="str">
        <f>IF(AND(BE11&lt;&gt;"TBD",BE11&lt;&gt;"",BE13&lt;&gt;"TBD",BE13&lt;&gt;"",DD11&lt;&gt;"&gt;&gt; Advance",DD13&lt;&gt;"&gt;&gt; Advance"),IF((B2-A2+1)&gt;=8,(A2+3)&amp;"",IF((B2-A2+1)&gt;=4,(A2+1)&amp;" R",(A2+MOD(1,(B2-A2+1)))&amp;CHAR(65+FLOOR(1/(B2-A2+1),1)*2+1)&amp;" (R)")),"")</f>
        <v/>
      </c>
      <c r="BI13" s="107"/>
      <c r="BJ13" s="107"/>
      <c r="BK13" s="62"/>
      <c r="BL13" s="62"/>
      <c r="BM13" s="62"/>
      <c r="BN13" s="62"/>
      <c r="BO13" s="62"/>
      <c r="BP13" s="62"/>
      <c r="BQ13" s="63" t="str">
        <f>IF(OR(ISNUMBER(BK13),ISNUMBER(BL13),ISNUMBER(BM13),ISNUMBER(BN13),ISNUMBER(BO13),ISNUMBER(BP13),BK13="X",BL13="X",BM13="X",BN13="X",BO13="X",BP13="X",BK13="M",BL13="M",BM13="M",BN13="M",BO13="M",BP13="M"),IF(BK13="X",10,IF(BK13="M",0,IF(ISNUMBER(BK13),BK13,0))) + IF(BL13="X",10,IF(BL13="M",0,IF(ISNUMBER(BL13),BL13,0))) + IF(BM13="X",10,IF(BM13="M",0,IF(ISNUMBER(BM13),BM13,0))) + IF(BN13="X",10,IF(BN13="M",0,IF(ISNUMBER(BN13),BN13,0))) + IF(BO13="X",10,IF(BO13="M",0,IF(ISNUMBER(BO13),BO13,0))) + IF(BP13="X",10,IF(BP13="M",0,IF(ISNUMBER(BP13),BP13,0))),"")</f>
        <v/>
      </c>
      <c r="BR13" s="62"/>
      <c r="BS13" s="62"/>
      <c r="BT13" s="62"/>
      <c r="BU13" s="62"/>
      <c r="BV13" s="62"/>
      <c r="BW13" s="62"/>
      <c r="BX13" s="63" t="str">
        <f>IF(OR(ISNUMBER(BR13),ISNUMBER(BS13),ISNUMBER(BT13),ISNUMBER(BU13),ISNUMBER(BV13),ISNUMBER(BW13),BR13="X",BS13="X",BT13="X",BU13="X",BV13="X",BW13="X",BR13="M",BS13="M",BT13="M",BU13="M",BV13="M",BW13="M"),IF(BR13="X",10,IF(BR13="M",0,IF(ISNUMBER(BR13),BR13,0))) + IF(BS13="X",10,IF(BS13="M",0,IF(ISNUMBER(BS13),BS13,0))) + IF(BT13="X",10,IF(BT13="M",0,IF(ISNUMBER(BT13),BT13,0))) + IF(BU13="X",10,IF(BU13="M",0,IF(ISNUMBER(BU13),BU13,0))) + IF(BV13="X",10,IF(BV13="M",0,IF(ISNUMBER(BV13),BV13,0))) + IF(BW13="X",10,IF(BW13="M",0,IF(ISNUMBER(BW13),BW13,0))),"")</f>
        <v/>
      </c>
      <c r="BY13" s="62"/>
      <c r="BZ13" s="62"/>
      <c r="CA13" s="62"/>
      <c r="CB13" s="62"/>
      <c r="CC13" s="62"/>
      <c r="CD13" s="62"/>
      <c r="CE13" s="63" t="str">
        <f>IF(OR(ISNUMBER(BY13),ISNUMBER(BZ13),ISNUMBER(CA13),ISNUMBER(CB13),ISNUMBER(CC13),ISNUMBER(CD13),BY13="X",BZ13="X",CA13="X",CB13="X",CC13="X",CD13="X",BY13="M",BZ13="M",CA13="M",CB13="M",CC13="M",CD13="M"),IF(BY13="X",10,IF(BY13="M",0,IF(ISNUMBER(BY13),BY13,0))) + IF(BZ13="X",10,IF(BZ13="M",0,IF(ISNUMBER(BZ13),BZ13,0))) + IF(CA13="X",10,IF(CA13="M",0,IF(ISNUMBER(CA13),CA13,0))) + IF(CB13="X",10,IF(CB13="M",0,IF(ISNUMBER(CB13),CB13,0))) + IF(CC13="X",10,IF(CC13="M",0,IF(ISNUMBER(CC13),CC13,0))) + IF(CD13="X",10,IF(CD13="M",0,IF(ISNUMBER(CD13),CD13,0))),"")</f>
        <v/>
      </c>
      <c r="CF13" s="62"/>
      <c r="CG13" s="62"/>
      <c r="CH13" s="62"/>
      <c r="CI13" s="62"/>
      <c r="CJ13" s="62"/>
      <c r="CK13" s="62"/>
      <c r="CL13" s="63" t="str">
        <f>IF(OR(ISNUMBER(CF13),ISNUMBER(CG13),ISNUMBER(CH13),ISNUMBER(CI13),ISNUMBER(CJ13),ISNUMBER(CK13),CF13="X",CG13="X",CH13="X",CI13="X",CJ13="X",CK13="X",CF13="M",CG13="M",CH13="M",CI13="M",CJ13="M",CK13="M"),IF(CF13="X",10,IF(CF13="M",0,IF(ISNUMBER(CF13),CF13,0))) + IF(CG13="X",10,IF(CG13="M",0,IF(ISNUMBER(CG13),CG13,0))) + IF(CH13="X",10,IF(CH13="M",0,IF(ISNUMBER(CH13),CH13,0))) + IF(CI13="X",10,IF(CI13="M",0,IF(ISNUMBER(CI13),CI13,0))) + IF(CJ13="X",10,IF(CJ13="M",0,IF(ISNUMBER(CJ13),CJ13,0))) + IF(CK13="X",10,IF(CK13="M",0,IF(ISNUMBER(CK13),CK13,0))),"")</f>
        <v/>
      </c>
      <c r="CM13" s="62"/>
      <c r="CN13" s="62"/>
      <c r="CO13" s="62"/>
      <c r="CP13" s="62"/>
      <c r="CQ13" s="62"/>
      <c r="CR13" s="62"/>
      <c r="CS13" s="63" t="str">
        <f>IF(OR(ISNUMBER(CM13),ISNUMBER(CN13),ISNUMBER(CO13),ISNUMBER(CP13),ISNUMBER(CQ13),ISNUMBER(CR13),CM13="X",CN13="X",CO13="X",CP13="X",CQ13="X",CR13="X",CM13="M",CN13="M",CO13="M",CP13="M",CQ13="M",CR13="M"),IF(CM13="X",10,IF(CM13="M",0,IF(ISNUMBER(CM13),CM13,0))) + IF(CN13="X",10,IF(CN13="M",0,IF(ISNUMBER(CN13),CN13,0))) + IF(CO13="X",10,IF(CO13="M",0,IF(ISNUMBER(CO13),CO13,0))) + IF(CP13="X",10,IF(CP13="M",0,IF(ISNUMBER(CP13),CP13,0))) + IF(CQ13="X",10,IF(CQ13="M",0,IF(ISNUMBER(CQ13),CQ13,0))) + IF(CR13="X",10,IF(CR13="M",0,IF(ISNUMBER(CR13),CR13,0))),"")</f>
        <v/>
      </c>
      <c r="CT13" s="64"/>
      <c r="CU13" s="64"/>
      <c r="CV13" s="64"/>
      <c r="CW13" s="64"/>
      <c r="CX13" s="64"/>
      <c r="CY13" s="64"/>
      <c r="CZ13" s="63" t="str">
        <f>IF(OR(ISNUMBER(CT13),ISNUMBER(CU13),ISNUMBER(CV13),ISNUMBER(CW13),ISNUMBER(CX13),ISNUMBER(CY13),CT13="X",CU13="X",CV13="X",CW13="X",CX13="X",CY13="X",CT13="M",CU13="M",CV13="M",CW13="M",CX13="M",CY13="M"),IF(CT13="X",10,IF(CT13="M",0,IF(ISNUMBER(CT13),CT13,0))) + IF(CU13="X",10,IF(CU13="M",0,IF(ISNUMBER(CU13),CU13,0))) + IF(CV13="X",10,IF(CV13="M",0,IF(ISNUMBER(CV13),CV13,0))) + IF(CW13="X",10,IF(CW13="M",0,IF(ISNUMBER(CW13),CW13,0))) + IF(CX13="X",10,IF(CX13="M",0,IF(ISNUMBER(CX13),CX13,0))) + IF(CY13="X",10,IF(CY13="M",0,IF(ISNUMBER(CY13),CY13,0))),"")</f>
        <v/>
      </c>
      <c r="DA13" s="65">
        <f>IF(AND(ISNUMBER(BQ13),ISNUMBER(BQ11)),IF(BQ13&gt;BQ11,2,IF(BQ13=BQ11,1,0)),0)+IF(AND(ISNUMBER(BX13),ISNUMBER(BX11)),IF(BX13&gt;BX11,2,IF(BX13=BX11,1,0)),0)+IF(AND(ISNUMBER(CE13),ISNUMBER(CE11)),IF(CE13&gt;CE11,2,IF(CE13=CE11,1,0)),0)+IF(AND(ISNUMBER(CL13),ISNUMBER(CL11)),IF(CL13&gt;CL11,2,IF(CL13=CL11,1,0)),0)+IF(AND(ISNUMBER(CS13),ISNUMBER(CS11)),IF(CS13&gt;CS11,2,IF(CS13=CS11,1,0)),0)</f>
        <v>0</v>
      </c>
      <c r="DB13" s="66"/>
      <c r="DC13" s="67">
        <f>IF(DA13&gt;0,IF(BK13="X",10,IF(BK13="M",0,IF(ISNUMBER(BK13),BK13,0)))+IF(BL13="X",10,IF(BL13="M",0,IF(ISNUMBER(BL13),BL13,0)))+IF(BM13="X",10,IF(BM13="M",0,IF(ISNUMBER(BM13),BM13,0)))+IF(BN13="X",10,IF(BN13="M",0,IF(ISNUMBER(BN13),BN13,0)))+IF(BO13="X",10,IF(BO13="M",0,IF(ISNUMBER(BO13),BO13,0)))+IF(BP13="X",10,IF(BP13="M",0,IF(ISNUMBER(BP13),BP13,0)))+IF(BR13="X",10,IF(BR13="M",0,IF(ISNUMBER(BR13),BR13,0)))+IF(BS13="X",10,IF(BS13="M",0,IF(ISNUMBER(BS13),BS13,0)))+IF(BT13="X",10,IF(BT13="M",0,IF(ISNUMBER(BT13),BT13,0)))+IF(BU13="X",10,IF(BU13="M",0,IF(ISNUMBER(BU13),BU13,0)))+IF(BV13="X",10,IF(BV13="M",0,IF(ISNUMBER(BV13),BV13,0)))+IF(BW13="X",10,IF(BW13="M",0,IF(ISNUMBER(BW13),BW13,0)))+IF(BY13="X",10,IF(BY13="M",0,IF(ISNUMBER(BY13),BY13,0)))+IF(BZ13="X",10,IF(BZ13="M",0,IF(ISNUMBER(BZ13),BZ13,0)))+IF(CA13="X",10,IF(CA13="M",0,IF(ISNUMBER(CA13),CA13,0)))+IF(CB13="X",10,IF(CB13="M",0,IF(ISNUMBER(CB13),CB13,0)))+IF(CC13="X",10,IF(CC13="M",0,IF(ISNUMBER(CC13),CC13,0)))+IF(CD13="X",10,IF(CD13="M",0,IF(ISNUMBER(CD13),CD13,0)))+IF(CF13="X",10,IF(CF13="M",0,IF(ISNUMBER(CF13),CF13,0)))+IF(CG13="X",10,IF(CG13="M",0,IF(ISNUMBER(CG13),CG13,0)))+IF(CH13="X",10,IF(CH13="M",0,IF(ISNUMBER(CH13),CH13,0)))+IF(CI13="X",10,IF(CI13="M",0,IF(ISNUMBER(CI13),CI13,0)))+IF(CJ13="X",10,IF(CJ13="M",0,IF(ISNUMBER(CJ13),CJ13,0)))+IF(CK13="X",10,IF(CK13="M",0,IF(ISNUMBER(CK13),CK13,0)))+IF(CM13="X",10,IF(CM13="M",0,IF(ISNUMBER(CM13),CM13,0)))+IF(CN13="X",10,IF(CN13="M",0,IF(ISNUMBER(CN13),CN13,0)))+IF(CO13="X",10,IF(CO13="M",0,IF(ISNUMBER(CO13),CO13,0)))+IF(CP13="X",10,IF(CP13="M",0,IF(ISNUMBER(CP13),CP13,0)))+IF(CQ13="X",10,IF(CQ13="M",0,IF(ISNUMBER(CQ13),CQ13,0)))+IF(CR13="X",10,IF(CR13="M",0,IF(ISNUMBER(CR13),CR13,0)))+IF(CT13="X",10,IF(CT13="M",0,IF(ISNUMBER(CT13),CT13,0)))+IF(CU13="X",10,IF(CU13="M",0,IF(ISNUMBER(CU13),CU13,0)))+IF(CV13="X",10,IF(CV13="M",0,IF(ISNUMBER(CV13),CV13,0)))+IF(CW13="X",10,IF(CW13="M",0,IF(ISNUMBER(CW13),CW13,0)))+IF(CX13="X",10,IF(CX13="M",0,IF(ISNUMBER(CX13),CX13,0)))+IF(CY13="X",10,IF(CY13="M",0,IF(ISNUMBER(CY13),CY13,0))),0)</f>
        <v>0</v>
      </c>
      <c r="DD13" s="68" t="str">
        <f>IFERROR(IF(DB13="DQ","DISQUALIFIED",IF(DB11="DQ","&gt;&gt; Advance",IF(DF11="BYE","&gt;&gt; Advance",IF(DF13="BYE","BYE",IF(DA13&gt;=6,"WIN",IF(DA11&gt;=6,"LOSS",IF(AND(ISNUMBER(CZ13),ISNUMBER(CZ11)),IF(CZ13&gt;CZ11,"WIN",IF(CZ13&lt;CZ11,"LOSS","Shoot-Off")),"Playing"))))))),"Error")</f>
        <v>&gt;&gt; Advance</v>
      </c>
      <c r="DF13" s="69" t="str">
        <f>IFERROR(IF(AND(BC21="BYE",BC23="BYE"),"BYE",""),"")</f>
        <v>BYE</v>
      </c>
      <c r="DG13" s="61" t="s">
        <v>196</v>
      </c>
      <c r="DH13" s="106" t="str">
        <f>IFERROR(IF(DF21="BYE",IF(DF23="BYE","TBD",BE23),IF(DF23="BYE",BE21,IF(OR(DD21="WIN",DD21="&gt;&gt; Advance"),BE21,IF(OR(DD23="WIN",DD23="&gt;&gt; Advance"),BE23,"TBD")))),"TBD")</f>
        <v>TBD</v>
      </c>
      <c r="DI13" s="106"/>
      <c r="DJ13" s="106"/>
      <c r="DK13" s="107" t="str">
        <f>IF(AND(DH11&lt;&gt;"TBD",DH11&lt;&gt;"",DH13&lt;&gt;"TBD",DH13&lt;&gt;"",FG11&lt;&gt;"&gt;&gt; Advance",FG13&lt;&gt;"&gt;&gt; Advance"),IF((B2-A2+1)&gt;=4,(A2+3)&amp;"",IF((B2-A2+1)&gt;=2,(A2+1)&amp;" R",(A2+MOD(1,(B2-A2+1)))&amp;CHAR(65+FLOOR(1/(B2-A2+1),1)*2+1)&amp;" (R)")),"")</f>
        <v/>
      </c>
      <c r="DL13" s="107"/>
      <c r="DM13" s="107"/>
      <c r="DN13" s="62"/>
      <c r="DO13" s="62"/>
      <c r="DP13" s="62"/>
      <c r="DQ13" s="62"/>
      <c r="DR13" s="62"/>
      <c r="DS13" s="62"/>
      <c r="DT13" s="63" t="str">
        <f>IF(OR(ISNUMBER(DN13),ISNUMBER(DO13),ISNUMBER(DP13),ISNUMBER(DQ13),ISNUMBER(DR13),ISNUMBER(DS13),DN13="X",DO13="X",DP13="X",DQ13="X",DR13="X",DS13="X",DN13="M",DO13="M",DP13="M",DQ13="M",DR13="M",DS13="M"),IF(DN13="X",10,IF(DN13="M",0,IF(ISNUMBER(DN13),DN13,0))) + IF(DO13="X",10,IF(DO13="M",0,IF(ISNUMBER(DO13),DO13,0))) + IF(DP13="X",10,IF(DP13="M",0,IF(ISNUMBER(DP13),DP13,0))) + IF(DQ13="X",10,IF(DQ13="M",0,IF(ISNUMBER(DQ13),DQ13,0))) + IF(DR13="X",10,IF(DR13="M",0,IF(ISNUMBER(DR13),DR13,0))) + IF(DS13="X",10,IF(DS13="M",0,IF(ISNUMBER(DS13),DS13,0))),"")</f>
        <v/>
      </c>
      <c r="DU13" s="62"/>
      <c r="DV13" s="62"/>
      <c r="DW13" s="62"/>
      <c r="DX13" s="62"/>
      <c r="DY13" s="62"/>
      <c r="DZ13" s="62"/>
      <c r="EA13" s="63" t="str">
        <f>IF(OR(ISNUMBER(DU13),ISNUMBER(DV13),ISNUMBER(DW13),ISNUMBER(DX13),ISNUMBER(DY13),ISNUMBER(DZ13),DU13="X",DV13="X",DW13="X",DX13="X",DY13="X",DZ13="X",DU13="M",DV13="M",DW13="M",DX13="M",DY13="M",DZ13="M"),IF(DU13="X",10,IF(DU13="M",0,IF(ISNUMBER(DU13),DU13,0))) + IF(DV13="X",10,IF(DV13="M",0,IF(ISNUMBER(DV13),DV13,0))) + IF(DW13="X",10,IF(DW13="M",0,IF(ISNUMBER(DW13),DW13,0))) + IF(DX13="X",10,IF(DX13="M",0,IF(ISNUMBER(DX13),DX13,0))) + IF(DY13="X",10,IF(DY13="M",0,IF(ISNUMBER(DY13),DY13,0))) + IF(DZ13="X",10,IF(DZ13="M",0,IF(ISNUMBER(DZ13),DZ13,0))),"")</f>
        <v/>
      </c>
      <c r="EB13" s="62"/>
      <c r="EC13" s="62"/>
      <c r="ED13" s="62"/>
      <c r="EE13" s="62"/>
      <c r="EF13" s="62"/>
      <c r="EG13" s="62"/>
      <c r="EH13" s="63" t="str">
        <f>IF(OR(ISNUMBER(EB13),ISNUMBER(EC13),ISNUMBER(ED13),ISNUMBER(EE13),ISNUMBER(EF13),ISNUMBER(EG13),EB13="X",EC13="X",ED13="X",EE13="X",EF13="X",EG13="X",EB13="M",EC13="M",ED13="M",EE13="M",EF13="M",EG13="M"),IF(EB13="X",10,IF(EB13="M",0,IF(ISNUMBER(EB13),EB13,0))) + IF(EC13="X",10,IF(EC13="M",0,IF(ISNUMBER(EC13),EC13,0))) + IF(ED13="X",10,IF(ED13="M",0,IF(ISNUMBER(ED13),ED13,0))) + IF(EE13="X",10,IF(EE13="M",0,IF(ISNUMBER(EE13),EE13,0))) + IF(EF13="X",10,IF(EF13="M",0,IF(ISNUMBER(EF13),EF13,0))) + IF(EG13="X",10,IF(EG13="M",0,IF(ISNUMBER(EG13),EG13,0))),"")</f>
        <v/>
      </c>
      <c r="EI13" s="62"/>
      <c r="EJ13" s="62"/>
      <c r="EK13" s="62"/>
      <c r="EL13" s="62"/>
      <c r="EM13" s="62"/>
      <c r="EN13" s="62"/>
      <c r="EO13" s="63" t="str">
        <f>IF(OR(ISNUMBER(EI13),ISNUMBER(EJ13),ISNUMBER(EK13),ISNUMBER(EL13),ISNUMBER(EM13),ISNUMBER(EN13),EI13="X",EJ13="X",EK13="X",EL13="X",EM13="X",EN13="X",EI13="M",EJ13="M",EK13="M",EL13="M",EM13="M",EN13="M"),IF(EI13="X",10,IF(EI13="M",0,IF(ISNUMBER(EI13),EI13,0))) + IF(EJ13="X",10,IF(EJ13="M",0,IF(ISNUMBER(EJ13),EJ13,0))) + IF(EK13="X",10,IF(EK13="M",0,IF(ISNUMBER(EK13),EK13,0))) + IF(EL13="X",10,IF(EL13="M",0,IF(ISNUMBER(EL13),EL13,0))) + IF(EM13="X",10,IF(EM13="M",0,IF(ISNUMBER(EM13),EM13,0))) + IF(EN13="X",10,IF(EN13="M",0,IF(ISNUMBER(EN13),EN13,0))),"")</f>
        <v/>
      </c>
      <c r="EP13" s="62"/>
      <c r="EQ13" s="62"/>
      <c r="ER13" s="62"/>
      <c r="ES13" s="62"/>
      <c r="ET13" s="62"/>
      <c r="EU13" s="62"/>
      <c r="EV13" s="63" t="str">
        <f>IF(OR(ISNUMBER(EP13),ISNUMBER(EQ13),ISNUMBER(ER13),ISNUMBER(ES13),ISNUMBER(ET13),ISNUMBER(EU13),EP13="X",EQ13="X",ER13="X",ES13="X",ET13="X",EU13="X",EP13="M",EQ13="M",ER13="M",ES13="M",ET13="M",EU13="M"),IF(EP13="X",10,IF(EP13="M",0,IF(ISNUMBER(EP13),EP13,0))) + IF(EQ13="X",10,IF(EQ13="M",0,IF(ISNUMBER(EQ13),EQ13,0))) + IF(ER13="X",10,IF(ER13="M",0,IF(ISNUMBER(ER13),ER13,0))) + IF(ES13="X",10,IF(ES13="M",0,IF(ISNUMBER(ES13),ES13,0))) + IF(ET13="X",10,IF(ET13="M",0,IF(ISNUMBER(ET13),ET13,0))) + IF(EU13="X",10,IF(EU13="M",0,IF(ISNUMBER(EU13),EU13,0))),"")</f>
        <v/>
      </c>
      <c r="EW13" s="64"/>
      <c r="EX13" s="64"/>
      <c r="EY13" s="64"/>
      <c r="EZ13" s="64"/>
      <c r="FA13" s="64"/>
      <c r="FB13" s="64"/>
      <c r="FC13" s="63" t="str">
        <f>IF(OR(ISNUMBER(EW13),ISNUMBER(EX13),ISNUMBER(EY13),ISNUMBER(EZ13),ISNUMBER(FA13),ISNUMBER(FB13),EW13="X",EX13="X",EY13="X",EZ13="X",FA13="X",FB13="X",EW13="M",EX13="M",EY13="M",EZ13="M",FA13="M",FB13="M"),IF(EW13="X",10,IF(EW13="M",0,IF(ISNUMBER(EW13),EW13,0))) + IF(EX13="X",10,IF(EX13="M",0,IF(ISNUMBER(EX13),EX13,0))) + IF(EY13="X",10,IF(EY13="M",0,IF(ISNUMBER(EY13),EY13,0))) + IF(EZ13="X",10,IF(EZ13="M",0,IF(ISNUMBER(EZ13),EZ13,0))) + IF(FA13="X",10,IF(FA13="M",0,IF(ISNUMBER(FA13),FA13,0))) + IF(FB13="X",10,IF(FB13="M",0,IF(ISNUMBER(FB13),FB13,0))),"")</f>
        <v/>
      </c>
      <c r="FD13" s="65">
        <f>IF(AND(ISNUMBER(DT13),ISNUMBER(DT11)),IF(DT13&gt;DT11,2,IF(DT13=DT11,1,0)),0)+IF(AND(ISNUMBER(EA13),ISNUMBER(EA11)),IF(EA13&gt;EA11,2,IF(EA13=EA11,1,0)),0)+IF(AND(ISNUMBER(EH13),ISNUMBER(EH11)),IF(EH13&gt;EH11,2,IF(EH13=EH11,1,0)),0)+IF(AND(ISNUMBER(EO13),ISNUMBER(EO11)),IF(EO13&gt;EO11,2,IF(EO13=EO11,1,0)),0)+IF(AND(ISNUMBER(EV13),ISNUMBER(EV11)),IF(EV13&gt;EV11,2,IF(EV13=EV11,1,0)),0)</f>
        <v>0</v>
      </c>
      <c r="FE13" s="66"/>
      <c r="FF13" s="67">
        <f>IF(FD13&gt;0,IF(DN13="X",10,IF(DN13="M",0,IF(ISNUMBER(DN13),DN13,0)))+IF(DO13="X",10,IF(DO13="M",0,IF(ISNUMBER(DO13),DO13,0)))+IF(DP13="X",10,IF(DP13="M",0,IF(ISNUMBER(DP13),DP13,0)))+IF(DQ13="X",10,IF(DQ13="M",0,IF(ISNUMBER(DQ13),DQ13,0)))+IF(DR13="X",10,IF(DR13="M",0,IF(ISNUMBER(DR13),DR13,0)))+IF(DS13="X",10,IF(DS13="M",0,IF(ISNUMBER(DS13),DS13,0)))+IF(DU13="X",10,IF(DU13="M",0,IF(ISNUMBER(DU13),DU13,0)))+IF(DV13="X",10,IF(DV13="M",0,IF(ISNUMBER(DV13),DV13,0)))+IF(DW13="X",10,IF(DW13="M",0,IF(ISNUMBER(DW13),DW13,0)))+IF(DX13="X",10,IF(DX13="M",0,IF(ISNUMBER(DX13),DX13,0)))+IF(DY13="X",10,IF(DY13="M",0,IF(ISNUMBER(DY13),DY13,0)))+IF(DZ13="X",10,IF(DZ13="M",0,IF(ISNUMBER(DZ13),DZ13,0)))+IF(EB13="X",10,IF(EB13="M",0,IF(ISNUMBER(EB13),EB13,0)))+IF(EC13="X",10,IF(EC13="M",0,IF(ISNUMBER(EC13),EC13,0)))+IF(ED13="X",10,IF(ED13="M",0,IF(ISNUMBER(ED13),ED13,0)))+IF(EE13="X",10,IF(EE13="M",0,IF(ISNUMBER(EE13),EE13,0)))+IF(EF13="X",10,IF(EF13="M",0,IF(ISNUMBER(EF13),EF13,0)))+IF(EG13="X",10,IF(EG13="M",0,IF(ISNUMBER(EG13),EG13,0)))+IF(EI13="X",10,IF(EI13="M",0,IF(ISNUMBER(EI13),EI13,0)))+IF(EJ13="X",10,IF(EJ13="M",0,IF(ISNUMBER(EJ13),EJ13,0)))+IF(EK13="X",10,IF(EK13="M",0,IF(ISNUMBER(EK13),EK13,0)))+IF(EL13="X",10,IF(EL13="M",0,IF(ISNUMBER(EL13),EL13,0)))+IF(EM13="X",10,IF(EM13="M",0,IF(ISNUMBER(EM13),EM13,0)))+IF(EN13="X",10,IF(EN13="M",0,IF(ISNUMBER(EN13),EN13,0)))+IF(EP13="X",10,IF(EP13="M",0,IF(ISNUMBER(EP13),EP13,0)))+IF(EQ13="X",10,IF(EQ13="M",0,IF(ISNUMBER(EQ13),EQ13,0)))+IF(ER13="X",10,IF(ER13="M",0,IF(ISNUMBER(ER13),ER13,0)))+IF(ES13="X",10,IF(ES13="M",0,IF(ISNUMBER(ES13),ES13,0)))+IF(ET13="X",10,IF(ET13="M",0,IF(ISNUMBER(ET13),ET13,0)))+IF(EU13="X",10,IF(EU13="M",0,IF(ISNUMBER(EU13),EU13,0)))+IF(EW13="X",10,IF(EW13="M",0,IF(ISNUMBER(EW13),EW13,0)))+IF(EX13="X",10,IF(EX13="M",0,IF(ISNUMBER(EX13),EX13,0)))+IF(EY13="X",10,IF(EY13="M",0,IF(ISNUMBER(EY13),EY13,0)))+IF(EZ13="X",10,IF(EZ13="M",0,IF(ISNUMBER(EZ13),EZ13,0)))+IF(FA13="X",10,IF(FA13="M",0,IF(ISNUMBER(FA13),FA13,0)))+IF(FB13="X",10,IF(FB13="M",0,IF(ISNUMBER(FB13),FB13,0))),0)</f>
        <v>0</v>
      </c>
      <c r="FG13" s="68" t="str">
        <f>IFERROR(IF(FE13="DQ","DISQUALIFIED",IF(FE11="DQ","&gt;&gt; Advance",IF(FI11="BYE","&gt;&gt; Advance",IF(FI13="BYE","BYE",IF(FD13&gt;=6,"WIN",IF(FD11&gt;=6,"LOSS",IF(AND(ISNUMBER(FC13),ISNUMBER(FC11)),IF(FC13&gt;FC11,"WIN",IF(FC13&lt;FC11,"LOSS","Shoot-Off")),"Playing"))))))),"Error")</f>
        <v>&gt;&gt; Advance</v>
      </c>
      <c r="FI13" s="69" t="str">
        <f>IFERROR(IF(AND(DF21="BYE",DF23="BYE"),"BYE",""),"")</f>
        <v>BYE</v>
      </c>
      <c r="FJ13" s="72" t="s">
        <v>197</v>
      </c>
      <c r="FK13" s="106" t="str">
        <f>IFERROR(IF(OR(FI11="BYE",FI13="BYE"),"",IF(OR(FG11="WIN",FG11="&gt;&gt; Advance"),DH13,IF(OR(FG13="WIN",FG13="&gt;&gt; Advance"),DH11,"TBD"))),"TBD")</f>
        <v/>
      </c>
      <c r="FL13" s="106"/>
      <c r="FM13" s="106"/>
      <c r="FN13" s="107" t="str">
        <f>IF(AND(FK11&lt;&gt;"TBD",FK11&lt;&gt;"",FK13&lt;&gt;"TBD",FK13&lt;&gt;"",HJ11&lt;&gt;"&gt;&gt; Advance",HJ13&lt;&gt;"&gt;&gt; Advance"),IF((B2-A2+1)&gt;=4,(A2+3)&amp;"",IF((B2-A2+1)&gt;=2,(A2+1)&amp;" R",(A2+MOD(1,(B2-A2+1)))&amp;CHAR(65+FLOOR(1/(B2-A2+1),1)*2+1)&amp;" (R)")),"")</f>
        <v/>
      </c>
      <c r="FO13" s="107"/>
      <c r="FP13" s="107"/>
      <c r="FQ13" s="62"/>
      <c r="FR13" s="62"/>
      <c r="FS13" s="62"/>
      <c r="FT13" s="62"/>
      <c r="FU13" s="62"/>
      <c r="FV13" s="62"/>
      <c r="FW13" s="63" t="str">
        <f>IF(OR(ISNUMBER(FQ13),ISNUMBER(FR13),ISNUMBER(FS13),ISNUMBER(FT13),ISNUMBER(FU13),ISNUMBER(FV13),FQ13="X",FR13="X",FS13="X",FT13="X",FU13="X",FV13="X",FQ13="M",FR13="M",FS13="M",FT13="M",FU13="M",FV13="M"),IF(FQ13="X",10,IF(FQ13="M",0,IF(ISNUMBER(FQ13),FQ13,0))) + IF(FR13="X",10,IF(FR13="M",0,IF(ISNUMBER(FR13),FR13,0))) + IF(FS13="X",10,IF(FS13="M",0,IF(ISNUMBER(FS13),FS13,0))) + IF(FT13="X",10,IF(FT13="M",0,IF(ISNUMBER(FT13),FT13,0))) + IF(FU13="X",10,IF(FU13="M",0,IF(ISNUMBER(FU13),FU13,0))) + IF(FV13="X",10,IF(FV13="M",0,IF(ISNUMBER(FV13),FV13,0))),"")</f>
        <v/>
      </c>
      <c r="FX13" s="62"/>
      <c r="FY13" s="62"/>
      <c r="FZ13" s="62"/>
      <c r="GA13" s="62"/>
      <c r="GB13" s="62"/>
      <c r="GC13" s="62"/>
      <c r="GD13" s="63" t="str">
        <f>IF(OR(ISNUMBER(FX13),ISNUMBER(FY13),ISNUMBER(FZ13),ISNUMBER(GA13),ISNUMBER(GB13),ISNUMBER(GC13),FX13="X",FY13="X",FZ13="X",GA13="X",GB13="X",GC13="X",FX13="M",FY13="M",FZ13="M",GA13="M",GB13="M",GC13="M"),IF(FX13="X",10,IF(FX13="M",0,IF(ISNUMBER(FX13),FX13,0))) + IF(FY13="X",10,IF(FY13="M",0,IF(ISNUMBER(FY13),FY13,0))) + IF(FZ13="X",10,IF(FZ13="M",0,IF(ISNUMBER(FZ13),FZ13,0))) + IF(GA13="X",10,IF(GA13="M",0,IF(ISNUMBER(GA13),GA13,0))) + IF(GB13="X",10,IF(GB13="M",0,IF(ISNUMBER(GB13),GB13,0))) + IF(GC13="X",10,IF(GC13="M",0,IF(ISNUMBER(GC13),GC13,0))),"")</f>
        <v/>
      </c>
      <c r="GE13" s="62"/>
      <c r="GF13" s="62"/>
      <c r="GG13" s="62"/>
      <c r="GH13" s="62"/>
      <c r="GI13" s="62"/>
      <c r="GJ13" s="62"/>
      <c r="GK13" s="63" t="str">
        <f>IF(OR(ISNUMBER(GE13),ISNUMBER(GF13),ISNUMBER(GG13),ISNUMBER(GH13),ISNUMBER(GI13),ISNUMBER(GJ13),GE13="X",GF13="X",GG13="X",GH13="X",GI13="X",GJ13="X",GE13="M",GF13="M",GG13="M",GH13="M",GI13="M",GJ13="M"),IF(GE13="X",10,IF(GE13="M",0,IF(ISNUMBER(GE13),GE13,0))) + IF(GF13="X",10,IF(GF13="M",0,IF(ISNUMBER(GF13),GF13,0))) + IF(GG13="X",10,IF(GG13="M",0,IF(ISNUMBER(GG13),GG13,0))) + IF(GH13="X",10,IF(GH13="M",0,IF(ISNUMBER(GH13),GH13,0))) + IF(GI13="X",10,IF(GI13="M",0,IF(ISNUMBER(GI13),GI13,0))) + IF(GJ13="X",10,IF(GJ13="M",0,IF(ISNUMBER(GJ13),GJ13,0))),"")</f>
        <v/>
      </c>
      <c r="GL13" s="62"/>
      <c r="GM13" s="62"/>
      <c r="GN13" s="62"/>
      <c r="GO13" s="62"/>
      <c r="GP13" s="62"/>
      <c r="GQ13" s="62"/>
      <c r="GR13" s="63" t="str">
        <f>IF(OR(ISNUMBER(GL13),ISNUMBER(GM13),ISNUMBER(GN13),ISNUMBER(GO13),ISNUMBER(GP13),ISNUMBER(GQ13),GL13="X",GM13="X",GN13="X",GO13="X",GP13="X",GQ13="X",GL13="M",GM13="M",GN13="M",GO13="M",GP13="M",GQ13="M"),IF(GL13="X",10,IF(GL13="M",0,IF(ISNUMBER(GL13),GL13,0))) + IF(GM13="X",10,IF(GM13="M",0,IF(ISNUMBER(GM13),GM13,0))) + IF(GN13="X",10,IF(GN13="M",0,IF(ISNUMBER(GN13),GN13,0))) + IF(GO13="X",10,IF(GO13="M",0,IF(ISNUMBER(GO13),GO13,0))) + IF(GP13="X",10,IF(GP13="M",0,IF(ISNUMBER(GP13),GP13,0))) + IF(GQ13="X",10,IF(GQ13="M",0,IF(ISNUMBER(GQ13),GQ13,0))),"")</f>
        <v/>
      </c>
      <c r="GS13" s="62"/>
      <c r="GT13" s="62"/>
      <c r="GU13" s="62"/>
      <c r="GV13" s="62"/>
      <c r="GW13" s="62"/>
      <c r="GX13" s="62"/>
      <c r="GY13" s="63" t="str">
        <f>IF(OR(ISNUMBER(GS13),ISNUMBER(GT13),ISNUMBER(GU13),ISNUMBER(GV13),ISNUMBER(GW13),ISNUMBER(GX13),GS13="X",GT13="X",GU13="X",GV13="X",GW13="X",GX13="X",GS13="M",GT13="M",GU13="M",GV13="M",GW13="M",GX13="M"),IF(GS13="X",10,IF(GS13="M",0,IF(ISNUMBER(GS13),GS13,0))) + IF(GT13="X",10,IF(GT13="M",0,IF(ISNUMBER(GT13),GT13,0))) + IF(GU13="X",10,IF(GU13="M",0,IF(ISNUMBER(GU13),GU13,0))) + IF(GV13="X",10,IF(GV13="M",0,IF(ISNUMBER(GV13),GV13,0))) + IF(GW13="X",10,IF(GW13="M",0,IF(ISNUMBER(GW13),GW13,0))) + IF(GX13="X",10,IF(GX13="M",0,IF(ISNUMBER(GX13),GX13,0))),"")</f>
        <v/>
      </c>
      <c r="GZ13" s="64"/>
      <c r="HA13" s="64"/>
      <c r="HB13" s="64"/>
      <c r="HC13" s="64"/>
      <c r="HD13" s="64"/>
      <c r="HE13" s="64"/>
      <c r="HF13" s="63" t="str">
        <f>IF(OR(ISNUMBER(GZ13),ISNUMBER(HA13),ISNUMBER(HB13),ISNUMBER(HC13),ISNUMBER(HD13),ISNUMBER(HE13),GZ13="X",HA13="X",HB13="X",HC13="X",HD13="X",HE13="X",GZ13="M",HA13="M",HB13="M",HC13="M",HD13="M",HE13="M"),IF(GZ13="X",10,IF(GZ13="M",0,IF(ISNUMBER(GZ13),GZ13,0))) + IF(HA13="X",10,IF(HA13="M",0,IF(ISNUMBER(HA13),HA13,0))) + IF(HB13="X",10,IF(HB13="M",0,IF(ISNUMBER(HB13),HB13,0))) + IF(HC13="X",10,IF(HC13="M",0,IF(ISNUMBER(HC13),HC13,0))) + IF(HD13="X",10,IF(HD13="M",0,IF(ISNUMBER(HD13),HD13,0))) + IF(HE13="X",10,IF(HE13="M",0,IF(ISNUMBER(HE13),HE13,0))),"")</f>
        <v/>
      </c>
      <c r="HG13" s="65">
        <f>IF(AND(ISNUMBER(FW13),ISNUMBER(FW11)),IF(FW13&gt;FW11,2,IF(FW13=FW11,1,0)),0)+IF(AND(ISNUMBER(GD13),ISNUMBER(GD11)),IF(GD13&gt;GD11,2,IF(GD13=GD11,1,0)),0)+IF(AND(ISNUMBER(GK13),ISNUMBER(GK11)),IF(GK13&gt;GK11,2,IF(GK13=GK11,1,0)),0)+IF(AND(ISNUMBER(GR13),ISNUMBER(GR11)),IF(GR13&gt;GR11,2,IF(GR13=GR11,1,0)),0)+IF(AND(ISNUMBER(GY13),ISNUMBER(GY11)),IF(GY13&gt;GY11,2,IF(GY13=GY11,1,0)),0)</f>
        <v>0</v>
      </c>
      <c r="HH13" s="66"/>
      <c r="HI13" s="67">
        <f>IF(HG13&gt;0,IF(FQ13="X",10,IF(FQ13="M",0,IF(ISNUMBER(FQ13),FQ13,0)))+IF(FR13="X",10,IF(FR13="M",0,IF(ISNUMBER(FR13),FR13,0)))+IF(FS13="X",10,IF(FS13="M",0,IF(ISNUMBER(FS13),FS13,0)))+IF(FT13="X",10,IF(FT13="M",0,IF(ISNUMBER(FT13),FT13,0)))+IF(FU13="X",10,IF(FU13="M",0,IF(ISNUMBER(FU13),FU13,0)))+IF(FV13="X",10,IF(FV13="M",0,IF(ISNUMBER(FV13),FV13,0)))+IF(FX13="X",10,IF(FX13="M",0,IF(ISNUMBER(FX13),FX13,0)))+IF(FY13="X",10,IF(FY13="M",0,IF(ISNUMBER(FY13),FY13,0)))+IF(FZ13="X",10,IF(FZ13="M",0,IF(ISNUMBER(FZ13),FZ13,0)))+IF(GA13="X",10,IF(GA13="M",0,IF(ISNUMBER(GA13),GA13,0)))+IF(GB13="X",10,IF(GB13="M",0,IF(ISNUMBER(GB13),GB13,0)))+IF(GC13="X",10,IF(GC13="M",0,IF(ISNUMBER(GC13),GC13,0)))+IF(GE13="X",10,IF(GE13="M",0,IF(ISNUMBER(GE13),GE13,0)))+IF(GF13="X",10,IF(GF13="M",0,IF(ISNUMBER(GF13),GF13,0)))+IF(GG13="X",10,IF(GG13="M",0,IF(ISNUMBER(GG13),GG13,0)))+IF(GH13="X",10,IF(GH13="M",0,IF(ISNUMBER(GH13),GH13,0)))+IF(GI13="X",10,IF(GI13="M",0,IF(ISNUMBER(GI13),GI13,0)))+IF(GJ13="X",10,IF(GJ13="M",0,IF(ISNUMBER(GJ13),GJ13,0)))+IF(GL13="X",10,IF(GL13="M",0,IF(ISNUMBER(GL13),GL13,0)))+IF(GM13="X",10,IF(GM13="M",0,IF(ISNUMBER(GM13),GM13,0)))+IF(GN13="X",10,IF(GN13="M",0,IF(ISNUMBER(GN13),GN13,0)))+IF(GO13="X",10,IF(GO13="M",0,IF(ISNUMBER(GO13),GO13,0)))+IF(GP13="X",10,IF(GP13="M",0,IF(ISNUMBER(GP13),GP13,0)))+IF(GQ13="X",10,IF(GQ13="M",0,IF(ISNUMBER(GQ13),GQ13,0)))+IF(GS13="X",10,IF(GS13="M",0,IF(ISNUMBER(GS13),GS13,0)))+IF(GT13="X",10,IF(GT13="M",0,IF(ISNUMBER(GT13),GT13,0)))+IF(GU13="X",10,IF(GU13="M",0,IF(ISNUMBER(GU13),GU13,0)))+IF(GV13="X",10,IF(GV13="M",0,IF(ISNUMBER(GV13),GV13,0)))+IF(GW13="X",10,IF(GW13="M",0,IF(ISNUMBER(GW13),GW13,0)))+IF(GX13="X",10,IF(GX13="M",0,IF(ISNUMBER(GX13),GX13,0)))+IF(GZ13="X",10,IF(GZ13="M",0,IF(ISNUMBER(GZ13),GZ13,0)))+IF(HA13="X",10,IF(HA13="M",0,IF(ISNUMBER(HA13),HA13,0)))+IF(HB13="X",10,IF(HB13="M",0,IF(ISNUMBER(HB13),HB13,0)))+IF(HC13="X",10,IF(HC13="M",0,IF(ISNUMBER(HC13),HC13,0)))+IF(HD13="X",10,IF(HD13="M",0,IF(ISNUMBER(HD13),HD13,0)))+IF(HE13="X",10,IF(HE13="M",0,IF(ISNUMBER(HE13),HE13,0))),0)</f>
        <v>0</v>
      </c>
      <c r="HJ13" s="68" t="str">
        <f>IFERROR(IF(HH13="DQ","DISQUALIFIED",IF(HH11="DQ","&gt;&gt; Advance",IF(HL11="BYE","&gt;&gt; Advance",IF(HL13="BYE","BYE",IF(HG13&gt;=6,"WIN",IF(HG11&gt;=6,"LOSS",IF(AND(ISNUMBER(HF13),ISNUMBER(HF11)),IF(HF13&gt;HF11,"WIN",IF(HF13&lt;HF11,"LOSS","Shoot-Off")),"Playing"))))))),"Error")</f>
        <v>Playing</v>
      </c>
      <c r="HL13" s="69" t="str">
        <f>""</f>
        <v/>
      </c>
      <c r="HM13" s="113" t="str">
        <f>IFERROR(IF(OR(HM11="TBD",HM11=""),"",IF(OR(ISNUMBER(MATCH(HM11,'Open 30M - Teams'!$N:$N,0)),ISNUMBER(MATCH(HM11,'Open 30M - Teams'!$B:$B,0))),IF(ISNUMBER(MATCH(HM11,'Open 30M - Teams'!$N:$N,0)),"Club: "&amp;INDEX('Open 30M - Teams'!$C:$C,IF(ISNUMBER(MATCH(HM11,'Open 30M - Teams'!$N:$N,0)),MATCH(HM11,'Open 30M - Teams'!$N:$N,0),MATCH(HM11,'Open 30M - Teams'!$B:$B,0)))&amp;"  |  "&amp;INDEX('Open 30M - Teams'!$D:$D,IF(ISNUMBER(MATCH(HM11,'Open 30M - Teams'!$N:$N,0)),MATCH(HM11,'Open 30M - Teams'!$N:$N,0),MATCH(HM11,'Open 30M - Teams'!$B:$B,0)))&amp;IF(INDEX('Open 30M - Teams'!$E:$E,IF(ISNUMBER(MATCH(HM11,'Open 30M - Teams'!$N:$N,0)),MATCH(HM11,'Open 30M - Teams'!$N:$N,0),MATCH(HM11,'Open 30M - Teams'!$B:$B,0)))&lt;&gt;"",", "&amp;INDEX('Open 30M - Teams'!$E:$E,IF(ISNUMBER(MATCH(HM11,'Open 30M - Teams'!$N:$N,0)),MATCH(HM11,'Open 30M - Teams'!$N:$N,0),MATCH(HM11,'Open 30M - Teams'!$B:$B,0))),"")&amp;IF(INDEX('Open 30M - Teams'!$F:$F,IF(ISNUMBER(MATCH(HM11,'Open 30M - Teams'!$N:$N,0)),MATCH(HM11,'Open 30M - Teams'!$N:$N,0),MATCH(HM11,'Open 30M - Teams'!$B:$B,0)))&lt;&gt;"",", "&amp;INDEX('Open 30M - Teams'!$F:$F,IF(ISNUMBER(MATCH(HM11,'Open 30M - Teams'!$N:$N,0)),MATCH(HM11,'Open 30M - Teams'!$N:$N,0),MATCH(HM11,'Open 30M - Teams'!$B:$B,0))),""),"Club: "&amp;INDEX('Open 30M - Teams'!$C:$C,IF(ISNUMBER(MATCH(HM11,'Open 30M - Teams'!$N:$N,0)),MATCH(HM11,'Open 30M - Teams'!$N:$N,0),MATCH(HM11,'Open 30M - Teams'!$B:$B,0)))),"")),"")</f>
        <v/>
      </c>
      <c r="HN13" s="113"/>
      <c r="HO13" s="113"/>
      <c r="HP13" s="113"/>
      <c r="HQ13" s="113"/>
      <c r="HR13" s="113"/>
      <c r="HS13" s="113"/>
      <c r="HT13" s="113"/>
      <c r="HU13" s="113"/>
      <c r="HV13" s="113"/>
      <c r="HW13" s="113"/>
      <c r="HX13" s="113"/>
      <c r="HY13" s="113"/>
      <c r="HZ13" s="113"/>
      <c r="IA13" s="113"/>
      <c r="IB13" s="113"/>
    </row>
    <row r="14" spans="1:237" ht="1.5" customHeight="1" x14ac:dyDescent="0.35">
      <c r="HM14" s="113"/>
      <c r="HN14" s="113"/>
      <c r="HO14" s="113"/>
      <c r="HP14" s="113"/>
      <c r="HQ14" s="113"/>
      <c r="HR14" s="113"/>
      <c r="HS14" s="113"/>
      <c r="HT14" s="113"/>
      <c r="HU14" s="113"/>
      <c r="HV14" s="113"/>
      <c r="HW14" s="113"/>
      <c r="HX14" s="113"/>
      <c r="HY14" s="113"/>
      <c r="HZ14" s="113"/>
      <c r="IA14" s="113"/>
      <c r="IB14" s="113"/>
    </row>
    <row r="15" spans="1:237" ht="10.5" customHeight="1" x14ac:dyDescent="0.35">
      <c r="A15" s="104" t="s">
        <v>198</v>
      </c>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t="s">
        <v>199</v>
      </c>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c r="CH15" s="104"/>
      <c r="CI15" s="104"/>
      <c r="CJ15" s="104"/>
      <c r="CK15" s="104"/>
      <c r="CL15" s="104"/>
      <c r="CM15" s="104"/>
      <c r="CN15" s="104"/>
      <c r="CO15" s="104"/>
      <c r="CP15" s="104"/>
      <c r="CQ15" s="104"/>
      <c r="CR15" s="104"/>
      <c r="CS15" s="104"/>
      <c r="CT15" s="104"/>
      <c r="CU15" s="104"/>
      <c r="CV15" s="104"/>
      <c r="CW15" s="104"/>
      <c r="CX15" s="104"/>
      <c r="CY15" s="104"/>
      <c r="CZ15" s="104"/>
      <c r="DA15" s="104"/>
      <c r="DB15" s="104"/>
      <c r="DC15" s="104"/>
      <c r="DD15" s="104"/>
      <c r="DE15" s="104"/>
      <c r="DF15" s="104"/>
      <c r="HM15" s="114" t="s">
        <v>200</v>
      </c>
      <c r="HN15" s="114"/>
      <c r="HO15" s="114"/>
      <c r="HP15" s="114"/>
      <c r="HQ15" s="114"/>
      <c r="HR15" s="114"/>
      <c r="HS15" s="114"/>
      <c r="HT15" s="114"/>
      <c r="HU15" s="114"/>
      <c r="HV15" s="114"/>
      <c r="HW15" s="114"/>
      <c r="HX15" s="114"/>
      <c r="HY15" s="114"/>
      <c r="HZ15" s="114"/>
      <c r="IA15" s="114"/>
      <c r="IB15" s="114"/>
    </row>
    <row r="16" spans="1:237" ht="15.75" customHeight="1" x14ac:dyDescent="0.35">
      <c r="A16" s="61" t="str">
        <f>IFERROR(IF(INDEX('Open 30M - Teams'!$L:$L,MATCH(5,'Open 30M - Teams'!$A:$A,0))="Yes","BYE",IF(OR(INDEX('Open 30M - Teams'!$B:$B,MATCH(5,'Open 30M - Teams'!$A:$A,0))="",ISERROR(MATCH(5,'Open 30M - Teams'!$A:$A,0))),"BYE","#5")),"BYE")</f>
        <v>BYE</v>
      </c>
      <c r="B16" s="106" t="str">
        <f>IFERROR(IF(INDEX('Open 30M - Teams'!$L:$L,MATCH(5,'Open 30M - Teams'!$A:$A,0))="Yes","",IF(INDEX('Open 30M - Teams'!$N:$N,MATCH(5,'Open 30M - Teams'!$A:$A,0))&lt;&gt;"",INDEX('Open 30M - Teams'!$N:$N,MATCH(5,'Open 30M - Teams'!$A:$A,0)),IF(INDEX('Open 30M - Teams'!$B:$B,MATCH(5,'Open 30M - Teams'!$A:$A,0))="","",INDEX('Open 30M - Teams'!$B:$B,MATCH(5,'Open 30M - Teams'!$A:$A,0))))),"")</f>
        <v/>
      </c>
      <c r="C16" s="106"/>
      <c r="D16" s="106"/>
      <c r="E16" s="107" t="str">
        <f>IF(OR(A16="BYE",BA16="&gt;&gt; Advance"),"",IF((B2-A2+1)&gt;=8,(A2+MOD(INT((SUMPRODUCT(IF(A6&lt;&gt;"BYE",IF(A6&lt;&gt;"",IF(BA6&lt;&gt;"&gt;&gt; Advance",1,0),0),0)+IF(A8&lt;&gt;"BYE",IF(A8&lt;&gt;"",IF(BA8&lt;&gt;"&gt;&gt; Advance",1,0),0),0)+IF(A11&lt;&gt;"BYE",IF(A11&lt;&gt;"",IF(BA11&lt;&gt;"&gt;&gt; Advance",1,0),0),0)+IF(A13&lt;&gt;"BYE",IF(A13&lt;&gt;"",IF(BA13&lt;&gt;"&gt;&gt; Advance",1,0),0),0)+IF(A16&lt;&gt;"BYE",IF(A16&lt;&gt;"",IF(BA16&lt;&gt;"&gt;&gt; Advance",1,0),0),0))-1)/2),(B2-A2+1)))&amp;IF((MOD(SUMPRODUCT(IF(A6&lt;&gt;"BYE",IF(A6&lt;&gt;"",IF(BA6&lt;&gt;"&gt;&gt; Advance",1,0),0),0)+IF(A8&lt;&gt;"BYE",IF(A8&lt;&gt;"",IF(BA8&lt;&gt;"&gt;&gt; Advance",1,0),0),0)+IF(A11&lt;&gt;"BYE",IF(A11&lt;&gt;"",IF(BA11&lt;&gt;"&gt;&gt; Advance",1,0),0),0)+IF(A13&lt;&gt;"BYE",IF(A13&lt;&gt;"",IF(BA13&lt;&gt;"&gt;&gt; Advance",1,0),0),0)+IF(A16&lt;&gt;"BYE",IF(A16&lt;&gt;"",IF(BA16&lt;&gt;"&gt;&gt; Advance",1,0),0),0))-1,2)=0)," L"," R"),(A2+MOD(INT((SUMPRODUCT(IF(A6&lt;&gt;"BYE",IF(A6&lt;&gt;"",IF(BA6&lt;&gt;"&gt;&gt; Advance",1,0),0),0)+IF(A8&lt;&gt;"BYE",IF(A8&lt;&gt;"",IF(BA8&lt;&gt;"&gt;&gt; Advance",1,0),0),0)+IF(A11&lt;&gt;"BYE",IF(A11&lt;&gt;"",IF(BA11&lt;&gt;"&gt;&gt; Advance",1,0),0),0)+IF(A13&lt;&gt;"BYE",IF(A13&lt;&gt;"",IF(BA13&lt;&gt;"&gt;&gt; Advance",1,0),0),0)+IF(A16&lt;&gt;"BYE",IF(A16&lt;&gt;"",IF(BA16&lt;&gt;"&gt;&gt;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Advance",1,0),0),0))-1)/2)/(B2-A2+1),1)*2+MOD(SUMPRODUCT(IF(A6&lt;&gt;"BYE",IF(A6&lt;&gt;"",IF(BA6&lt;&gt;"&gt;&gt; Advance",1,0),0),0)+IF(A8&lt;&gt;"BYE",IF(A8&lt;&gt;"",IF(BA8&lt;&gt;"&gt;&gt; Advance",1,0),0),0)+IF(A11&lt;&gt;"BYE",IF(A11&lt;&gt;"",IF(BA11&lt;&gt;"&gt;&gt; Advance",1,0),0),0)+IF(A13&lt;&gt;"BYE",IF(A13&lt;&gt;"",IF(BA13&lt;&gt;"&gt;&gt; Advance",1,0),0),0)+IF(A16&lt;&gt;"BYE",IF(A16&lt;&gt;"",IF(BA16&lt;&gt;"&gt;&gt; Advance",1,0),0),0))-1,2))&amp;IF((MOD(SUMPRODUCT(IF(A6&lt;&gt;"BYE",IF(A6&lt;&gt;"",IF(BA6&lt;&gt;"&gt;&gt; Advance",1,0),0),0)+IF(A8&lt;&gt;"BYE",IF(A8&lt;&gt;"",IF(BA8&lt;&gt;"&gt;&gt; Advance",1,0),0),0)+IF(A11&lt;&gt;"BYE",IF(A11&lt;&gt;"",IF(BA11&lt;&gt;"&gt;&gt; Advance",1,0),0),0)+IF(A13&lt;&gt;"BYE",IF(A13&lt;&gt;"",IF(BA13&lt;&gt;"&gt;&gt; Advance",1,0),0),0)+IF(A16&lt;&gt;"BYE",IF(A16&lt;&gt;"",IF(BA16&lt;&gt;"&gt;&gt; Advance",1,0),0),0))-1,2)=0)," (L)"," (R)")))</f>
        <v/>
      </c>
      <c r="F16" s="107"/>
      <c r="G16" s="107"/>
      <c r="H16" s="62"/>
      <c r="I16" s="62"/>
      <c r="J16" s="62"/>
      <c r="K16" s="62"/>
      <c r="L16" s="62"/>
      <c r="M16" s="62"/>
      <c r="N16" s="63" t="str">
        <f>IF(OR(ISNUMBER(H16),ISNUMBER(I16),ISNUMBER(J16),ISNUMBER(K16),ISNUMBER(L16),ISNUMBER(M16),H16="X",I16="X",J16="X",K16="X",L16="X",M16="X",H16="M",I16="M",J16="M",K16="M",L16="M",M16="M"),IF(H16="X",10,IF(H16="M",0,IF(ISNUMBER(H16),H16,0))) + IF(I16="X",10,IF(I16="M",0,IF(ISNUMBER(I16),I16,0))) + IF(J16="X",10,IF(J16="M",0,IF(ISNUMBER(J16),J16,0))) + IF(K16="X",10,IF(K16="M",0,IF(ISNUMBER(K16),K16,0))) + IF(L16="X",10,IF(L16="M",0,IF(ISNUMBER(L16),L16,0))) + IF(M16="X",10,IF(M16="M",0,IF(ISNUMBER(M16),M16,0))),"")</f>
        <v/>
      </c>
      <c r="O16" s="62"/>
      <c r="P16" s="62"/>
      <c r="Q16" s="62"/>
      <c r="R16" s="62"/>
      <c r="S16" s="62"/>
      <c r="T16" s="62"/>
      <c r="U16" s="63" t="str">
        <f>IF(OR(ISNUMBER(O16),ISNUMBER(P16),ISNUMBER(Q16),ISNUMBER(R16),ISNUMBER(S16),ISNUMBER(T16),O16="X",P16="X",Q16="X",R16="X",S16="X",T16="X",O16="M",P16="M",Q16="M",R16="M",S16="M",T16="M"),IF(O16="X",10,IF(O16="M",0,IF(ISNUMBER(O16),O16,0))) + IF(P16="X",10,IF(P16="M",0,IF(ISNUMBER(P16),P16,0))) + IF(Q16="X",10,IF(Q16="M",0,IF(ISNUMBER(Q16),Q16,0))) + IF(R16="X",10,IF(R16="M",0,IF(ISNUMBER(R16),R16,0))) + IF(S16="X",10,IF(S16="M",0,IF(ISNUMBER(S16),S16,0))) + IF(T16="X",10,IF(T16="M",0,IF(ISNUMBER(T16),T16,0))),"")</f>
        <v/>
      </c>
      <c r="V16" s="62"/>
      <c r="W16" s="62"/>
      <c r="X16" s="62"/>
      <c r="Y16" s="62"/>
      <c r="Z16" s="62"/>
      <c r="AA16" s="62"/>
      <c r="AB16" s="63" t="str">
        <f>IF(OR(ISNUMBER(V16),ISNUMBER(W16),ISNUMBER(X16),ISNUMBER(Y16),ISNUMBER(Z16),ISNUMBER(AA16),V16="X",W16="X",X16="X",Y16="X",Z16="X",AA16="X",V16="M",W16="M",X16="M",Y16="M",Z16="M",AA16="M"),IF(V16="X",10,IF(V16="M",0,IF(ISNUMBER(V16),V16,0))) + IF(W16="X",10,IF(W16="M",0,IF(ISNUMBER(W16),W16,0))) + IF(X16="X",10,IF(X16="M",0,IF(ISNUMBER(X16),X16,0))) + IF(Y16="X",10,IF(Y16="M",0,IF(ISNUMBER(Y16),Y16,0))) + IF(Z16="X",10,IF(Z16="M",0,IF(ISNUMBER(Z16),Z16,0))) + IF(AA16="X",10,IF(AA16="M",0,IF(ISNUMBER(AA16),AA16,0))),"")</f>
        <v/>
      </c>
      <c r="AC16" s="62"/>
      <c r="AD16" s="62"/>
      <c r="AE16" s="62"/>
      <c r="AF16" s="62"/>
      <c r="AG16" s="62"/>
      <c r="AH16" s="62"/>
      <c r="AI16" s="63" t="str">
        <f>IF(OR(ISNUMBER(AC16),ISNUMBER(AD16),ISNUMBER(AE16),ISNUMBER(AF16),ISNUMBER(AG16),ISNUMBER(AH16),AC16="X",AD16="X",AE16="X",AF16="X",AG16="X",AH16="X",AC16="M",AD16="M",AE16="M",AF16="M",AG16="M",AH16="M"),IF(AC16="X",10,IF(AC16="M",0,IF(ISNUMBER(AC16),AC16,0))) + IF(AD16="X",10,IF(AD16="M",0,IF(ISNUMBER(AD16),AD16,0))) + IF(AE16="X",10,IF(AE16="M",0,IF(ISNUMBER(AE16),AE16,0))) + IF(AF16="X",10,IF(AF16="M",0,IF(ISNUMBER(AF16),AF16,0))) + IF(AG16="X",10,IF(AG16="M",0,IF(ISNUMBER(AG16),AG16,0))) + IF(AH16="X",10,IF(AH16="M",0,IF(ISNUMBER(AH16),AH16,0))),"")</f>
        <v/>
      </c>
      <c r="AJ16" s="62"/>
      <c r="AK16" s="62"/>
      <c r="AL16" s="62"/>
      <c r="AM16" s="62"/>
      <c r="AN16" s="62"/>
      <c r="AO16" s="62"/>
      <c r="AP16" s="63" t="str">
        <f>IF(OR(ISNUMBER(AJ16),ISNUMBER(AK16),ISNUMBER(AL16),ISNUMBER(AM16),ISNUMBER(AN16),ISNUMBER(AO16),AJ16="X",AK16="X",AL16="X",AM16="X",AN16="X",AO16="X",AJ16="M",AK16="M",AL16="M",AM16="M",AN16="M",AO16="M"),IF(AJ16="X",10,IF(AJ16="M",0,IF(ISNUMBER(AJ16),AJ16,0))) + IF(AK16="X",10,IF(AK16="M",0,IF(ISNUMBER(AK16),AK16,0))) + IF(AL16="X",10,IF(AL16="M",0,IF(ISNUMBER(AL16),AL16,0))) + IF(AM16="X",10,IF(AM16="M",0,IF(ISNUMBER(AM16),AM16,0))) + IF(AN16="X",10,IF(AN16="M",0,IF(ISNUMBER(AN16),AN16,0))) + IF(AO16="X",10,IF(AO16="M",0,IF(ISNUMBER(AO16),AO16,0))),"")</f>
        <v/>
      </c>
      <c r="AQ16" s="64"/>
      <c r="AR16" s="64"/>
      <c r="AS16" s="64"/>
      <c r="AT16" s="64"/>
      <c r="AU16" s="64"/>
      <c r="AV16" s="64"/>
      <c r="AW16" s="63" t="str">
        <f>IF(OR(ISNUMBER(AQ16),ISNUMBER(AR16),ISNUMBER(AS16),ISNUMBER(AT16),ISNUMBER(AU16),ISNUMBER(AV16),AQ16="X",AR16="X",AS16="X",AT16="X",AU16="X",AV16="X",AQ16="M",AR16="M",AS16="M",AT16="M",AU16="M",AV16="M"),IF(AQ16="X",10,IF(AQ16="M",0,IF(ISNUMBER(AQ16),AQ16,0))) + IF(AR16="X",10,IF(AR16="M",0,IF(ISNUMBER(AR16),AR16,0))) + IF(AS16="X",10,IF(AS16="M",0,IF(ISNUMBER(AS16),AS16,0))) + IF(AT16="X",10,IF(AT16="M",0,IF(ISNUMBER(AT16),AT16,0))) + IF(AU16="X",10,IF(AU16="M",0,IF(ISNUMBER(AU16),AU16,0))) + IF(AV16="X",10,IF(AV16="M",0,IF(ISNUMBER(AV16),AV16,0))),"")</f>
        <v/>
      </c>
      <c r="AX16" s="65">
        <f>IF(AND(ISNUMBER(N16),ISNUMBER(N18)),IF(N16&gt;N18,2,IF(N16=N18,1,0)),0)+IF(AND(ISNUMBER(U16),ISNUMBER(U18)),IF(U16&gt;U18,2,IF(U16=U18,1,0)),0)+IF(AND(ISNUMBER(AB16),ISNUMBER(AB18)),IF(AB16&gt;AB18,2,IF(AB16=AB18,1,0)),0)+IF(AND(ISNUMBER(AI16),ISNUMBER(AI18)),IF(AI16&gt;AI18,2,IF(AI16=AI18,1,0)),0)+IF(AND(ISNUMBER(AP16),ISNUMBER(AP18)),IF(AP16&gt;AP18,2,IF(AP16=AP18,1,0)),0)</f>
        <v>0</v>
      </c>
      <c r="AY16" s="66"/>
      <c r="AZ16" s="67">
        <f>IF(AX16&gt;0,IF(H16="X",10,IF(H16="M",0,IF(ISNUMBER(H16),H16,0)))+IF(I16="X",10,IF(I16="M",0,IF(ISNUMBER(I16),I16,0)))+IF(J16="X",10,IF(J16="M",0,IF(ISNUMBER(J16),J16,0)))+IF(K16="X",10,IF(K16="M",0,IF(ISNUMBER(K16),K16,0)))+IF(L16="X",10,IF(L16="M",0,IF(ISNUMBER(L16),L16,0)))+IF(M16="X",10,IF(M16="M",0,IF(ISNUMBER(M16),M16,0)))+IF(O16="X",10,IF(O16="M",0,IF(ISNUMBER(O16),O16,0)))+IF(P16="X",10,IF(P16="M",0,IF(ISNUMBER(P16),P16,0)))+IF(Q16="X",10,IF(Q16="M",0,IF(ISNUMBER(Q16),Q16,0)))+IF(R16="X",10,IF(R16="M",0,IF(ISNUMBER(R16),R16,0)))+IF(S16="X",10,IF(S16="M",0,IF(ISNUMBER(S16),S16,0)))+IF(T16="X",10,IF(T16="M",0,IF(ISNUMBER(T16),T16,0)))+IF(V16="X",10,IF(V16="M",0,IF(ISNUMBER(V16),V16,0)))+IF(W16="X",10,IF(W16="M",0,IF(ISNUMBER(W16),W16,0)))+IF(X16="X",10,IF(X16="M",0,IF(ISNUMBER(X16),X16,0)))+IF(Y16="X",10,IF(Y16="M",0,IF(ISNUMBER(Y16),Y16,0)))+IF(Z16="X",10,IF(Z16="M",0,IF(ISNUMBER(Z16),Z16,0)))+IF(AA16="X",10,IF(AA16="M",0,IF(ISNUMBER(AA16),AA16,0)))+IF(AC16="X",10,IF(AC16="M",0,IF(ISNUMBER(AC16),AC16,0)))+IF(AD16="X",10,IF(AD16="M",0,IF(ISNUMBER(AD16),AD16,0)))+IF(AE16="X",10,IF(AE16="M",0,IF(ISNUMBER(AE16),AE16,0)))+IF(AF16="X",10,IF(AF16="M",0,IF(ISNUMBER(AF16),AF16,0)))+IF(AG16="X",10,IF(AG16="M",0,IF(ISNUMBER(AG16),AG16,0)))+IF(AH16="X",10,IF(AH16="M",0,IF(ISNUMBER(AH16),AH16,0)))+IF(AJ16="X",10,IF(AJ16="M",0,IF(ISNUMBER(AJ16),AJ16,0)))+IF(AK16="X",10,IF(AK16="M",0,IF(ISNUMBER(AK16),AK16,0)))+IF(AL16="X",10,IF(AL16="M",0,IF(ISNUMBER(AL16),AL16,0)))+IF(AM16="X",10,IF(AM16="M",0,IF(ISNUMBER(AM16),AM16,0)))+IF(AN16="X",10,IF(AN16="M",0,IF(ISNUMBER(AN16),AN16,0)))+IF(AO16="X",10,IF(AO16="M",0,IF(ISNUMBER(AO16),AO16,0)))+IF(AQ16="X",10,IF(AQ16="M",0,IF(ISNUMBER(AQ16),AQ16,0)))+IF(AR16="X",10,IF(AR16="M",0,IF(ISNUMBER(AR16),AR16,0)))+IF(AS16="X",10,IF(AS16="M",0,IF(ISNUMBER(AS16),AS16,0)))+IF(AT16="X",10,IF(AT16="M",0,IF(ISNUMBER(AT16),AT16,0)))+IF(AU16="X",10,IF(AU16="M",0,IF(ISNUMBER(AU16),AU16,0)))+IF(AV16="X",10,IF(AV16="M",0,IF(ISNUMBER(AV16),AV16,0))),0)</f>
        <v>0</v>
      </c>
      <c r="BA16" s="68" t="str">
        <f>IFERROR(IF(AY16="DQ","DISQUALIFIED",IF(AY18="DQ","&gt;&gt; Advance",IF(BC18="BYE","&gt;&gt; Advance",IF(BC16="BYE","BYE",IF(AX16&gt;=6,"WIN",IF(AX18&gt;=6,"LOSS",IF(AND(ISNUMBER(AW16),ISNUMBER(AW18)),IF(AW16&gt;AW18,"WIN",IF(AW16&lt;AW18,"LOSS","Shoot-Off")),"Playing"))))))),"Error")</f>
        <v>&gt;&gt; Advance</v>
      </c>
      <c r="BC16" s="69" t="str">
        <f>IFERROR(IF(INDEX('Open 30M - Teams'!$L:$L,MATCH(5,'Open 30M - Teams'!$A:$A,0))="Yes","BYE",IF(OR(INDEX('Open 30M - Teams'!$B:$B,MATCH(5,'Open 30M - Teams'!$A:$A,0))="",ISERROR(MATCH(5,'Open 30M - Teams'!$A:$A,0))),"BYE","")),"BYE")</f>
        <v>BYE</v>
      </c>
      <c r="BD16" s="61" t="s">
        <v>201</v>
      </c>
      <c r="BE16" s="106" t="str">
        <f>IFERROR(IF(BC26="BYE",IF(BC28="BYE","TBD",B28),IF(BC28="BYE",B26,IF(OR(BA26="WIN",BA26="&gt;&gt; Advance"),B26,IF(OR(BA28="WIN",BA28="&gt;&gt; Advance"),B28,"TBD")))),"TBD")</f>
        <v>TBD</v>
      </c>
      <c r="BF16" s="106"/>
      <c r="BG16" s="106"/>
      <c r="BH16" s="107" t="str">
        <f>IF(AND(BE16&lt;&gt;"TBD",BE16&lt;&gt;"",BE18&lt;&gt;"TBD",BE18&lt;&gt;"",DD16&lt;&gt;"&gt;&gt; Advance",DD18&lt;&gt;"&gt;&gt; Advance"),IF((B2-A2+1)&gt;=8,(A2+4)&amp;"",IF((B2-A2+1)&gt;=4,(A2+2)&amp;" L",(A2+MOD(2,(B2-A2+1)))&amp;CHAR(65+FLOOR(2/(B2-A2+1),1)*2)&amp;" (L)")),"")</f>
        <v/>
      </c>
      <c r="BI16" s="107"/>
      <c r="BJ16" s="107"/>
      <c r="BK16" s="62"/>
      <c r="BL16" s="62"/>
      <c r="BM16" s="62"/>
      <c r="BN16" s="62"/>
      <c r="BO16" s="62"/>
      <c r="BP16" s="62"/>
      <c r="BQ16" s="63" t="str">
        <f>IF(OR(ISNUMBER(BK16),ISNUMBER(BL16),ISNUMBER(BM16),ISNUMBER(BN16),ISNUMBER(BO16),ISNUMBER(BP16),BK16="X",BL16="X",BM16="X",BN16="X",BO16="X",BP16="X",BK16="M",BL16="M",BM16="M",BN16="M",BO16="M",BP16="M"),IF(BK16="X",10,IF(BK16="M",0,IF(ISNUMBER(BK16),BK16,0))) + IF(BL16="X",10,IF(BL16="M",0,IF(ISNUMBER(BL16),BL16,0))) + IF(BM16="X",10,IF(BM16="M",0,IF(ISNUMBER(BM16),BM16,0))) + IF(BN16="X",10,IF(BN16="M",0,IF(ISNUMBER(BN16),BN16,0))) + IF(BO16="X",10,IF(BO16="M",0,IF(ISNUMBER(BO16),BO16,0))) + IF(BP16="X",10,IF(BP16="M",0,IF(ISNUMBER(BP16),BP16,0))),"")</f>
        <v/>
      </c>
      <c r="BR16" s="62"/>
      <c r="BS16" s="62"/>
      <c r="BT16" s="62"/>
      <c r="BU16" s="62"/>
      <c r="BV16" s="62"/>
      <c r="BW16" s="62"/>
      <c r="BX16" s="63" t="str">
        <f>IF(OR(ISNUMBER(BR16),ISNUMBER(BS16),ISNUMBER(BT16),ISNUMBER(BU16),ISNUMBER(BV16),ISNUMBER(BW16),BR16="X",BS16="X",BT16="X",BU16="X",BV16="X",BW16="X",BR16="M",BS16="M",BT16="M",BU16="M",BV16="M",BW16="M"),IF(BR16="X",10,IF(BR16="M",0,IF(ISNUMBER(BR16),BR16,0))) + IF(BS16="X",10,IF(BS16="M",0,IF(ISNUMBER(BS16),BS16,0))) + IF(BT16="X",10,IF(BT16="M",0,IF(ISNUMBER(BT16),BT16,0))) + IF(BU16="X",10,IF(BU16="M",0,IF(ISNUMBER(BU16),BU16,0))) + IF(BV16="X",10,IF(BV16="M",0,IF(ISNUMBER(BV16),BV16,0))) + IF(BW16="X",10,IF(BW16="M",0,IF(ISNUMBER(BW16),BW16,0))),"")</f>
        <v/>
      </c>
      <c r="BY16" s="62"/>
      <c r="BZ16" s="62"/>
      <c r="CA16" s="62"/>
      <c r="CB16" s="62"/>
      <c r="CC16" s="62"/>
      <c r="CD16" s="62"/>
      <c r="CE16" s="63" t="str">
        <f>IF(OR(ISNUMBER(BY16),ISNUMBER(BZ16),ISNUMBER(CA16),ISNUMBER(CB16),ISNUMBER(CC16),ISNUMBER(CD16),BY16="X",BZ16="X",CA16="X",CB16="X",CC16="X",CD16="X",BY16="M",BZ16="M",CA16="M",CB16="M",CC16="M",CD16="M"),IF(BY16="X",10,IF(BY16="M",0,IF(ISNUMBER(BY16),BY16,0))) + IF(BZ16="X",10,IF(BZ16="M",0,IF(ISNUMBER(BZ16),BZ16,0))) + IF(CA16="X",10,IF(CA16="M",0,IF(ISNUMBER(CA16),CA16,0))) + IF(CB16="X",10,IF(CB16="M",0,IF(ISNUMBER(CB16),CB16,0))) + IF(CC16="X",10,IF(CC16="M",0,IF(ISNUMBER(CC16),CC16,0))) + IF(CD16="X",10,IF(CD16="M",0,IF(ISNUMBER(CD16),CD16,0))),"")</f>
        <v/>
      </c>
      <c r="CF16" s="62"/>
      <c r="CG16" s="62"/>
      <c r="CH16" s="62"/>
      <c r="CI16" s="62"/>
      <c r="CJ16" s="62"/>
      <c r="CK16" s="62"/>
      <c r="CL16" s="63" t="str">
        <f>IF(OR(ISNUMBER(CF16),ISNUMBER(CG16),ISNUMBER(CH16),ISNUMBER(CI16),ISNUMBER(CJ16),ISNUMBER(CK16),CF16="X",CG16="X",CH16="X",CI16="X",CJ16="X",CK16="X",CF16="M",CG16="M",CH16="M",CI16="M",CJ16="M",CK16="M"),IF(CF16="X",10,IF(CF16="M",0,IF(ISNUMBER(CF16),CF16,0))) + IF(CG16="X",10,IF(CG16="M",0,IF(ISNUMBER(CG16),CG16,0))) + IF(CH16="X",10,IF(CH16="M",0,IF(ISNUMBER(CH16),CH16,0))) + IF(CI16="X",10,IF(CI16="M",0,IF(ISNUMBER(CI16),CI16,0))) + IF(CJ16="X",10,IF(CJ16="M",0,IF(ISNUMBER(CJ16),CJ16,0))) + IF(CK16="X",10,IF(CK16="M",0,IF(ISNUMBER(CK16),CK16,0))),"")</f>
        <v/>
      </c>
      <c r="CM16" s="62"/>
      <c r="CN16" s="62"/>
      <c r="CO16" s="62"/>
      <c r="CP16" s="62"/>
      <c r="CQ16" s="62"/>
      <c r="CR16" s="62"/>
      <c r="CS16" s="63" t="str">
        <f>IF(OR(ISNUMBER(CM16),ISNUMBER(CN16),ISNUMBER(CO16),ISNUMBER(CP16),ISNUMBER(CQ16),ISNUMBER(CR16),CM16="X",CN16="X",CO16="X",CP16="X",CQ16="X",CR16="X",CM16="M",CN16="M",CO16="M",CP16="M",CQ16="M",CR16="M"),IF(CM16="X",10,IF(CM16="M",0,IF(ISNUMBER(CM16),CM16,0))) + IF(CN16="X",10,IF(CN16="M",0,IF(ISNUMBER(CN16),CN16,0))) + IF(CO16="X",10,IF(CO16="M",0,IF(ISNUMBER(CO16),CO16,0))) + IF(CP16="X",10,IF(CP16="M",0,IF(ISNUMBER(CP16),CP16,0))) + IF(CQ16="X",10,IF(CQ16="M",0,IF(ISNUMBER(CQ16),CQ16,0))) + IF(CR16="X",10,IF(CR16="M",0,IF(ISNUMBER(CR16),CR16,0))),"")</f>
        <v/>
      </c>
      <c r="CT16" s="64"/>
      <c r="CU16" s="64"/>
      <c r="CV16" s="64"/>
      <c r="CW16" s="64"/>
      <c r="CX16" s="64"/>
      <c r="CY16" s="64"/>
      <c r="CZ16" s="63" t="str">
        <f>IF(OR(ISNUMBER(CT16),ISNUMBER(CU16),ISNUMBER(CV16),ISNUMBER(CW16),ISNUMBER(CX16),ISNUMBER(CY16),CT16="X",CU16="X",CV16="X",CW16="X",CX16="X",CY16="X",CT16="M",CU16="M",CV16="M",CW16="M",CX16="M",CY16="M"),IF(CT16="X",10,IF(CT16="M",0,IF(ISNUMBER(CT16),CT16,0))) + IF(CU16="X",10,IF(CU16="M",0,IF(ISNUMBER(CU16),CU16,0))) + IF(CV16="X",10,IF(CV16="M",0,IF(ISNUMBER(CV16),CV16,0))) + IF(CW16="X",10,IF(CW16="M",0,IF(ISNUMBER(CW16),CW16,0))) + IF(CX16="X",10,IF(CX16="M",0,IF(ISNUMBER(CX16),CX16,0))) + IF(CY16="X",10,IF(CY16="M",0,IF(ISNUMBER(CY16),CY16,0))),"")</f>
        <v/>
      </c>
      <c r="DA16" s="65">
        <f>IF(AND(ISNUMBER(BQ16),ISNUMBER(BQ18)),IF(BQ16&gt;BQ18,2,IF(BQ16=BQ18,1,0)),0)+IF(AND(ISNUMBER(BX16),ISNUMBER(BX18)),IF(BX16&gt;BX18,2,IF(BX16=BX18,1,0)),0)+IF(AND(ISNUMBER(CE16),ISNUMBER(CE18)),IF(CE16&gt;CE18,2,IF(CE16=CE18,1,0)),0)+IF(AND(ISNUMBER(CL16),ISNUMBER(CL18)),IF(CL16&gt;CL18,2,IF(CL16=CL18,1,0)),0)+IF(AND(ISNUMBER(CS16),ISNUMBER(CS18)),IF(CS16&gt;CS18,2,IF(CS16=CS18,1,0)),0)</f>
        <v>0</v>
      </c>
      <c r="DB16" s="66"/>
      <c r="DC16" s="67">
        <f>IF(DA16&gt;0,IF(BK16="X",10,IF(BK16="M",0,IF(ISNUMBER(BK16),BK16,0)))+IF(BL16="X",10,IF(BL16="M",0,IF(ISNUMBER(BL16),BL16,0)))+IF(BM16="X",10,IF(BM16="M",0,IF(ISNUMBER(BM16),BM16,0)))+IF(BN16="X",10,IF(BN16="M",0,IF(ISNUMBER(BN16),BN16,0)))+IF(BO16="X",10,IF(BO16="M",0,IF(ISNUMBER(BO16),BO16,0)))+IF(BP16="X",10,IF(BP16="M",0,IF(ISNUMBER(BP16),BP16,0)))+IF(BR16="X",10,IF(BR16="M",0,IF(ISNUMBER(BR16),BR16,0)))+IF(BS16="X",10,IF(BS16="M",0,IF(ISNUMBER(BS16),BS16,0)))+IF(BT16="X",10,IF(BT16="M",0,IF(ISNUMBER(BT16),BT16,0)))+IF(BU16="X",10,IF(BU16="M",0,IF(ISNUMBER(BU16),BU16,0)))+IF(BV16="X",10,IF(BV16="M",0,IF(ISNUMBER(BV16),BV16,0)))+IF(BW16="X",10,IF(BW16="M",0,IF(ISNUMBER(BW16),BW16,0)))+IF(BY16="X",10,IF(BY16="M",0,IF(ISNUMBER(BY16),BY16,0)))+IF(BZ16="X",10,IF(BZ16="M",0,IF(ISNUMBER(BZ16),BZ16,0)))+IF(CA16="X",10,IF(CA16="M",0,IF(ISNUMBER(CA16),CA16,0)))+IF(CB16="X",10,IF(CB16="M",0,IF(ISNUMBER(CB16),CB16,0)))+IF(CC16="X",10,IF(CC16="M",0,IF(ISNUMBER(CC16),CC16,0)))+IF(CD16="X",10,IF(CD16="M",0,IF(ISNUMBER(CD16),CD16,0)))+IF(CF16="X",10,IF(CF16="M",0,IF(ISNUMBER(CF16),CF16,0)))+IF(CG16="X",10,IF(CG16="M",0,IF(ISNUMBER(CG16),CG16,0)))+IF(CH16="X",10,IF(CH16="M",0,IF(ISNUMBER(CH16),CH16,0)))+IF(CI16="X",10,IF(CI16="M",0,IF(ISNUMBER(CI16),CI16,0)))+IF(CJ16="X",10,IF(CJ16="M",0,IF(ISNUMBER(CJ16),CJ16,0)))+IF(CK16="X",10,IF(CK16="M",0,IF(ISNUMBER(CK16),CK16,0)))+IF(CM16="X",10,IF(CM16="M",0,IF(ISNUMBER(CM16),CM16,0)))+IF(CN16="X",10,IF(CN16="M",0,IF(ISNUMBER(CN16),CN16,0)))+IF(CO16="X",10,IF(CO16="M",0,IF(ISNUMBER(CO16),CO16,0)))+IF(CP16="X",10,IF(CP16="M",0,IF(ISNUMBER(CP16),CP16,0)))+IF(CQ16="X",10,IF(CQ16="M",0,IF(ISNUMBER(CQ16),CQ16,0)))+IF(CR16="X",10,IF(CR16="M",0,IF(ISNUMBER(CR16),CR16,0)))+IF(CT16="X",10,IF(CT16="M",0,IF(ISNUMBER(CT16),CT16,0)))+IF(CU16="X",10,IF(CU16="M",0,IF(ISNUMBER(CU16),CU16,0)))+IF(CV16="X",10,IF(CV16="M",0,IF(ISNUMBER(CV16),CV16,0)))+IF(CW16="X",10,IF(CW16="M",0,IF(ISNUMBER(CW16),CW16,0)))+IF(CX16="X",10,IF(CX16="M",0,IF(ISNUMBER(CX16),CX16,0)))+IF(CY16="X",10,IF(CY16="M",0,IF(ISNUMBER(CY16),CY16,0))),0)</f>
        <v>0</v>
      </c>
      <c r="DD16" s="68" t="str">
        <f>IFERROR(IF(DB16="DQ","DISQUALIFIED",IF(DB18="DQ","&gt;&gt; Advance",IF(DF18="BYE","&gt;&gt; Advance",IF(DF16="BYE","BYE",IF(DA16&gt;=6,"WIN",IF(DA18&gt;=6,"LOSS",IF(AND(ISNUMBER(CZ16),ISNUMBER(CZ18)),IF(CZ16&gt;CZ18,"WIN",IF(CZ16&lt;CZ18,"LOSS","Shoot-Off")),"Playing"))))))),"Error")</f>
        <v>&gt;&gt; Advance</v>
      </c>
      <c r="DF16" s="69" t="str">
        <f>IFERROR(IF(AND(BC26="BYE",BC28="BYE"),"BYE",""),"")</f>
        <v>BYE</v>
      </c>
      <c r="HM16" s="115" t="str">
        <f>IFERROR(IF(HL11="BYE",IF(HL13="BYE","TBD",FK13),IF(HL13="BYE",FK11,IF(OR(HJ11="WIN",HJ11="&gt;&gt; Advance"),FK11,IF(OR(HJ13="WIN",HJ13="&gt;&gt; Advance"),FK13,"TBD")))),"TBD")</f>
        <v>TBD</v>
      </c>
      <c r="HN16" s="115"/>
      <c r="HO16" s="115"/>
      <c r="HP16" s="115"/>
      <c r="HQ16" s="115"/>
      <c r="HR16" s="115"/>
      <c r="HS16" s="115"/>
      <c r="HT16" s="115"/>
      <c r="HU16" s="115"/>
      <c r="HV16" s="115"/>
      <c r="HW16" s="115"/>
      <c r="HX16" s="115"/>
      <c r="HY16" s="115"/>
      <c r="HZ16" s="115"/>
      <c r="IA16" s="115"/>
      <c r="IB16" s="115"/>
    </row>
    <row r="17" spans="1:236" ht="3" customHeight="1" x14ac:dyDescent="0.35">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HM17" s="115"/>
      <c r="HN17" s="115"/>
      <c r="HO17" s="115"/>
      <c r="HP17" s="115"/>
      <c r="HQ17" s="115"/>
      <c r="HR17" s="115"/>
      <c r="HS17" s="115"/>
      <c r="HT17" s="115"/>
      <c r="HU17" s="115"/>
      <c r="HV17" s="115"/>
      <c r="HW17" s="115"/>
      <c r="HX17" s="115"/>
      <c r="HY17" s="115"/>
      <c r="HZ17" s="115"/>
      <c r="IA17" s="115"/>
      <c r="IB17" s="115"/>
    </row>
    <row r="18" spans="1:236" ht="15.75" customHeight="1" x14ac:dyDescent="0.35">
      <c r="A18" s="61" t="str">
        <f>IFERROR(IF(INDEX('Open 30M - Teams'!$L:$L,MATCH(12,'Open 30M - Teams'!$A:$A,0))="Yes","BYE",IF(OR(INDEX('Open 30M - Teams'!$B:$B,MATCH(12,'Open 30M - Teams'!$A:$A,0))="",ISERROR(MATCH(12,'Open 30M - Teams'!$A:$A,0))),"BYE","#12")),"BYE")</f>
        <v>BYE</v>
      </c>
      <c r="B18" s="106" t="str">
        <f>IFERROR(IF(INDEX('Open 30M - Teams'!$L:$L,MATCH(12,'Open 30M - Teams'!$A:$A,0))="Yes","",IF(INDEX('Open 30M - Teams'!$N:$N,MATCH(12,'Open 30M - Teams'!$A:$A,0))&lt;&gt;"",INDEX('Open 30M - Teams'!$N:$N,MATCH(12,'Open 30M - Teams'!$A:$A,0)),IF(INDEX('Open 30M - Teams'!$B:$B,MATCH(12,'Open 30M - Teams'!$A:$A,0))="","",INDEX('Open 30M - Teams'!$B:$B,MATCH(12,'Open 30M - Teams'!$A:$A,0))))),"")</f>
        <v/>
      </c>
      <c r="C18" s="106"/>
      <c r="D18" s="106"/>
      <c r="E18" s="107" t="str">
        <f>IF(OR(A18="BYE",BA18="&gt;&gt;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Advance",1,0),0),0))-1,2)=0)," (L)"," (R)")))</f>
        <v/>
      </c>
      <c r="F18" s="107"/>
      <c r="G18" s="107"/>
      <c r="H18" s="62"/>
      <c r="I18" s="62"/>
      <c r="J18" s="62"/>
      <c r="K18" s="62"/>
      <c r="L18" s="62"/>
      <c r="M18" s="62"/>
      <c r="N18" s="63" t="str">
        <f>IF(OR(ISNUMBER(H18),ISNUMBER(I18),ISNUMBER(J18),ISNUMBER(K18),ISNUMBER(L18),ISNUMBER(M18),H18="X",I18="X",J18="X",K18="X",L18="X",M18="X",H18="M",I18="M",J18="M",K18="M",L18="M",M18="M"),IF(H18="X",10,IF(H18="M",0,IF(ISNUMBER(H18),H18,0))) + IF(I18="X",10,IF(I18="M",0,IF(ISNUMBER(I18),I18,0))) + IF(J18="X",10,IF(J18="M",0,IF(ISNUMBER(J18),J18,0))) + IF(K18="X",10,IF(K18="M",0,IF(ISNUMBER(K18),K18,0))) + IF(L18="X",10,IF(L18="M",0,IF(ISNUMBER(L18),L18,0))) + IF(M18="X",10,IF(M18="M",0,IF(ISNUMBER(M18),M18,0))),"")</f>
        <v/>
      </c>
      <c r="O18" s="62"/>
      <c r="P18" s="62"/>
      <c r="Q18" s="62"/>
      <c r="R18" s="62"/>
      <c r="S18" s="62"/>
      <c r="T18" s="62"/>
      <c r="U18" s="63" t="str">
        <f>IF(OR(ISNUMBER(O18),ISNUMBER(P18),ISNUMBER(Q18),ISNUMBER(R18),ISNUMBER(S18),ISNUMBER(T18),O18="X",P18="X",Q18="X",R18="X",S18="X",T18="X",O18="M",P18="M",Q18="M",R18="M",S18="M",T18="M"),IF(O18="X",10,IF(O18="M",0,IF(ISNUMBER(O18),O18,0))) + IF(P18="X",10,IF(P18="M",0,IF(ISNUMBER(P18),P18,0))) + IF(Q18="X",10,IF(Q18="M",0,IF(ISNUMBER(Q18),Q18,0))) + IF(R18="X",10,IF(R18="M",0,IF(ISNUMBER(R18),R18,0))) + IF(S18="X",10,IF(S18="M",0,IF(ISNUMBER(S18),S18,0))) + IF(T18="X",10,IF(T18="M",0,IF(ISNUMBER(T18),T18,0))),"")</f>
        <v/>
      </c>
      <c r="V18" s="62"/>
      <c r="W18" s="62"/>
      <c r="X18" s="62"/>
      <c r="Y18" s="62"/>
      <c r="Z18" s="62"/>
      <c r="AA18" s="62"/>
      <c r="AB18" s="63" t="str">
        <f>IF(OR(ISNUMBER(V18),ISNUMBER(W18),ISNUMBER(X18),ISNUMBER(Y18),ISNUMBER(Z18),ISNUMBER(AA18),V18="X",W18="X",X18="X",Y18="X",Z18="X",AA18="X",V18="M",W18="M",X18="M",Y18="M",Z18="M",AA18="M"),IF(V18="X",10,IF(V18="M",0,IF(ISNUMBER(V18),V18,0))) + IF(W18="X",10,IF(W18="M",0,IF(ISNUMBER(W18),W18,0))) + IF(X18="X",10,IF(X18="M",0,IF(ISNUMBER(X18),X18,0))) + IF(Y18="X",10,IF(Y18="M",0,IF(ISNUMBER(Y18),Y18,0))) + IF(Z18="X",10,IF(Z18="M",0,IF(ISNUMBER(Z18),Z18,0))) + IF(AA18="X",10,IF(AA18="M",0,IF(ISNUMBER(AA18),AA18,0))),"")</f>
        <v/>
      </c>
      <c r="AC18" s="62"/>
      <c r="AD18" s="62"/>
      <c r="AE18" s="62"/>
      <c r="AF18" s="62"/>
      <c r="AG18" s="62"/>
      <c r="AH18" s="62"/>
      <c r="AI18" s="63" t="str">
        <f>IF(OR(ISNUMBER(AC18),ISNUMBER(AD18),ISNUMBER(AE18),ISNUMBER(AF18),ISNUMBER(AG18),ISNUMBER(AH18),AC18="X",AD18="X",AE18="X",AF18="X",AG18="X",AH18="X",AC18="M",AD18="M",AE18="M",AF18="M",AG18="M",AH18="M"),IF(AC18="X",10,IF(AC18="M",0,IF(ISNUMBER(AC18),AC18,0))) + IF(AD18="X",10,IF(AD18="M",0,IF(ISNUMBER(AD18),AD18,0))) + IF(AE18="X",10,IF(AE18="M",0,IF(ISNUMBER(AE18),AE18,0))) + IF(AF18="X",10,IF(AF18="M",0,IF(ISNUMBER(AF18),AF18,0))) + IF(AG18="X",10,IF(AG18="M",0,IF(ISNUMBER(AG18),AG18,0))) + IF(AH18="X",10,IF(AH18="M",0,IF(ISNUMBER(AH18),AH18,0))),"")</f>
        <v/>
      </c>
      <c r="AJ18" s="62"/>
      <c r="AK18" s="62"/>
      <c r="AL18" s="62"/>
      <c r="AM18" s="62"/>
      <c r="AN18" s="62"/>
      <c r="AO18" s="62"/>
      <c r="AP18" s="63" t="str">
        <f>IF(OR(ISNUMBER(AJ18),ISNUMBER(AK18),ISNUMBER(AL18),ISNUMBER(AM18),ISNUMBER(AN18),ISNUMBER(AO18),AJ18="X",AK18="X",AL18="X",AM18="X",AN18="X",AO18="X",AJ18="M",AK18="M",AL18="M",AM18="M",AN18="M",AO18="M"),IF(AJ18="X",10,IF(AJ18="M",0,IF(ISNUMBER(AJ18),AJ18,0))) + IF(AK18="X",10,IF(AK18="M",0,IF(ISNUMBER(AK18),AK18,0))) + IF(AL18="X",10,IF(AL18="M",0,IF(ISNUMBER(AL18),AL18,0))) + IF(AM18="X",10,IF(AM18="M",0,IF(ISNUMBER(AM18),AM18,0))) + IF(AN18="X",10,IF(AN18="M",0,IF(ISNUMBER(AN18),AN18,0))) + IF(AO18="X",10,IF(AO18="M",0,IF(ISNUMBER(AO18),AO18,0))),"")</f>
        <v/>
      </c>
      <c r="AQ18" s="64"/>
      <c r="AR18" s="64"/>
      <c r="AS18" s="64"/>
      <c r="AT18" s="64"/>
      <c r="AU18" s="64"/>
      <c r="AV18" s="64"/>
      <c r="AW18" s="63" t="str">
        <f>IF(OR(ISNUMBER(AQ18),ISNUMBER(AR18),ISNUMBER(AS18),ISNUMBER(AT18),ISNUMBER(AU18),ISNUMBER(AV18),AQ18="X",AR18="X",AS18="X",AT18="X",AU18="X",AV18="X",AQ18="M",AR18="M",AS18="M",AT18="M",AU18="M",AV18="M"),IF(AQ18="X",10,IF(AQ18="M",0,IF(ISNUMBER(AQ18),AQ18,0))) + IF(AR18="X",10,IF(AR18="M",0,IF(ISNUMBER(AR18),AR18,0))) + IF(AS18="X",10,IF(AS18="M",0,IF(ISNUMBER(AS18),AS18,0))) + IF(AT18="X",10,IF(AT18="M",0,IF(ISNUMBER(AT18),AT18,0))) + IF(AU18="X",10,IF(AU18="M",0,IF(ISNUMBER(AU18),AU18,0))) + IF(AV18="X",10,IF(AV18="M",0,IF(ISNUMBER(AV18),AV18,0))),"")</f>
        <v/>
      </c>
      <c r="AX18" s="65">
        <f>IF(AND(ISNUMBER(N18),ISNUMBER(N16)),IF(N18&gt;N16,2,IF(N18=N16,1,0)),0)+IF(AND(ISNUMBER(U18),ISNUMBER(U16)),IF(U18&gt;U16,2,IF(U18=U16,1,0)),0)+IF(AND(ISNUMBER(AB18),ISNUMBER(AB16)),IF(AB18&gt;AB16,2,IF(AB18=AB16,1,0)),0)+IF(AND(ISNUMBER(AI18),ISNUMBER(AI16)),IF(AI18&gt;AI16,2,IF(AI18=AI16,1,0)),0)+IF(AND(ISNUMBER(AP18),ISNUMBER(AP16)),IF(AP18&gt;AP16,2,IF(AP18=AP16,1,0)),0)</f>
        <v>0</v>
      </c>
      <c r="AY18" s="66"/>
      <c r="AZ18" s="67">
        <f>IF(AX18&gt;0,IF(H18="X",10,IF(H18="M",0,IF(ISNUMBER(H18),H18,0)))+IF(I18="X",10,IF(I18="M",0,IF(ISNUMBER(I18),I18,0)))+IF(J18="X",10,IF(J18="M",0,IF(ISNUMBER(J18),J18,0)))+IF(K18="X",10,IF(K18="M",0,IF(ISNUMBER(K18),K18,0)))+IF(L18="X",10,IF(L18="M",0,IF(ISNUMBER(L18),L18,0)))+IF(M18="X",10,IF(M18="M",0,IF(ISNUMBER(M18),M18,0)))+IF(O18="X",10,IF(O18="M",0,IF(ISNUMBER(O18),O18,0)))+IF(P18="X",10,IF(P18="M",0,IF(ISNUMBER(P18),P18,0)))+IF(Q18="X",10,IF(Q18="M",0,IF(ISNUMBER(Q18),Q18,0)))+IF(R18="X",10,IF(R18="M",0,IF(ISNUMBER(R18),R18,0)))+IF(S18="X",10,IF(S18="M",0,IF(ISNUMBER(S18),S18,0)))+IF(T18="X",10,IF(T18="M",0,IF(ISNUMBER(T18),T18,0)))+IF(V18="X",10,IF(V18="M",0,IF(ISNUMBER(V18),V18,0)))+IF(W18="X",10,IF(W18="M",0,IF(ISNUMBER(W18),W18,0)))+IF(X18="X",10,IF(X18="M",0,IF(ISNUMBER(X18),X18,0)))+IF(Y18="X",10,IF(Y18="M",0,IF(ISNUMBER(Y18),Y18,0)))+IF(Z18="X",10,IF(Z18="M",0,IF(ISNUMBER(Z18),Z18,0)))+IF(AA18="X",10,IF(AA18="M",0,IF(ISNUMBER(AA18),AA18,0)))+IF(AC18="X",10,IF(AC18="M",0,IF(ISNUMBER(AC18),AC18,0)))+IF(AD18="X",10,IF(AD18="M",0,IF(ISNUMBER(AD18),AD18,0)))+IF(AE18="X",10,IF(AE18="M",0,IF(ISNUMBER(AE18),AE18,0)))+IF(AF18="X",10,IF(AF18="M",0,IF(ISNUMBER(AF18),AF18,0)))+IF(AG18="X",10,IF(AG18="M",0,IF(ISNUMBER(AG18),AG18,0)))+IF(AH18="X",10,IF(AH18="M",0,IF(ISNUMBER(AH18),AH18,0)))+IF(AJ18="X",10,IF(AJ18="M",0,IF(ISNUMBER(AJ18),AJ18,0)))+IF(AK18="X",10,IF(AK18="M",0,IF(ISNUMBER(AK18),AK18,0)))+IF(AL18="X",10,IF(AL18="M",0,IF(ISNUMBER(AL18),AL18,0)))+IF(AM18="X",10,IF(AM18="M",0,IF(ISNUMBER(AM18),AM18,0)))+IF(AN18="X",10,IF(AN18="M",0,IF(ISNUMBER(AN18),AN18,0)))+IF(AO18="X",10,IF(AO18="M",0,IF(ISNUMBER(AO18),AO18,0)))+IF(AQ18="X",10,IF(AQ18="M",0,IF(ISNUMBER(AQ18),AQ18,0)))+IF(AR18="X",10,IF(AR18="M",0,IF(ISNUMBER(AR18),AR18,0)))+IF(AS18="X",10,IF(AS18="M",0,IF(ISNUMBER(AS18),AS18,0)))+IF(AT18="X",10,IF(AT18="M",0,IF(ISNUMBER(AT18),AT18,0)))+IF(AU18="X",10,IF(AU18="M",0,IF(ISNUMBER(AU18),AU18,0)))+IF(AV18="X",10,IF(AV18="M",0,IF(ISNUMBER(AV18),AV18,0))),0)</f>
        <v>0</v>
      </c>
      <c r="BA18" s="68" t="str">
        <f>IFERROR(IF(AY18="DQ","DISQUALIFIED",IF(AY16="DQ","&gt;&gt; Advance",IF(BC16="BYE","&gt;&gt; Advance",IF(BC18="BYE","BYE",IF(AX18&gt;=6,"WIN",IF(AX16&gt;=6,"LOSS",IF(AND(ISNUMBER(AW18),ISNUMBER(AW16)),IF(AW18&gt;AW16,"WIN",IF(AW18&lt;AW16,"LOSS","Shoot-Off")),"Playing"))))))),"Error")</f>
        <v>&gt;&gt; Advance</v>
      </c>
      <c r="BC18" s="69" t="str">
        <f>IFERROR(IF(INDEX('Open 30M - Teams'!$L:$L,MATCH(12,'Open 30M - Teams'!$A:$A,0))="Yes","BYE",IF(OR(INDEX('Open 30M - Teams'!$B:$B,MATCH(12,'Open 30M - Teams'!$A:$A,0))="",ISERROR(MATCH(12,'Open 30M - Teams'!$A:$A,0))),"BYE","")),"BYE")</f>
        <v>BYE</v>
      </c>
      <c r="BD18" s="61" t="s">
        <v>202</v>
      </c>
      <c r="BE18" s="106" t="str">
        <f>IFERROR(IF(BC31="BYE",IF(BC33="BYE","TBD",B33),IF(BC33="BYE",B31,IF(OR(BA31="WIN",BA31="&gt;&gt; Advance"),B31,IF(OR(BA33="WIN",BA33="&gt;&gt; Advance"),B33,"TBD")))),"TBD")</f>
        <v>TBD</v>
      </c>
      <c r="BF18" s="106"/>
      <c r="BG18" s="106"/>
      <c r="BH18" s="107" t="str">
        <f>IF(AND(BE16&lt;&gt;"TBD",BE16&lt;&gt;"",BE18&lt;&gt;"TBD",BE18&lt;&gt;"",DD16&lt;&gt;"&gt;&gt; Advance",DD18&lt;&gt;"&gt;&gt; Advance"),IF((B2-A2+1)&gt;=8,(A2+5)&amp;"",IF((B2-A2+1)&gt;=4,(A2+2)&amp;" R",(A2+MOD(2,(B2-A2+1)))&amp;CHAR(65+FLOOR(2/(B2-A2+1),1)*2+1)&amp;" (R)")),"")</f>
        <v/>
      </c>
      <c r="BI18" s="107"/>
      <c r="BJ18" s="107"/>
      <c r="BK18" s="62"/>
      <c r="BL18" s="62"/>
      <c r="BM18" s="62"/>
      <c r="BN18" s="62"/>
      <c r="BO18" s="62"/>
      <c r="BP18" s="62"/>
      <c r="BQ18" s="63" t="str">
        <f>IF(OR(ISNUMBER(BK18),ISNUMBER(BL18),ISNUMBER(BM18),ISNUMBER(BN18),ISNUMBER(BO18),ISNUMBER(BP18),BK18="X",BL18="X",BM18="X",BN18="X",BO18="X",BP18="X",BK18="M",BL18="M",BM18="M",BN18="M",BO18="M",BP18="M"),IF(BK18="X",10,IF(BK18="M",0,IF(ISNUMBER(BK18),BK18,0))) + IF(BL18="X",10,IF(BL18="M",0,IF(ISNUMBER(BL18),BL18,0))) + IF(BM18="X",10,IF(BM18="M",0,IF(ISNUMBER(BM18),BM18,0))) + IF(BN18="X",10,IF(BN18="M",0,IF(ISNUMBER(BN18),BN18,0))) + IF(BO18="X",10,IF(BO18="M",0,IF(ISNUMBER(BO18),BO18,0))) + IF(BP18="X",10,IF(BP18="M",0,IF(ISNUMBER(BP18),BP18,0))),"")</f>
        <v/>
      </c>
      <c r="BR18" s="62"/>
      <c r="BS18" s="62"/>
      <c r="BT18" s="62"/>
      <c r="BU18" s="62"/>
      <c r="BV18" s="62"/>
      <c r="BW18" s="62"/>
      <c r="BX18" s="63" t="str">
        <f>IF(OR(ISNUMBER(BR18),ISNUMBER(BS18),ISNUMBER(BT18),ISNUMBER(BU18),ISNUMBER(BV18),ISNUMBER(BW18),BR18="X",BS18="X",BT18="X",BU18="X",BV18="X",BW18="X",BR18="M",BS18="M",BT18="M",BU18="M",BV18="M",BW18="M"),IF(BR18="X",10,IF(BR18="M",0,IF(ISNUMBER(BR18),BR18,0))) + IF(BS18="X",10,IF(BS18="M",0,IF(ISNUMBER(BS18),BS18,0))) + IF(BT18="X",10,IF(BT18="M",0,IF(ISNUMBER(BT18),BT18,0))) + IF(BU18="X",10,IF(BU18="M",0,IF(ISNUMBER(BU18),BU18,0))) + IF(BV18="X",10,IF(BV18="M",0,IF(ISNUMBER(BV18),BV18,0))) + IF(BW18="X",10,IF(BW18="M",0,IF(ISNUMBER(BW18),BW18,0))),"")</f>
        <v/>
      </c>
      <c r="BY18" s="62"/>
      <c r="BZ18" s="62"/>
      <c r="CA18" s="62"/>
      <c r="CB18" s="62"/>
      <c r="CC18" s="62"/>
      <c r="CD18" s="62"/>
      <c r="CE18" s="63" t="str">
        <f>IF(OR(ISNUMBER(BY18),ISNUMBER(BZ18),ISNUMBER(CA18),ISNUMBER(CB18),ISNUMBER(CC18),ISNUMBER(CD18),BY18="X",BZ18="X",CA18="X",CB18="X",CC18="X",CD18="X",BY18="M",BZ18="M",CA18="M",CB18="M",CC18="M",CD18="M"),IF(BY18="X",10,IF(BY18="M",0,IF(ISNUMBER(BY18),BY18,0))) + IF(BZ18="X",10,IF(BZ18="M",0,IF(ISNUMBER(BZ18),BZ18,0))) + IF(CA18="X",10,IF(CA18="M",0,IF(ISNUMBER(CA18),CA18,0))) + IF(CB18="X",10,IF(CB18="M",0,IF(ISNUMBER(CB18),CB18,0))) + IF(CC18="X",10,IF(CC18="M",0,IF(ISNUMBER(CC18),CC18,0))) + IF(CD18="X",10,IF(CD18="M",0,IF(ISNUMBER(CD18),CD18,0))),"")</f>
        <v/>
      </c>
      <c r="CF18" s="62"/>
      <c r="CG18" s="62"/>
      <c r="CH18" s="62"/>
      <c r="CI18" s="62"/>
      <c r="CJ18" s="62"/>
      <c r="CK18" s="62"/>
      <c r="CL18" s="63" t="str">
        <f>IF(OR(ISNUMBER(CF18),ISNUMBER(CG18),ISNUMBER(CH18),ISNUMBER(CI18),ISNUMBER(CJ18),ISNUMBER(CK18),CF18="X",CG18="X",CH18="X",CI18="X",CJ18="X",CK18="X",CF18="M",CG18="M",CH18="M",CI18="M",CJ18="M",CK18="M"),IF(CF18="X",10,IF(CF18="M",0,IF(ISNUMBER(CF18),CF18,0))) + IF(CG18="X",10,IF(CG18="M",0,IF(ISNUMBER(CG18),CG18,0))) + IF(CH18="X",10,IF(CH18="M",0,IF(ISNUMBER(CH18),CH18,0))) + IF(CI18="X",10,IF(CI18="M",0,IF(ISNUMBER(CI18),CI18,0))) + IF(CJ18="X",10,IF(CJ18="M",0,IF(ISNUMBER(CJ18),CJ18,0))) + IF(CK18="X",10,IF(CK18="M",0,IF(ISNUMBER(CK18),CK18,0))),"")</f>
        <v/>
      </c>
      <c r="CM18" s="62"/>
      <c r="CN18" s="62"/>
      <c r="CO18" s="62"/>
      <c r="CP18" s="62"/>
      <c r="CQ18" s="62"/>
      <c r="CR18" s="62"/>
      <c r="CS18" s="63" t="str">
        <f>IF(OR(ISNUMBER(CM18),ISNUMBER(CN18),ISNUMBER(CO18),ISNUMBER(CP18),ISNUMBER(CQ18),ISNUMBER(CR18),CM18="X",CN18="X",CO18="X",CP18="X",CQ18="X",CR18="X",CM18="M",CN18="M",CO18="M",CP18="M",CQ18="M",CR18="M"),IF(CM18="X",10,IF(CM18="M",0,IF(ISNUMBER(CM18),CM18,0))) + IF(CN18="X",10,IF(CN18="M",0,IF(ISNUMBER(CN18),CN18,0))) + IF(CO18="X",10,IF(CO18="M",0,IF(ISNUMBER(CO18),CO18,0))) + IF(CP18="X",10,IF(CP18="M",0,IF(ISNUMBER(CP18),CP18,0))) + IF(CQ18="X",10,IF(CQ18="M",0,IF(ISNUMBER(CQ18),CQ18,0))) + IF(CR18="X",10,IF(CR18="M",0,IF(ISNUMBER(CR18),CR18,0))),"")</f>
        <v/>
      </c>
      <c r="CT18" s="64"/>
      <c r="CU18" s="64"/>
      <c r="CV18" s="64"/>
      <c r="CW18" s="64"/>
      <c r="CX18" s="64"/>
      <c r="CY18" s="64"/>
      <c r="CZ18" s="63" t="str">
        <f>IF(OR(ISNUMBER(CT18),ISNUMBER(CU18),ISNUMBER(CV18),ISNUMBER(CW18),ISNUMBER(CX18),ISNUMBER(CY18),CT18="X",CU18="X",CV18="X",CW18="X",CX18="X",CY18="X",CT18="M",CU18="M",CV18="M",CW18="M",CX18="M",CY18="M"),IF(CT18="X",10,IF(CT18="M",0,IF(ISNUMBER(CT18),CT18,0))) + IF(CU18="X",10,IF(CU18="M",0,IF(ISNUMBER(CU18),CU18,0))) + IF(CV18="X",10,IF(CV18="M",0,IF(ISNUMBER(CV18),CV18,0))) + IF(CW18="X",10,IF(CW18="M",0,IF(ISNUMBER(CW18),CW18,0))) + IF(CX18="X",10,IF(CX18="M",0,IF(ISNUMBER(CX18),CX18,0))) + IF(CY18="X",10,IF(CY18="M",0,IF(ISNUMBER(CY18),CY18,0))),"")</f>
        <v/>
      </c>
      <c r="DA18" s="65">
        <f>IF(AND(ISNUMBER(BQ18),ISNUMBER(BQ16)),IF(BQ18&gt;BQ16,2,IF(BQ18=BQ16,1,0)),0)+IF(AND(ISNUMBER(BX18),ISNUMBER(BX16)),IF(BX18&gt;BX16,2,IF(BX18=BX16,1,0)),0)+IF(AND(ISNUMBER(CE18),ISNUMBER(CE16)),IF(CE18&gt;CE16,2,IF(CE18=CE16,1,0)),0)+IF(AND(ISNUMBER(CL18),ISNUMBER(CL16)),IF(CL18&gt;CL16,2,IF(CL18=CL16,1,0)),0)+IF(AND(ISNUMBER(CS18),ISNUMBER(CS16)),IF(CS18&gt;CS16,2,IF(CS18=CS16,1,0)),0)</f>
        <v>0</v>
      </c>
      <c r="DB18" s="66"/>
      <c r="DC18" s="67">
        <f>IF(DA18&gt;0,IF(BK18="X",10,IF(BK18="M",0,IF(ISNUMBER(BK18),BK18,0)))+IF(BL18="X",10,IF(BL18="M",0,IF(ISNUMBER(BL18),BL18,0)))+IF(BM18="X",10,IF(BM18="M",0,IF(ISNUMBER(BM18),BM18,0)))+IF(BN18="X",10,IF(BN18="M",0,IF(ISNUMBER(BN18),BN18,0)))+IF(BO18="X",10,IF(BO18="M",0,IF(ISNUMBER(BO18),BO18,0)))+IF(BP18="X",10,IF(BP18="M",0,IF(ISNUMBER(BP18),BP18,0)))+IF(BR18="X",10,IF(BR18="M",0,IF(ISNUMBER(BR18),BR18,0)))+IF(BS18="X",10,IF(BS18="M",0,IF(ISNUMBER(BS18),BS18,0)))+IF(BT18="X",10,IF(BT18="M",0,IF(ISNUMBER(BT18),BT18,0)))+IF(BU18="X",10,IF(BU18="M",0,IF(ISNUMBER(BU18),BU18,0)))+IF(BV18="X",10,IF(BV18="M",0,IF(ISNUMBER(BV18),BV18,0)))+IF(BW18="X",10,IF(BW18="M",0,IF(ISNUMBER(BW18),BW18,0)))+IF(BY18="X",10,IF(BY18="M",0,IF(ISNUMBER(BY18),BY18,0)))+IF(BZ18="X",10,IF(BZ18="M",0,IF(ISNUMBER(BZ18),BZ18,0)))+IF(CA18="X",10,IF(CA18="M",0,IF(ISNUMBER(CA18),CA18,0)))+IF(CB18="X",10,IF(CB18="M",0,IF(ISNUMBER(CB18),CB18,0)))+IF(CC18="X",10,IF(CC18="M",0,IF(ISNUMBER(CC18),CC18,0)))+IF(CD18="X",10,IF(CD18="M",0,IF(ISNUMBER(CD18),CD18,0)))+IF(CF18="X",10,IF(CF18="M",0,IF(ISNUMBER(CF18),CF18,0)))+IF(CG18="X",10,IF(CG18="M",0,IF(ISNUMBER(CG18),CG18,0)))+IF(CH18="X",10,IF(CH18="M",0,IF(ISNUMBER(CH18),CH18,0)))+IF(CI18="X",10,IF(CI18="M",0,IF(ISNUMBER(CI18),CI18,0)))+IF(CJ18="X",10,IF(CJ18="M",0,IF(ISNUMBER(CJ18),CJ18,0)))+IF(CK18="X",10,IF(CK18="M",0,IF(ISNUMBER(CK18),CK18,0)))+IF(CM18="X",10,IF(CM18="M",0,IF(ISNUMBER(CM18),CM18,0)))+IF(CN18="X",10,IF(CN18="M",0,IF(ISNUMBER(CN18),CN18,0)))+IF(CO18="X",10,IF(CO18="M",0,IF(ISNUMBER(CO18),CO18,0)))+IF(CP18="X",10,IF(CP18="M",0,IF(ISNUMBER(CP18),CP18,0)))+IF(CQ18="X",10,IF(CQ18="M",0,IF(ISNUMBER(CQ18),CQ18,0)))+IF(CR18="X",10,IF(CR18="M",0,IF(ISNUMBER(CR18),CR18,0)))+IF(CT18="X",10,IF(CT18="M",0,IF(ISNUMBER(CT18),CT18,0)))+IF(CU18="X",10,IF(CU18="M",0,IF(ISNUMBER(CU18),CU18,0)))+IF(CV18="X",10,IF(CV18="M",0,IF(ISNUMBER(CV18),CV18,0)))+IF(CW18="X",10,IF(CW18="M",0,IF(ISNUMBER(CW18),CW18,0)))+IF(CX18="X",10,IF(CX18="M",0,IF(ISNUMBER(CX18),CX18,0)))+IF(CY18="X",10,IF(CY18="M",0,IF(ISNUMBER(CY18),CY18,0))),0)</f>
        <v>0</v>
      </c>
      <c r="DD18" s="68" t="str">
        <f>IFERROR(IF(DB18="DQ","DISQUALIFIED",IF(DB16="DQ","&gt;&gt; Advance",IF(DF16="BYE","&gt;&gt; Advance",IF(DF18="BYE","BYE",IF(DA18&gt;=6,"WIN",IF(DA16&gt;=6,"LOSS",IF(AND(ISNUMBER(CZ18),ISNUMBER(CZ16)),IF(CZ18&gt;CZ16,"WIN",IF(CZ18&lt;CZ16,"LOSS","Shoot-Off")),"Playing"))))))),"Error")</f>
        <v>&gt;&gt; Advance</v>
      </c>
      <c r="DF18" s="69" t="str">
        <f>IFERROR(IF(AND(BC31="BYE",BC33="BYE"),"BYE",""),"")</f>
        <v>BYE</v>
      </c>
      <c r="HM18" s="116" t="str">
        <f>IFERROR(IF(OR(HM16="TBD",HM16=""),"",IF(OR(ISNUMBER(MATCH(HM16,'Open 30M - Teams'!$N:$N,0)),ISNUMBER(MATCH(HM16,'Open 30M - Teams'!$B:$B,0))),IF(ISNUMBER(MATCH(HM16,'Open 30M - Teams'!$N:$N,0)),"Club: "&amp;INDEX('Open 30M - Teams'!$C:$C,IF(ISNUMBER(MATCH(HM16,'Open 30M - Teams'!$N:$N,0)),MATCH(HM16,'Open 30M - Teams'!$N:$N,0),MATCH(HM16,'Open 30M - Teams'!$B:$B,0)))&amp;"  |  "&amp;INDEX('Open 30M - Teams'!$D:$D,IF(ISNUMBER(MATCH(HM16,'Open 30M - Teams'!$N:$N,0)),MATCH(HM16,'Open 30M - Teams'!$N:$N,0),MATCH(HM16,'Open 30M - Teams'!$B:$B,0)))&amp;IF(INDEX('Open 30M - Teams'!$E:$E,IF(ISNUMBER(MATCH(HM16,'Open 30M - Teams'!$N:$N,0)),MATCH(HM16,'Open 30M - Teams'!$N:$N,0),MATCH(HM16,'Open 30M - Teams'!$B:$B,0)))&lt;&gt;"",", "&amp;INDEX('Open 30M - Teams'!$E:$E,IF(ISNUMBER(MATCH(HM16,'Open 30M - Teams'!$N:$N,0)),MATCH(HM16,'Open 30M - Teams'!$N:$N,0),MATCH(HM16,'Open 30M - Teams'!$B:$B,0))),"")&amp;IF(INDEX('Open 30M - Teams'!$F:$F,IF(ISNUMBER(MATCH(HM16,'Open 30M - Teams'!$N:$N,0)),MATCH(HM16,'Open 30M - Teams'!$N:$N,0),MATCH(HM16,'Open 30M - Teams'!$B:$B,0)))&lt;&gt;"",", "&amp;INDEX('Open 30M - Teams'!$F:$F,IF(ISNUMBER(MATCH(HM16,'Open 30M - Teams'!$N:$N,0)),MATCH(HM16,'Open 30M - Teams'!$N:$N,0),MATCH(HM16,'Open 30M - Teams'!$B:$B,0))),""),"Club: "&amp;INDEX('Open 30M - Teams'!$C:$C,IF(ISNUMBER(MATCH(HM16,'Open 30M - Teams'!$N:$N,0)),MATCH(HM16,'Open 30M - Teams'!$N:$N,0),MATCH(HM16,'Open 30M - Teams'!$B:$B,0)))),"")),"")</f>
        <v/>
      </c>
      <c r="HN18" s="116"/>
      <c r="HO18" s="116"/>
      <c r="HP18" s="116"/>
      <c r="HQ18" s="116"/>
      <c r="HR18" s="116"/>
      <c r="HS18" s="116"/>
      <c r="HT18" s="116"/>
      <c r="HU18" s="116"/>
      <c r="HV18" s="116"/>
      <c r="HW18" s="116"/>
      <c r="HX18" s="116"/>
      <c r="HY18" s="116"/>
      <c r="HZ18" s="116"/>
      <c r="IA18" s="116"/>
      <c r="IB18" s="116"/>
    </row>
    <row r="19" spans="1:236" ht="1.5" customHeight="1" x14ac:dyDescent="0.35">
      <c r="HM19" s="116"/>
      <c r="HN19" s="116"/>
      <c r="HO19" s="116"/>
      <c r="HP19" s="116"/>
      <c r="HQ19" s="116"/>
      <c r="HR19" s="116"/>
      <c r="HS19" s="116"/>
      <c r="HT19" s="116"/>
      <c r="HU19" s="116"/>
      <c r="HV19" s="116"/>
      <c r="HW19" s="116"/>
      <c r="HX19" s="116"/>
      <c r="HY19" s="116"/>
      <c r="HZ19" s="116"/>
      <c r="IA19" s="116"/>
      <c r="IB19" s="116"/>
    </row>
    <row r="20" spans="1:236" ht="10.5" customHeight="1" x14ac:dyDescent="0.35">
      <c r="A20" s="104" t="s">
        <v>203</v>
      </c>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t="s">
        <v>204</v>
      </c>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4"/>
      <c r="CD20" s="104"/>
      <c r="CE20" s="104"/>
      <c r="CF20" s="104"/>
      <c r="CG20" s="104"/>
      <c r="CH20" s="104"/>
      <c r="CI20" s="104"/>
      <c r="CJ20" s="104"/>
      <c r="CK20" s="104"/>
      <c r="CL20" s="104"/>
      <c r="CM20" s="104"/>
      <c r="CN20" s="104"/>
      <c r="CO20" s="104"/>
      <c r="CP20" s="104"/>
      <c r="CQ20" s="104"/>
      <c r="CR20" s="104"/>
      <c r="CS20" s="104"/>
      <c r="CT20" s="104"/>
      <c r="CU20" s="104"/>
      <c r="CV20" s="104"/>
      <c r="CW20" s="104"/>
      <c r="CX20" s="104"/>
      <c r="CY20" s="104"/>
      <c r="CZ20" s="104"/>
      <c r="DA20" s="104"/>
      <c r="DB20" s="104"/>
      <c r="DC20" s="104"/>
      <c r="DD20" s="104"/>
      <c r="DE20" s="104"/>
      <c r="DF20" s="104"/>
    </row>
    <row r="21" spans="1:236" ht="15.75" customHeight="1" x14ac:dyDescent="0.35">
      <c r="A21" s="61" t="str">
        <f>IFERROR(IF(INDEX('Open 30M - Teams'!$L:$L,MATCH(4,'Open 30M - Teams'!$A:$A,0))="Yes","BYE",IF(OR(INDEX('Open 30M - Teams'!$B:$B,MATCH(4,'Open 30M - Teams'!$A:$A,0))="",ISERROR(MATCH(4,'Open 30M - Teams'!$A:$A,0))),"BYE","#4")),"BYE")</f>
        <v>BYE</v>
      </c>
      <c r="B21" s="106" t="str">
        <f>IFERROR(IF(INDEX('Open 30M - Teams'!$L:$L,MATCH(4,'Open 30M - Teams'!$A:$A,0))="Yes","",IF(INDEX('Open 30M - Teams'!$N:$N,MATCH(4,'Open 30M - Teams'!$A:$A,0))&lt;&gt;"",INDEX('Open 30M - Teams'!$N:$N,MATCH(4,'Open 30M - Teams'!$A:$A,0)),IF(INDEX('Open 30M - Teams'!$B:$B,MATCH(4,'Open 30M - Teams'!$A:$A,0))="","",INDEX('Open 30M - Teams'!$B:$B,MATCH(4,'Open 30M - Teams'!$A:$A,0))))),"")</f>
        <v/>
      </c>
      <c r="C21" s="106"/>
      <c r="D21" s="106"/>
      <c r="E21" s="107" t="str">
        <f>IF(OR(A21="BYE",BA21="&gt;&gt;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Advance",1,0),0),0))-1,2)=0)," (L)"," (R)")))</f>
        <v/>
      </c>
      <c r="F21" s="107"/>
      <c r="G21" s="107"/>
      <c r="H21" s="62"/>
      <c r="I21" s="62"/>
      <c r="J21" s="62"/>
      <c r="K21" s="62"/>
      <c r="L21" s="62"/>
      <c r="M21" s="62"/>
      <c r="N21" s="63" t="str">
        <f>IF(OR(ISNUMBER(H21),ISNUMBER(I21),ISNUMBER(J21),ISNUMBER(K21),ISNUMBER(L21),ISNUMBER(M21),H21="X",I21="X",J21="X",K21="X",L21="X",M21="X",H21="M",I21="M",J21="M",K21="M",L21="M",M21="M"),IF(H21="X",10,IF(H21="M",0,IF(ISNUMBER(H21),H21,0))) + IF(I21="X",10,IF(I21="M",0,IF(ISNUMBER(I21),I21,0))) + IF(J21="X",10,IF(J21="M",0,IF(ISNUMBER(J21),J21,0))) + IF(K21="X",10,IF(K21="M",0,IF(ISNUMBER(K21),K21,0))) + IF(L21="X",10,IF(L21="M",0,IF(ISNUMBER(L21),L21,0))) + IF(M21="X",10,IF(M21="M",0,IF(ISNUMBER(M21),M21,0))),"")</f>
        <v/>
      </c>
      <c r="O21" s="62"/>
      <c r="P21" s="62"/>
      <c r="Q21" s="62"/>
      <c r="R21" s="62"/>
      <c r="S21" s="62"/>
      <c r="T21" s="62"/>
      <c r="U21" s="63" t="str">
        <f>IF(OR(ISNUMBER(O21),ISNUMBER(P21),ISNUMBER(Q21),ISNUMBER(R21),ISNUMBER(S21),ISNUMBER(T21),O21="X",P21="X",Q21="X",R21="X",S21="X",T21="X",O21="M",P21="M",Q21="M",R21="M",S21="M",T21="M"),IF(O21="X",10,IF(O21="M",0,IF(ISNUMBER(O21),O21,0))) + IF(P21="X",10,IF(P21="M",0,IF(ISNUMBER(P21),P21,0))) + IF(Q21="X",10,IF(Q21="M",0,IF(ISNUMBER(Q21),Q21,0))) + IF(R21="X",10,IF(R21="M",0,IF(ISNUMBER(R21),R21,0))) + IF(S21="X",10,IF(S21="M",0,IF(ISNUMBER(S21),S21,0))) + IF(T21="X",10,IF(T21="M",0,IF(ISNUMBER(T21),T21,0))),"")</f>
        <v/>
      </c>
      <c r="V21" s="62"/>
      <c r="W21" s="62"/>
      <c r="X21" s="62"/>
      <c r="Y21" s="62"/>
      <c r="Z21" s="62"/>
      <c r="AA21" s="62"/>
      <c r="AB21" s="63" t="str">
        <f>IF(OR(ISNUMBER(V21),ISNUMBER(W21),ISNUMBER(X21),ISNUMBER(Y21),ISNUMBER(Z21),ISNUMBER(AA21),V21="X",W21="X",X21="X",Y21="X",Z21="X",AA21="X",V21="M",W21="M",X21="M",Y21="M",Z21="M",AA21="M"),IF(V21="X",10,IF(V21="M",0,IF(ISNUMBER(V21),V21,0))) + IF(W21="X",10,IF(W21="M",0,IF(ISNUMBER(W21),W21,0))) + IF(X21="X",10,IF(X21="M",0,IF(ISNUMBER(X21),X21,0))) + IF(Y21="X",10,IF(Y21="M",0,IF(ISNUMBER(Y21),Y21,0))) + IF(Z21="X",10,IF(Z21="M",0,IF(ISNUMBER(Z21),Z21,0))) + IF(AA21="X",10,IF(AA21="M",0,IF(ISNUMBER(AA21),AA21,0))),"")</f>
        <v/>
      </c>
      <c r="AC21" s="62"/>
      <c r="AD21" s="62"/>
      <c r="AE21" s="62"/>
      <c r="AF21" s="62"/>
      <c r="AG21" s="62"/>
      <c r="AH21" s="62"/>
      <c r="AI21" s="63" t="str">
        <f>IF(OR(ISNUMBER(AC21),ISNUMBER(AD21),ISNUMBER(AE21),ISNUMBER(AF21),ISNUMBER(AG21),ISNUMBER(AH21),AC21="X",AD21="X",AE21="X",AF21="X",AG21="X",AH21="X",AC21="M",AD21="M",AE21="M",AF21="M",AG21="M",AH21="M"),IF(AC21="X",10,IF(AC21="M",0,IF(ISNUMBER(AC21),AC21,0))) + IF(AD21="X",10,IF(AD21="M",0,IF(ISNUMBER(AD21),AD21,0))) + IF(AE21="X",10,IF(AE21="M",0,IF(ISNUMBER(AE21),AE21,0))) + IF(AF21="X",10,IF(AF21="M",0,IF(ISNUMBER(AF21),AF21,0))) + IF(AG21="X",10,IF(AG21="M",0,IF(ISNUMBER(AG21),AG21,0))) + IF(AH21="X",10,IF(AH21="M",0,IF(ISNUMBER(AH21),AH21,0))),"")</f>
        <v/>
      </c>
      <c r="AJ21" s="62"/>
      <c r="AK21" s="62"/>
      <c r="AL21" s="62"/>
      <c r="AM21" s="62"/>
      <c r="AN21" s="62"/>
      <c r="AO21" s="62"/>
      <c r="AP21" s="63" t="str">
        <f>IF(OR(ISNUMBER(AJ21),ISNUMBER(AK21),ISNUMBER(AL21),ISNUMBER(AM21),ISNUMBER(AN21),ISNUMBER(AO21),AJ21="X",AK21="X",AL21="X",AM21="X",AN21="X",AO21="X",AJ21="M",AK21="M",AL21="M",AM21="M",AN21="M",AO21="M"),IF(AJ21="X",10,IF(AJ21="M",0,IF(ISNUMBER(AJ21),AJ21,0))) + IF(AK21="X",10,IF(AK21="M",0,IF(ISNUMBER(AK21),AK21,0))) + IF(AL21="X",10,IF(AL21="M",0,IF(ISNUMBER(AL21),AL21,0))) + IF(AM21="X",10,IF(AM21="M",0,IF(ISNUMBER(AM21),AM21,0))) + IF(AN21="X",10,IF(AN21="M",0,IF(ISNUMBER(AN21),AN21,0))) + IF(AO21="X",10,IF(AO21="M",0,IF(ISNUMBER(AO21),AO21,0))),"")</f>
        <v/>
      </c>
      <c r="AQ21" s="64"/>
      <c r="AR21" s="64"/>
      <c r="AS21" s="64"/>
      <c r="AT21" s="64"/>
      <c r="AU21" s="64"/>
      <c r="AV21" s="64"/>
      <c r="AW21" s="63" t="str">
        <f>IF(OR(ISNUMBER(AQ21),ISNUMBER(AR21),ISNUMBER(AS21),ISNUMBER(AT21),ISNUMBER(AU21),ISNUMBER(AV21),AQ21="X",AR21="X",AS21="X",AT21="X",AU21="X",AV21="X",AQ21="M",AR21="M",AS21="M",AT21="M",AU21="M",AV21="M"),IF(AQ21="X",10,IF(AQ21="M",0,IF(ISNUMBER(AQ21),AQ21,0))) + IF(AR21="X",10,IF(AR21="M",0,IF(ISNUMBER(AR21),AR21,0))) + IF(AS21="X",10,IF(AS21="M",0,IF(ISNUMBER(AS21),AS21,0))) + IF(AT21="X",10,IF(AT21="M",0,IF(ISNUMBER(AT21),AT21,0))) + IF(AU21="X",10,IF(AU21="M",0,IF(ISNUMBER(AU21),AU21,0))) + IF(AV21="X",10,IF(AV21="M",0,IF(ISNUMBER(AV21),AV21,0))),"")</f>
        <v/>
      </c>
      <c r="AX21" s="65">
        <f>IF(AND(ISNUMBER(N21),ISNUMBER(N23)),IF(N21&gt;N23,2,IF(N21=N23,1,0)),0)+IF(AND(ISNUMBER(U21),ISNUMBER(U23)),IF(U21&gt;U23,2,IF(U21=U23,1,0)),0)+IF(AND(ISNUMBER(AB21),ISNUMBER(AB23)),IF(AB21&gt;AB23,2,IF(AB21=AB23,1,0)),0)+IF(AND(ISNUMBER(AI21),ISNUMBER(AI23)),IF(AI21&gt;AI23,2,IF(AI21=AI23,1,0)),0)+IF(AND(ISNUMBER(AP21),ISNUMBER(AP23)),IF(AP21&gt;AP23,2,IF(AP21=AP23,1,0)),0)</f>
        <v>0</v>
      </c>
      <c r="AY21" s="66"/>
      <c r="AZ21" s="67">
        <f>IF(AX21&gt;0,IF(H21="X",10,IF(H21="M",0,IF(ISNUMBER(H21),H21,0)))+IF(I21="X",10,IF(I21="M",0,IF(ISNUMBER(I21),I21,0)))+IF(J21="X",10,IF(J21="M",0,IF(ISNUMBER(J21),J21,0)))+IF(K21="X",10,IF(K21="M",0,IF(ISNUMBER(K21),K21,0)))+IF(L21="X",10,IF(L21="M",0,IF(ISNUMBER(L21),L21,0)))+IF(M21="X",10,IF(M21="M",0,IF(ISNUMBER(M21),M21,0)))+IF(O21="X",10,IF(O21="M",0,IF(ISNUMBER(O21),O21,0)))+IF(P21="X",10,IF(P21="M",0,IF(ISNUMBER(P21),P21,0)))+IF(Q21="X",10,IF(Q21="M",0,IF(ISNUMBER(Q21),Q21,0)))+IF(R21="X",10,IF(R21="M",0,IF(ISNUMBER(R21),R21,0)))+IF(S21="X",10,IF(S21="M",0,IF(ISNUMBER(S21),S21,0)))+IF(T21="X",10,IF(T21="M",0,IF(ISNUMBER(T21),T21,0)))+IF(V21="X",10,IF(V21="M",0,IF(ISNUMBER(V21),V21,0)))+IF(W21="X",10,IF(W21="M",0,IF(ISNUMBER(W21),W21,0)))+IF(X21="X",10,IF(X21="M",0,IF(ISNUMBER(X21),X21,0)))+IF(Y21="X",10,IF(Y21="M",0,IF(ISNUMBER(Y21),Y21,0)))+IF(Z21="X",10,IF(Z21="M",0,IF(ISNUMBER(Z21),Z21,0)))+IF(AA21="X",10,IF(AA21="M",0,IF(ISNUMBER(AA21),AA21,0)))+IF(AC21="X",10,IF(AC21="M",0,IF(ISNUMBER(AC21),AC21,0)))+IF(AD21="X",10,IF(AD21="M",0,IF(ISNUMBER(AD21),AD21,0)))+IF(AE21="X",10,IF(AE21="M",0,IF(ISNUMBER(AE21),AE21,0)))+IF(AF21="X",10,IF(AF21="M",0,IF(ISNUMBER(AF21),AF21,0)))+IF(AG21="X",10,IF(AG21="M",0,IF(ISNUMBER(AG21),AG21,0)))+IF(AH21="X",10,IF(AH21="M",0,IF(ISNUMBER(AH21),AH21,0)))+IF(AJ21="X",10,IF(AJ21="M",0,IF(ISNUMBER(AJ21),AJ21,0)))+IF(AK21="X",10,IF(AK21="M",0,IF(ISNUMBER(AK21),AK21,0)))+IF(AL21="X",10,IF(AL21="M",0,IF(ISNUMBER(AL21),AL21,0)))+IF(AM21="X",10,IF(AM21="M",0,IF(ISNUMBER(AM21),AM21,0)))+IF(AN21="X",10,IF(AN21="M",0,IF(ISNUMBER(AN21),AN21,0)))+IF(AO21="X",10,IF(AO21="M",0,IF(ISNUMBER(AO21),AO21,0)))+IF(AQ21="X",10,IF(AQ21="M",0,IF(ISNUMBER(AQ21),AQ21,0)))+IF(AR21="X",10,IF(AR21="M",0,IF(ISNUMBER(AR21),AR21,0)))+IF(AS21="X",10,IF(AS21="M",0,IF(ISNUMBER(AS21),AS21,0)))+IF(AT21="X",10,IF(AT21="M",0,IF(ISNUMBER(AT21),AT21,0)))+IF(AU21="X",10,IF(AU21="M",0,IF(ISNUMBER(AU21),AU21,0)))+IF(AV21="X",10,IF(AV21="M",0,IF(ISNUMBER(AV21),AV21,0))),0)</f>
        <v>0</v>
      </c>
      <c r="BA21" s="68" t="str">
        <f>IFERROR(IF(AY21="DQ","DISQUALIFIED",IF(AY23="DQ","&gt;&gt; Advance",IF(BC23="BYE","&gt;&gt; Advance",IF(BC21="BYE","BYE",IF(AX21&gt;=6,"WIN",IF(AX23&gt;=6,"LOSS",IF(AND(ISNUMBER(AW21),ISNUMBER(AW23)),IF(AW21&gt;AW23,"WIN",IF(AW21&lt;AW23,"LOSS","Shoot-Off")),"Playing"))))))),"Error")</f>
        <v>&gt;&gt; Advance</v>
      </c>
      <c r="BC21" s="69" t="str">
        <f>IFERROR(IF(INDEX('Open 30M - Teams'!$L:$L,MATCH(4,'Open 30M - Teams'!$A:$A,0))="Yes","BYE",IF(OR(INDEX('Open 30M - Teams'!$B:$B,MATCH(4,'Open 30M - Teams'!$A:$A,0))="",ISERROR(MATCH(4,'Open 30M - Teams'!$A:$A,0))),"BYE","")),"BYE")</f>
        <v>BYE</v>
      </c>
      <c r="BD21" s="61" t="s">
        <v>205</v>
      </c>
      <c r="BE21" s="106" t="str">
        <f>IFERROR(IF(BC36="BYE",IF(BC38="BYE","TBD",B38),IF(BC38="BYE",B36,IF(OR(BA36="WIN",BA36="&gt;&gt; Advance"),B36,IF(OR(BA38="WIN",BA38="&gt;&gt; Advance"),B38,"TBD")))),"TBD")</f>
        <v>TBD</v>
      </c>
      <c r="BF21" s="106"/>
      <c r="BG21" s="106"/>
      <c r="BH21" s="107" t="str">
        <f>IF(AND(BE21&lt;&gt;"TBD",BE21&lt;&gt;"",BE23&lt;&gt;"TBD",BE23&lt;&gt;"",DD21&lt;&gt;"&gt;&gt; Advance",DD23&lt;&gt;"&gt;&gt; Advance"),IF((B2-A2+1)&gt;=8,(A2+6)&amp;"",IF((B2-A2+1)&gt;=4,(A2+3)&amp;" L",(A2+MOD(3,(B2-A2+1)))&amp;CHAR(65+FLOOR(3/(B2-A2+1),1)*2)&amp;" (L)")),"")</f>
        <v/>
      </c>
      <c r="BI21" s="107"/>
      <c r="BJ21" s="107"/>
      <c r="BK21" s="62"/>
      <c r="BL21" s="62"/>
      <c r="BM21" s="62"/>
      <c r="BN21" s="62"/>
      <c r="BO21" s="62"/>
      <c r="BP21" s="62"/>
      <c r="BQ21" s="63" t="str">
        <f>IF(OR(ISNUMBER(BK21),ISNUMBER(BL21),ISNUMBER(BM21),ISNUMBER(BN21),ISNUMBER(BO21),ISNUMBER(BP21),BK21="X",BL21="X",BM21="X",BN21="X",BO21="X",BP21="X",BK21="M",BL21="M",BM21="M",BN21="M",BO21="M",BP21="M"),IF(BK21="X",10,IF(BK21="M",0,IF(ISNUMBER(BK21),BK21,0))) + IF(BL21="X",10,IF(BL21="M",0,IF(ISNUMBER(BL21),BL21,0))) + IF(BM21="X",10,IF(BM21="M",0,IF(ISNUMBER(BM21),BM21,0))) + IF(BN21="X",10,IF(BN21="M",0,IF(ISNUMBER(BN21),BN21,0))) + IF(BO21="X",10,IF(BO21="M",0,IF(ISNUMBER(BO21),BO21,0))) + IF(BP21="X",10,IF(BP21="M",0,IF(ISNUMBER(BP21),BP21,0))),"")</f>
        <v/>
      </c>
      <c r="BR21" s="62"/>
      <c r="BS21" s="62"/>
      <c r="BT21" s="62"/>
      <c r="BU21" s="62"/>
      <c r="BV21" s="62"/>
      <c r="BW21" s="62"/>
      <c r="BX21" s="63" t="str">
        <f>IF(OR(ISNUMBER(BR21),ISNUMBER(BS21),ISNUMBER(BT21),ISNUMBER(BU21),ISNUMBER(BV21),ISNUMBER(BW21),BR21="X",BS21="X",BT21="X",BU21="X",BV21="X",BW21="X",BR21="M",BS21="M",BT21="M",BU21="M",BV21="M",BW21="M"),IF(BR21="X",10,IF(BR21="M",0,IF(ISNUMBER(BR21),BR21,0))) + IF(BS21="X",10,IF(BS21="M",0,IF(ISNUMBER(BS21),BS21,0))) + IF(BT21="X",10,IF(BT21="M",0,IF(ISNUMBER(BT21),BT21,0))) + IF(BU21="X",10,IF(BU21="M",0,IF(ISNUMBER(BU21),BU21,0))) + IF(BV21="X",10,IF(BV21="M",0,IF(ISNUMBER(BV21),BV21,0))) + IF(BW21="X",10,IF(BW21="M",0,IF(ISNUMBER(BW21),BW21,0))),"")</f>
        <v/>
      </c>
      <c r="BY21" s="62"/>
      <c r="BZ21" s="62"/>
      <c r="CA21" s="62"/>
      <c r="CB21" s="62"/>
      <c r="CC21" s="62"/>
      <c r="CD21" s="62"/>
      <c r="CE21" s="63" t="str">
        <f>IF(OR(ISNUMBER(BY21),ISNUMBER(BZ21),ISNUMBER(CA21),ISNUMBER(CB21),ISNUMBER(CC21),ISNUMBER(CD21),BY21="X",BZ21="X",CA21="X",CB21="X",CC21="X",CD21="X",BY21="M",BZ21="M",CA21="M",CB21="M",CC21="M",CD21="M"),IF(BY21="X",10,IF(BY21="M",0,IF(ISNUMBER(BY21),BY21,0))) + IF(BZ21="X",10,IF(BZ21="M",0,IF(ISNUMBER(BZ21),BZ21,0))) + IF(CA21="X",10,IF(CA21="M",0,IF(ISNUMBER(CA21),CA21,0))) + IF(CB21="X",10,IF(CB21="M",0,IF(ISNUMBER(CB21),CB21,0))) + IF(CC21="X",10,IF(CC21="M",0,IF(ISNUMBER(CC21),CC21,0))) + IF(CD21="X",10,IF(CD21="M",0,IF(ISNUMBER(CD21),CD21,0))),"")</f>
        <v/>
      </c>
      <c r="CF21" s="62"/>
      <c r="CG21" s="62"/>
      <c r="CH21" s="62"/>
      <c r="CI21" s="62"/>
      <c r="CJ21" s="62"/>
      <c r="CK21" s="62"/>
      <c r="CL21" s="63" t="str">
        <f>IF(OR(ISNUMBER(CF21),ISNUMBER(CG21),ISNUMBER(CH21),ISNUMBER(CI21),ISNUMBER(CJ21),ISNUMBER(CK21),CF21="X",CG21="X",CH21="X",CI21="X",CJ21="X",CK21="X",CF21="M",CG21="M",CH21="M",CI21="M",CJ21="M",CK21="M"),IF(CF21="X",10,IF(CF21="M",0,IF(ISNUMBER(CF21),CF21,0))) + IF(CG21="X",10,IF(CG21="M",0,IF(ISNUMBER(CG21),CG21,0))) + IF(CH21="X",10,IF(CH21="M",0,IF(ISNUMBER(CH21),CH21,0))) + IF(CI21="X",10,IF(CI21="M",0,IF(ISNUMBER(CI21),CI21,0))) + IF(CJ21="X",10,IF(CJ21="M",0,IF(ISNUMBER(CJ21),CJ21,0))) + IF(CK21="X",10,IF(CK21="M",0,IF(ISNUMBER(CK21),CK21,0))),"")</f>
        <v/>
      </c>
      <c r="CM21" s="62"/>
      <c r="CN21" s="62"/>
      <c r="CO21" s="62"/>
      <c r="CP21" s="62"/>
      <c r="CQ21" s="62"/>
      <c r="CR21" s="62"/>
      <c r="CS21" s="63" t="str">
        <f>IF(OR(ISNUMBER(CM21),ISNUMBER(CN21),ISNUMBER(CO21),ISNUMBER(CP21),ISNUMBER(CQ21),ISNUMBER(CR21),CM21="X",CN21="X",CO21="X",CP21="X",CQ21="X",CR21="X",CM21="M",CN21="M",CO21="M",CP21="M",CQ21="M",CR21="M"),IF(CM21="X",10,IF(CM21="M",0,IF(ISNUMBER(CM21),CM21,0))) + IF(CN21="X",10,IF(CN21="M",0,IF(ISNUMBER(CN21),CN21,0))) + IF(CO21="X",10,IF(CO21="M",0,IF(ISNUMBER(CO21),CO21,0))) + IF(CP21="X",10,IF(CP21="M",0,IF(ISNUMBER(CP21),CP21,0))) + IF(CQ21="X",10,IF(CQ21="M",0,IF(ISNUMBER(CQ21),CQ21,0))) + IF(CR21="X",10,IF(CR21="M",0,IF(ISNUMBER(CR21),CR21,0))),"")</f>
        <v/>
      </c>
      <c r="CT21" s="64"/>
      <c r="CU21" s="64"/>
      <c r="CV21" s="64"/>
      <c r="CW21" s="64"/>
      <c r="CX21" s="64"/>
      <c r="CY21" s="64"/>
      <c r="CZ21" s="63" t="str">
        <f>IF(OR(ISNUMBER(CT21),ISNUMBER(CU21),ISNUMBER(CV21),ISNUMBER(CW21),ISNUMBER(CX21),ISNUMBER(CY21),CT21="X",CU21="X",CV21="X",CW21="X",CX21="X",CY21="X",CT21="M",CU21="M",CV21="M",CW21="M",CX21="M",CY21="M"),IF(CT21="X",10,IF(CT21="M",0,IF(ISNUMBER(CT21),CT21,0))) + IF(CU21="X",10,IF(CU21="M",0,IF(ISNUMBER(CU21),CU21,0))) + IF(CV21="X",10,IF(CV21="M",0,IF(ISNUMBER(CV21),CV21,0))) + IF(CW21="X",10,IF(CW21="M",0,IF(ISNUMBER(CW21),CW21,0))) + IF(CX21="X",10,IF(CX21="M",0,IF(ISNUMBER(CX21),CX21,0))) + IF(CY21="X",10,IF(CY21="M",0,IF(ISNUMBER(CY21),CY21,0))),"")</f>
        <v/>
      </c>
      <c r="DA21" s="65">
        <f>IF(AND(ISNUMBER(BQ21),ISNUMBER(BQ23)),IF(BQ21&gt;BQ23,2,IF(BQ21=BQ23,1,0)),0)+IF(AND(ISNUMBER(BX21),ISNUMBER(BX23)),IF(BX21&gt;BX23,2,IF(BX21=BX23,1,0)),0)+IF(AND(ISNUMBER(CE21),ISNUMBER(CE23)),IF(CE21&gt;CE23,2,IF(CE21=CE23,1,0)),0)+IF(AND(ISNUMBER(CL21),ISNUMBER(CL23)),IF(CL21&gt;CL23,2,IF(CL21=CL23,1,0)),0)+IF(AND(ISNUMBER(CS21),ISNUMBER(CS23)),IF(CS21&gt;CS23,2,IF(CS21=CS23,1,0)),0)</f>
        <v>0</v>
      </c>
      <c r="DB21" s="66"/>
      <c r="DC21" s="67">
        <f>IF(DA21&gt;0,IF(BK21="X",10,IF(BK21="M",0,IF(ISNUMBER(BK21),BK21,0)))+IF(BL21="X",10,IF(BL21="M",0,IF(ISNUMBER(BL21),BL21,0)))+IF(BM21="X",10,IF(BM21="M",0,IF(ISNUMBER(BM21),BM21,0)))+IF(BN21="X",10,IF(BN21="M",0,IF(ISNUMBER(BN21),BN21,0)))+IF(BO21="X",10,IF(BO21="M",0,IF(ISNUMBER(BO21),BO21,0)))+IF(BP21="X",10,IF(BP21="M",0,IF(ISNUMBER(BP21),BP21,0)))+IF(BR21="X",10,IF(BR21="M",0,IF(ISNUMBER(BR21),BR21,0)))+IF(BS21="X",10,IF(BS21="M",0,IF(ISNUMBER(BS21),BS21,0)))+IF(BT21="X",10,IF(BT21="M",0,IF(ISNUMBER(BT21),BT21,0)))+IF(BU21="X",10,IF(BU21="M",0,IF(ISNUMBER(BU21),BU21,0)))+IF(BV21="X",10,IF(BV21="M",0,IF(ISNUMBER(BV21),BV21,0)))+IF(BW21="X",10,IF(BW21="M",0,IF(ISNUMBER(BW21),BW21,0)))+IF(BY21="X",10,IF(BY21="M",0,IF(ISNUMBER(BY21),BY21,0)))+IF(BZ21="X",10,IF(BZ21="M",0,IF(ISNUMBER(BZ21),BZ21,0)))+IF(CA21="X",10,IF(CA21="M",0,IF(ISNUMBER(CA21),CA21,0)))+IF(CB21="X",10,IF(CB21="M",0,IF(ISNUMBER(CB21),CB21,0)))+IF(CC21="X",10,IF(CC21="M",0,IF(ISNUMBER(CC21),CC21,0)))+IF(CD21="X",10,IF(CD21="M",0,IF(ISNUMBER(CD21),CD21,0)))+IF(CF21="X",10,IF(CF21="M",0,IF(ISNUMBER(CF21),CF21,0)))+IF(CG21="X",10,IF(CG21="M",0,IF(ISNUMBER(CG21),CG21,0)))+IF(CH21="X",10,IF(CH21="M",0,IF(ISNUMBER(CH21),CH21,0)))+IF(CI21="X",10,IF(CI21="M",0,IF(ISNUMBER(CI21),CI21,0)))+IF(CJ21="X",10,IF(CJ21="M",0,IF(ISNUMBER(CJ21),CJ21,0)))+IF(CK21="X",10,IF(CK21="M",0,IF(ISNUMBER(CK21),CK21,0)))+IF(CM21="X",10,IF(CM21="M",0,IF(ISNUMBER(CM21),CM21,0)))+IF(CN21="X",10,IF(CN21="M",0,IF(ISNUMBER(CN21),CN21,0)))+IF(CO21="X",10,IF(CO21="M",0,IF(ISNUMBER(CO21),CO21,0)))+IF(CP21="X",10,IF(CP21="M",0,IF(ISNUMBER(CP21),CP21,0)))+IF(CQ21="X",10,IF(CQ21="M",0,IF(ISNUMBER(CQ21),CQ21,0)))+IF(CR21="X",10,IF(CR21="M",0,IF(ISNUMBER(CR21),CR21,0)))+IF(CT21="X",10,IF(CT21="M",0,IF(ISNUMBER(CT21),CT21,0)))+IF(CU21="X",10,IF(CU21="M",0,IF(ISNUMBER(CU21),CU21,0)))+IF(CV21="X",10,IF(CV21="M",0,IF(ISNUMBER(CV21),CV21,0)))+IF(CW21="X",10,IF(CW21="M",0,IF(ISNUMBER(CW21),CW21,0)))+IF(CX21="X",10,IF(CX21="M",0,IF(ISNUMBER(CX21),CX21,0)))+IF(CY21="X",10,IF(CY21="M",0,IF(ISNUMBER(CY21),CY21,0))),0)</f>
        <v>0</v>
      </c>
      <c r="DD21" s="68" t="str">
        <f>IFERROR(IF(DB21="DQ","DISQUALIFIED",IF(DB23="DQ","&gt;&gt; Advance",IF(DF23="BYE","&gt;&gt; Advance",IF(DF21="BYE","BYE",IF(DA21&gt;=6,"WIN",IF(DA23&gt;=6,"LOSS",IF(AND(ISNUMBER(CZ21),ISNUMBER(CZ23)),IF(CZ21&gt;CZ23,"WIN",IF(CZ21&lt;CZ23,"LOSS","Shoot-Off")),"Playing"))))))),"Error")</f>
        <v>&gt;&gt; Advance</v>
      </c>
      <c r="DF21" s="69" t="str">
        <f>IFERROR(IF(AND(BC36="BYE",BC38="BYE"),"BYE",""),"")</f>
        <v>BYE</v>
      </c>
    </row>
    <row r="22" spans="1:236" ht="3" customHeight="1" x14ac:dyDescent="0.35">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row>
    <row r="23" spans="1:236" ht="15.75" customHeight="1" x14ac:dyDescent="0.35">
      <c r="A23" s="61" t="str">
        <f>IFERROR(IF(INDEX('Open 30M - Teams'!$L:$L,MATCH(13,'Open 30M - Teams'!$A:$A,0))="Yes","BYE",IF(OR(INDEX('Open 30M - Teams'!$B:$B,MATCH(13,'Open 30M - Teams'!$A:$A,0))="",ISERROR(MATCH(13,'Open 30M - Teams'!$A:$A,0))),"BYE","#13")),"BYE")</f>
        <v>BYE</v>
      </c>
      <c r="B23" s="106" t="str">
        <f>IFERROR(IF(INDEX('Open 30M - Teams'!$L:$L,MATCH(13,'Open 30M - Teams'!$A:$A,0))="Yes","",IF(INDEX('Open 30M - Teams'!$N:$N,MATCH(13,'Open 30M - Teams'!$A:$A,0))&lt;&gt;"",INDEX('Open 30M - Teams'!$N:$N,MATCH(13,'Open 30M - Teams'!$A:$A,0)),IF(INDEX('Open 30M - Teams'!$B:$B,MATCH(13,'Open 30M - Teams'!$A:$A,0))="","",INDEX('Open 30M - Teams'!$B:$B,MATCH(13,'Open 30M - Teams'!$A:$A,0))))),"")</f>
        <v/>
      </c>
      <c r="C23" s="106"/>
      <c r="D23" s="106"/>
      <c r="E23" s="107" t="str">
        <f>IF(OR(A23="BYE",BA23="&gt;&gt;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Advance",1,0),0),0))-1,2)=0)," (L)"," (R)")))</f>
        <v/>
      </c>
      <c r="F23" s="107"/>
      <c r="G23" s="107"/>
      <c r="H23" s="62"/>
      <c r="I23" s="62"/>
      <c r="J23" s="62"/>
      <c r="K23" s="62"/>
      <c r="L23" s="62"/>
      <c r="M23" s="62"/>
      <c r="N23" s="63" t="str">
        <f>IF(OR(ISNUMBER(H23),ISNUMBER(I23),ISNUMBER(J23),ISNUMBER(K23),ISNUMBER(L23),ISNUMBER(M23),H23="X",I23="X",J23="X",K23="X",L23="X",M23="X",H23="M",I23="M",J23="M",K23="M",L23="M",M23="M"),IF(H23="X",10,IF(H23="M",0,IF(ISNUMBER(H23),H23,0))) + IF(I23="X",10,IF(I23="M",0,IF(ISNUMBER(I23),I23,0))) + IF(J23="X",10,IF(J23="M",0,IF(ISNUMBER(J23),J23,0))) + IF(K23="X",10,IF(K23="M",0,IF(ISNUMBER(K23),K23,0))) + IF(L23="X",10,IF(L23="M",0,IF(ISNUMBER(L23),L23,0))) + IF(M23="X",10,IF(M23="M",0,IF(ISNUMBER(M23),M23,0))),"")</f>
        <v/>
      </c>
      <c r="O23" s="62"/>
      <c r="P23" s="62"/>
      <c r="Q23" s="62"/>
      <c r="R23" s="62"/>
      <c r="S23" s="62"/>
      <c r="T23" s="62"/>
      <c r="U23" s="63" t="str">
        <f>IF(OR(ISNUMBER(O23),ISNUMBER(P23),ISNUMBER(Q23),ISNUMBER(R23),ISNUMBER(S23),ISNUMBER(T23),O23="X",P23="X",Q23="X",R23="X",S23="X",T23="X",O23="M",P23="M",Q23="M",R23="M",S23="M",T23="M"),IF(O23="X",10,IF(O23="M",0,IF(ISNUMBER(O23),O23,0))) + IF(P23="X",10,IF(P23="M",0,IF(ISNUMBER(P23),P23,0))) + IF(Q23="X",10,IF(Q23="M",0,IF(ISNUMBER(Q23),Q23,0))) + IF(R23="X",10,IF(R23="M",0,IF(ISNUMBER(R23),R23,0))) + IF(S23="X",10,IF(S23="M",0,IF(ISNUMBER(S23),S23,0))) + IF(T23="X",10,IF(T23="M",0,IF(ISNUMBER(T23),T23,0))),"")</f>
        <v/>
      </c>
      <c r="V23" s="62"/>
      <c r="W23" s="62"/>
      <c r="X23" s="62"/>
      <c r="Y23" s="62"/>
      <c r="Z23" s="62"/>
      <c r="AA23" s="62"/>
      <c r="AB23" s="63" t="str">
        <f>IF(OR(ISNUMBER(V23),ISNUMBER(W23),ISNUMBER(X23),ISNUMBER(Y23),ISNUMBER(Z23),ISNUMBER(AA23),V23="X",W23="X",X23="X",Y23="X",Z23="X",AA23="X",V23="M",W23="M",X23="M",Y23="M",Z23="M",AA23="M"),IF(V23="X",10,IF(V23="M",0,IF(ISNUMBER(V23),V23,0))) + IF(W23="X",10,IF(W23="M",0,IF(ISNUMBER(W23),W23,0))) + IF(X23="X",10,IF(X23="M",0,IF(ISNUMBER(X23),X23,0))) + IF(Y23="X",10,IF(Y23="M",0,IF(ISNUMBER(Y23),Y23,0))) + IF(Z23="X",10,IF(Z23="M",0,IF(ISNUMBER(Z23),Z23,0))) + IF(AA23="X",10,IF(AA23="M",0,IF(ISNUMBER(AA23),AA23,0))),"")</f>
        <v/>
      </c>
      <c r="AC23" s="62"/>
      <c r="AD23" s="62"/>
      <c r="AE23" s="62"/>
      <c r="AF23" s="62"/>
      <c r="AG23" s="62"/>
      <c r="AH23" s="62"/>
      <c r="AI23" s="63" t="str">
        <f>IF(OR(ISNUMBER(AC23),ISNUMBER(AD23),ISNUMBER(AE23),ISNUMBER(AF23),ISNUMBER(AG23),ISNUMBER(AH23),AC23="X",AD23="X",AE23="X",AF23="X",AG23="X",AH23="X",AC23="M",AD23="M",AE23="M",AF23="M",AG23="M",AH23="M"),IF(AC23="X",10,IF(AC23="M",0,IF(ISNUMBER(AC23),AC23,0))) + IF(AD23="X",10,IF(AD23="M",0,IF(ISNUMBER(AD23),AD23,0))) + IF(AE23="X",10,IF(AE23="M",0,IF(ISNUMBER(AE23),AE23,0))) + IF(AF23="X",10,IF(AF23="M",0,IF(ISNUMBER(AF23),AF23,0))) + IF(AG23="X",10,IF(AG23="M",0,IF(ISNUMBER(AG23),AG23,0))) + IF(AH23="X",10,IF(AH23="M",0,IF(ISNUMBER(AH23),AH23,0))),"")</f>
        <v/>
      </c>
      <c r="AJ23" s="62"/>
      <c r="AK23" s="62"/>
      <c r="AL23" s="62"/>
      <c r="AM23" s="62"/>
      <c r="AN23" s="62"/>
      <c r="AO23" s="62"/>
      <c r="AP23" s="63" t="str">
        <f>IF(OR(ISNUMBER(AJ23),ISNUMBER(AK23),ISNUMBER(AL23),ISNUMBER(AM23),ISNUMBER(AN23),ISNUMBER(AO23),AJ23="X",AK23="X",AL23="X",AM23="X",AN23="X",AO23="X",AJ23="M",AK23="M",AL23="M",AM23="M",AN23="M",AO23="M"),IF(AJ23="X",10,IF(AJ23="M",0,IF(ISNUMBER(AJ23),AJ23,0))) + IF(AK23="X",10,IF(AK23="M",0,IF(ISNUMBER(AK23),AK23,0))) + IF(AL23="X",10,IF(AL23="M",0,IF(ISNUMBER(AL23),AL23,0))) + IF(AM23="X",10,IF(AM23="M",0,IF(ISNUMBER(AM23),AM23,0))) + IF(AN23="X",10,IF(AN23="M",0,IF(ISNUMBER(AN23),AN23,0))) + IF(AO23="X",10,IF(AO23="M",0,IF(ISNUMBER(AO23),AO23,0))),"")</f>
        <v/>
      </c>
      <c r="AQ23" s="64"/>
      <c r="AR23" s="64"/>
      <c r="AS23" s="64"/>
      <c r="AT23" s="64"/>
      <c r="AU23" s="64"/>
      <c r="AV23" s="64"/>
      <c r="AW23" s="63" t="str">
        <f>IF(OR(ISNUMBER(AQ23),ISNUMBER(AR23),ISNUMBER(AS23),ISNUMBER(AT23),ISNUMBER(AU23),ISNUMBER(AV23),AQ23="X",AR23="X",AS23="X",AT23="X",AU23="X",AV23="X",AQ23="M",AR23="M",AS23="M",AT23="M",AU23="M",AV23="M"),IF(AQ23="X",10,IF(AQ23="M",0,IF(ISNUMBER(AQ23),AQ23,0))) + IF(AR23="X",10,IF(AR23="M",0,IF(ISNUMBER(AR23),AR23,0))) + IF(AS23="X",10,IF(AS23="M",0,IF(ISNUMBER(AS23),AS23,0))) + IF(AT23="X",10,IF(AT23="M",0,IF(ISNUMBER(AT23),AT23,0))) + IF(AU23="X",10,IF(AU23="M",0,IF(ISNUMBER(AU23),AU23,0))) + IF(AV23="X",10,IF(AV23="M",0,IF(ISNUMBER(AV23),AV23,0))),"")</f>
        <v/>
      </c>
      <c r="AX23" s="65">
        <f>IF(AND(ISNUMBER(N23),ISNUMBER(N21)),IF(N23&gt;N21,2,IF(N23=N21,1,0)),0)+IF(AND(ISNUMBER(U23),ISNUMBER(U21)),IF(U23&gt;U21,2,IF(U23=U21,1,0)),0)+IF(AND(ISNUMBER(AB23),ISNUMBER(AB21)),IF(AB23&gt;AB21,2,IF(AB23=AB21,1,0)),0)+IF(AND(ISNUMBER(AI23),ISNUMBER(AI21)),IF(AI23&gt;AI21,2,IF(AI23=AI21,1,0)),0)+IF(AND(ISNUMBER(AP23),ISNUMBER(AP21)),IF(AP23&gt;AP21,2,IF(AP23=AP21,1,0)),0)</f>
        <v>0</v>
      </c>
      <c r="AY23" s="66"/>
      <c r="AZ23" s="67">
        <f>IF(AX23&gt;0,IF(H23="X",10,IF(H23="M",0,IF(ISNUMBER(H23),H23,0)))+IF(I23="X",10,IF(I23="M",0,IF(ISNUMBER(I23),I23,0)))+IF(J23="X",10,IF(J23="M",0,IF(ISNUMBER(J23),J23,0)))+IF(K23="X",10,IF(K23="M",0,IF(ISNUMBER(K23),K23,0)))+IF(L23="X",10,IF(L23="M",0,IF(ISNUMBER(L23),L23,0)))+IF(M23="X",10,IF(M23="M",0,IF(ISNUMBER(M23),M23,0)))+IF(O23="X",10,IF(O23="M",0,IF(ISNUMBER(O23),O23,0)))+IF(P23="X",10,IF(P23="M",0,IF(ISNUMBER(P23),P23,0)))+IF(Q23="X",10,IF(Q23="M",0,IF(ISNUMBER(Q23),Q23,0)))+IF(R23="X",10,IF(R23="M",0,IF(ISNUMBER(R23),R23,0)))+IF(S23="X",10,IF(S23="M",0,IF(ISNUMBER(S23),S23,0)))+IF(T23="X",10,IF(T23="M",0,IF(ISNUMBER(T23),T23,0)))+IF(V23="X",10,IF(V23="M",0,IF(ISNUMBER(V23),V23,0)))+IF(W23="X",10,IF(W23="M",0,IF(ISNUMBER(W23),W23,0)))+IF(X23="X",10,IF(X23="M",0,IF(ISNUMBER(X23),X23,0)))+IF(Y23="X",10,IF(Y23="M",0,IF(ISNUMBER(Y23),Y23,0)))+IF(Z23="X",10,IF(Z23="M",0,IF(ISNUMBER(Z23),Z23,0)))+IF(AA23="X",10,IF(AA23="M",0,IF(ISNUMBER(AA23),AA23,0)))+IF(AC23="X",10,IF(AC23="M",0,IF(ISNUMBER(AC23),AC23,0)))+IF(AD23="X",10,IF(AD23="M",0,IF(ISNUMBER(AD23),AD23,0)))+IF(AE23="X",10,IF(AE23="M",0,IF(ISNUMBER(AE23),AE23,0)))+IF(AF23="X",10,IF(AF23="M",0,IF(ISNUMBER(AF23),AF23,0)))+IF(AG23="X",10,IF(AG23="M",0,IF(ISNUMBER(AG23),AG23,0)))+IF(AH23="X",10,IF(AH23="M",0,IF(ISNUMBER(AH23),AH23,0)))+IF(AJ23="X",10,IF(AJ23="M",0,IF(ISNUMBER(AJ23),AJ23,0)))+IF(AK23="X",10,IF(AK23="M",0,IF(ISNUMBER(AK23),AK23,0)))+IF(AL23="X",10,IF(AL23="M",0,IF(ISNUMBER(AL23),AL23,0)))+IF(AM23="X",10,IF(AM23="M",0,IF(ISNUMBER(AM23),AM23,0)))+IF(AN23="X",10,IF(AN23="M",0,IF(ISNUMBER(AN23),AN23,0)))+IF(AO23="X",10,IF(AO23="M",0,IF(ISNUMBER(AO23),AO23,0)))+IF(AQ23="X",10,IF(AQ23="M",0,IF(ISNUMBER(AQ23),AQ23,0)))+IF(AR23="X",10,IF(AR23="M",0,IF(ISNUMBER(AR23),AR23,0)))+IF(AS23="X",10,IF(AS23="M",0,IF(ISNUMBER(AS23),AS23,0)))+IF(AT23="X",10,IF(AT23="M",0,IF(ISNUMBER(AT23),AT23,0)))+IF(AU23="X",10,IF(AU23="M",0,IF(ISNUMBER(AU23),AU23,0)))+IF(AV23="X",10,IF(AV23="M",0,IF(ISNUMBER(AV23),AV23,0))),0)</f>
        <v>0</v>
      </c>
      <c r="BA23" s="68" t="str">
        <f>IFERROR(IF(AY23="DQ","DISQUALIFIED",IF(AY21="DQ","&gt;&gt; Advance",IF(BC21="BYE","&gt;&gt; Advance",IF(BC23="BYE","BYE",IF(AX23&gt;=6,"WIN",IF(AX21&gt;=6,"LOSS",IF(AND(ISNUMBER(AW23),ISNUMBER(AW21)),IF(AW23&gt;AW21,"WIN",IF(AW23&lt;AW21,"LOSS","Shoot-Off")),"Playing"))))))),"Error")</f>
        <v>&gt;&gt; Advance</v>
      </c>
      <c r="BC23" s="69" t="str">
        <f>IFERROR(IF(INDEX('Open 30M - Teams'!$L:$L,MATCH(13,'Open 30M - Teams'!$A:$A,0))="Yes","BYE",IF(OR(INDEX('Open 30M - Teams'!$B:$B,MATCH(13,'Open 30M - Teams'!$A:$A,0))="",ISERROR(MATCH(13,'Open 30M - Teams'!$A:$A,0))),"BYE","")),"BYE")</f>
        <v>BYE</v>
      </c>
      <c r="BD23" s="61" t="s">
        <v>206</v>
      </c>
      <c r="BE23" s="106" t="str">
        <f>IFERROR(IF(BC41="BYE",IF(BC43="BYE","TBD",B43),IF(BC43="BYE",B41,IF(OR(BA41="WIN",BA41="&gt;&gt; Advance"),B41,IF(OR(BA43="WIN",BA43="&gt;&gt; Advance"),B43,"TBD")))),"TBD")</f>
        <v>TBD</v>
      </c>
      <c r="BF23" s="106"/>
      <c r="BG23" s="106"/>
      <c r="BH23" s="107" t="str">
        <f>IF(AND(BE21&lt;&gt;"TBD",BE21&lt;&gt;"",BE23&lt;&gt;"TBD",BE23&lt;&gt;"",DD21&lt;&gt;"&gt;&gt; Advance",DD23&lt;&gt;"&gt;&gt; Advance"),IF((B2-A2+1)&gt;=8,(A2+7)&amp;"",IF((B2-A2+1)&gt;=4,(A2+3)&amp;" R",(A2+MOD(3,(B2-A2+1)))&amp;CHAR(65+FLOOR(3/(B2-A2+1),1)*2+1)&amp;" (R)")),"")</f>
        <v/>
      </c>
      <c r="BI23" s="107"/>
      <c r="BJ23" s="107"/>
      <c r="BK23" s="62"/>
      <c r="BL23" s="62"/>
      <c r="BM23" s="62"/>
      <c r="BN23" s="62"/>
      <c r="BO23" s="62"/>
      <c r="BP23" s="62"/>
      <c r="BQ23" s="63" t="str">
        <f>IF(OR(ISNUMBER(BK23),ISNUMBER(BL23),ISNUMBER(BM23),ISNUMBER(BN23),ISNUMBER(BO23),ISNUMBER(BP23),BK23="X",BL23="X",BM23="X",BN23="X",BO23="X",BP23="X",BK23="M",BL23="M",BM23="M",BN23="M",BO23="M",BP23="M"),IF(BK23="X",10,IF(BK23="M",0,IF(ISNUMBER(BK23),BK23,0))) + IF(BL23="X",10,IF(BL23="M",0,IF(ISNUMBER(BL23),BL23,0))) + IF(BM23="X",10,IF(BM23="M",0,IF(ISNUMBER(BM23),BM23,0))) + IF(BN23="X",10,IF(BN23="M",0,IF(ISNUMBER(BN23),BN23,0))) + IF(BO23="X",10,IF(BO23="M",0,IF(ISNUMBER(BO23),BO23,0))) + IF(BP23="X",10,IF(BP23="M",0,IF(ISNUMBER(BP23),BP23,0))),"")</f>
        <v/>
      </c>
      <c r="BR23" s="62"/>
      <c r="BS23" s="62"/>
      <c r="BT23" s="62"/>
      <c r="BU23" s="62"/>
      <c r="BV23" s="62"/>
      <c r="BW23" s="62"/>
      <c r="BX23" s="63" t="str">
        <f>IF(OR(ISNUMBER(BR23),ISNUMBER(BS23),ISNUMBER(BT23),ISNUMBER(BU23),ISNUMBER(BV23),ISNUMBER(BW23),BR23="X",BS23="X",BT23="X",BU23="X",BV23="X",BW23="X",BR23="M",BS23="M",BT23="M",BU23="M",BV23="M",BW23="M"),IF(BR23="X",10,IF(BR23="M",0,IF(ISNUMBER(BR23),BR23,0))) + IF(BS23="X",10,IF(BS23="M",0,IF(ISNUMBER(BS23),BS23,0))) + IF(BT23="X",10,IF(BT23="M",0,IF(ISNUMBER(BT23),BT23,0))) + IF(BU23="X",10,IF(BU23="M",0,IF(ISNUMBER(BU23),BU23,0))) + IF(BV23="X",10,IF(BV23="M",0,IF(ISNUMBER(BV23),BV23,0))) + IF(BW23="X",10,IF(BW23="M",0,IF(ISNUMBER(BW23),BW23,0))),"")</f>
        <v/>
      </c>
      <c r="BY23" s="62"/>
      <c r="BZ23" s="62"/>
      <c r="CA23" s="62"/>
      <c r="CB23" s="62"/>
      <c r="CC23" s="62"/>
      <c r="CD23" s="62"/>
      <c r="CE23" s="63" t="str">
        <f>IF(OR(ISNUMBER(BY23),ISNUMBER(BZ23),ISNUMBER(CA23),ISNUMBER(CB23),ISNUMBER(CC23),ISNUMBER(CD23),BY23="X",BZ23="X",CA23="X",CB23="X",CC23="X",CD23="X",BY23="M",BZ23="M",CA23="M",CB23="M",CC23="M",CD23="M"),IF(BY23="X",10,IF(BY23="M",0,IF(ISNUMBER(BY23),BY23,0))) + IF(BZ23="X",10,IF(BZ23="M",0,IF(ISNUMBER(BZ23),BZ23,0))) + IF(CA23="X",10,IF(CA23="M",0,IF(ISNUMBER(CA23),CA23,0))) + IF(CB23="X",10,IF(CB23="M",0,IF(ISNUMBER(CB23),CB23,0))) + IF(CC23="X",10,IF(CC23="M",0,IF(ISNUMBER(CC23),CC23,0))) + IF(CD23="X",10,IF(CD23="M",0,IF(ISNUMBER(CD23),CD23,0))),"")</f>
        <v/>
      </c>
      <c r="CF23" s="62"/>
      <c r="CG23" s="62"/>
      <c r="CH23" s="62"/>
      <c r="CI23" s="62"/>
      <c r="CJ23" s="62"/>
      <c r="CK23" s="62"/>
      <c r="CL23" s="63" t="str">
        <f>IF(OR(ISNUMBER(CF23),ISNUMBER(CG23),ISNUMBER(CH23),ISNUMBER(CI23),ISNUMBER(CJ23),ISNUMBER(CK23),CF23="X",CG23="X",CH23="X",CI23="X",CJ23="X",CK23="X",CF23="M",CG23="M",CH23="M",CI23="M",CJ23="M",CK23="M"),IF(CF23="X",10,IF(CF23="M",0,IF(ISNUMBER(CF23),CF23,0))) + IF(CG23="X",10,IF(CG23="M",0,IF(ISNUMBER(CG23),CG23,0))) + IF(CH23="X",10,IF(CH23="M",0,IF(ISNUMBER(CH23),CH23,0))) + IF(CI23="X",10,IF(CI23="M",0,IF(ISNUMBER(CI23),CI23,0))) + IF(CJ23="X",10,IF(CJ23="M",0,IF(ISNUMBER(CJ23),CJ23,0))) + IF(CK23="X",10,IF(CK23="M",0,IF(ISNUMBER(CK23),CK23,0))),"")</f>
        <v/>
      </c>
      <c r="CM23" s="62"/>
      <c r="CN23" s="62"/>
      <c r="CO23" s="62"/>
      <c r="CP23" s="62"/>
      <c r="CQ23" s="62"/>
      <c r="CR23" s="62"/>
      <c r="CS23" s="63" t="str">
        <f>IF(OR(ISNUMBER(CM23),ISNUMBER(CN23),ISNUMBER(CO23),ISNUMBER(CP23),ISNUMBER(CQ23),ISNUMBER(CR23),CM23="X",CN23="X",CO23="X",CP23="X",CQ23="X",CR23="X",CM23="M",CN23="M",CO23="M",CP23="M",CQ23="M",CR23="M"),IF(CM23="X",10,IF(CM23="M",0,IF(ISNUMBER(CM23),CM23,0))) + IF(CN23="X",10,IF(CN23="M",0,IF(ISNUMBER(CN23),CN23,0))) + IF(CO23="X",10,IF(CO23="M",0,IF(ISNUMBER(CO23),CO23,0))) + IF(CP23="X",10,IF(CP23="M",0,IF(ISNUMBER(CP23),CP23,0))) + IF(CQ23="X",10,IF(CQ23="M",0,IF(ISNUMBER(CQ23),CQ23,0))) + IF(CR23="X",10,IF(CR23="M",0,IF(ISNUMBER(CR23),CR23,0))),"")</f>
        <v/>
      </c>
      <c r="CT23" s="64"/>
      <c r="CU23" s="64"/>
      <c r="CV23" s="64"/>
      <c r="CW23" s="64"/>
      <c r="CX23" s="64"/>
      <c r="CY23" s="64"/>
      <c r="CZ23" s="63" t="str">
        <f>IF(OR(ISNUMBER(CT23),ISNUMBER(CU23),ISNUMBER(CV23),ISNUMBER(CW23),ISNUMBER(CX23),ISNUMBER(CY23),CT23="X",CU23="X",CV23="X",CW23="X",CX23="X",CY23="X",CT23="M",CU23="M",CV23="M",CW23="M",CX23="M",CY23="M"),IF(CT23="X",10,IF(CT23="M",0,IF(ISNUMBER(CT23),CT23,0))) + IF(CU23="X",10,IF(CU23="M",0,IF(ISNUMBER(CU23),CU23,0))) + IF(CV23="X",10,IF(CV23="M",0,IF(ISNUMBER(CV23),CV23,0))) + IF(CW23="X",10,IF(CW23="M",0,IF(ISNUMBER(CW23),CW23,0))) + IF(CX23="X",10,IF(CX23="M",0,IF(ISNUMBER(CX23),CX23,0))) + IF(CY23="X",10,IF(CY23="M",0,IF(ISNUMBER(CY23),CY23,0))),"")</f>
        <v/>
      </c>
      <c r="DA23" s="65">
        <f>IF(AND(ISNUMBER(BQ23),ISNUMBER(BQ21)),IF(BQ23&gt;BQ21,2,IF(BQ23=BQ21,1,0)),0)+IF(AND(ISNUMBER(BX23),ISNUMBER(BX21)),IF(BX23&gt;BX21,2,IF(BX23=BX21,1,0)),0)+IF(AND(ISNUMBER(CE23),ISNUMBER(CE21)),IF(CE23&gt;CE21,2,IF(CE23=CE21,1,0)),0)+IF(AND(ISNUMBER(CL23),ISNUMBER(CL21)),IF(CL23&gt;CL21,2,IF(CL23=CL21,1,0)),0)+IF(AND(ISNUMBER(CS23),ISNUMBER(CS21)),IF(CS23&gt;CS21,2,IF(CS23=CS21,1,0)),0)</f>
        <v>0</v>
      </c>
      <c r="DB23" s="66"/>
      <c r="DC23" s="67">
        <f>IF(DA23&gt;0,IF(BK23="X",10,IF(BK23="M",0,IF(ISNUMBER(BK23),BK23,0)))+IF(BL23="X",10,IF(BL23="M",0,IF(ISNUMBER(BL23),BL23,0)))+IF(BM23="X",10,IF(BM23="M",0,IF(ISNUMBER(BM23),BM23,0)))+IF(BN23="X",10,IF(BN23="M",0,IF(ISNUMBER(BN23),BN23,0)))+IF(BO23="X",10,IF(BO23="M",0,IF(ISNUMBER(BO23),BO23,0)))+IF(BP23="X",10,IF(BP23="M",0,IF(ISNUMBER(BP23),BP23,0)))+IF(BR23="X",10,IF(BR23="M",0,IF(ISNUMBER(BR23),BR23,0)))+IF(BS23="X",10,IF(BS23="M",0,IF(ISNUMBER(BS23),BS23,0)))+IF(BT23="X",10,IF(BT23="M",0,IF(ISNUMBER(BT23),BT23,0)))+IF(BU23="X",10,IF(BU23="M",0,IF(ISNUMBER(BU23),BU23,0)))+IF(BV23="X",10,IF(BV23="M",0,IF(ISNUMBER(BV23),BV23,0)))+IF(BW23="X",10,IF(BW23="M",0,IF(ISNUMBER(BW23),BW23,0)))+IF(BY23="X",10,IF(BY23="M",0,IF(ISNUMBER(BY23),BY23,0)))+IF(BZ23="X",10,IF(BZ23="M",0,IF(ISNUMBER(BZ23),BZ23,0)))+IF(CA23="X",10,IF(CA23="M",0,IF(ISNUMBER(CA23),CA23,0)))+IF(CB23="X",10,IF(CB23="M",0,IF(ISNUMBER(CB23),CB23,0)))+IF(CC23="X",10,IF(CC23="M",0,IF(ISNUMBER(CC23),CC23,0)))+IF(CD23="X",10,IF(CD23="M",0,IF(ISNUMBER(CD23),CD23,0)))+IF(CF23="X",10,IF(CF23="M",0,IF(ISNUMBER(CF23),CF23,0)))+IF(CG23="X",10,IF(CG23="M",0,IF(ISNUMBER(CG23),CG23,0)))+IF(CH23="X",10,IF(CH23="M",0,IF(ISNUMBER(CH23),CH23,0)))+IF(CI23="X",10,IF(CI23="M",0,IF(ISNUMBER(CI23),CI23,0)))+IF(CJ23="X",10,IF(CJ23="M",0,IF(ISNUMBER(CJ23),CJ23,0)))+IF(CK23="X",10,IF(CK23="M",0,IF(ISNUMBER(CK23),CK23,0)))+IF(CM23="X",10,IF(CM23="M",0,IF(ISNUMBER(CM23),CM23,0)))+IF(CN23="X",10,IF(CN23="M",0,IF(ISNUMBER(CN23),CN23,0)))+IF(CO23="X",10,IF(CO23="M",0,IF(ISNUMBER(CO23),CO23,0)))+IF(CP23="X",10,IF(CP23="M",0,IF(ISNUMBER(CP23),CP23,0)))+IF(CQ23="X",10,IF(CQ23="M",0,IF(ISNUMBER(CQ23),CQ23,0)))+IF(CR23="X",10,IF(CR23="M",0,IF(ISNUMBER(CR23),CR23,0)))+IF(CT23="X",10,IF(CT23="M",0,IF(ISNUMBER(CT23),CT23,0)))+IF(CU23="X",10,IF(CU23="M",0,IF(ISNUMBER(CU23),CU23,0)))+IF(CV23="X",10,IF(CV23="M",0,IF(ISNUMBER(CV23),CV23,0)))+IF(CW23="X",10,IF(CW23="M",0,IF(ISNUMBER(CW23),CW23,0)))+IF(CX23="X",10,IF(CX23="M",0,IF(ISNUMBER(CX23),CX23,0)))+IF(CY23="X",10,IF(CY23="M",0,IF(ISNUMBER(CY23),CY23,0))),0)</f>
        <v>0</v>
      </c>
      <c r="DD23" s="68" t="str">
        <f>IFERROR(IF(DB23="DQ","DISQUALIFIED",IF(DB21="DQ","&gt;&gt; Advance",IF(DF21="BYE","&gt;&gt; Advance",IF(DF23="BYE","BYE",IF(DA23&gt;=6,"WIN",IF(DA21&gt;=6,"LOSS",IF(AND(ISNUMBER(CZ23),ISNUMBER(CZ21)),IF(CZ23&gt;CZ21,"WIN",IF(CZ23&lt;CZ21,"LOSS","Shoot-Off")),"Playing"))))))),"Error")</f>
        <v>&gt;&gt; Advance</v>
      </c>
      <c r="DF23" s="69" t="str">
        <f>IFERROR(IF(AND(BC41="BYE",BC43="BYE"),"BYE",""),"")</f>
        <v>BYE</v>
      </c>
    </row>
    <row r="24" spans="1:236" ht="1.5" customHeight="1" x14ac:dyDescent="0.35"/>
    <row r="25" spans="1:236" ht="10.5" customHeight="1" x14ac:dyDescent="0.35">
      <c r="A25" s="104" t="s">
        <v>207</v>
      </c>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row>
    <row r="26" spans="1:236" ht="15.75" customHeight="1" x14ac:dyDescent="0.35">
      <c r="A26" s="61" t="str">
        <f>IFERROR(IF(INDEX('Open 30M - Teams'!$L:$L,MATCH(3,'Open 30M - Teams'!$A:$A,0))="Yes","BYE",IF(OR(INDEX('Open 30M - Teams'!$B:$B,MATCH(3,'Open 30M - Teams'!$A:$A,0))="",ISERROR(MATCH(3,'Open 30M - Teams'!$A:$A,0))),"BYE","#3")),"BYE")</f>
        <v>BYE</v>
      </c>
      <c r="B26" s="106" t="str">
        <f>IFERROR(IF(INDEX('Open 30M - Teams'!$L:$L,MATCH(3,'Open 30M - Teams'!$A:$A,0))="Yes","",IF(INDEX('Open 30M - Teams'!$N:$N,MATCH(3,'Open 30M - Teams'!$A:$A,0))&lt;&gt;"",INDEX('Open 30M - Teams'!$N:$N,MATCH(3,'Open 30M - Teams'!$A:$A,0)),IF(INDEX('Open 30M - Teams'!$B:$B,MATCH(3,'Open 30M - Teams'!$A:$A,0))="","",INDEX('Open 30M - Teams'!$B:$B,MATCH(3,'Open 30M - Teams'!$A:$A,0))))),"")</f>
        <v/>
      </c>
      <c r="C26" s="106"/>
      <c r="D26" s="106"/>
      <c r="E26" s="107" t="str">
        <f>IF(OR(A26="BYE",BA26="&gt;&gt;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Advance",1,0),0),0))-1,2)=0)," (L)"," (R)")))</f>
        <v/>
      </c>
      <c r="F26" s="107"/>
      <c r="G26" s="107"/>
      <c r="H26" s="62"/>
      <c r="I26" s="62"/>
      <c r="J26" s="62"/>
      <c r="K26" s="62"/>
      <c r="L26" s="62"/>
      <c r="M26" s="62"/>
      <c r="N26" s="63" t="str">
        <f>IF(OR(ISNUMBER(H26),ISNUMBER(I26),ISNUMBER(J26),ISNUMBER(K26),ISNUMBER(L26),ISNUMBER(M26),H26="X",I26="X",J26="X",K26="X",L26="X",M26="X",H26="M",I26="M",J26="M",K26="M",L26="M",M26="M"),IF(H26="X",10,IF(H26="M",0,IF(ISNUMBER(H26),H26,0))) + IF(I26="X",10,IF(I26="M",0,IF(ISNUMBER(I26),I26,0))) + IF(J26="X",10,IF(J26="M",0,IF(ISNUMBER(J26),J26,0))) + IF(K26="X",10,IF(K26="M",0,IF(ISNUMBER(K26),K26,0))) + IF(L26="X",10,IF(L26="M",0,IF(ISNUMBER(L26),L26,0))) + IF(M26="X",10,IF(M26="M",0,IF(ISNUMBER(M26),M26,0))),"")</f>
        <v/>
      </c>
      <c r="O26" s="62"/>
      <c r="P26" s="62"/>
      <c r="Q26" s="62"/>
      <c r="R26" s="62"/>
      <c r="S26" s="62"/>
      <c r="T26" s="62"/>
      <c r="U26" s="63" t="str">
        <f>IF(OR(ISNUMBER(O26),ISNUMBER(P26),ISNUMBER(Q26),ISNUMBER(R26),ISNUMBER(S26),ISNUMBER(T26),O26="X",P26="X",Q26="X",R26="X",S26="X",T26="X",O26="M",P26="M",Q26="M",R26="M",S26="M",T26="M"),IF(O26="X",10,IF(O26="M",0,IF(ISNUMBER(O26),O26,0))) + IF(P26="X",10,IF(P26="M",0,IF(ISNUMBER(P26),P26,0))) + IF(Q26="X",10,IF(Q26="M",0,IF(ISNUMBER(Q26),Q26,0))) + IF(R26="X",10,IF(R26="M",0,IF(ISNUMBER(R26),R26,0))) + IF(S26="X",10,IF(S26="M",0,IF(ISNUMBER(S26),S26,0))) + IF(T26="X",10,IF(T26="M",0,IF(ISNUMBER(T26),T26,0))),"")</f>
        <v/>
      </c>
      <c r="V26" s="62"/>
      <c r="W26" s="62"/>
      <c r="X26" s="62"/>
      <c r="Y26" s="62"/>
      <c r="Z26" s="62"/>
      <c r="AA26" s="62"/>
      <c r="AB26" s="63" t="str">
        <f>IF(OR(ISNUMBER(V26),ISNUMBER(W26),ISNUMBER(X26),ISNUMBER(Y26),ISNUMBER(Z26),ISNUMBER(AA26),V26="X",W26="X",X26="X",Y26="X",Z26="X",AA26="X",V26="M",W26="M",X26="M",Y26="M",Z26="M",AA26="M"),IF(V26="X",10,IF(V26="M",0,IF(ISNUMBER(V26),V26,0))) + IF(W26="X",10,IF(W26="M",0,IF(ISNUMBER(W26),W26,0))) + IF(X26="X",10,IF(X26="M",0,IF(ISNUMBER(X26),X26,0))) + IF(Y26="X",10,IF(Y26="M",0,IF(ISNUMBER(Y26),Y26,0))) + IF(Z26="X",10,IF(Z26="M",0,IF(ISNUMBER(Z26),Z26,0))) + IF(AA26="X",10,IF(AA26="M",0,IF(ISNUMBER(AA26),AA26,0))),"")</f>
        <v/>
      </c>
      <c r="AC26" s="62"/>
      <c r="AD26" s="62"/>
      <c r="AE26" s="62"/>
      <c r="AF26" s="62"/>
      <c r="AG26" s="62"/>
      <c r="AH26" s="62"/>
      <c r="AI26" s="63" t="str">
        <f>IF(OR(ISNUMBER(AC26),ISNUMBER(AD26),ISNUMBER(AE26),ISNUMBER(AF26),ISNUMBER(AG26),ISNUMBER(AH26),AC26="X",AD26="X",AE26="X",AF26="X",AG26="X",AH26="X",AC26="M",AD26="M",AE26="M",AF26="M",AG26="M",AH26="M"),IF(AC26="X",10,IF(AC26="M",0,IF(ISNUMBER(AC26),AC26,0))) + IF(AD26="X",10,IF(AD26="M",0,IF(ISNUMBER(AD26),AD26,0))) + IF(AE26="X",10,IF(AE26="M",0,IF(ISNUMBER(AE26),AE26,0))) + IF(AF26="X",10,IF(AF26="M",0,IF(ISNUMBER(AF26),AF26,0))) + IF(AG26="X",10,IF(AG26="M",0,IF(ISNUMBER(AG26),AG26,0))) + IF(AH26="X",10,IF(AH26="M",0,IF(ISNUMBER(AH26),AH26,0))),"")</f>
        <v/>
      </c>
      <c r="AJ26" s="62"/>
      <c r="AK26" s="62"/>
      <c r="AL26" s="62"/>
      <c r="AM26" s="62"/>
      <c r="AN26" s="62"/>
      <c r="AO26" s="62"/>
      <c r="AP26" s="63" t="str">
        <f>IF(OR(ISNUMBER(AJ26),ISNUMBER(AK26),ISNUMBER(AL26),ISNUMBER(AM26),ISNUMBER(AN26),ISNUMBER(AO26),AJ26="X",AK26="X",AL26="X",AM26="X",AN26="X",AO26="X",AJ26="M",AK26="M",AL26="M",AM26="M",AN26="M",AO26="M"),IF(AJ26="X",10,IF(AJ26="M",0,IF(ISNUMBER(AJ26),AJ26,0))) + IF(AK26="X",10,IF(AK26="M",0,IF(ISNUMBER(AK26),AK26,0))) + IF(AL26="X",10,IF(AL26="M",0,IF(ISNUMBER(AL26),AL26,0))) + IF(AM26="X",10,IF(AM26="M",0,IF(ISNUMBER(AM26),AM26,0))) + IF(AN26="X",10,IF(AN26="M",0,IF(ISNUMBER(AN26),AN26,0))) + IF(AO26="X",10,IF(AO26="M",0,IF(ISNUMBER(AO26),AO26,0))),"")</f>
        <v/>
      </c>
      <c r="AQ26" s="64"/>
      <c r="AR26" s="64"/>
      <c r="AS26" s="64"/>
      <c r="AT26" s="64"/>
      <c r="AU26" s="64"/>
      <c r="AV26" s="64"/>
      <c r="AW26" s="63" t="str">
        <f>IF(OR(ISNUMBER(AQ26),ISNUMBER(AR26),ISNUMBER(AS26),ISNUMBER(AT26),ISNUMBER(AU26),ISNUMBER(AV26),AQ26="X",AR26="X",AS26="X",AT26="X",AU26="X",AV26="X",AQ26="M",AR26="M",AS26="M",AT26="M",AU26="M",AV26="M"),IF(AQ26="X",10,IF(AQ26="M",0,IF(ISNUMBER(AQ26),AQ26,0))) + IF(AR26="X",10,IF(AR26="M",0,IF(ISNUMBER(AR26),AR26,0))) + IF(AS26="X",10,IF(AS26="M",0,IF(ISNUMBER(AS26),AS26,0))) + IF(AT26="X",10,IF(AT26="M",0,IF(ISNUMBER(AT26),AT26,0))) + IF(AU26="X",10,IF(AU26="M",0,IF(ISNUMBER(AU26),AU26,0))) + IF(AV26="X",10,IF(AV26="M",0,IF(ISNUMBER(AV26),AV26,0))),"")</f>
        <v/>
      </c>
      <c r="AX26" s="65">
        <f>IF(AND(ISNUMBER(N26),ISNUMBER(N28)),IF(N26&gt;N28,2,IF(N26=N28,1,0)),0)+IF(AND(ISNUMBER(U26),ISNUMBER(U28)),IF(U26&gt;U28,2,IF(U26=U28,1,0)),0)+IF(AND(ISNUMBER(AB26),ISNUMBER(AB28)),IF(AB26&gt;AB28,2,IF(AB26=AB28,1,0)),0)+IF(AND(ISNUMBER(AI26),ISNUMBER(AI28)),IF(AI26&gt;AI28,2,IF(AI26=AI28,1,0)),0)+IF(AND(ISNUMBER(AP26),ISNUMBER(AP28)),IF(AP26&gt;AP28,2,IF(AP26=AP28,1,0)),0)</f>
        <v>0</v>
      </c>
      <c r="AY26" s="66"/>
      <c r="AZ26" s="67">
        <f>IF(AX26&gt;0,IF(H26="X",10,IF(H26="M",0,IF(ISNUMBER(H26),H26,0)))+IF(I26="X",10,IF(I26="M",0,IF(ISNUMBER(I26),I26,0)))+IF(J26="X",10,IF(J26="M",0,IF(ISNUMBER(J26),J26,0)))+IF(K26="X",10,IF(K26="M",0,IF(ISNUMBER(K26),K26,0)))+IF(L26="X",10,IF(L26="M",0,IF(ISNUMBER(L26),L26,0)))+IF(M26="X",10,IF(M26="M",0,IF(ISNUMBER(M26),M26,0)))+IF(O26="X",10,IF(O26="M",0,IF(ISNUMBER(O26),O26,0)))+IF(P26="X",10,IF(P26="M",0,IF(ISNUMBER(P26),P26,0)))+IF(Q26="X",10,IF(Q26="M",0,IF(ISNUMBER(Q26),Q26,0)))+IF(R26="X",10,IF(R26="M",0,IF(ISNUMBER(R26),R26,0)))+IF(S26="X",10,IF(S26="M",0,IF(ISNUMBER(S26),S26,0)))+IF(T26="X",10,IF(T26="M",0,IF(ISNUMBER(T26),T26,0)))+IF(V26="X",10,IF(V26="M",0,IF(ISNUMBER(V26),V26,0)))+IF(W26="X",10,IF(W26="M",0,IF(ISNUMBER(W26),W26,0)))+IF(X26="X",10,IF(X26="M",0,IF(ISNUMBER(X26),X26,0)))+IF(Y26="X",10,IF(Y26="M",0,IF(ISNUMBER(Y26),Y26,0)))+IF(Z26="X",10,IF(Z26="M",0,IF(ISNUMBER(Z26),Z26,0)))+IF(AA26="X",10,IF(AA26="M",0,IF(ISNUMBER(AA26),AA26,0)))+IF(AC26="X",10,IF(AC26="M",0,IF(ISNUMBER(AC26),AC26,0)))+IF(AD26="X",10,IF(AD26="M",0,IF(ISNUMBER(AD26),AD26,0)))+IF(AE26="X",10,IF(AE26="M",0,IF(ISNUMBER(AE26),AE26,0)))+IF(AF26="X",10,IF(AF26="M",0,IF(ISNUMBER(AF26),AF26,0)))+IF(AG26="X",10,IF(AG26="M",0,IF(ISNUMBER(AG26),AG26,0)))+IF(AH26="X",10,IF(AH26="M",0,IF(ISNUMBER(AH26),AH26,0)))+IF(AJ26="X",10,IF(AJ26="M",0,IF(ISNUMBER(AJ26),AJ26,0)))+IF(AK26="X",10,IF(AK26="M",0,IF(ISNUMBER(AK26),AK26,0)))+IF(AL26="X",10,IF(AL26="M",0,IF(ISNUMBER(AL26),AL26,0)))+IF(AM26="X",10,IF(AM26="M",0,IF(ISNUMBER(AM26),AM26,0)))+IF(AN26="X",10,IF(AN26="M",0,IF(ISNUMBER(AN26),AN26,0)))+IF(AO26="X",10,IF(AO26="M",0,IF(ISNUMBER(AO26),AO26,0)))+IF(AQ26="X",10,IF(AQ26="M",0,IF(ISNUMBER(AQ26),AQ26,0)))+IF(AR26="X",10,IF(AR26="M",0,IF(ISNUMBER(AR26),AR26,0)))+IF(AS26="X",10,IF(AS26="M",0,IF(ISNUMBER(AS26),AS26,0)))+IF(AT26="X",10,IF(AT26="M",0,IF(ISNUMBER(AT26),AT26,0)))+IF(AU26="X",10,IF(AU26="M",0,IF(ISNUMBER(AU26),AU26,0)))+IF(AV26="X",10,IF(AV26="M",0,IF(ISNUMBER(AV26),AV26,0))),0)</f>
        <v>0</v>
      </c>
      <c r="BA26" s="68" t="str">
        <f>IFERROR(IF(AY26="DQ","DISQUALIFIED",IF(AY28="DQ","&gt;&gt; Advance",IF(BC28="BYE","&gt;&gt; Advance",IF(BC26="BYE","BYE",IF(AX26&gt;=6,"WIN",IF(AX28&gt;=6,"LOSS",IF(AND(ISNUMBER(AW26),ISNUMBER(AW28)),IF(AW26&gt;AW28,"WIN",IF(AW26&lt;AW28,"LOSS","Shoot-Off")),"Playing"))))))),"Error")</f>
        <v>&gt;&gt; Advance</v>
      </c>
      <c r="BC26" s="69" t="str">
        <f>IFERROR(IF(INDEX('Open 30M - Teams'!$L:$L,MATCH(3,'Open 30M - Teams'!$A:$A,0))="Yes","BYE",IF(OR(INDEX('Open 30M - Teams'!$B:$B,MATCH(3,'Open 30M - Teams'!$A:$A,0))="",ISERROR(MATCH(3,'Open 30M - Teams'!$A:$A,0))),"BYE","")),"BYE")</f>
        <v>BYE</v>
      </c>
    </row>
    <row r="27" spans="1:236" ht="3" customHeight="1" x14ac:dyDescent="0.35">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row>
    <row r="28" spans="1:236" ht="15.75" customHeight="1" x14ac:dyDescent="0.35">
      <c r="A28" s="61" t="str">
        <f>IFERROR(IF(INDEX('Open 30M - Teams'!$L:$L,MATCH(14,'Open 30M - Teams'!$A:$A,0))="Yes","BYE",IF(OR(INDEX('Open 30M - Teams'!$B:$B,MATCH(14,'Open 30M - Teams'!$A:$A,0))="",ISERROR(MATCH(14,'Open 30M - Teams'!$A:$A,0))),"BYE","#14")),"BYE")</f>
        <v>BYE</v>
      </c>
      <c r="B28" s="106" t="str">
        <f>IFERROR(IF(INDEX('Open 30M - Teams'!$L:$L,MATCH(14,'Open 30M - Teams'!$A:$A,0))="Yes","",IF(INDEX('Open 30M - Teams'!$N:$N,MATCH(14,'Open 30M - Teams'!$A:$A,0))&lt;&gt;"",INDEX('Open 30M - Teams'!$N:$N,MATCH(14,'Open 30M - Teams'!$A:$A,0)),IF(INDEX('Open 30M - Teams'!$B:$B,MATCH(14,'Open 30M - Teams'!$A:$A,0))="","",INDEX('Open 30M - Teams'!$B:$B,MATCH(14,'Open 30M - Teams'!$A:$A,0))))),"")</f>
        <v/>
      </c>
      <c r="C28" s="106"/>
      <c r="D28" s="106"/>
      <c r="E28" s="107" t="str">
        <f>IF(OR(A28="BYE",BA28="&gt;&gt;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Advance",1,0),0),0))-1,2)=0)," (L)"," (R)")))</f>
        <v/>
      </c>
      <c r="F28" s="107"/>
      <c r="G28" s="107"/>
      <c r="H28" s="62"/>
      <c r="I28" s="62"/>
      <c r="J28" s="62"/>
      <c r="K28" s="62"/>
      <c r="L28" s="62"/>
      <c r="M28" s="62"/>
      <c r="N28" s="63" t="str">
        <f>IF(OR(ISNUMBER(H28),ISNUMBER(I28),ISNUMBER(J28),ISNUMBER(K28),ISNUMBER(L28),ISNUMBER(M28),H28="X",I28="X",J28="X",K28="X",L28="X",M28="X",H28="M",I28="M",J28="M",K28="M",L28="M",M28="M"),IF(H28="X",10,IF(H28="M",0,IF(ISNUMBER(H28),H28,0))) + IF(I28="X",10,IF(I28="M",0,IF(ISNUMBER(I28),I28,0))) + IF(J28="X",10,IF(J28="M",0,IF(ISNUMBER(J28),J28,0))) + IF(K28="X",10,IF(K28="M",0,IF(ISNUMBER(K28),K28,0))) + IF(L28="X",10,IF(L28="M",0,IF(ISNUMBER(L28),L28,0))) + IF(M28="X",10,IF(M28="M",0,IF(ISNUMBER(M28),M28,0))),"")</f>
        <v/>
      </c>
      <c r="O28" s="62"/>
      <c r="P28" s="62"/>
      <c r="Q28" s="62"/>
      <c r="R28" s="62"/>
      <c r="S28" s="62"/>
      <c r="T28" s="62"/>
      <c r="U28" s="63" t="str">
        <f>IF(OR(ISNUMBER(O28),ISNUMBER(P28),ISNUMBER(Q28),ISNUMBER(R28),ISNUMBER(S28),ISNUMBER(T28),O28="X",P28="X",Q28="X",R28="X",S28="X",T28="X",O28="M",P28="M",Q28="M",R28="M",S28="M",T28="M"),IF(O28="X",10,IF(O28="M",0,IF(ISNUMBER(O28),O28,0))) + IF(P28="X",10,IF(P28="M",0,IF(ISNUMBER(P28),P28,0))) + IF(Q28="X",10,IF(Q28="M",0,IF(ISNUMBER(Q28),Q28,0))) + IF(R28="X",10,IF(R28="M",0,IF(ISNUMBER(R28),R28,0))) + IF(S28="X",10,IF(S28="M",0,IF(ISNUMBER(S28),S28,0))) + IF(T28="X",10,IF(T28="M",0,IF(ISNUMBER(T28),T28,0))),"")</f>
        <v/>
      </c>
      <c r="V28" s="62"/>
      <c r="W28" s="62"/>
      <c r="X28" s="62"/>
      <c r="Y28" s="62"/>
      <c r="Z28" s="62"/>
      <c r="AA28" s="62"/>
      <c r="AB28" s="63" t="str">
        <f>IF(OR(ISNUMBER(V28),ISNUMBER(W28),ISNUMBER(X28),ISNUMBER(Y28),ISNUMBER(Z28),ISNUMBER(AA28),V28="X",W28="X",X28="X",Y28="X",Z28="X",AA28="X",V28="M",W28="M",X28="M",Y28="M",Z28="M",AA28="M"),IF(V28="X",10,IF(V28="M",0,IF(ISNUMBER(V28),V28,0))) + IF(W28="X",10,IF(W28="M",0,IF(ISNUMBER(W28),W28,0))) + IF(X28="X",10,IF(X28="M",0,IF(ISNUMBER(X28),X28,0))) + IF(Y28="X",10,IF(Y28="M",0,IF(ISNUMBER(Y28),Y28,0))) + IF(Z28="X",10,IF(Z28="M",0,IF(ISNUMBER(Z28),Z28,0))) + IF(AA28="X",10,IF(AA28="M",0,IF(ISNUMBER(AA28),AA28,0))),"")</f>
        <v/>
      </c>
      <c r="AC28" s="62"/>
      <c r="AD28" s="62"/>
      <c r="AE28" s="62"/>
      <c r="AF28" s="62"/>
      <c r="AG28" s="62"/>
      <c r="AH28" s="62"/>
      <c r="AI28" s="63" t="str">
        <f>IF(OR(ISNUMBER(AC28),ISNUMBER(AD28),ISNUMBER(AE28),ISNUMBER(AF28),ISNUMBER(AG28),ISNUMBER(AH28),AC28="X",AD28="X",AE28="X",AF28="X",AG28="X",AH28="X",AC28="M",AD28="M",AE28="M",AF28="M",AG28="M",AH28="M"),IF(AC28="X",10,IF(AC28="M",0,IF(ISNUMBER(AC28),AC28,0))) + IF(AD28="X",10,IF(AD28="M",0,IF(ISNUMBER(AD28),AD28,0))) + IF(AE28="X",10,IF(AE28="M",0,IF(ISNUMBER(AE28),AE28,0))) + IF(AF28="X",10,IF(AF28="M",0,IF(ISNUMBER(AF28),AF28,0))) + IF(AG28="X",10,IF(AG28="M",0,IF(ISNUMBER(AG28),AG28,0))) + IF(AH28="X",10,IF(AH28="M",0,IF(ISNUMBER(AH28),AH28,0))),"")</f>
        <v/>
      </c>
      <c r="AJ28" s="62"/>
      <c r="AK28" s="62"/>
      <c r="AL28" s="62"/>
      <c r="AM28" s="62"/>
      <c r="AN28" s="62"/>
      <c r="AO28" s="62"/>
      <c r="AP28" s="63" t="str">
        <f>IF(OR(ISNUMBER(AJ28),ISNUMBER(AK28),ISNUMBER(AL28),ISNUMBER(AM28),ISNUMBER(AN28),ISNUMBER(AO28),AJ28="X",AK28="X",AL28="X",AM28="X",AN28="X",AO28="X",AJ28="M",AK28="M",AL28="M",AM28="M",AN28="M",AO28="M"),IF(AJ28="X",10,IF(AJ28="M",0,IF(ISNUMBER(AJ28),AJ28,0))) + IF(AK28="X",10,IF(AK28="M",0,IF(ISNUMBER(AK28),AK28,0))) + IF(AL28="X",10,IF(AL28="M",0,IF(ISNUMBER(AL28),AL28,0))) + IF(AM28="X",10,IF(AM28="M",0,IF(ISNUMBER(AM28),AM28,0))) + IF(AN28="X",10,IF(AN28="M",0,IF(ISNUMBER(AN28),AN28,0))) + IF(AO28="X",10,IF(AO28="M",0,IF(ISNUMBER(AO28),AO28,0))),"")</f>
        <v/>
      </c>
      <c r="AQ28" s="64"/>
      <c r="AR28" s="64"/>
      <c r="AS28" s="64"/>
      <c r="AT28" s="64"/>
      <c r="AU28" s="64"/>
      <c r="AV28" s="64"/>
      <c r="AW28" s="63" t="str">
        <f>IF(OR(ISNUMBER(AQ28),ISNUMBER(AR28),ISNUMBER(AS28),ISNUMBER(AT28),ISNUMBER(AU28),ISNUMBER(AV28),AQ28="X",AR28="X",AS28="X",AT28="X",AU28="X",AV28="X",AQ28="M",AR28="M",AS28="M",AT28="M",AU28="M",AV28="M"),IF(AQ28="X",10,IF(AQ28="M",0,IF(ISNUMBER(AQ28),AQ28,0))) + IF(AR28="X",10,IF(AR28="M",0,IF(ISNUMBER(AR28),AR28,0))) + IF(AS28="X",10,IF(AS28="M",0,IF(ISNUMBER(AS28),AS28,0))) + IF(AT28="X",10,IF(AT28="M",0,IF(ISNUMBER(AT28),AT28,0))) + IF(AU28="X",10,IF(AU28="M",0,IF(ISNUMBER(AU28),AU28,0))) + IF(AV28="X",10,IF(AV28="M",0,IF(ISNUMBER(AV28),AV28,0))),"")</f>
        <v/>
      </c>
      <c r="AX28" s="65">
        <f>IF(AND(ISNUMBER(N28),ISNUMBER(N26)),IF(N28&gt;N26,2,IF(N28=N26,1,0)),0)+IF(AND(ISNUMBER(U28),ISNUMBER(U26)),IF(U28&gt;U26,2,IF(U28=U26,1,0)),0)+IF(AND(ISNUMBER(AB28),ISNUMBER(AB26)),IF(AB28&gt;AB26,2,IF(AB28=AB26,1,0)),0)+IF(AND(ISNUMBER(AI28),ISNUMBER(AI26)),IF(AI28&gt;AI26,2,IF(AI28=AI26,1,0)),0)+IF(AND(ISNUMBER(AP28),ISNUMBER(AP26)),IF(AP28&gt;AP26,2,IF(AP28=AP26,1,0)),0)</f>
        <v>0</v>
      </c>
      <c r="AY28" s="66"/>
      <c r="AZ28" s="67">
        <f>IF(AX28&gt;0,IF(H28="X",10,IF(H28="M",0,IF(ISNUMBER(H28),H28,0)))+IF(I28="X",10,IF(I28="M",0,IF(ISNUMBER(I28),I28,0)))+IF(J28="X",10,IF(J28="M",0,IF(ISNUMBER(J28),J28,0)))+IF(K28="X",10,IF(K28="M",0,IF(ISNUMBER(K28),K28,0)))+IF(L28="X",10,IF(L28="M",0,IF(ISNUMBER(L28),L28,0)))+IF(M28="X",10,IF(M28="M",0,IF(ISNUMBER(M28),M28,0)))+IF(O28="X",10,IF(O28="M",0,IF(ISNUMBER(O28),O28,0)))+IF(P28="X",10,IF(P28="M",0,IF(ISNUMBER(P28),P28,0)))+IF(Q28="X",10,IF(Q28="M",0,IF(ISNUMBER(Q28),Q28,0)))+IF(R28="X",10,IF(R28="M",0,IF(ISNUMBER(R28),R28,0)))+IF(S28="X",10,IF(S28="M",0,IF(ISNUMBER(S28),S28,0)))+IF(T28="X",10,IF(T28="M",0,IF(ISNUMBER(T28),T28,0)))+IF(V28="X",10,IF(V28="M",0,IF(ISNUMBER(V28),V28,0)))+IF(W28="X",10,IF(W28="M",0,IF(ISNUMBER(W28),W28,0)))+IF(X28="X",10,IF(X28="M",0,IF(ISNUMBER(X28),X28,0)))+IF(Y28="X",10,IF(Y28="M",0,IF(ISNUMBER(Y28),Y28,0)))+IF(Z28="X",10,IF(Z28="M",0,IF(ISNUMBER(Z28),Z28,0)))+IF(AA28="X",10,IF(AA28="M",0,IF(ISNUMBER(AA28),AA28,0)))+IF(AC28="X",10,IF(AC28="M",0,IF(ISNUMBER(AC28),AC28,0)))+IF(AD28="X",10,IF(AD28="M",0,IF(ISNUMBER(AD28),AD28,0)))+IF(AE28="X",10,IF(AE28="M",0,IF(ISNUMBER(AE28),AE28,0)))+IF(AF28="X",10,IF(AF28="M",0,IF(ISNUMBER(AF28),AF28,0)))+IF(AG28="X",10,IF(AG28="M",0,IF(ISNUMBER(AG28),AG28,0)))+IF(AH28="X",10,IF(AH28="M",0,IF(ISNUMBER(AH28),AH28,0)))+IF(AJ28="X",10,IF(AJ28="M",0,IF(ISNUMBER(AJ28),AJ28,0)))+IF(AK28="X",10,IF(AK28="M",0,IF(ISNUMBER(AK28),AK28,0)))+IF(AL28="X",10,IF(AL28="M",0,IF(ISNUMBER(AL28),AL28,0)))+IF(AM28="X",10,IF(AM28="M",0,IF(ISNUMBER(AM28),AM28,0)))+IF(AN28="X",10,IF(AN28="M",0,IF(ISNUMBER(AN28),AN28,0)))+IF(AO28="X",10,IF(AO28="M",0,IF(ISNUMBER(AO28),AO28,0)))+IF(AQ28="X",10,IF(AQ28="M",0,IF(ISNUMBER(AQ28),AQ28,0)))+IF(AR28="X",10,IF(AR28="M",0,IF(ISNUMBER(AR28),AR28,0)))+IF(AS28="X",10,IF(AS28="M",0,IF(ISNUMBER(AS28),AS28,0)))+IF(AT28="X",10,IF(AT28="M",0,IF(ISNUMBER(AT28),AT28,0)))+IF(AU28="X",10,IF(AU28="M",0,IF(ISNUMBER(AU28),AU28,0)))+IF(AV28="X",10,IF(AV28="M",0,IF(ISNUMBER(AV28),AV28,0))),0)</f>
        <v>0</v>
      </c>
      <c r="BA28" s="68" t="str">
        <f>IFERROR(IF(AY28="DQ","DISQUALIFIED",IF(AY26="DQ","&gt;&gt; Advance",IF(BC26="BYE","&gt;&gt; Advance",IF(BC28="BYE","BYE",IF(AX28&gt;=6,"WIN",IF(AX26&gt;=6,"LOSS",IF(AND(ISNUMBER(AW28),ISNUMBER(AW26)),IF(AW28&gt;AW26,"WIN",IF(AW28&lt;AW26,"LOSS","Shoot-Off")),"Playing"))))))),"Error")</f>
        <v>&gt;&gt; Advance</v>
      </c>
      <c r="BC28" s="69" t="str">
        <f>IFERROR(IF(INDEX('Open 30M - Teams'!$L:$L,MATCH(14,'Open 30M - Teams'!$A:$A,0))="Yes","BYE",IF(OR(INDEX('Open 30M - Teams'!$B:$B,MATCH(14,'Open 30M - Teams'!$A:$A,0))="",ISERROR(MATCH(14,'Open 30M - Teams'!$A:$A,0))),"BYE","")),"BYE")</f>
        <v>BYE</v>
      </c>
    </row>
    <row r="29" spans="1:236" ht="1.5" customHeight="1" x14ac:dyDescent="0.35"/>
    <row r="30" spans="1:236" ht="10.5" customHeight="1" x14ac:dyDescent="0.35">
      <c r="A30" s="104" t="s">
        <v>208</v>
      </c>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row>
    <row r="31" spans="1:236" ht="15.75" customHeight="1" x14ac:dyDescent="0.35">
      <c r="A31" s="61" t="str">
        <f>IFERROR(IF(INDEX('Open 30M - Teams'!$L:$L,MATCH(6,'Open 30M - Teams'!$A:$A,0))="Yes","BYE",IF(OR(INDEX('Open 30M - Teams'!$B:$B,MATCH(6,'Open 30M - Teams'!$A:$A,0))="",ISERROR(MATCH(6,'Open 30M - Teams'!$A:$A,0))),"BYE","#6")),"BYE")</f>
        <v>BYE</v>
      </c>
      <c r="B31" s="106" t="str">
        <f>IFERROR(IF(INDEX('Open 30M - Teams'!$L:$L,MATCH(6,'Open 30M - Teams'!$A:$A,0))="Yes","",IF(INDEX('Open 30M - Teams'!$N:$N,MATCH(6,'Open 30M - Teams'!$A:$A,0))&lt;&gt;"",INDEX('Open 30M - Teams'!$N:$N,MATCH(6,'Open 30M - Teams'!$A:$A,0)),IF(INDEX('Open 30M - Teams'!$B:$B,MATCH(6,'Open 30M - Teams'!$A:$A,0))="","",INDEX('Open 30M - Teams'!$B:$B,MATCH(6,'Open 30M - Teams'!$A:$A,0))))),"")</f>
        <v/>
      </c>
      <c r="C31" s="106"/>
      <c r="D31" s="106"/>
      <c r="E31" s="107" t="str">
        <f>IF(OR(A31="BYE",BA31="&gt;&gt;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Advance",1,0),0),0))-1,2)=0)," (L)"," (R)")))</f>
        <v/>
      </c>
      <c r="F31" s="107"/>
      <c r="G31" s="107"/>
      <c r="H31" s="62"/>
      <c r="I31" s="62"/>
      <c r="J31" s="62"/>
      <c r="K31" s="62"/>
      <c r="L31" s="62"/>
      <c r="M31" s="62"/>
      <c r="N31" s="63" t="str">
        <f>IF(OR(ISNUMBER(H31),ISNUMBER(I31),ISNUMBER(J31),ISNUMBER(K31),ISNUMBER(L31),ISNUMBER(M31),H31="X",I31="X",J31="X",K31="X",L31="X",M31="X",H31="M",I31="M",J31="M",K31="M",L31="M",M31="M"),IF(H31="X",10,IF(H31="M",0,IF(ISNUMBER(H31),H31,0))) + IF(I31="X",10,IF(I31="M",0,IF(ISNUMBER(I31),I31,0))) + IF(J31="X",10,IF(J31="M",0,IF(ISNUMBER(J31),J31,0))) + IF(K31="X",10,IF(K31="M",0,IF(ISNUMBER(K31),K31,0))) + IF(L31="X",10,IF(L31="M",0,IF(ISNUMBER(L31),L31,0))) + IF(M31="X",10,IF(M31="M",0,IF(ISNUMBER(M31),M31,0))),"")</f>
        <v/>
      </c>
      <c r="O31" s="62"/>
      <c r="P31" s="62"/>
      <c r="Q31" s="62"/>
      <c r="R31" s="62"/>
      <c r="S31" s="62"/>
      <c r="T31" s="62"/>
      <c r="U31" s="63" t="str">
        <f>IF(OR(ISNUMBER(O31),ISNUMBER(P31),ISNUMBER(Q31),ISNUMBER(R31),ISNUMBER(S31),ISNUMBER(T31),O31="X",P31="X",Q31="X",R31="X",S31="X",T31="X",O31="M",P31="M",Q31="M",R31="M",S31="M",T31="M"),IF(O31="X",10,IF(O31="M",0,IF(ISNUMBER(O31),O31,0))) + IF(P31="X",10,IF(P31="M",0,IF(ISNUMBER(P31),P31,0))) + IF(Q31="X",10,IF(Q31="M",0,IF(ISNUMBER(Q31),Q31,0))) + IF(R31="X",10,IF(R31="M",0,IF(ISNUMBER(R31),R31,0))) + IF(S31="X",10,IF(S31="M",0,IF(ISNUMBER(S31),S31,0))) + IF(T31="X",10,IF(T31="M",0,IF(ISNUMBER(T31),T31,0))),"")</f>
        <v/>
      </c>
      <c r="V31" s="62"/>
      <c r="W31" s="62"/>
      <c r="X31" s="62"/>
      <c r="Y31" s="62"/>
      <c r="Z31" s="62"/>
      <c r="AA31" s="62"/>
      <c r="AB31" s="63" t="str">
        <f>IF(OR(ISNUMBER(V31),ISNUMBER(W31),ISNUMBER(X31),ISNUMBER(Y31),ISNUMBER(Z31),ISNUMBER(AA31),V31="X",W31="X",X31="X",Y31="X",Z31="X",AA31="X",V31="M",W31="M",X31="M",Y31="M",Z31="M",AA31="M"),IF(V31="X",10,IF(V31="M",0,IF(ISNUMBER(V31),V31,0))) + IF(W31="X",10,IF(W31="M",0,IF(ISNUMBER(W31),W31,0))) + IF(X31="X",10,IF(X31="M",0,IF(ISNUMBER(X31),X31,0))) + IF(Y31="X",10,IF(Y31="M",0,IF(ISNUMBER(Y31),Y31,0))) + IF(Z31="X",10,IF(Z31="M",0,IF(ISNUMBER(Z31),Z31,0))) + IF(AA31="X",10,IF(AA31="M",0,IF(ISNUMBER(AA31),AA31,0))),"")</f>
        <v/>
      </c>
      <c r="AC31" s="62"/>
      <c r="AD31" s="62"/>
      <c r="AE31" s="62"/>
      <c r="AF31" s="62"/>
      <c r="AG31" s="62"/>
      <c r="AH31" s="62"/>
      <c r="AI31" s="63" t="str">
        <f>IF(OR(ISNUMBER(AC31),ISNUMBER(AD31),ISNUMBER(AE31),ISNUMBER(AF31),ISNUMBER(AG31),ISNUMBER(AH31),AC31="X",AD31="X",AE31="X",AF31="X",AG31="X",AH31="X",AC31="M",AD31="M",AE31="M",AF31="M",AG31="M",AH31="M"),IF(AC31="X",10,IF(AC31="M",0,IF(ISNUMBER(AC31),AC31,0))) + IF(AD31="X",10,IF(AD31="M",0,IF(ISNUMBER(AD31),AD31,0))) + IF(AE31="X",10,IF(AE31="M",0,IF(ISNUMBER(AE31),AE31,0))) + IF(AF31="X",10,IF(AF31="M",0,IF(ISNUMBER(AF31),AF31,0))) + IF(AG31="X",10,IF(AG31="M",0,IF(ISNUMBER(AG31),AG31,0))) + IF(AH31="X",10,IF(AH31="M",0,IF(ISNUMBER(AH31),AH31,0))),"")</f>
        <v/>
      </c>
      <c r="AJ31" s="62"/>
      <c r="AK31" s="62"/>
      <c r="AL31" s="62"/>
      <c r="AM31" s="62"/>
      <c r="AN31" s="62"/>
      <c r="AO31" s="62"/>
      <c r="AP31" s="63" t="str">
        <f>IF(OR(ISNUMBER(AJ31),ISNUMBER(AK31),ISNUMBER(AL31),ISNUMBER(AM31),ISNUMBER(AN31),ISNUMBER(AO31),AJ31="X",AK31="X",AL31="X",AM31="X",AN31="X",AO31="X",AJ31="M",AK31="M",AL31="M",AM31="M",AN31="M",AO31="M"),IF(AJ31="X",10,IF(AJ31="M",0,IF(ISNUMBER(AJ31),AJ31,0))) + IF(AK31="X",10,IF(AK31="M",0,IF(ISNUMBER(AK31),AK31,0))) + IF(AL31="X",10,IF(AL31="M",0,IF(ISNUMBER(AL31),AL31,0))) + IF(AM31="X",10,IF(AM31="M",0,IF(ISNUMBER(AM31),AM31,0))) + IF(AN31="X",10,IF(AN31="M",0,IF(ISNUMBER(AN31),AN31,0))) + IF(AO31="X",10,IF(AO31="M",0,IF(ISNUMBER(AO31),AO31,0))),"")</f>
        <v/>
      </c>
      <c r="AQ31" s="64"/>
      <c r="AR31" s="64"/>
      <c r="AS31" s="64"/>
      <c r="AT31" s="64"/>
      <c r="AU31" s="64"/>
      <c r="AV31" s="64"/>
      <c r="AW31" s="63" t="str">
        <f>IF(OR(ISNUMBER(AQ31),ISNUMBER(AR31),ISNUMBER(AS31),ISNUMBER(AT31),ISNUMBER(AU31),ISNUMBER(AV31),AQ31="X",AR31="X",AS31="X",AT31="X",AU31="X",AV31="X",AQ31="M",AR31="M",AS31="M",AT31="M",AU31="M",AV31="M"),IF(AQ31="X",10,IF(AQ31="M",0,IF(ISNUMBER(AQ31),AQ31,0))) + IF(AR31="X",10,IF(AR31="M",0,IF(ISNUMBER(AR31),AR31,0))) + IF(AS31="X",10,IF(AS31="M",0,IF(ISNUMBER(AS31),AS31,0))) + IF(AT31="X",10,IF(AT31="M",0,IF(ISNUMBER(AT31),AT31,0))) + IF(AU31="X",10,IF(AU31="M",0,IF(ISNUMBER(AU31),AU31,0))) + IF(AV31="X",10,IF(AV31="M",0,IF(ISNUMBER(AV31),AV31,0))),"")</f>
        <v/>
      </c>
      <c r="AX31" s="65">
        <f>IF(AND(ISNUMBER(N31),ISNUMBER(N33)),IF(N31&gt;N33,2,IF(N31=N33,1,0)),0)+IF(AND(ISNUMBER(U31),ISNUMBER(U33)),IF(U31&gt;U33,2,IF(U31=U33,1,0)),0)+IF(AND(ISNUMBER(AB31),ISNUMBER(AB33)),IF(AB31&gt;AB33,2,IF(AB31=AB33,1,0)),0)+IF(AND(ISNUMBER(AI31),ISNUMBER(AI33)),IF(AI31&gt;AI33,2,IF(AI31=AI33,1,0)),0)+IF(AND(ISNUMBER(AP31),ISNUMBER(AP33)),IF(AP31&gt;AP33,2,IF(AP31=AP33,1,0)),0)</f>
        <v>0</v>
      </c>
      <c r="AY31" s="66"/>
      <c r="AZ31" s="67">
        <f>IF(AX31&gt;0,IF(H31="X",10,IF(H31="M",0,IF(ISNUMBER(H31),H31,0)))+IF(I31="X",10,IF(I31="M",0,IF(ISNUMBER(I31),I31,0)))+IF(J31="X",10,IF(J31="M",0,IF(ISNUMBER(J31),J31,0)))+IF(K31="X",10,IF(K31="M",0,IF(ISNUMBER(K31),K31,0)))+IF(L31="X",10,IF(L31="M",0,IF(ISNUMBER(L31),L31,0)))+IF(M31="X",10,IF(M31="M",0,IF(ISNUMBER(M31),M31,0)))+IF(O31="X",10,IF(O31="M",0,IF(ISNUMBER(O31),O31,0)))+IF(P31="X",10,IF(P31="M",0,IF(ISNUMBER(P31),P31,0)))+IF(Q31="X",10,IF(Q31="M",0,IF(ISNUMBER(Q31),Q31,0)))+IF(R31="X",10,IF(R31="M",0,IF(ISNUMBER(R31),R31,0)))+IF(S31="X",10,IF(S31="M",0,IF(ISNUMBER(S31),S31,0)))+IF(T31="X",10,IF(T31="M",0,IF(ISNUMBER(T31),T31,0)))+IF(V31="X",10,IF(V31="M",0,IF(ISNUMBER(V31),V31,0)))+IF(W31="X",10,IF(W31="M",0,IF(ISNUMBER(W31),W31,0)))+IF(X31="X",10,IF(X31="M",0,IF(ISNUMBER(X31),X31,0)))+IF(Y31="X",10,IF(Y31="M",0,IF(ISNUMBER(Y31),Y31,0)))+IF(Z31="X",10,IF(Z31="M",0,IF(ISNUMBER(Z31),Z31,0)))+IF(AA31="X",10,IF(AA31="M",0,IF(ISNUMBER(AA31),AA31,0)))+IF(AC31="X",10,IF(AC31="M",0,IF(ISNUMBER(AC31),AC31,0)))+IF(AD31="X",10,IF(AD31="M",0,IF(ISNUMBER(AD31),AD31,0)))+IF(AE31="X",10,IF(AE31="M",0,IF(ISNUMBER(AE31),AE31,0)))+IF(AF31="X",10,IF(AF31="M",0,IF(ISNUMBER(AF31),AF31,0)))+IF(AG31="X",10,IF(AG31="M",0,IF(ISNUMBER(AG31),AG31,0)))+IF(AH31="X",10,IF(AH31="M",0,IF(ISNUMBER(AH31),AH31,0)))+IF(AJ31="X",10,IF(AJ31="M",0,IF(ISNUMBER(AJ31),AJ31,0)))+IF(AK31="X",10,IF(AK31="M",0,IF(ISNUMBER(AK31),AK31,0)))+IF(AL31="X",10,IF(AL31="M",0,IF(ISNUMBER(AL31),AL31,0)))+IF(AM31="X",10,IF(AM31="M",0,IF(ISNUMBER(AM31),AM31,0)))+IF(AN31="X",10,IF(AN31="M",0,IF(ISNUMBER(AN31),AN31,0)))+IF(AO31="X",10,IF(AO31="M",0,IF(ISNUMBER(AO31),AO31,0)))+IF(AQ31="X",10,IF(AQ31="M",0,IF(ISNUMBER(AQ31),AQ31,0)))+IF(AR31="X",10,IF(AR31="M",0,IF(ISNUMBER(AR31),AR31,0)))+IF(AS31="X",10,IF(AS31="M",0,IF(ISNUMBER(AS31),AS31,0)))+IF(AT31="X",10,IF(AT31="M",0,IF(ISNUMBER(AT31),AT31,0)))+IF(AU31="X",10,IF(AU31="M",0,IF(ISNUMBER(AU31),AU31,0)))+IF(AV31="X",10,IF(AV31="M",0,IF(ISNUMBER(AV31),AV31,0))),0)</f>
        <v>0</v>
      </c>
      <c r="BA31" s="68" t="str">
        <f>IFERROR(IF(AY31="DQ","DISQUALIFIED",IF(AY33="DQ","&gt;&gt; Advance",IF(BC33="BYE","&gt;&gt; Advance",IF(BC31="BYE","BYE",IF(AX31&gt;=6,"WIN",IF(AX33&gt;=6,"LOSS",IF(AND(ISNUMBER(AW31),ISNUMBER(AW33)),IF(AW31&gt;AW33,"WIN",IF(AW31&lt;AW33,"LOSS","Shoot-Off")),"Playing"))))))),"Error")</f>
        <v>&gt;&gt; Advance</v>
      </c>
      <c r="BC31" s="69" t="str">
        <f>IFERROR(IF(INDEX('Open 30M - Teams'!$L:$L,MATCH(6,'Open 30M - Teams'!$A:$A,0))="Yes","BYE",IF(OR(INDEX('Open 30M - Teams'!$B:$B,MATCH(6,'Open 30M - Teams'!$A:$A,0))="",ISERROR(MATCH(6,'Open 30M - Teams'!$A:$A,0))),"BYE","")),"BYE")</f>
        <v>BYE</v>
      </c>
    </row>
    <row r="32" spans="1:236" ht="3" customHeight="1" x14ac:dyDescent="0.35">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row>
    <row r="33" spans="1:237" ht="15.75" customHeight="1" x14ac:dyDescent="0.35">
      <c r="A33" s="61" t="str">
        <f>IFERROR(IF(INDEX('Open 30M - Teams'!$L:$L,MATCH(11,'Open 30M - Teams'!$A:$A,0))="Yes","BYE",IF(OR(INDEX('Open 30M - Teams'!$B:$B,MATCH(11,'Open 30M - Teams'!$A:$A,0))="",ISERROR(MATCH(11,'Open 30M - Teams'!$A:$A,0))),"BYE","#11")),"BYE")</f>
        <v>BYE</v>
      </c>
      <c r="B33" s="106" t="str">
        <f>IFERROR(IF(INDEX('Open 30M - Teams'!$L:$L,MATCH(11,'Open 30M - Teams'!$A:$A,0))="Yes","",IF(INDEX('Open 30M - Teams'!$N:$N,MATCH(11,'Open 30M - Teams'!$A:$A,0))&lt;&gt;"",INDEX('Open 30M - Teams'!$N:$N,MATCH(11,'Open 30M - Teams'!$A:$A,0)),IF(INDEX('Open 30M - Teams'!$B:$B,MATCH(11,'Open 30M - Teams'!$A:$A,0))="","",INDEX('Open 30M - Teams'!$B:$B,MATCH(11,'Open 30M - Teams'!$A:$A,0))))),"")</f>
        <v/>
      </c>
      <c r="C33" s="106"/>
      <c r="D33" s="106"/>
      <c r="E33" s="107" t="str">
        <f>IF(OR(A33="BYE",BA33="&gt;&gt;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Advance",1,0),0),0))-1,2)=0)," (L)"," (R)")))</f>
        <v/>
      </c>
      <c r="F33" s="107"/>
      <c r="G33" s="107"/>
      <c r="H33" s="62"/>
      <c r="I33" s="62"/>
      <c r="J33" s="62"/>
      <c r="K33" s="62"/>
      <c r="L33" s="62"/>
      <c r="M33" s="62"/>
      <c r="N33" s="63" t="str">
        <f>IF(OR(ISNUMBER(H33),ISNUMBER(I33),ISNUMBER(J33),ISNUMBER(K33),ISNUMBER(L33),ISNUMBER(M33),H33="X",I33="X",J33="X",K33="X",L33="X",M33="X",H33="M",I33="M",J33="M",K33="M",L33="M",M33="M"),IF(H33="X",10,IF(H33="M",0,IF(ISNUMBER(H33),H33,0))) + IF(I33="X",10,IF(I33="M",0,IF(ISNUMBER(I33),I33,0))) + IF(J33="X",10,IF(J33="M",0,IF(ISNUMBER(J33),J33,0))) + IF(K33="X",10,IF(K33="M",0,IF(ISNUMBER(K33),K33,0))) + IF(L33="X",10,IF(L33="M",0,IF(ISNUMBER(L33),L33,0))) + IF(M33="X",10,IF(M33="M",0,IF(ISNUMBER(M33),M33,0))),"")</f>
        <v/>
      </c>
      <c r="O33" s="62"/>
      <c r="P33" s="62"/>
      <c r="Q33" s="62"/>
      <c r="R33" s="62"/>
      <c r="S33" s="62"/>
      <c r="T33" s="62"/>
      <c r="U33" s="63" t="str">
        <f>IF(OR(ISNUMBER(O33),ISNUMBER(P33),ISNUMBER(Q33),ISNUMBER(R33),ISNUMBER(S33),ISNUMBER(T33),O33="X",P33="X",Q33="X",R33="X",S33="X",T33="X",O33="M",P33="M",Q33="M",R33="M",S33="M",T33="M"),IF(O33="X",10,IF(O33="M",0,IF(ISNUMBER(O33),O33,0))) + IF(P33="X",10,IF(P33="M",0,IF(ISNUMBER(P33),P33,0))) + IF(Q33="X",10,IF(Q33="M",0,IF(ISNUMBER(Q33),Q33,0))) + IF(R33="X",10,IF(R33="M",0,IF(ISNUMBER(R33),R33,0))) + IF(S33="X",10,IF(S33="M",0,IF(ISNUMBER(S33),S33,0))) + IF(T33="X",10,IF(T33="M",0,IF(ISNUMBER(T33),T33,0))),"")</f>
        <v/>
      </c>
      <c r="V33" s="62"/>
      <c r="W33" s="62"/>
      <c r="X33" s="62"/>
      <c r="Y33" s="62"/>
      <c r="Z33" s="62"/>
      <c r="AA33" s="62"/>
      <c r="AB33" s="63" t="str">
        <f>IF(OR(ISNUMBER(V33),ISNUMBER(W33),ISNUMBER(X33),ISNUMBER(Y33),ISNUMBER(Z33),ISNUMBER(AA33),V33="X",W33="X",X33="X",Y33="X",Z33="X",AA33="X",V33="M",W33="M",X33="M",Y33="M",Z33="M",AA33="M"),IF(V33="X",10,IF(V33="M",0,IF(ISNUMBER(V33),V33,0))) + IF(W33="X",10,IF(W33="M",0,IF(ISNUMBER(W33),W33,0))) + IF(X33="X",10,IF(X33="M",0,IF(ISNUMBER(X33),X33,0))) + IF(Y33="X",10,IF(Y33="M",0,IF(ISNUMBER(Y33),Y33,0))) + IF(Z33="X",10,IF(Z33="M",0,IF(ISNUMBER(Z33),Z33,0))) + IF(AA33="X",10,IF(AA33="M",0,IF(ISNUMBER(AA33),AA33,0))),"")</f>
        <v/>
      </c>
      <c r="AC33" s="62"/>
      <c r="AD33" s="62"/>
      <c r="AE33" s="62"/>
      <c r="AF33" s="62"/>
      <c r="AG33" s="62"/>
      <c r="AH33" s="62"/>
      <c r="AI33" s="63" t="str">
        <f>IF(OR(ISNUMBER(AC33),ISNUMBER(AD33),ISNUMBER(AE33),ISNUMBER(AF33),ISNUMBER(AG33),ISNUMBER(AH33),AC33="X",AD33="X",AE33="X",AF33="X",AG33="X",AH33="X",AC33="M",AD33="M",AE33="M",AF33="M",AG33="M",AH33="M"),IF(AC33="X",10,IF(AC33="M",0,IF(ISNUMBER(AC33),AC33,0))) + IF(AD33="X",10,IF(AD33="M",0,IF(ISNUMBER(AD33),AD33,0))) + IF(AE33="X",10,IF(AE33="M",0,IF(ISNUMBER(AE33),AE33,0))) + IF(AF33="X",10,IF(AF33="M",0,IF(ISNUMBER(AF33),AF33,0))) + IF(AG33="X",10,IF(AG33="M",0,IF(ISNUMBER(AG33),AG33,0))) + IF(AH33="X",10,IF(AH33="M",0,IF(ISNUMBER(AH33),AH33,0))),"")</f>
        <v/>
      </c>
      <c r="AJ33" s="62"/>
      <c r="AK33" s="62"/>
      <c r="AL33" s="62"/>
      <c r="AM33" s="62"/>
      <c r="AN33" s="62"/>
      <c r="AO33" s="62"/>
      <c r="AP33" s="63" t="str">
        <f>IF(OR(ISNUMBER(AJ33),ISNUMBER(AK33),ISNUMBER(AL33),ISNUMBER(AM33),ISNUMBER(AN33),ISNUMBER(AO33),AJ33="X",AK33="X",AL33="X",AM33="X",AN33="X",AO33="X",AJ33="M",AK33="M",AL33="M",AM33="M",AN33="M",AO33="M"),IF(AJ33="X",10,IF(AJ33="M",0,IF(ISNUMBER(AJ33),AJ33,0))) + IF(AK33="X",10,IF(AK33="M",0,IF(ISNUMBER(AK33),AK33,0))) + IF(AL33="X",10,IF(AL33="M",0,IF(ISNUMBER(AL33),AL33,0))) + IF(AM33="X",10,IF(AM33="M",0,IF(ISNUMBER(AM33),AM33,0))) + IF(AN33="X",10,IF(AN33="M",0,IF(ISNUMBER(AN33),AN33,0))) + IF(AO33="X",10,IF(AO33="M",0,IF(ISNUMBER(AO33),AO33,0))),"")</f>
        <v/>
      </c>
      <c r="AQ33" s="64"/>
      <c r="AR33" s="64"/>
      <c r="AS33" s="64"/>
      <c r="AT33" s="64"/>
      <c r="AU33" s="64"/>
      <c r="AV33" s="64"/>
      <c r="AW33" s="63" t="str">
        <f>IF(OR(ISNUMBER(AQ33),ISNUMBER(AR33),ISNUMBER(AS33),ISNUMBER(AT33),ISNUMBER(AU33),ISNUMBER(AV33),AQ33="X",AR33="X",AS33="X",AT33="X",AU33="X",AV33="X",AQ33="M",AR33="M",AS33="M",AT33="M",AU33="M",AV33="M"),IF(AQ33="X",10,IF(AQ33="M",0,IF(ISNUMBER(AQ33),AQ33,0))) + IF(AR33="X",10,IF(AR33="M",0,IF(ISNUMBER(AR33),AR33,0))) + IF(AS33="X",10,IF(AS33="M",0,IF(ISNUMBER(AS33),AS33,0))) + IF(AT33="X",10,IF(AT33="M",0,IF(ISNUMBER(AT33),AT33,0))) + IF(AU33="X",10,IF(AU33="M",0,IF(ISNUMBER(AU33),AU33,0))) + IF(AV33="X",10,IF(AV33="M",0,IF(ISNUMBER(AV33),AV33,0))),"")</f>
        <v/>
      </c>
      <c r="AX33" s="65">
        <f>IF(AND(ISNUMBER(N33),ISNUMBER(N31)),IF(N33&gt;N31,2,IF(N33=N31,1,0)),0)+IF(AND(ISNUMBER(U33),ISNUMBER(U31)),IF(U33&gt;U31,2,IF(U33=U31,1,0)),0)+IF(AND(ISNUMBER(AB33),ISNUMBER(AB31)),IF(AB33&gt;AB31,2,IF(AB33=AB31,1,0)),0)+IF(AND(ISNUMBER(AI33),ISNUMBER(AI31)),IF(AI33&gt;AI31,2,IF(AI33=AI31,1,0)),0)+IF(AND(ISNUMBER(AP33),ISNUMBER(AP31)),IF(AP33&gt;AP31,2,IF(AP33=AP31,1,0)),0)</f>
        <v>0</v>
      </c>
      <c r="AY33" s="66"/>
      <c r="AZ33" s="67">
        <f>IF(AX33&gt;0,IF(H33="X",10,IF(H33="M",0,IF(ISNUMBER(H33),H33,0)))+IF(I33="X",10,IF(I33="M",0,IF(ISNUMBER(I33),I33,0)))+IF(J33="X",10,IF(J33="M",0,IF(ISNUMBER(J33),J33,0)))+IF(K33="X",10,IF(K33="M",0,IF(ISNUMBER(K33),K33,0)))+IF(L33="X",10,IF(L33="M",0,IF(ISNUMBER(L33),L33,0)))+IF(M33="X",10,IF(M33="M",0,IF(ISNUMBER(M33),M33,0)))+IF(O33="X",10,IF(O33="M",0,IF(ISNUMBER(O33),O33,0)))+IF(P33="X",10,IF(P33="M",0,IF(ISNUMBER(P33),P33,0)))+IF(Q33="X",10,IF(Q33="M",0,IF(ISNUMBER(Q33),Q33,0)))+IF(R33="X",10,IF(R33="M",0,IF(ISNUMBER(R33),R33,0)))+IF(S33="X",10,IF(S33="M",0,IF(ISNUMBER(S33),S33,0)))+IF(T33="X",10,IF(T33="M",0,IF(ISNUMBER(T33),T33,0)))+IF(V33="X",10,IF(V33="M",0,IF(ISNUMBER(V33),V33,0)))+IF(W33="X",10,IF(W33="M",0,IF(ISNUMBER(W33),W33,0)))+IF(X33="X",10,IF(X33="M",0,IF(ISNUMBER(X33),X33,0)))+IF(Y33="X",10,IF(Y33="M",0,IF(ISNUMBER(Y33),Y33,0)))+IF(Z33="X",10,IF(Z33="M",0,IF(ISNUMBER(Z33),Z33,0)))+IF(AA33="X",10,IF(AA33="M",0,IF(ISNUMBER(AA33),AA33,0)))+IF(AC33="X",10,IF(AC33="M",0,IF(ISNUMBER(AC33),AC33,0)))+IF(AD33="X",10,IF(AD33="M",0,IF(ISNUMBER(AD33),AD33,0)))+IF(AE33="X",10,IF(AE33="M",0,IF(ISNUMBER(AE33),AE33,0)))+IF(AF33="X",10,IF(AF33="M",0,IF(ISNUMBER(AF33),AF33,0)))+IF(AG33="X",10,IF(AG33="M",0,IF(ISNUMBER(AG33),AG33,0)))+IF(AH33="X",10,IF(AH33="M",0,IF(ISNUMBER(AH33),AH33,0)))+IF(AJ33="X",10,IF(AJ33="M",0,IF(ISNUMBER(AJ33),AJ33,0)))+IF(AK33="X",10,IF(AK33="M",0,IF(ISNUMBER(AK33),AK33,0)))+IF(AL33="X",10,IF(AL33="M",0,IF(ISNUMBER(AL33),AL33,0)))+IF(AM33="X",10,IF(AM33="M",0,IF(ISNUMBER(AM33),AM33,0)))+IF(AN33="X",10,IF(AN33="M",0,IF(ISNUMBER(AN33),AN33,0)))+IF(AO33="X",10,IF(AO33="M",0,IF(ISNUMBER(AO33),AO33,0)))+IF(AQ33="X",10,IF(AQ33="M",0,IF(ISNUMBER(AQ33),AQ33,0)))+IF(AR33="X",10,IF(AR33="M",0,IF(ISNUMBER(AR33),AR33,0)))+IF(AS33="X",10,IF(AS33="M",0,IF(ISNUMBER(AS33),AS33,0)))+IF(AT33="X",10,IF(AT33="M",0,IF(ISNUMBER(AT33),AT33,0)))+IF(AU33="X",10,IF(AU33="M",0,IF(ISNUMBER(AU33),AU33,0)))+IF(AV33="X",10,IF(AV33="M",0,IF(ISNUMBER(AV33),AV33,0))),0)</f>
        <v>0</v>
      </c>
      <c r="BA33" s="68" t="str">
        <f>IFERROR(IF(AY33="DQ","DISQUALIFIED",IF(AY31="DQ","&gt;&gt; Advance",IF(BC31="BYE","&gt;&gt; Advance",IF(BC33="BYE","BYE",IF(AX33&gt;=6,"WIN",IF(AX31&gt;=6,"LOSS",IF(AND(ISNUMBER(AW33),ISNUMBER(AW31)),IF(AW33&gt;AW31,"WIN",IF(AW33&lt;AW31,"LOSS","Shoot-Off")),"Playing"))))))),"Error")</f>
        <v>&gt;&gt; Advance</v>
      </c>
      <c r="BC33" s="69" t="str">
        <f>IFERROR(IF(INDEX('Open 30M - Teams'!$L:$L,MATCH(11,'Open 30M - Teams'!$A:$A,0))="Yes","BYE",IF(OR(INDEX('Open 30M - Teams'!$B:$B,MATCH(11,'Open 30M - Teams'!$A:$A,0))="",ISERROR(MATCH(11,'Open 30M - Teams'!$A:$A,0))),"BYE","")),"BYE")</f>
        <v>BYE</v>
      </c>
    </row>
    <row r="34" spans="1:237" ht="1.5" customHeight="1" x14ac:dyDescent="0.35"/>
    <row r="35" spans="1:237" ht="10.5" customHeight="1" x14ac:dyDescent="0.35">
      <c r="A35" s="104" t="s">
        <v>209</v>
      </c>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row>
    <row r="36" spans="1:237" ht="15.75" customHeight="1" x14ac:dyDescent="0.35">
      <c r="A36" s="61" t="str">
        <f>IFERROR(IF(INDEX('Open 30M - Teams'!$L:$L,MATCH(7,'Open 30M - Teams'!$A:$A,0))="Yes","BYE",IF(OR(INDEX('Open 30M - Teams'!$B:$B,MATCH(7,'Open 30M - Teams'!$A:$A,0))="",ISERROR(MATCH(7,'Open 30M - Teams'!$A:$A,0))),"BYE","#7")),"BYE")</f>
        <v>BYE</v>
      </c>
      <c r="B36" s="106" t="str">
        <f>IFERROR(IF(INDEX('Open 30M - Teams'!$L:$L,MATCH(7,'Open 30M - Teams'!$A:$A,0))="Yes","",IF(INDEX('Open 30M - Teams'!$N:$N,MATCH(7,'Open 30M - Teams'!$A:$A,0))&lt;&gt;"",INDEX('Open 30M - Teams'!$N:$N,MATCH(7,'Open 30M - Teams'!$A:$A,0)),IF(INDEX('Open 30M - Teams'!$B:$B,MATCH(7,'Open 30M - Teams'!$A:$A,0))="","",INDEX('Open 30M - Teams'!$B:$B,MATCH(7,'Open 30M - Teams'!$A:$A,0))))),"")</f>
        <v/>
      </c>
      <c r="C36" s="106"/>
      <c r="D36" s="106"/>
      <c r="E36" s="107" t="str">
        <f>IF(OR(A36="BYE",BA36="&gt;&gt;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Advance",1,0),0),0))-1,2)=0)," (L)"," (R)")))</f>
        <v/>
      </c>
      <c r="F36" s="107"/>
      <c r="G36" s="107"/>
      <c r="H36" s="62"/>
      <c r="I36" s="62"/>
      <c r="J36" s="62"/>
      <c r="K36" s="62"/>
      <c r="L36" s="62"/>
      <c r="M36" s="62"/>
      <c r="N36" s="63" t="str">
        <f>IF(OR(ISNUMBER(H36),ISNUMBER(I36),ISNUMBER(J36),ISNUMBER(K36),ISNUMBER(L36),ISNUMBER(M36),H36="X",I36="X",J36="X",K36="X",L36="X",M36="X",H36="M",I36="M",J36="M",K36="M",L36="M",M36="M"),IF(H36="X",10,IF(H36="M",0,IF(ISNUMBER(H36),H36,0))) + IF(I36="X",10,IF(I36="M",0,IF(ISNUMBER(I36),I36,0))) + IF(J36="X",10,IF(J36="M",0,IF(ISNUMBER(J36),J36,0))) + IF(K36="X",10,IF(K36="M",0,IF(ISNUMBER(K36),K36,0))) + IF(L36="X",10,IF(L36="M",0,IF(ISNUMBER(L36),L36,0))) + IF(M36="X",10,IF(M36="M",0,IF(ISNUMBER(M36),M36,0))),"")</f>
        <v/>
      </c>
      <c r="O36" s="62"/>
      <c r="P36" s="62"/>
      <c r="Q36" s="62"/>
      <c r="R36" s="62"/>
      <c r="S36" s="62"/>
      <c r="T36" s="62"/>
      <c r="U36" s="63" t="str">
        <f>IF(OR(ISNUMBER(O36),ISNUMBER(P36),ISNUMBER(Q36),ISNUMBER(R36),ISNUMBER(S36),ISNUMBER(T36),O36="X",P36="X",Q36="X",R36="X",S36="X",T36="X",O36="M",P36="M",Q36="M",R36="M",S36="M",T36="M"),IF(O36="X",10,IF(O36="M",0,IF(ISNUMBER(O36),O36,0))) + IF(P36="X",10,IF(P36="M",0,IF(ISNUMBER(P36),P36,0))) + IF(Q36="X",10,IF(Q36="M",0,IF(ISNUMBER(Q36),Q36,0))) + IF(R36="X",10,IF(R36="M",0,IF(ISNUMBER(R36),R36,0))) + IF(S36="X",10,IF(S36="M",0,IF(ISNUMBER(S36),S36,0))) + IF(T36="X",10,IF(T36="M",0,IF(ISNUMBER(T36),T36,0))),"")</f>
        <v/>
      </c>
      <c r="V36" s="62"/>
      <c r="W36" s="62"/>
      <c r="X36" s="62"/>
      <c r="Y36" s="62"/>
      <c r="Z36" s="62"/>
      <c r="AA36" s="62"/>
      <c r="AB36" s="63" t="str">
        <f>IF(OR(ISNUMBER(V36),ISNUMBER(W36),ISNUMBER(X36),ISNUMBER(Y36),ISNUMBER(Z36),ISNUMBER(AA36),V36="X",W36="X",X36="X",Y36="X",Z36="X",AA36="X",V36="M",W36="M",X36="M",Y36="M",Z36="M",AA36="M"),IF(V36="X",10,IF(V36="M",0,IF(ISNUMBER(V36),V36,0))) + IF(W36="X",10,IF(W36="M",0,IF(ISNUMBER(W36),W36,0))) + IF(X36="X",10,IF(X36="M",0,IF(ISNUMBER(X36),X36,0))) + IF(Y36="X",10,IF(Y36="M",0,IF(ISNUMBER(Y36),Y36,0))) + IF(Z36="X",10,IF(Z36="M",0,IF(ISNUMBER(Z36),Z36,0))) + IF(AA36="X",10,IF(AA36="M",0,IF(ISNUMBER(AA36),AA36,0))),"")</f>
        <v/>
      </c>
      <c r="AC36" s="62"/>
      <c r="AD36" s="62"/>
      <c r="AE36" s="62"/>
      <c r="AF36" s="62"/>
      <c r="AG36" s="62"/>
      <c r="AH36" s="62"/>
      <c r="AI36" s="63" t="str">
        <f>IF(OR(ISNUMBER(AC36),ISNUMBER(AD36),ISNUMBER(AE36),ISNUMBER(AF36),ISNUMBER(AG36),ISNUMBER(AH36),AC36="X",AD36="X",AE36="X",AF36="X",AG36="X",AH36="X",AC36="M",AD36="M",AE36="M",AF36="M",AG36="M",AH36="M"),IF(AC36="X",10,IF(AC36="M",0,IF(ISNUMBER(AC36),AC36,0))) + IF(AD36="X",10,IF(AD36="M",0,IF(ISNUMBER(AD36),AD36,0))) + IF(AE36="X",10,IF(AE36="M",0,IF(ISNUMBER(AE36),AE36,0))) + IF(AF36="X",10,IF(AF36="M",0,IF(ISNUMBER(AF36),AF36,0))) + IF(AG36="X",10,IF(AG36="M",0,IF(ISNUMBER(AG36),AG36,0))) + IF(AH36="X",10,IF(AH36="M",0,IF(ISNUMBER(AH36),AH36,0))),"")</f>
        <v/>
      </c>
      <c r="AJ36" s="62"/>
      <c r="AK36" s="62"/>
      <c r="AL36" s="62"/>
      <c r="AM36" s="62"/>
      <c r="AN36" s="62"/>
      <c r="AO36" s="62"/>
      <c r="AP36" s="63" t="str">
        <f>IF(OR(ISNUMBER(AJ36),ISNUMBER(AK36),ISNUMBER(AL36),ISNUMBER(AM36),ISNUMBER(AN36),ISNUMBER(AO36),AJ36="X",AK36="X",AL36="X",AM36="X",AN36="X",AO36="X",AJ36="M",AK36="M",AL36="M",AM36="M",AN36="M",AO36="M"),IF(AJ36="X",10,IF(AJ36="M",0,IF(ISNUMBER(AJ36),AJ36,0))) + IF(AK36="X",10,IF(AK36="M",0,IF(ISNUMBER(AK36),AK36,0))) + IF(AL36="X",10,IF(AL36="M",0,IF(ISNUMBER(AL36),AL36,0))) + IF(AM36="X",10,IF(AM36="M",0,IF(ISNUMBER(AM36),AM36,0))) + IF(AN36="X",10,IF(AN36="M",0,IF(ISNUMBER(AN36),AN36,0))) + IF(AO36="X",10,IF(AO36="M",0,IF(ISNUMBER(AO36),AO36,0))),"")</f>
        <v/>
      </c>
      <c r="AQ36" s="64"/>
      <c r="AR36" s="64"/>
      <c r="AS36" s="64"/>
      <c r="AT36" s="64"/>
      <c r="AU36" s="64"/>
      <c r="AV36" s="64"/>
      <c r="AW36" s="63" t="str">
        <f>IF(OR(ISNUMBER(AQ36),ISNUMBER(AR36),ISNUMBER(AS36),ISNUMBER(AT36),ISNUMBER(AU36),ISNUMBER(AV36),AQ36="X",AR36="X",AS36="X",AT36="X",AU36="X",AV36="X",AQ36="M",AR36="M",AS36="M",AT36="M",AU36="M",AV36="M"),IF(AQ36="X",10,IF(AQ36="M",0,IF(ISNUMBER(AQ36),AQ36,0))) + IF(AR36="X",10,IF(AR36="M",0,IF(ISNUMBER(AR36),AR36,0))) + IF(AS36="X",10,IF(AS36="M",0,IF(ISNUMBER(AS36),AS36,0))) + IF(AT36="X",10,IF(AT36="M",0,IF(ISNUMBER(AT36),AT36,0))) + IF(AU36="X",10,IF(AU36="M",0,IF(ISNUMBER(AU36),AU36,0))) + IF(AV36="X",10,IF(AV36="M",0,IF(ISNUMBER(AV36),AV36,0))),"")</f>
        <v/>
      </c>
      <c r="AX36" s="65">
        <f>IF(AND(ISNUMBER(N36),ISNUMBER(N38)),IF(N36&gt;N38,2,IF(N36=N38,1,0)),0)+IF(AND(ISNUMBER(U36),ISNUMBER(U38)),IF(U36&gt;U38,2,IF(U36=U38,1,0)),0)+IF(AND(ISNUMBER(AB36),ISNUMBER(AB38)),IF(AB36&gt;AB38,2,IF(AB36=AB38,1,0)),0)+IF(AND(ISNUMBER(AI36),ISNUMBER(AI38)),IF(AI36&gt;AI38,2,IF(AI36=AI38,1,0)),0)+IF(AND(ISNUMBER(AP36),ISNUMBER(AP38)),IF(AP36&gt;AP38,2,IF(AP36=AP38,1,0)),0)</f>
        <v>0</v>
      </c>
      <c r="AY36" s="66"/>
      <c r="AZ36" s="67">
        <f>IF(AX36&gt;0,IF(H36="X",10,IF(H36="M",0,IF(ISNUMBER(H36),H36,0)))+IF(I36="X",10,IF(I36="M",0,IF(ISNUMBER(I36),I36,0)))+IF(J36="X",10,IF(J36="M",0,IF(ISNUMBER(J36),J36,0)))+IF(K36="X",10,IF(K36="M",0,IF(ISNUMBER(K36),K36,0)))+IF(L36="X",10,IF(L36="M",0,IF(ISNUMBER(L36),L36,0)))+IF(M36="X",10,IF(M36="M",0,IF(ISNUMBER(M36),M36,0)))+IF(O36="X",10,IF(O36="M",0,IF(ISNUMBER(O36),O36,0)))+IF(P36="X",10,IF(P36="M",0,IF(ISNUMBER(P36),P36,0)))+IF(Q36="X",10,IF(Q36="M",0,IF(ISNUMBER(Q36),Q36,0)))+IF(R36="X",10,IF(R36="M",0,IF(ISNUMBER(R36),R36,0)))+IF(S36="X",10,IF(S36="M",0,IF(ISNUMBER(S36),S36,0)))+IF(T36="X",10,IF(T36="M",0,IF(ISNUMBER(T36),T36,0)))+IF(V36="X",10,IF(V36="M",0,IF(ISNUMBER(V36),V36,0)))+IF(W36="X",10,IF(W36="M",0,IF(ISNUMBER(W36),W36,0)))+IF(X36="X",10,IF(X36="M",0,IF(ISNUMBER(X36),X36,0)))+IF(Y36="X",10,IF(Y36="M",0,IF(ISNUMBER(Y36),Y36,0)))+IF(Z36="X",10,IF(Z36="M",0,IF(ISNUMBER(Z36),Z36,0)))+IF(AA36="X",10,IF(AA36="M",0,IF(ISNUMBER(AA36),AA36,0)))+IF(AC36="X",10,IF(AC36="M",0,IF(ISNUMBER(AC36),AC36,0)))+IF(AD36="X",10,IF(AD36="M",0,IF(ISNUMBER(AD36),AD36,0)))+IF(AE36="X",10,IF(AE36="M",0,IF(ISNUMBER(AE36),AE36,0)))+IF(AF36="X",10,IF(AF36="M",0,IF(ISNUMBER(AF36),AF36,0)))+IF(AG36="X",10,IF(AG36="M",0,IF(ISNUMBER(AG36),AG36,0)))+IF(AH36="X",10,IF(AH36="M",0,IF(ISNUMBER(AH36),AH36,0)))+IF(AJ36="X",10,IF(AJ36="M",0,IF(ISNUMBER(AJ36),AJ36,0)))+IF(AK36="X",10,IF(AK36="M",0,IF(ISNUMBER(AK36),AK36,0)))+IF(AL36="X",10,IF(AL36="M",0,IF(ISNUMBER(AL36),AL36,0)))+IF(AM36="X",10,IF(AM36="M",0,IF(ISNUMBER(AM36),AM36,0)))+IF(AN36="X",10,IF(AN36="M",0,IF(ISNUMBER(AN36),AN36,0)))+IF(AO36="X",10,IF(AO36="M",0,IF(ISNUMBER(AO36),AO36,0)))+IF(AQ36="X",10,IF(AQ36="M",0,IF(ISNUMBER(AQ36),AQ36,0)))+IF(AR36="X",10,IF(AR36="M",0,IF(ISNUMBER(AR36),AR36,0)))+IF(AS36="X",10,IF(AS36="M",0,IF(ISNUMBER(AS36),AS36,0)))+IF(AT36="X",10,IF(AT36="M",0,IF(ISNUMBER(AT36),AT36,0)))+IF(AU36="X",10,IF(AU36="M",0,IF(ISNUMBER(AU36),AU36,0)))+IF(AV36="X",10,IF(AV36="M",0,IF(ISNUMBER(AV36),AV36,0))),0)</f>
        <v>0</v>
      </c>
      <c r="BA36" s="68" t="str">
        <f>IFERROR(IF(AY36="DQ","DISQUALIFIED",IF(AY38="DQ","&gt;&gt; Advance",IF(BC38="BYE","&gt;&gt; Advance",IF(BC36="BYE","BYE",IF(AX36&gt;=6,"WIN",IF(AX38&gt;=6,"LOSS",IF(AND(ISNUMBER(AW36),ISNUMBER(AW38)),IF(AW36&gt;AW38,"WIN",IF(AW36&lt;AW38,"LOSS","Shoot-Off")),"Playing"))))))),"Error")</f>
        <v>&gt;&gt; Advance</v>
      </c>
      <c r="BC36" s="69" t="str">
        <f>IFERROR(IF(INDEX('Open 30M - Teams'!$L:$L,MATCH(7,'Open 30M - Teams'!$A:$A,0))="Yes","BYE",IF(OR(INDEX('Open 30M - Teams'!$B:$B,MATCH(7,'Open 30M - Teams'!$A:$A,0))="",ISERROR(MATCH(7,'Open 30M - Teams'!$A:$A,0))),"BYE","")),"BYE")</f>
        <v>BYE</v>
      </c>
    </row>
    <row r="37" spans="1:237" ht="3" customHeight="1" x14ac:dyDescent="0.35">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row>
    <row r="38" spans="1:237" ht="15.75" customHeight="1" x14ac:dyDescent="0.35">
      <c r="A38" s="61" t="str">
        <f>IFERROR(IF(INDEX('Open 30M - Teams'!$L:$L,MATCH(10,'Open 30M - Teams'!$A:$A,0))="Yes","BYE",IF(OR(INDEX('Open 30M - Teams'!$B:$B,MATCH(10,'Open 30M - Teams'!$A:$A,0))="",ISERROR(MATCH(10,'Open 30M - Teams'!$A:$A,0))),"BYE","#10")),"BYE")</f>
        <v>BYE</v>
      </c>
      <c r="B38" s="106" t="str">
        <f>IFERROR(IF(INDEX('Open 30M - Teams'!$L:$L,MATCH(10,'Open 30M - Teams'!$A:$A,0))="Yes","",IF(INDEX('Open 30M - Teams'!$N:$N,MATCH(10,'Open 30M - Teams'!$A:$A,0))&lt;&gt;"",INDEX('Open 30M - Teams'!$N:$N,MATCH(10,'Open 30M - Teams'!$A:$A,0)),IF(INDEX('Open 30M - Teams'!$B:$B,MATCH(10,'Open 30M - Teams'!$A:$A,0))="","",INDEX('Open 30M - Teams'!$B:$B,MATCH(10,'Open 30M - Teams'!$A:$A,0))))),"")</f>
        <v/>
      </c>
      <c r="C38" s="106"/>
      <c r="D38" s="106"/>
      <c r="E38" s="107" t="str">
        <f>IF(OR(A38="BYE",BA38="&gt;&gt;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Advance",1,0),0),0))-1,2)=0)," (L)"," (R)")))</f>
        <v/>
      </c>
      <c r="F38" s="107"/>
      <c r="G38" s="107"/>
      <c r="H38" s="62"/>
      <c r="I38" s="62"/>
      <c r="J38" s="62"/>
      <c r="K38" s="62"/>
      <c r="L38" s="62"/>
      <c r="M38" s="62"/>
      <c r="N38" s="63" t="str">
        <f>IF(OR(ISNUMBER(H38),ISNUMBER(I38),ISNUMBER(J38),ISNUMBER(K38),ISNUMBER(L38),ISNUMBER(M38),H38="X",I38="X",J38="X",K38="X",L38="X",M38="X",H38="M",I38="M",J38="M",K38="M",L38="M",M38="M"),IF(H38="X",10,IF(H38="M",0,IF(ISNUMBER(H38),H38,0))) + IF(I38="X",10,IF(I38="M",0,IF(ISNUMBER(I38),I38,0))) + IF(J38="X",10,IF(J38="M",0,IF(ISNUMBER(J38),J38,0))) + IF(K38="X",10,IF(K38="M",0,IF(ISNUMBER(K38),K38,0))) + IF(L38="X",10,IF(L38="M",0,IF(ISNUMBER(L38),L38,0))) + IF(M38="X",10,IF(M38="M",0,IF(ISNUMBER(M38),M38,0))),"")</f>
        <v/>
      </c>
      <c r="O38" s="62"/>
      <c r="P38" s="62"/>
      <c r="Q38" s="62"/>
      <c r="R38" s="62"/>
      <c r="S38" s="62"/>
      <c r="T38" s="62"/>
      <c r="U38" s="63" t="str">
        <f>IF(OR(ISNUMBER(O38),ISNUMBER(P38),ISNUMBER(Q38),ISNUMBER(R38),ISNUMBER(S38),ISNUMBER(T38),O38="X",P38="X",Q38="X",R38="X",S38="X",T38="X",O38="M",P38="M",Q38="M",R38="M",S38="M",T38="M"),IF(O38="X",10,IF(O38="M",0,IF(ISNUMBER(O38),O38,0))) + IF(P38="X",10,IF(P38="M",0,IF(ISNUMBER(P38),P38,0))) + IF(Q38="X",10,IF(Q38="M",0,IF(ISNUMBER(Q38),Q38,0))) + IF(R38="X",10,IF(R38="M",0,IF(ISNUMBER(R38),R38,0))) + IF(S38="X",10,IF(S38="M",0,IF(ISNUMBER(S38),S38,0))) + IF(T38="X",10,IF(T38="M",0,IF(ISNUMBER(T38),T38,0))),"")</f>
        <v/>
      </c>
      <c r="V38" s="62"/>
      <c r="W38" s="62"/>
      <c r="X38" s="62"/>
      <c r="Y38" s="62"/>
      <c r="Z38" s="62"/>
      <c r="AA38" s="62"/>
      <c r="AB38" s="63" t="str">
        <f>IF(OR(ISNUMBER(V38),ISNUMBER(W38),ISNUMBER(X38),ISNUMBER(Y38),ISNUMBER(Z38),ISNUMBER(AA38),V38="X",W38="X",X38="X",Y38="X",Z38="X",AA38="X",V38="M",W38="M",X38="M",Y38="M",Z38="M",AA38="M"),IF(V38="X",10,IF(V38="M",0,IF(ISNUMBER(V38),V38,0))) + IF(W38="X",10,IF(W38="M",0,IF(ISNUMBER(W38),W38,0))) + IF(X38="X",10,IF(X38="M",0,IF(ISNUMBER(X38),X38,0))) + IF(Y38="X",10,IF(Y38="M",0,IF(ISNUMBER(Y38),Y38,0))) + IF(Z38="X",10,IF(Z38="M",0,IF(ISNUMBER(Z38),Z38,0))) + IF(AA38="X",10,IF(AA38="M",0,IF(ISNUMBER(AA38),AA38,0))),"")</f>
        <v/>
      </c>
      <c r="AC38" s="62"/>
      <c r="AD38" s="62"/>
      <c r="AE38" s="62"/>
      <c r="AF38" s="62"/>
      <c r="AG38" s="62"/>
      <c r="AH38" s="62"/>
      <c r="AI38" s="63" t="str">
        <f>IF(OR(ISNUMBER(AC38),ISNUMBER(AD38),ISNUMBER(AE38),ISNUMBER(AF38),ISNUMBER(AG38),ISNUMBER(AH38),AC38="X",AD38="X",AE38="X",AF38="X",AG38="X",AH38="X",AC38="M",AD38="M",AE38="M",AF38="M",AG38="M",AH38="M"),IF(AC38="X",10,IF(AC38="M",0,IF(ISNUMBER(AC38),AC38,0))) + IF(AD38="X",10,IF(AD38="M",0,IF(ISNUMBER(AD38),AD38,0))) + IF(AE38="X",10,IF(AE38="M",0,IF(ISNUMBER(AE38),AE38,0))) + IF(AF38="X",10,IF(AF38="M",0,IF(ISNUMBER(AF38),AF38,0))) + IF(AG38="X",10,IF(AG38="M",0,IF(ISNUMBER(AG38),AG38,0))) + IF(AH38="X",10,IF(AH38="M",0,IF(ISNUMBER(AH38),AH38,0))),"")</f>
        <v/>
      </c>
      <c r="AJ38" s="62"/>
      <c r="AK38" s="62"/>
      <c r="AL38" s="62"/>
      <c r="AM38" s="62"/>
      <c r="AN38" s="62"/>
      <c r="AO38" s="62"/>
      <c r="AP38" s="63" t="str">
        <f>IF(OR(ISNUMBER(AJ38),ISNUMBER(AK38),ISNUMBER(AL38),ISNUMBER(AM38),ISNUMBER(AN38),ISNUMBER(AO38),AJ38="X",AK38="X",AL38="X",AM38="X",AN38="X",AO38="X",AJ38="M",AK38="M",AL38="M",AM38="M",AN38="M",AO38="M"),IF(AJ38="X",10,IF(AJ38="M",0,IF(ISNUMBER(AJ38),AJ38,0))) + IF(AK38="X",10,IF(AK38="M",0,IF(ISNUMBER(AK38),AK38,0))) + IF(AL38="X",10,IF(AL38="M",0,IF(ISNUMBER(AL38),AL38,0))) + IF(AM38="X",10,IF(AM38="M",0,IF(ISNUMBER(AM38),AM38,0))) + IF(AN38="X",10,IF(AN38="M",0,IF(ISNUMBER(AN38),AN38,0))) + IF(AO38="X",10,IF(AO38="M",0,IF(ISNUMBER(AO38),AO38,0))),"")</f>
        <v/>
      </c>
      <c r="AQ38" s="64"/>
      <c r="AR38" s="64"/>
      <c r="AS38" s="64"/>
      <c r="AT38" s="64"/>
      <c r="AU38" s="64"/>
      <c r="AV38" s="64"/>
      <c r="AW38" s="63" t="str">
        <f>IF(OR(ISNUMBER(AQ38),ISNUMBER(AR38),ISNUMBER(AS38),ISNUMBER(AT38),ISNUMBER(AU38),ISNUMBER(AV38),AQ38="X",AR38="X",AS38="X",AT38="X",AU38="X",AV38="X",AQ38="M",AR38="M",AS38="M",AT38="M",AU38="M",AV38="M"),IF(AQ38="X",10,IF(AQ38="M",0,IF(ISNUMBER(AQ38),AQ38,0))) + IF(AR38="X",10,IF(AR38="M",0,IF(ISNUMBER(AR38),AR38,0))) + IF(AS38="X",10,IF(AS38="M",0,IF(ISNUMBER(AS38),AS38,0))) + IF(AT38="X",10,IF(AT38="M",0,IF(ISNUMBER(AT38),AT38,0))) + IF(AU38="X",10,IF(AU38="M",0,IF(ISNUMBER(AU38),AU38,0))) + IF(AV38="X",10,IF(AV38="M",0,IF(ISNUMBER(AV38),AV38,0))),"")</f>
        <v/>
      </c>
      <c r="AX38" s="65">
        <f>IF(AND(ISNUMBER(N38),ISNUMBER(N36)),IF(N38&gt;N36,2,IF(N38=N36,1,0)),0)+IF(AND(ISNUMBER(U38),ISNUMBER(U36)),IF(U38&gt;U36,2,IF(U38=U36,1,0)),0)+IF(AND(ISNUMBER(AB38),ISNUMBER(AB36)),IF(AB38&gt;AB36,2,IF(AB38=AB36,1,0)),0)+IF(AND(ISNUMBER(AI38),ISNUMBER(AI36)),IF(AI38&gt;AI36,2,IF(AI38=AI36,1,0)),0)+IF(AND(ISNUMBER(AP38),ISNUMBER(AP36)),IF(AP38&gt;AP36,2,IF(AP38=AP36,1,0)),0)</f>
        <v>0</v>
      </c>
      <c r="AY38" s="66"/>
      <c r="AZ38" s="67">
        <f>IF(AX38&gt;0,IF(H38="X",10,IF(H38="M",0,IF(ISNUMBER(H38),H38,0)))+IF(I38="X",10,IF(I38="M",0,IF(ISNUMBER(I38),I38,0)))+IF(J38="X",10,IF(J38="M",0,IF(ISNUMBER(J38),J38,0)))+IF(K38="X",10,IF(K38="M",0,IF(ISNUMBER(K38),K38,0)))+IF(L38="X",10,IF(L38="M",0,IF(ISNUMBER(L38),L38,0)))+IF(M38="X",10,IF(M38="M",0,IF(ISNUMBER(M38),M38,0)))+IF(O38="X",10,IF(O38="M",0,IF(ISNUMBER(O38),O38,0)))+IF(P38="X",10,IF(P38="M",0,IF(ISNUMBER(P38),P38,0)))+IF(Q38="X",10,IF(Q38="M",0,IF(ISNUMBER(Q38),Q38,0)))+IF(R38="X",10,IF(R38="M",0,IF(ISNUMBER(R38),R38,0)))+IF(S38="X",10,IF(S38="M",0,IF(ISNUMBER(S38),S38,0)))+IF(T38="X",10,IF(T38="M",0,IF(ISNUMBER(T38),T38,0)))+IF(V38="X",10,IF(V38="M",0,IF(ISNUMBER(V38),V38,0)))+IF(W38="X",10,IF(W38="M",0,IF(ISNUMBER(W38),W38,0)))+IF(X38="X",10,IF(X38="M",0,IF(ISNUMBER(X38),X38,0)))+IF(Y38="X",10,IF(Y38="M",0,IF(ISNUMBER(Y38),Y38,0)))+IF(Z38="X",10,IF(Z38="M",0,IF(ISNUMBER(Z38),Z38,0)))+IF(AA38="X",10,IF(AA38="M",0,IF(ISNUMBER(AA38),AA38,0)))+IF(AC38="X",10,IF(AC38="M",0,IF(ISNUMBER(AC38),AC38,0)))+IF(AD38="X",10,IF(AD38="M",0,IF(ISNUMBER(AD38),AD38,0)))+IF(AE38="X",10,IF(AE38="M",0,IF(ISNUMBER(AE38),AE38,0)))+IF(AF38="X",10,IF(AF38="M",0,IF(ISNUMBER(AF38),AF38,0)))+IF(AG38="X",10,IF(AG38="M",0,IF(ISNUMBER(AG38),AG38,0)))+IF(AH38="X",10,IF(AH38="M",0,IF(ISNUMBER(AH38),AH38,0)))+IF(AJ38="X",10,IF(AJ38="M",0,IF(ISNUMBER(AJ38),AJ38,0)))+IF(AK38="X",10,IF(AK38="M",0,IF(ISNUMBER(AK38),AK38,0)))+IF(AL38="X",10,IF(AL38="M",0,IF(ISNUMBER(AL38),AL38,0)))+IF(AM38="X",10,IF(AM38="M",0,IF(ISNUMBER(AM38),AM38,0)))+IF(AN38="X",10,IF(AN38="M",0,IF(ISNUMBER(AN38),AN38,0)))+IF(AO38="X",10,IF(AO38="M",0,IF(ISNUMBER(AO38),AO38,0)))+IF(AQ38="X",10,IF(AQ38="M",0,IF(ISNUMBER(AQ38),AQ38,0)))+IF(AR38="X",10,IF(AR38="M",0,IF(ISNUMBER(AR38),AR38,0)))+IF(AS38="X",10,IF(AS38="M",0,IF(ISNUMBER(AS38),AS38,0)))+IF(AT38="X",10,IF(AT38="M",0,IF(ISNUMBER(AT38),AT38,0)))+IF(AU38="X",10,IF(AU38="M",0,IF(ISNUMBER(AU38),AU38,0)))+IF(AV38="X",10,IF(AV38="M",0,IF(ISNUMBER(AV38),AV38,0))),0)</f>
        <v>0</v>
      </c>
      <c r="BA38" s="68" t="str">
        <f>IFERROR(IF(AY38="DQ","DISQUALIFIED",IF(AY36="DQ","&gt;&gt; Advance",IF(BC36="BYE","&gt;&gt; Advance",IF(BC38="BYE","BYE",IF(AX38&gt;=6,"WIN",IF(AX36&gt;=6,"LOSS",IF(AND(ISNUMBER(AW38),ISNUMBER(AW36)),IF(AW38&gt;AW36,"WIN",IF(AW38&lt;AW36,"LOSS","Shoot-Off")),"Playing"))))))),"Error")</f>
        <v>&gt;&gt; Advance</v>
      </c>
      <c r="BC38" s="69" t="str">
        <f>IFERROR(IF(INDEX('Open 30M - Teams'!$L:$L,MATCH(10,'Open 30M - Teams'!$A:$A,0))="Yes","BYE",IF(OR(INDEX('Open 30M - Teams'!$B:$B,MATCH(10,'Open 30M - Teams'!$A:$A,0))="",ISERROR(MATCH(10,'Open 30M - Teams'!$A:$A,0))),"BYE","")),"BYE")</f>
        <v>BYE</v>
      </c>
    </row>
    <row r="39" spans="1:237" ht="1.5" customHeight="1" x14ac:dyDescent="0.35"/>
    <row r="40" spans="1:237" ht="10.5" customHeight="1" x14ac:dyDescent="0.35">
      <c r="A40" s="104" t="s">
        <v>210</v>
      </c>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row>
    <row r="41" spans="1:237" ht="15.75" customHeight="1" x14ac:dyDescent="0.35">
      <c r="A41" s="61" t="str">
        <f>IFERROR(IF(INDEX('Open 30M - Teams'!$L:$L,MATCH(2,'Open 30M - Teams'!$A:$A,0))="Yes","BYE",IF(OR(INDEX('Open 30M - Teams'!$B:$B,MATCH(2,'Open 30M - Teams'!$A:$A,0))="",ISERROR(MATCH(2,'Open 30M - Teams'!$A:$A,0))),"BYE","#2")),"BYE")</f>
        <v>BYE</v>
      </c>
      <c r="B41" s="106" t="str">
        <f>IFERROR(IF(INDEX('Open 30M - Teams'!$L:$L,MATCH(2,'Open 30M - Teams'!$A:$A,0))="Yes","",IF(INDEX('Open 30M - Teams'!$N:$N,MATCH(2,'Open 30M - Teams'!$A:$A,0))&lt;&gt;"",INDEX('Open 30M - Teams'!$N:$N,MATCH(2,'Open 30M - Teams'!$A:$A,0)),IF(INDEX('Open 30M - Teams'!$B:$B,MATCH(2,'Open 30M - Teams'!$A:$A,0))="","",INDEX('Open 30M - Teams'!$B:$B,MATCH(2,'Open 30M - Teams'!$A:$A,0))))),"")</f>
        <v/>
      </c>
      <c r="C41" s="106"/>
      <c r="D41" s="106"/>
      <c r="E41" s="107" t="str">
        <f>IF(OR(A41="BYE",BA41="&gt;&gt;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Advance",1,0),0),0))-1,2)=0)," (L)"," (R)")))</f>
        <v/>
      </c>
      <c r="F41" s="107"/>
      <c r="G41" s="107"/>
      <c r="H41" s="62"/>
      <c r="I41" s="62"/>
      <c r="J41" s="62"/>
      <c r="K41" s="62"/>
      <c r="L41" s="62"/>
      <c r="M41" s="62"/>
      <c r="N41" s="63" t="str">
        <f>IF(OR(ISNUMBER(H41),ISNUMBER(I41),ISNUMBER(J41),ISNUMBER(K41),ISNUMBER(L41),ISNUMBER(M41),H41="X",I41="X",J41="X",K41="X",L41="X",M41="X",H41="M",I41="M",J41="M",K41="M",L41="M",M41="M"),IF(H41="X",10,IF(H41="M",0,IF(ISNUMBER(H41),H41,0))) + IF(I41="X",10,IF(I41="M",0,IF(ISNUMBER(I41),I41,0))) + IF(J41="X",10,IF(J41="M",0,IF(ISNUMBER(J41),J41,0))) + IF(K41="X",10,IF(K41="M",0,IF(ISNUMBER(K41),K41,0))) + IF(L41="X",10,IF(L41="M",0,IF(ISNUMBER(L41),L41,0))) + IF(M41="X",10,IF(M41="M",0,IF(ISNUMBER(M41),M41,0))),"")</f>
        <v/>
      </c>
      <c r="O41" s="62"/>
      <c r="P41" s="62"/>
      <c r="Q41" s="62"/>
      <c r="R41" s="62"/>
      <c r="S41" s="62"/>
      <c r="T41" s="62"/>
      <c r="U41" s="63" t="str">
        <f>IF(OR(ISNUMBER(O41),ISNUMBER(P41),ISNUMBER(Q41),ISNUMBER(R41),ISNUMBER(S41),ISNUMBER(T41),O41="X",P41="X",Q41="X",R41="X",S41="X",T41="X",O41="M",P41="M",Q41="M",R41="M",S41="M",T41="M"),IF(O41="X",10,IF(O41="M",0,IF(ISNUMBER(O41),O41,0))) + IF(P41="X",10,IF(P41="M",0,IF(ISNUMBER(P41),P41,0))) + IF(Q41="X",10,IF(Q41="M",0,IF(ISNUMBER(Q41),Q41,0))) + IF(R41="X",10,IF(R41="M",0,IF(ISNUMBER(R41),R41,0))) + IF(S41="X",10,IF(S41="M",0,IF(ISNUMBER(S41),S41,0))) + IF(T41="X",10,IF(T41="M",0,IF(ISNUMBER(T41),T41,0))),"")</f>
        <v/>
      </c>
      <c r="V41" s="62"/>
      <c r="W41" s="62"/>
      <c r="X41" s="62"/>
      <c r="Y41" s="62"/>
      <c r="Z41" s="62"/>
      <c r="AA41" s="62"/>
      <c r="AB41" s="63" t="str">
        <f>IF(OR(ISNUMBER(V41),ISNUMBER(W41),ISNUMBER(X41),ISNUMBER(Y41),ISNUMBER(Z41),ISNUMBER(AA41),V41="X",W41="X",X41="X",Y41="X",Z41="X",AA41="X",V41="M",W41="M",X41="M",Y41="M",Z41="M",AA41="M"),IF(V41="X",10,IF(V41="M",0,IF(ISNUMBER(V41),V41,0))) + IF(W41="X",10,IF(W41="M",0,IF(ISNUMBER(W41),W41,0))) + IF(X41="X",10,IF(X41="M",0,IF(ISNUMBER(X41),X41,0))) + IF(Y41="X",10,IF(Y41="M",0,IF(ISNUMBER(Y41),Y41,0))) + IF(Z41="X",10,IF(Z41="M",0,IF(ISNUMBER(Z41),Z41,0))) + IF(AA41="X",10,IF(AA41="M",0,IF(ISNUMBER(AA41),AA41,0))),"")</f>
        <v/>
      </c>
      <c r="AC41" s="62"/>
      <c r="AD41" s="62"/>
      <c r="AE41" s="62"/>
      <c r="AF41" s="62"/>
      <c r="AG41" s="62"/>
      <c r="AH41" s="62"/>
      <c r="AI41" s="63" t="str">
        <f>IF(OR(ISNUMBER(AC41),ISNUMBER(AD41),ISNUMBER(AE41),ISNUMBER(AF41),ISNUMBER(AG41),ISNUMBER(AH41),AC41="X",AD41="X",AE41="X",AF41="X",AG41="X",AH41="X",AC41="M",AD41="M",AE41="M",AF41="M",AG41="M",AH41="M"),IF(AC41="X",10,IF(AC41="M",0,IF(ISNUMBER(AC41),AC41,0))) + IF(AD41="X",10,IF(AD41="M",0,IF(ISNUMBER(AD41),AD41,0))) + IF(AE41="X",10,IF(AE41="M",0,IF(ISNUMBER(AE41),AE41,0))) + IF(AF41="X",10,IF(AF41="M",0,IF(ISNUMBER(AF41),AF41,0))) + IF(AG41="X",10,IF(AG41="M",0,IF(ISNUMBER(AG41),AG41,0))) + IF(AH41="X",10,IF(AH41="M",0,IF(ISNUMBER(AH41),AH41,0))),"")</f>
        <v/>
      </c>
      <c r="AJ41" s="62"/>
      <c r="AK41" s="62"/>
      <c r="AL41" s="62"/>
      <c r="AM41" s="62"/>
      <c r="AN41" s="62"/>
      <c r="AO41" s="62"/>
      <c r="AP41" s="63" t="str">
        <f>IF(OR(ISNUMBER(AJ41),ISNUMBER(AK41),ISNUMBER(AL41),ISNUMBER(AM41),ISNUMBER(AN41),ISNUMBER(AO41),AJ41="X",AK41="X",AL41="X",AM41="X",AN41="X",AO41="X",AJ41="M",AK41="M",AL41="M",AM41="M",AN41="M",AO41="M"),IF(AJ41="X",10,IF(AJ41="M",0,IF(ISNUMBER(AJ41),AJ41,0))) + IF(AK41="X",10,IF(AK41="M",0,IF(ISNUMBER(AK41),AK41,0))) + IF(AL41="X",10,IF(AL41="M",0,IF(ISNUMBER(AL41),AL41,0))) + IF(AM41="X",10,IF(AM41="M",0,IF(ISNUMBER(AM41),AM41,0))) + IF(AN41="X",10,IF(AN41="M",0,IF(ISNUMBER(AN41),AN41,0))) + IF(AO41="X",10,IF(AO41="M",0,IF(ISNUMBER(AO41),AO41,0))),"")</f>
        <v/>
      </c>
      <c r="AQ41" s="64"/>
      <c r="AR41" s="64"/>
      <c r="AS41" s="64"/>
      <c r="AT41" s="64"/>
      <c r="AU41" s="64"/>
      <c r="AV41" s="64"/>
      <c r="AW41" s="63" t="str">
        <f>IF(OR(ISNUMBER(AQ41),ISNUMBER(AR41),ISNUMBER(AS41),ISNUMBER(AT41),ISNUMBER(AU41),ISNUMBER(AV41),AQ41="X",AR41="X",AS41="X",AT41="X",AU41="X",AV41="X",AQ41="M",AR41="M",AS41="M",AT41="M",AU41="M",AV41="M"),IF(AQ41="X",10,IF(AQ41="M",0,IF(ISNUMBER(AQ41),AQ41,0))) + IF(AR41="X",10,IF(AR41="M",0,IF(ISNUMBER(AR41),AR41,0))) + IF(AS41="X",10,IF(AS41="M",0,IF(ISNUMBER(AS41),AS41,0))) + IF(AT41="X",10,IF(AT41="M",0,IF(ISNUMBER(AT41),AT41,0))) + IF(AU41="X",10,IF(AU41="M",0,IF(ISNUMBER(AU41),AU41,0))) + IF(AV41="X",10,IF(AV41="M",0,IF(ISNUMBER(AV41),AV41,0))),"")</f>
        <v/>
      </c>
      <c r="AX41" s="65">
        <f>IF(AND(ISNUMBER(N41),ISNUMBER(N43)),IF(N41&gt;N43,2,IF(N41=N43,1,0)),0)+IF(AND(ISNUMBER(U41),ISNUMBER(U43)),IF(U41&gt;U43,2,IF(U41=U43,1,0)),0)+IF(AND(ISNUMBER(AB41),ISNUMBER(AB43)),IF(AB41&gt;AB43,2,IF(AB41=AB43,1,0)),0)+IF(AND(ISNUMBER(AI41),ISNUMBER(AI43)),IF(AI41&gt;AI43,2,IF(AI41=AI43,1,0)),0)+IF(AND(ISNUMBER(AP41),ISNUMBER(AP43)),IF(AP41&gt;AP43,2,IF(AP41=AP43,1,0)),0)</f>
        <v>0</v>
      </c>
      <c r="AY41" s="66"/>
      <c r="AZ41" s="67">
        <f>IF(AX41&gt;0,IF(H41="X",10,IF(H41="M",0,IF(ISNUMBER(H41),H41,0)))+IF(I41="X",10,IF(I41="M",0,IF(ISNUMBER(I41),I41,0)))+IF(J41="X",10,IF(J41="M",0,IF(ISNUMBER(J41),J41,0)))+IF(K41="X",10,IF(K41="M",0,IF(ISNUMBER(K41),K41,0)))+IF(L41="X",10,IF(L41="M",0,IF(ISNUMBER(L41),L41,0)))+IF(M41="X",10,IF(M41="M",0,IF(ISNUMBER(M41),M41,0)))+IF(O41="X",10,IF(O41="M",0,IF(ISNUMBER(O41),O41,0)))+IF(P41="X",10,IF(P41="M",0,IF(ISNUMBER(P41),P41,0)))+IF(Q41="X",10,IF(Q41="M",0,IF(ISNUMBER(Q41),Q41,0)))+IF(R41="X",10,IF(R41="M",0,IF(ISNUMBER(R41),R41,0)))+IF(S41="X",10,IF(S41="M",0,IF(ISNUMBER(S41),S41,0)))+IF(T41="X",10,IF(T41="M",0,IF(ISNUMBER(T41),T41,0)))+IF(V41="X",10,IF(V41="M",0,IF(ISNUMBER(V41),V41,0)))+IF(W41="X",10,IF(W41="M",0,IF(ISNUMBER(W41),W41,0)))+IF(X41="X",10,IF(X41="M",0,IF(ISNUMBER(X41),X41,0)))+IF(Y41="X",10,IF(Y41="M",0,IF(ISNUMBER(Y41),Y41,0)))+IF(Z41="X",10,IF(Z41="M",0,IF(ISNUMBER(Z41),Z41,0)))+IF(AA41="X",10,IF(AA41="M",0,IF(ISNUMBER(AA41),AA41,0)))+IF(AC41="X",10,IF(AC41="M",0,IF(ISNUMBER(AC41),AC41,0)))+IF(AD41="X",10,IF(AD41="M",0,IF(ISNUMBER(AD41),AD41,0)))+IF(AE41="X",10,IF(AE41="M",0,IF(ISNUMBER(AE41),AE41,0)))+IF(AF41="X",10,IF(AF41="M",0,IF(ISNUMBER(AF41),AF41,0)))+IF(AG41="X",10,IF(AG41="M",0,IF(ISNUMBER(AG41),AG41,0)))+IF(AH41="X",10,IF(AH41="M",0,IF(ISNUMBER(AH41),AH41,0)))+IF(AJ41="X",10,IF(AJ41="M",0,IF(ISNUMBER(AJ41),AJ41,0)))+IF(AK41="X",10,IF(AK41="M",0,IF(ISNUMBER(AK41),AK41,0)))+IF(AL41="X",10,IF(AL41="M",0,IF(ISNUMBER(AL41),AL41,0)))+IF(AM41="X",10,IF(AM41="M",0,IF(ISNUMBER(AM41),AM41,0)))+IF(AN41="X",10,IF(AN41="M",0,IF(ISNUMBER(AN41),AN41,0)))+IF(AO41="X",10,IF(AO41="M",0,IF(ISNUMBER(AO41),AO41,0)))+IF(AQ41="X",10,IF(AQ41="M",0,IF(ISNUMBER(AQ41),AQ41,0)))+IF(AR41="X",10,IF(AR41="M",0,IF(ISNUMBER(AR41),AR41,0)))+IF(AS41="X",10,IF(AS41="M",0,IF(ISNUMBER(AS41),AS41,0)))+IF(AT41="X",10,IF(AT41="M",0,IF(ISNUMBER(AT41),AT41,0)))+IF(AU41="X",10,IF(AU41="M",0,IF(ISNUMBER(AU41),AU41,0)))+IF(AV41="X",10,IF(AV41="M",0,IF(ISNUMBER(AV41),AV41,0))),0)</f>
        <v>0</v>
      </c>
      <c r="BA41" s="68" t="str">
        <f>IFERROR(IF(AY41="DQ","DISQUALIFIED",IF(AY43="DQ","&gt;&gt; Advance",IF(BC43="BYE","&gt;&gt; Advance",IF(BC41="BYE","BYE",IF(AX41&gt;=6,"WIN",IF(AX43&gt;=6,"LOSS",IF(AND(ISNUMBER(AW41),ISNUMBER(AW43)),IF(AW41&gt;AW43,"WIN",IF(AW41&lt;AW43,"LOSS","Shoot-Off")),"Playing"))))))),"Error")</f>
        <v>&gt;&gt; Advance</v>
      </c>
      <c r="BC41" s="69" t="str">
        <f>IFERROR(IF(INDEX('Open 30M - Teams'!$L:$L,MATCH(2,'Open 30M - Teams'!$A:$A,0))="Yes","BYE",IF(OR(INDEX('Open 30M - Teams'!$B:$B,MATCH(2,'Open 30M - Teams'!$A:$A,0))="",ISERROR(MATCH(2,'Open 30M - Teams'!$A:$A,0))),"BYE","")),"BYE")</f>
        <v>BYE</v>
      </c>
    </row>
    <row r="42" spans="1:237" ht="3" customHeight="1" x14ac:dyDescent="0.35">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row>
    <row r="43" spans="1:237" ht="15.75" customHeight="1" x14ac:dyDescent="0.35">
      <c r="A43" s="61" t="str">
        <f>IFERROR(IF(INDEX('Open 30M - Teams'!$L:$L,MATCH(15,'Open 30M - Teams'!$A:$A,0))="Yes","BYE",IF(OR(INDEX('Open 30M - Teams'!$B:$B,MATCH(15,'Open 30M - Teams'!$A:$A,0))="",ISERROR(MATCH(15,'Open 30M - Teams'!$A:$A,0))),"BYE","#15")),"BYE")</f>
        <v>BYE</v>
      </c>
      <c r="B43" s="106" t="str">
        <f>IFERROR(IF(INDEX('Open 30M - Teams'!$L:$L,MATCH(15,'Open 30M - Teams'!$A:$A,0))="Yes","",IF(INDEX('Open 30M - Teams'!$N:$N,MATCH(15,'Open 30M - Teams'!$A:$A,0))&lt;&gt;"",INDEX('Open 30M - Teams'!$N:$N,MATCH(15,'Open 30M - Teams'!$A:$A,0)),IF(INDEX('Open 30M - Teams'!$B:$B,MATCH(15,'Open 30M - Teams'!$A:$A,0))="","",INDEX('Open 30M - Teams'!$B:$B,MATCH(15,'Open 30M - Teams'!$A:$A,0))))),"")</f>
        <v/>
      </c>
      <c r="C43" s="106"/>
      <c r="D43" s="106"/>
      <c r="E43" s="107" t="str">
        <f>IF(OR(A43="BYE",BA43="&gt;&gt;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Advance",1,0),0),0))-1,2)=0)," (L)"," (R)")))</f>
        <v/>
      </c>
      <c r="F43" s="107"/>
      <c r="G43" s="107"/>
      <c r="H43" s="62"/>
      <c r="I43" s="62"/>
      <c r="J43" s="62"/>
      <c r="K43" s="62"/>
      <c r="L43" s="62"/>
      <c r="M43" s="62"/>
      <c r="N43" s="63" t="str">
        <f>IF(OR(ISNUMBER(H43),ISNUMBER(I43),ISNUMBER(J43),ISNUMBER(K43),ISNUMBER(L43),ISNUMBER(M43),H43="X",I43="X",J43="X",K43="X",L43="X",M43="X",H43="M",I43="M",J43="M",K43="M",L43="M",M43="M"),IF(H43="X",10,IF(H43="M",0,IF(ISNUMBER(H43),H43,0))) + IF(I43="X",10,IF(I43="M",0,IF(ISNUMBER(I43),I43,0))) + IF(J43="X",10,IF(J43="M",0,IF(ISNUMBER(J43),J43,0))) + IF(K43="X",10,IF(K43="M",0,IF(ISNUMBER(K43),K43,0))) + IF(L43="X",10,IF(L43="M",0,IF(ISNUMBER(L43),L43,0))) + IF(M43="X",10,IF(M43="M",0,IF(ISNUMBER(M43),M43,0))),"")</f>
        <v/>
      </c>
      <c r="O43" s="62"/>
      <c r="P43" s="62"/>
      <c r="Q43" s="62"/>
      <c r="R43" s="62"/>
      <c r="S43" s="62"/>
      <c r="T43" s="62"/>
      <c r="U43" s="63" t="str">
        <f>IF(OR(ISNUMBER(O43),ISNUMBER(P43),ISNUMBER(Q43),ISNUMBER(R43),ISNUMBER(S43),ISNUMBER(T43),O43="X",P43="X",Q43="X",R43="X",S43="X",T43="X",O43="M",P43="M",Q43="M",R43="M",S43="M",T43="M"),IF(O43="X",10,IF(O43="M",0,IF(ISNUMBER(O43),O43,0))) + IF(P43="X",10,IF(P43="M",0,IF(ISNUMBER(P43),P43,0))) + IF(Q43="X",10,IF(Q43="M",0,IF(ISNUMBER(Q43),Q43,0))) + IF(R43="X",10,IF(R43="M",0,IF(ISNUMBER(R43),R43,0))) + IF(S43="X",10,IF(S43="M",0,IF(ISNUMBER(S43),S43,0))) + IF(T43="X",10,IF(T43="M",0,IF(ISNUMBER(T43),T43,0))),"")</f>
        <v/>
      </c>
      <c r="V43" s="62"/>
      <c r="W43" s="62"/>
      <c r="X43" s="62"/>
      <c r="Y43" s="62"/>
      <c r="Z43" s="62"/>
      <c r="AA43" s="62"/>
      <c r="AB43" s="63" t="str">
        <f>IF(OR(ISNUMBER(V43),ISNUMBER(W43),ISNUMBER(X43),ISNUMBER(Y43),ISNUMBER(Z43),ISNUMBER(AA43),V43="X",W43="X",X43="X",Y43="X",Z43="X",AA43="X",V43="M",W43="M",X43="M",Y43="M",Z43="M",AA43="M"),IF(V43="X",10,IF(V43="M",0,IF(ISNUMBER(V43),V43,0))) + IF(W43="X",10,IF(W43="M",0,IF(ISNUMBER(W43),W43,0))) + IF(X43="X",10,IF(X43="M",0,IF(ISNUMBER(X43),X43,0))) + IF(Y43="X",10,IF(Y43="M",0,IF(ISNUMBER(Y43),Y43,0))) + IF(Z43="X",10,IF(Z43="M",0,IF(ISNUMBER(Z43),Z43,0))) + IF(AA43="X",10,IF(AA43="M",0,IF(ISNUMBER(AA43),AA43,0))),"")</f>
        <v/>
      </c>
      <c r="AC43" s="62"/>
      <c r="AD43" s="62"/>
      <c r="AE43" s="62"/>
      <c r="AF43" s="62"/>
      <c r="AG43" s="62"/>
      <c r="AH43" s="62"/>
      <c r="AI43" s="63" t="str">
        <f>IF(OR(ISNUMBER(AC43),ISNUMBER(AD43),ISNUMBER(AE43),ISNUMBER(AF43),ISNUMBER(AG43),ISNUMBER(AH43),AC43="X",AD43="X",AE43="X",AF43="X",AG43="X",AH43="X",AC43="M",AD43="M",AE43="M",AF43="M",AG43="M",AH43="M"),IF(AC43="X",10,IF(AC43="M",0,IF(ISNUMBER(AC43),AC43,0))) + IF(AD43="X",10,IF(AD43="M",0,IF(ISNUMBER(AD43),AD43,0))) + IF(AE43="X",10,IF(AE43="M",0,IF(ISNUMBER(AE43),AE43,0))) + IF(AF43="X",10,IF(AF43="M",0,IF(ISNUMBER(AF43),AF43,0))) + IF(AG43="X",10,IF(AG43="M",0,IF(ISNUMBER(AG43),AG43,0))) + IF(AH43="X",10,IF(AH43="M",0,IF(ISNUMBER(AH43),AH43,0))),"")</f>
        <v/>
      </c>
      <c r="AJ43" s="62"/>
      <c r="AK43" s="62"/>
      <c r="AL43" s="62"/>
      <c r="AM43" s="62"/>
      <c r="AN43" s="62"/>
      <c r="AO43" s="62"/>
      <c r="AP43" s="63" t="str">
        <f>IF(OR(ISNUMBER(AJ43),ISNUMBER(AK43),ISNUMBER(AL43),ISNUMBER(AM43),ISNUMBER(AN43),ISNUMBER(AO43),AJ43="X",AK43="X",AL43="X",AM43="X",AN43="X",AO43="X",AJ43="M",AK43="M",AL43="M",AM43="M",AN43="M",AO43="M"),IF(AJ43="X",10,IF(AJ43="M",0,IF(ISNUMBER(AJ43),AJ43,0))) + IF(AK43="X",10,IF(AK43="M",0,IF(ISNUMBER(AK43),AK43,0))) + IF(AL43="X",10,IF(AL43="M",0,IF(ISNUMBER(AL43),AL43,0))) + IF(AM43="X",10,IF(AM43="M",0,IF(ISNUMBER(AM43),AM43,0))) + IF(AN43="X",10,IF(AN43="M",0,IF(ISNUMBER(AN43),AN43,0))) + IF(AO43="X",10,IF(AO43="M",0,IF(ISNUMBER(AO43),AO43,0))),"")</f>
        <v/>
      </c>
      <c r="AQ43" s="64"/>
      <c r="AR43" s="64"/>
      <c r="AS43" s="64"/>
      <c r="AT43" s="64"/>
      <c r="AU43" s="64"/>
      <c r="AV43" s="64"/>
      <c r="AW43" s="63" t="str">
        <f>IF(OR(ISNUMBER(AQ43),ISNUMBER(AR43),ISNUMBER(AS43),ISNUMBER(AT43),ISNUMBER(AU43),ISNUMBER(AV43),AQ43="X",AR43="X",AS43="X",AT43="X",AU43="X",AV43="X",AQ43="M",AR43="M",AS43="M",AT43="M",AU43="M",AV43="M"),IF(AQ43="X",10,IF(AQ43="M",0,IF(ISNUMBER(AQ43),AQ43,0))) + IF(AR43="X",10,IF(AR43="M",0,IF(ISNUMBER(AR43),AR43,0))) + IF(AS43="X",10,IF(AS43="M",0,IF(ISNUMBER(AS43),AS43,0))) + IF(AT43="X",10,IF(AT43="M",0,IF(ISNUMBER(AT43),AT43,0))) + IF(AU43="X",10,IF(AU43="M",0,IF(ISNUMBER(AU43),AU43,0))) + IF(AV43="X",10,IF(AV43="M",0,IF(ISNUMBER(AV43),AV43,0))),"")</f>
        <v/>
      </c>
      <c r="AX43" s="65">
        <f>IF(AND(ISNUMBER(N43),ISNUMBER(N41)),IF(N43&gt;N41,2,IF(N43=N41,1,0)),0)+IF(AND(ISNUMBER(U43),ISNUMBER(U41)),IF(U43&gt;U41,2,IF(U43=U41,1,0)),0)+IF(AND(ISNUMBER(AB43),ISNUMBER(AB41)),IF(AB43&gt;AB41,2,IF(AB43=AB41,1,0)),0)+IF(AND(ISNUMBER(AI43),ISNUMBER(AI41)),IF(AI43&gt;AI41,2,IF(AI43=AI41,1,0)),0)+IF(AND(ISNUMBER(AP43),ISNUMBER(AP41)),IF(AP43&gt;AP41,2,IF(AP43=AP41,1,0)),0)</f>
        <v>0</v>
      </c>
      <c r="AY43" s="66"/>
      <c r="AZ43" s="67">
        <f>IF(AX43&gt;0,IF(H43="X",10,IF(H43="M",0,IF(ISNUMBER(H43),H43,0)))+IF(I43="X",10,IF(I43="M",0,IF(ISNUMBER(I43),I43,0)))+IF(J43="X",10,IF(J43="M",0,IF(ISNUMBER(J43),J43,0)))+IF(K43="X",10,IF(K43="M",0,IF(ISNUMBER(K43),K43,0)))+IF(L43="X",10,IF(L43="M",0,IF(ISNUMBER(L43),L43,0)))+IF(M43="X",10,IF(M43="M",0,IF(ISNUMBER(M43),M43,0)))+IF(O43="X",10,IF(O43="M",0,IF(ISNUMBER(O43),O43,0)))+IF(P43="X",10,IF(P43="M",0,IF(ISNUMBER(P43),P43,0)))+IF(Q43="X",10,IF(Q43="M",0,IF(ISNUMBER(Q43),Q43,0)))+IF(R43="X",10,IF(R43="M",0,IF(ISNUMBER(R43),R43,0)))+IF(S43="X",10,IF(S43="M",0,IF(ISNUMBER(S43),S43,0)))+IF(T43="X",10,IF(T43="M",0,IF(ISNUMBER(T43),T43,0)))+IF(V43="X",10,IF(V43="M",0,IF(ISNUMBER(V43),V43,0)))+IF(W43="X",10,IF(W43="M",0,IF(ISNUMBER(W43),W43,0)))+IF(X43="X",10,IF(X43="M",0,IF(ISNUMBER(X43),X43,0)))+IF(Y43="X",10,IF(Y43="M",0,IF(ISNUMBER(Y43),Y43,0)))+IF(Z43="X",10,IF(Z43="M",0,IF(ISNUMBER(Z43),Z43,0)))+IF(AA43="X",10,IF(AA43="M",0,IF(ISNUMBER(AA43),AA43,0)))+IF(AC43="X",10,IF(AC43="M",0,IF(ISNUMBER(AC43),AC43,0)))+IF(AD43="X",10,IF(AD43="M",0,IF(ISNUMBER(AD43),AD43,0)))+IF(AE43="X",10,IF(AE43="M",0,IF(ISNUMBER(AE43),AE43,0)))+IF(AF43="X",10,IF(AF43="M",0,IF(ISNUMBER(AF43),AF43,0)))+IF(AG43="X",10,IF(AG43="M",0,IF(ISNUMBER(AG43),AG43,0)))+IF(AH43="X",10,IF(AH43="M",0,IF(ISNUMBER(AH43),AH43,0)))+IF(AJ43="X",10,IF(AJ43="M",0,IF(ISNUMBER(AJ43),AJ43,0)))+IF(AK43="X",10,IF(AK43="M",0,IF(ISNUMBER(AK43),AK43,0)))+IF(AL43="X",10,IF(AL43="M",0,IF(ISNUMBER(AL43),AL43,0)))+IF(AM43="X",10,IF(AM43="M",0,IF(ISNUMBER(AM43),AM43,0)))+IF(AN43="X",10,IF(AN43="M",0,IF(ISNUMBER(AN43),AN43,0)))+IF(AO43="X",10,IF(AO43="M",0,IF(ISNUMBER(AO43),AO43,0)))+IF(AQ43="X",10,IF(AQ43="M",0,IF(ISNUMBER(AQ43),AQ43,0)))+IF(AR43="X",10,IF(AR43="M",0,IF(ISNUMBER(AR43),AR43,0)))+IF(AS43="X",10,IF(AS43="M",0,IF(ISNUMBER(AS43),AS43,0)))+IF(AT43="X",10,IF(AT43="M",0,IF(ISNUMBER(AT43),AT43,0)))+IF(AU43="X",10,IF(AU43="M",0,IF(ISNUMBER(AU43),AU43,0)))+IF(AV43="X",10,IF(AV43="M",0,IF(ISNUMBER(AV43),AV43,0))),0)</f>
        <v>0</v>
      </c>
      <c r="BA43" s="68" t="str">
        <f>IFERROR(IF(AY43="DQ","DISQUALIFIED",IF(AY41="DQ","&gt;&gt; Advance",IF(BC41="BYE","&gt;&gt; Advance",IF(BC43="BYE","BYE",IF(AX43&gt;=6,"WIN",IF(AX41&gt;=6,"LOSS",IF(AND(ISNUMBER(AW43),ISNUMBER(AW41)),IF(AW43&gt;AW41,"WIN",IF(AW43&lt;AW41,"LOSS","Shoot-Off")),"Playing"))))))),"Error")</f>
        <v>&gt;&gt; Advance</v>
      </c>
      <c r="BC43" s="69" t="str">
        <f>IFERROR(IF(INDEX('Open 30M - Teams'!$L:$L,MATCH(15,'Open 30M - Teams'!$A:$A,0))="Yes","BYE",IF(OR(INDEX('Open 30M - Teams'!$B:$B,MATCH(15,'Open 30M - Teams'!$A:$A,0))="",ISERROR(MATCH(15,'Open 30M - Teams'!$A:$A,0))),"BYE","")),"BYE")</f>
        <v>BYE</v>
      </c>
    </row>
    <row r="44" spans="1:237" ht="1.5" customHeight="1" x14ac:dyDescent="0.35"/>
    <row r="45" spans="1:237" ht="15.75" customHeight="1" x14ac:dyDescent="0.35">
      <c r="A45" s="117" t="s">
        <v>211</v>
      </c>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117"/>
      <c r="BS45" s="117"/>
      <c r="BT45" s="117"/>
      <c r="BU45" s="117"/>
      <c r="BV45" s="117"/>
      <c r="BW45" s="117"/>
      <c r="BX45" s="117"/>
      <c r="BY45" s="117"/>
      <c r="BZ45" s="117"/>
      <c r="CA45" s="117"/>
      <c r="CB45" s="117"/>
      <c r="CC45" s="117"/>
      <c r="CD45" s="117"/>
      <c r="CE45" s="117"/>
      <c r="CF45" s="117"/>
      <c r="CG45" s="117"/>
      <c r="CH45" s="117"/>
      <c r="CI45" s="117"/>
      <c r="CJ45" s="117"/>
      <c r="CK45" s="117"/>
      <c r="CL45" s="117"/>
      <c r="CM45" s="117"/>
      <c r="CN45" s="117"/>
      <c r="CO45" s="117"/>
      <c r="CP45" s="117"/>
      <c r="CQ45" s="117"/>
      <c r="CR45" s="117"/>
      <c r="CS45" s="117"/>
      <c r="CT45" s="117"/>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7"/>
      <c r="EB45" s="117"/>
      <c r="EC45" s="117"/>
      <c r="ED45" s="117"/>
      <c r="EE45" s="117"/>
      <c r="EF45" s="117"/>
      <c r="EG45" s="117"/>
      <c r="EH45" s="117"/>
      <c r="EI45" s="117"/>
      <c r="EJ45" s="117"/>
      <c r="EK45" s="117"/>
      <c r="EL45" s="117"/>
      <c r="EM45" s="117"/>
      <c r="EN45" s="117"/>
      <c r="EO45" s="117"/>
      <c r="EP45" s="117"/>
      <c r="EQ45" s="117"/>
      <c r="ER45" s="117"/>
      <c r="ES45" s="117"/>
      <c r="ET45" s="117"/>
      <c r="EU45" s="117"/>
      <c r="EV45" s="117"/>
      <c r="EW45" s="117"/>
      <c r="EX45" s="117"/>
      <c r="EY45" s="117"/>
      <c r="EZ45" s="117"/>
      <c r="FA45" s="117"/>
      <c r="FB45" s="117"/>
      <c r="FC45" s="117"/>
      <c r="FD45" s="117"/>
      <c r="FE45" s="117"/>
      <c r="FF45" s="117"/>
      <c r="FG45" s="117"/>
      <c r="FH45" s="117"/>
      <c r="FI45" s="117"/>
      <c r="FJ45" s="117"/>
      <c r="FK45" s="117"/>
      <c r="FL45" s="117"/>
      <c r="FM45" s="117"/>
      <c r="FN45" s="117"/>
      <c r="FO45" s="117"/>
      <c r="FP45" s="117"/>
      <c r="FQ45" s="117"/>
      <c r="FR45" s="117"/>
      <c r="FS45" s="117"/>
      <c r="FT45" s="117"/>
      <c r="FU45" s="117"/>
      <c r="FV45" s="117"/>
      <c r="FW45" s="117"/>
      <c r="FX45" s="117"/>
      <c r="FY45" s="117"/>
      <c r="FZ45" s="117"/>
      <c r="GA45" s="117"/>
      <c r="GB45" s="117"/>
      <c r="GC45" s="117"/>
      <c r="GD45" s="117"/>
      <c r="GE45" s="117"/>
      <c r="GF45" s="117"/>
      <c r="GG45" s="117"/>
      <c r="GH45" s="117"/>
      <c r="GI45" s="117"/>
      <c r="GJ45" s="117"/>
      <c r="GK45" s="117"/>
      <c r="GL45" s="117"/>
      <c r="GM45" s="117"/>
      <c r="GN45" s="117"/>
      <c r="GO45" s="117"/>
      <c r="GP45" s="117"/>
      <c r="GQ45" s="117"/>
      <c r="GR45" s="117"/>
      <c r="GS45" s="117"/>
      <c r="GT45" s="117"/>
      <c r="GU45" s="117"/>
      <c r="GV45" s="117"/>
      <c r="GW45" s="117"/>
      <c r="GX45" s="117"/>
      <c r="GY45" s="117"/>
      <c r="GZ45" s="117"/>
      <c r="HA45" s="117"/>
      <c r="HB45" s="117"/>
      <c r="HC45" s="117"/>
      <c r="HD45" s="117"/>
      <c r="HE45" s="117"/>
      <c r="HF45" s="117"/>
      <c r="HG45" s="117"/>
      <c r="HH45" s="117"/>
      <c r="HI45" s="117"/>
      <c r="HJ45" s="117"/>
      <c r="HK45" s="117"/>
      <c r="HL45" s="117"/>
      <c r="HM45" s="117"/>
      <c r="HN45" s="117"/>
      <c r="HO45" s="117"/>
      <c r="HP45" s="117"/>
      <c r="HQ45" s="117"/>
      <c r="HR45" s="117"/>
      <c r="HS45" s="117"/>
      <c r="HT45" s="117"/>
      <c r="HU45" s="117"/>
      <c r="HV45" s="117"/>
      <c r="HW45" s="117"/>
      <c r="HX45" s="117"/>
      <c r="HY45" s="117"/>
      <c r="HZ45" s="117"/>
      <c r="IA45" s="117"/>
      <c r="IB45" s="117"/>
      <c r="IC45" s="117"/>
    </row>
    <row r="46" spans="1:237" ht="13.5" customHeight="1" x14ac:dyDescent="0.35">
      <c r="A46" s="4" t="s">
        <v>212</v>
      </c>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row>
    <row r="47" spans="1:237" ht="13.5" customHeight="1" x14ac:dyDescent="0.35">
      <c r="A47" s="118" t="s">
        <v>213</v>
      </c>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8"/>
      <c r="DY47" s="118"/>
      <c r="DZ47" s="118"/>
      <c r="EA47" s="118"/>
      <c r="EB47" s="118"/>
      <c r="EC47" s="118"/>
      <c r="ED47" s="118"/>
      <c r="EE47" s="118"/>
      <c r="EF47" s="118"/>
      <c r="EG47" s="118"/>
      <c r="EH47" s="118"/>
      <c r="EI47" s="118"/>
      <c r="EJ47" s="118"/>
      <c r="EK47" s="118"/>
      <c r="EL47" s="118"/>
      <c r="EM47" s="118"/>
      <c r="EN47" s="118"/>
      <c r="EO47" s="118"/>
      <c r="EP47" s="118"/>
      <c r="EQ47" s="118"/>
      <c r="ER47" s="118"/>
      <c r="ES47" s="118"/>
      <c r="ET47" s="118"/>
      <c r="EU47" s="118"/>
      <c r="EV47" s="118"/>
      <c r="EW47" s="118"/>
      <c r="EX47" s="118"/>
      <c r="EY47" s="118"/>
      <c r="EZ47" s="118"/>
      <c r="FA47" s="118"/>
      <c r="FB47" s="118"/>
      <c r="FC47" s="118"/>
      <c r="FD47" s="118"/>
      <c r="FE47" s="118"/>
      <c r="FF47" s="118"/>
      <c r="FG47" s="118"/>
      <c r="FH47" s="118"/>
      <c r="FI47" s="118"/>
      <c r="FJ47" s="118"/>
      <c r="FK47" s="118"/>
      <c r="FL47" s="118"/>
      <c r="FM47" s="118"/>
      <c r="FN47" s="118"/>
      <c r="FO47" s="118"/>
      <c r="FP47" s="118"/>
      <c r="FQ47" s="118"/>
      <c r="FR47" s="118"/>
      <c r="FS47" s="118"/>
      <c r="FT47" s="118"/>
      <c r="FU47" s="118"/>
      <c r="FV47" s="118"/>
      <c r="FW47" s="118"/>
      <c r="FX47" s="118"/>
      <c r="FY47" s="118"/>
      <c r="FZ47" s="118"/>
      <c r="GA47" s="118"/>
      <c r="GB47" s="118"/>
      <c r="GC47" s="118"/>
      <c r="GD47" s="118"/>
      <c r="GE47" s="118"/>
      <c r="GF47" s="118"/>
      <c r="GG47" s="118"/>
      <c r="GH47" s="118"/>
      <c r="GI47" s="118"/>
      <c r="GJ47" s="118"/>
      <c r="GK47" s="118"/>
      <c r="GL47" s="118"/>
      <c r="GM47" s="118"/>
      <c r="GN47" s="118"/>
      <c r="GO47" s="118"/>
      <c r="GP47" s="118"/>
      <c r="GQ47" s="118"/>
      <c r="GR47" s="118"/>
      <c r="GS47" s="118"/>
      <c r="GT47" s="118"/>
      <c r="GU47" s="118"/>
      <c r="GV47" s="118"/>
      <c r="GW47" s="118"/>
      <c r="GX47" s="118"/>
      <c r="GY47" s="118"/>
      <c r="GZ47" s="118"/>
      <c r="HA47" s="118"/>
      <c r="HB47" s="118"/>
      <c r="HC47" s="118"/>
      <c r="HD47" s="118"/>
      <c r="HE47" s="118"/>
      <c r="HF47" s="118"/>
      <c r="HG47" s="118"/>
      <c r="HH47" s="118"/>
      <c r="HI47" s="118"/>
      <c r="HJ47" s="118"/>
      <c r="HK47" s="118"/>
      <c r="HL47" s="118"/>
      <c r="HM47" s="118"/>
      <c r="HN47" s="118"/>
      <c r="HO47" s="118"/>
      <c r="HP47" s="118"/>
      <c r="HQ47" s="118"/>
      <c r="HR47" s="118"/>
      <c r="HS47" s="118"/>
      <c r="HT47" s="118"/>
      <c r="HU47" s="118"/>
      <c r="HV47" s="118"/>
      <c r="HW47" s="118"/>
      <c r="HX47" s="118"/>
      <c r="HY47" s="118"/>
      <c r="HZ47" s="118"/>
      <c r="IA47" s="118"/>
      <c r="IB47" s="118"/>
      <c r="IC47" s="118"/>
    </row>
    <row r="48" spans="1:237" ht="13.5" customHeight="1" x14ac:dyDescent="0.35">
      <c r="A48" s="9" t="s">
        <v>214</v>
      </c>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row>
  </sheetData>
  <mergeCells count="134">
    <mergeCell ref="A45:IC45"/>
    <mergeCell ref="A46:IC46"/>
    <mergeCell ref="A47:IC47"/>
    <mergeCell ref="A48:IC48"/>
    <mergeCell ref="A35:BC35"/>
    <mergeCell ref="B36:D36"/>
    <mergeCell ref="E36:G36"/>
    <mergeCell ref="B38:D38"/>
    <mergeCell ref="E38:G38"/>
    <mergeCell ref="A40:BC40"/>
    <mergeCell ref="B41:D41"/>
    <mergeCell ref="E41:G41"/>
    <mergeCell ref="B43:D43"/>
    <mergeCell ref="E43:G43"/>
    <mergeCell ref="A25:BC25"/>
    <mergeCell ref="B26:D26"/>
    <mergeCell ref="E26:G26"/>
    <mergeCell ref="B28:D28"/>
    <mergeCell ref="E28:G28"/>
    <mergeCell ref="A30:BC30"/>
    <mergeCell ref="B31:D31"/>
    <mergeCell ref="E31:G31"/>
    <mergeCell ref="B33:D33"/>
    <mergeCell ref="E33:G33"/>
    <mergeCell ref="A20:BC20"/>
    <mergeCell ref="BD20:DF20"/>
    <mergeCell ref="B21:D21"/>
    <mergeCell ref="E21:G21"/>
    <mergeCell ref="BE21:BG21"/>
    <mergeCell ref="BH21:BJ21"/>
    <mergeCell ref="B23:D23"/>
    <mergeCell ref="E23:G23"/>
    <mergeCell ref="BE23:BG23"/>
    <mergeCell ref="BH23:BJ23"/>
    <mergeCell ref="A15:BC15"/>
    <mergeCell ref="BD15:DF15"/>
    <mergeCell ref="HM15:IB15"/>
    <mergeCell ref="B16:D16"/>
    <mergeCell ref="E16:G16"/>
    <mergeCell ref="BE16:BG16"/>
    <mergeCell ref="BH16:BJ16"/>
    <mergeCell ref="HM16:IB17"/>
    <mergeCell ref="B18:D18"/>
    <mergeCell ref="E18:G18"/>
    <mergeCell ref="BE18:BG18"/>
    <mergeCell ref="BH18:BJ18"/>
    <mergeCell ref="HM18:IB19"/>
    <mergeCell ref="B13:D13"/>
    <mergeCell ref="E13:G13"/>
    <mergeCell ref="BE13:BG13"/>
    <mergeCell ref="BH13:BJ13"/>
    <mergeCell ref="DH13:DJ13"/>
    <mergeCell ref="DK13:DM13"/>
    <mergeCell ref="FK13:FM13"/>
    <mergeCell ref="FN13:FP13"/>
    <mergeCell ref="HM13:IB14"/>
    <mergeCell ref="A10:BC10"/>
    <mergeCell ref="BD10:DF10"/>
    <mergeCell ref="DG10:FI10"/>
    <mergeCell ref="FJ10:HL10"/>
    <mergeCell ref="HM10:IB10"/>
    <mergeCell ref="B11:D11"/>
    <mergeCell ref="E11:G11"/>
    <mergeCell ref="BE11:BG11"/>
    <mergeCell ref="BH11:BJ11"/>
    <mergeCell ref="DH11:DJ11"/>
    <mergeCell ref="DK11:DM11"/>
    <mergeCell ref="FK11:FM11"/>
    <mergeCell ref="FN11:FP11"/>
    <mergeCell ref="HM11:IB12"/>
    <mergeCell ref="B8:D8"/>
    <mergeCell ref="E8:G8"/>
    <mergeCell ref="BE8:BG8"/>
    <mergeCell ref="BH8:BJ8"/>
    <mergeCell ref="DH8:DJ8"/>
    <mergeCell ref="DK8:DM8"/>
    <mergeCell ref="FK8:FM8"/>
    <mergeCell ref="FN8:FP8"/>
    <mergeCell ref="HM8:IB9"/>
    <mergeCell ref="FJ9:HL9"/>
    <mergeCell ref="HM5:IB5"/>
    <mergeCell ref="B6:D6"/>
    <mergeCell ref="E6:G6"/>
    <mergeCell ref="BE6:BG6"/>
    <mergeCell ref="BH6:BJ6"/>
    <mergeCell ref="DH6:DJ6"/>
    <mergeCell ref="DK6:DM6"/>
    <mergeCell ref="FK6:FM6"/>
    <mergeCell ref="FN6:FP6"/>
    <mergeCell ref="HM6:IB7"/>
    <mergeCell ref="FN4:FP4"/>
    <mergeCell ref="FQ4:FW4"/>
    <mergeCell ref="FX4:GD4"/>
    <mergeCell ref="GE4:GK4"/>
    <mergeCell ref="GL4:GR4"/>
    <mergeCell ref="GS4:GY4"/>
    <mergeCell ref="GZ4:HF4"/>
    <mergeCell ref="A5:BC5"/>
    <mergeCell ref="BD5:DF5"/>
    <mergeCell ref="DG5:FI5"/>
    <mergeCell ref="FJ5:HL5"/>
    <mergeCell ref="DH4:DJ4"/>
    <mergeCell ref="DK4:DM4"/>
    <mergeCell ref="DN4:DT4"/>
    <mergeCell ref="DU4:EA4"/>
    <mergeCell ref="EB4:EH4"/>
    <mergeCell ref="EI4:EO4"/>
    <mergeCell ref="EP4:EV4"/>
    <mergeCell ref="EW4:FC4"/>
    <mergeCell ref="FK4:FM4"/>
    <mergeCell ref="A1:IC1"/>
    <mergeCell ref="C2:J2"/>
    <mergeCell ref="K2:IC2"/>
    <mergeCell ref="A3:BC3"/>
    <mergeCell ref="BD3:DF3"/>
    <mergeCell ref="DG3:FI3"/>
    <mergeCell ref="FJ3:HL3"/>
    <mergeCell ref="HM3:IB4"/>
    <mergeCell ref="B4:D4"/>
    <mergeCell ref="E4:G4"/>
    <mergeCell ref="H4:N4"/>
    <mergeCell ref="O4:U4"/>
    <mergeCell ref="V4:AB4"/>
    <mergeCell ref="AC4:AI4"/>
    <mergeCell ref="AJ4:AP4"/>
    <mergeCell ref="AQ4:AW4"/>
    <mergeCell ref="BE4:BG4"/>
    <mergeCell ref="BH4:BJ4"/>
    <mergeCell ref="BK4:BQ4"/>
    <mergeCell ref="BR4:BX4"/>
    <mergeCell ref="BY4:CE4"/>
    <mergeCell ref="CF4:CL4"/>
    <mergeCell ref="CM4:CS4"/>
    <mergeCell ref="CT4:CZ4"/>
  </mergeCells>
  <dataValidations count="1">
    <dataValidation type="list" sqref="AY6 DB6 FE6 HH6 AY8 DB8 FE8 HH8 AY11 DB11 FE11 HH11 AY13 DB13 FE13 HH13 AY16 DB16 AY18 DB18 AY21 DB21 AY23 DB23 AY26 AY28 AY31 AY33 AY36 AY38 AY41 AY43" xr:uid="{00000000-0002-0000-0400-000000000000}">
      <formula1>"DQ"</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A148C"/>
    <pageSetUpPr fitToPage="1"/>
  </sheetPr>
  <dimension ref="A1:M549"/>
  <sheetViews>
    <sheetView showGridLines="0" zoomScaleNormal="100" workbookViewId="0"/>
  </sheetViews>
  <sheetFormatPr defaultColWidth="8.6328125" defaultRowHeight="14.5" x14ac:dyDescent="0.35"/>
  <cols>
    <col min="1" max="1" width="4" customWidth="1"/>
    <col min="2" max="4" width="7" customWidth="1"/>
    <col min="5" max="5" width="8" customWidth="1"/>
    <col min="6" max="6" width="9" customWidth="1"/>
    <col min="7" max="7" width="3" customWidth="1"/>
    <col min="8" max="8" width="4" customWidth="1"/>
    <col min="9" max="11" width="7" customWidth="1"/>
    <col min="12" max="12" width="8" customWidth="1"/>
    <col min="13" max="13" width="9" customWidth="1"/>
  </cols>
  <sheetData>
    <row r="1" spans="1:13" ht="39.75" customHeight="1" x14ac:dyDescent="0.35">
      <c r="A1" s="119" t="s">
        <v>215</v>
      </c>
      <c r="B1" s="119"/>
      <c r="C1" s="119"/>
      <c r="D1" s="119"/>
      <c r="E1" s="119"/>
      <c r="F1" s="119"/>
      <c r="G1" s="119"/>
      <c r="H1" s="119"/>
      <c r="I1" s="119"/>
      <c r="J1" s="119"/>
      <c r="K1" s="119"/>
      <c r="L1" s="119"/>
      <c r="M1" s="119"/>
    </row>
    <row r="2" spans="1:13" ht="13.5" customHeight="1" x14ac:dyDescent="0.35">
      <c r="A2" s="120" t="s">
        <v>216</v>
      </c>
      <c r="B2" s="120"/>
      <c r="C2" s="120"/>
      <c r="D2" s="120"/>
      <c r="E2" s="120"/>
      <c r="F2" s="120"/>
      <c r="G2" s="120"/>
      <c r="H2" s="120"/>
      <c r="I2" s="120"/>
      <c r="J2" s="120"/>
      <c r="K2" s="120"/>
      <c r="L2" s="120"/>
      <c r="M2" s="120"/>
    </row>
    <row r="3" spans="1:13" ht="6" customHeight="1" x14ac:dyDescent="0.35"/>
    <row r="4" spans="1:13" ht="12" customHeight="1" x14ac:dyDescent="0.35">
      <c r="A4" s="121" t="s">
        <v>217</v>
      </c>
      <c r="B4" s="121"/>
      <c r="C4" s="121"/>
      <c r="D4" s="121"/>
      <c r="E4" s="121"/>
      <c r="F4" s="121"/>
      <c r="G4" s="121"/>
      <c r="H4" s="121"/>
      <c r="I4" s="121"/>
      <c r="J4" s="121"/>
      <c r="K4" s="121"/>
      <c r="L4" s="121"/>
      <c r="M4" s="121"/>
    </row>
    <row r="5" spans="1:13" ht="6" customHeight="1" x14ac:dyDescent="0.35"/>
    <row r="6" spans="1:13" ht="15.75" customHeight="1" x14ac:dyDescent="0.35">
      <c r="A6" s="73" t="s">
        <v>218</v>
      </c>
      <c r="B6" s="122" t="str">
        <f>IF('Open 30M - Scoring'!B6&lt;&gt;"",'Open 30M - Scoring'!B6,"")</f>
        <v>Joseph Nesortado Naoe</v>
      </c>
      <c r="C6" s="122"/>
      <c r="D6" s="122"/>
      <c r="E6" s="73" t="s">
        <v>219</v>
      </c>
      <c r="F6" s="74">
        <f>IF('Open 30M - Scoring'!B6&lt;&gt;"",'Open 30M - Scoring'!BB6,"")</f>
        <v>1</v>
      </c>
      <c r="H6" s="73" t="s">
        <v>218</v>
      </c>
      <c r="I6" s="122" t="str">
        <f>IF('Open 30M - Scoring'!B7&lt;&gt;"",'Open 30M - Scoring'!B7,"")</f>
        <v>Jebbrich Tan Lim</v>
      </c>
      <c r="J6" s="122"/>
      <c r="K6" s="122"/>
      <c r="L6" s="73" t="s">
        <v>219</v>
      </c>
      <c r="M6" s="74">
        <f>IF('Open 30M - Scoring'!B7&lt;&gt;"",'Open 30M - Scoring'!BB7,"")</f>
        <v>1</v>
      </c>
    </row>
    <row r="7" spans="1:13" ht="15.75" customHeight="1" x14ac:dyDescent="0.35">
      <c r="A7" s="73" t="s">
        <v>220</v>
      </c>
      <c r="B7" s="123" t="str">
        <f>IF('Open 30M - Scoring'!B6&lt;&gt;"",'Open 30M - Scoring'!D6,"")</f>
        <v>DMZ</v>
      </c>
      <c r="C7" s="123"/>
      <c r="D7" s="123"/>
      <c r="E7" s="73" t="s">
        <v>8</v>
      </c>
      <c r="F7" s="75" t="str">
        <f>IF('Open 30M - Scoring'!B6&lt;&gt;"",'Open 30M - Scoring'!E6,"")</f>
        <v>3A</v>
      </c>
      <c r="H7" s="73" t="s">
        <v>220</v>
      </c>
      <c r="I7" s="123" t="str">
        <f>IF('Open 30M - Scoring'!B7&lt;&gt;"",'Open 30M - Scoring'!D7,"")</f>
        <v>Attack Arena</v>
      </c>
      <c r="J7" s="123"/>
      <c r="K7" s="123"/>
      <c r="L7" s="73" t="s">
        <v>8</v>
      </c>
      <c r="M7" s="75" t="str">
        <f>IF('Open 30M - Scoring'!B7&lt;&gt;"",'Open 30M - Scoring'!E7,"")</f>
        <v>4A</v>
      </c>
    </row>
    <row r="8" spans="1:13" ht="3.75" customHeight="1" x14ac:dyDescent="0.35"/>
    <row r="9" spans="1:13" ht="25.5" customHeight="1" x14ac:dyDescent="0.35">
      <c r="A9" s="76" t="s">
        <v>221</v>
      </c>
      <c r="B9" s="77" t="s">
        <v>222</v>
      </c>
      <c r="C9" s="77" t="s">
        <v>223</v>
      </c>
      <c r="D9" s="77" t="s">
        <v>224</v>
      </c>
      <c r="E9" s="76" t="s">
        <v>225</v>
      </c>
      <c r="F9" s="76" t="s">
        <v>226</v>
      </c>
      <c r="H9" s="76" t="s">
        <v>221</v>
      </c>
      <c r="I9" s="77" t="s">
        <v>222</v>
      </c>
      <c r="J9" s="77" t="s">
        <v>223</v>
      </c>
      <c r="K9" s="77" t="s">
        <v>224</v>
      </c>
      <c r="L9" s="76" t="s">
        <v>225</v>
      </c>
      <c r="M9" s="76" t="s">
        <v>226</v>
      </c>
    </row>
    <row r="10" spans="1:13" ht="19.5" customHeight="1" x14ac:dyDescent="0.35">
      <c r="A10" s="78" t="s">
        <v>222</v>
      </c>
      <c r="B10" s="79" t="str">
        <f>IF('Open 30M - Scoring'!B6&lt;&gt;"",IF('Open 30M - Scoring'!F6&lt;&gt;"",'Open 30M - Scoring'!F6,""),"")</f>
        <v/>
      </c>
      <c r="C10" s="79" t="str">
        <f>IF('Open 30M - Scoring'!B6&lt;&gt;"",IF('Open 30M - Scoring'!G6&lt;&gt;"",'Open 30M - Scoring'!G6,""),"")</f>
        <v/>
      </c>
      <c r="D10" s="79" t="str">
        <f>IF('Open 30M - Scoring'!B6&lt;&gt;"",IF('Open 30M - Scoring'!H6&lt;&gt;"",'Open 30M - Scoring'!H6,""),"")</f>
        <v/>
      </c>
      <c r="E10" s="80">
        <f>IF('Open 30M - Scoring'!B6&lt;&gt;"",'Open 30M - Scoring'!AP6,"")</f>
        <v>0</v>
      </c>
      <c r="F10" s="81">
        <f>IFERROR(IF(ISNUMBER(E10),E10,""),"")</f>
        <v>0</v>
      </c>
      <c r="H10" s="78" t="s">
        <v>222</v>
      </c>
      <c r="I10" s="79" t="str">
        <f>IF('Open 30M - Scoring'!B7&lt;&gt;"",IF('Open 30M - Scoring'!F7&lt;&gt;"",'Open 30M - Scoring'!F7,""),"")</f>
        <v/>
      </c>
      <c r="J10" s="79" t="str">
        <f>IF('Open 30M - Scoring'!B7&lt;&gt;"",IF('Open 30M - Scoring'!G7&lt;&gt;"",'Open 30M - Scoring'!G7,""),"")</f>
        <v/>
      </c>
      <c r="K10" s="79" t="str">
        <f>IF('Open 30M - Scoring'!B7&lt;&gt;"",IF('Open 30M - Scoring'!H7&lt;&gt;"",'Open 30M - Scoring'!H7,""),"")</f>
        <v/>
      </c>
      <c r="L10" s="80">
        <f>IF('Open 30M - Scoring'!B7&lt;&gt;"",'Open 30M - Scoring'!AP7,"")</f>
        <v>0</v>
      </c>
      <c r="M10" s="81">
        <f>IFERROR(IF(ISNUMBER(L10),L10,""),"")</f>
        <v>0</v>
      </c>
    </row>
    <row r="11" spans="1:13" ht="19.5" customHeight="1" x14ac:dyDescent="0.35">
      <c r="A11" s="78" t="s">
        <v>223</v>
      </c>
      <c r="B11" s="79" t="str">
        <f>IF('Open 30M - Scoring'!B6&lt;&gt;"",IF('Open 30M - Scoring'!L6&lt;&gt;"",'Open 30M - Scoring'!L6,""),"")</f>
        <v/>
      </c>
      <c r="C11" s="79" t="str">
        <f>IF('Open 30M - Scoring'!B6&lt;&gt;"",IF('Open 30M - Scoring'!M6&lt;&gt;"",'Open 30M - Scoring'!M6,""),"")</f>
        <v/>
      </c>
      <c r="D11" s="79" t="str">
        <f>IF('Open 30M - Scoring'!B6&lt;&gt;"",IF('Open 30M - Scoring'!N6&lt;&gt;"",'Open 30M - Scoring'!N6,""),"")</f>
        <v/>
      </c>
      <c r="E11" s="80">
        <f>IF('Open 30M - Scoring'!B6&lt;&gt;"",'Open 30M - Scoring'!AQ6,"")</f>
        <v>0</v>
      </c>
      <c r="F11" s="81">
        <f>IF(E10&lt;&gt;"",IFERROR(IF(ISNUMBER(E10),E10,0),0)+IFERROR(IF(ISNUMBER(E11),E11,0),0),"")</f>
        <v>0</v>
      </c>
      <c r="H11" s="78" t="s">
        <v>223</v>
      </c>
      <c r="I11" s="79" t="str">
        <f>IF('Open 30M - Scoring'!B7&lt;&gt;"",IF('Open 30M - Scoring'!L7&lt;&gt;"",'Open 30M - Scoring'!L7,""),"")</f>
        <v/>
      </c>
      <c r="J11" s="79" t="str">
        <f>IF('Open 30M - Scoring'!B7&lt;&gt;"",IF('Open 30M - Scoring'!M7&lt;&gt;"",'Open 30M - Scoring'!M7,""),"")</f>
        <v/>
      </c>
      <c r="K11" s="79" t="str">
        <f>IF('Open 30M - Scoring'!B7&lt;&gt;"",IF('Open 30M - Scoring'!N7&lt;&gt;"",'Open 30M - Scoring'!N7,""),"")</f>
        <v/>
      </c>
      <c r="L11" s="80">
        <f>IF('Open 30M - Scoring'!B7&lt;&gt;"",'Open 30M - Scoring'!AQ7,"")</f>
        <v>0</v>
      </c>
      <c r="M11" s="81">
        <f>IF(L10&lt;&gt;"",IFERROR(IF(ISNUMBER(L10),L10,0),0)+IFERROR(IF(ISNUMBER(L11),L11,0),0),"")</f>
        <v>0</v>
      </c>
    </row>
    <row r="12" spans="1:13" ht="19.5" customHeight="1" x14ac:dyDescent="0.35">
      <c r="A12" s="78" t="s">
        <v>224</v>
      </c>
      <c r="B12" s="79" t="str">
        <f>IF('Open 30M - Scoring'!B6&lt;&gt;"",IF('Open 30M - Scoring'!R6&lt;&gt;"",'Open 30M - Scoring'!R6,""),"")</f>
        <v/>
      </c>
      <c r="C12" s="79" t="str">
        <f>IF('Open 30M - Scoring'!B6&lt;&gt;"",IF('Open 30M - Scoring'!S6&lt;&gt;"",'Open 30M - Scoring'!S6,""),"")</f>
        <v/>
      </c>
      <c r="D12" s="79" t="str">
        <f>IF('Open 30M - Scoring'!B6&lt;&gt;"",IF('Open 30M - Scoring'!T6&lt;&gt;"",'Open 30M - Scoring'!T6,""),"")</f>
        <v/>
      </c>
      <c r="E12" s="80">
        <f>IF('Open 30M - Scoring'!B6&lt;&gt;"",'Open 30M - Scoring'!AR6,"")</f>
        <v>0</v>
      </c>
      <c r="F12" s="81">
        <f>IF(E10&lt;&gt;"",IFERROR(IF(ISNUMBER(E10),E10,0),0)+IFERROR(IF(ISNUMBER(E11),E11,0),0)+IFERROR(IF(ISNUMBER(E12),E12,0),0),"")</f>
        <v>0</v>
      </c>
      <c r="H12" s="78" t="s">
        <v>224</v>
      </c>
      <c r="I12" s="79" t="str">
        <f>IF('Open 30M - Scoring'!B7&lt;&gt;"",IF('Open 30M - Scoring'!R7&lt;&gt;"",'Open 30M - Scoring'!R7,""),"")</f>
        <v/>
      </c>
      <c r="J12" s="79" t="str">
        <f>IF('Open 30M - Scoring'!B7&lt;&gt;"",IF('Open 30M - Scoring'!S7&lt;&gt;"",'Open 30M - Scoring'!S7,""),"")</f>
        <v/>
      </c>
      <c r="K12" s="79" t="str">
        <f>IF('Open 30M - Scoring'!B7&lt;&gt;"",IF('Open 30M - Scoring'!T7&lt;&gt;"",'Open 30M - Scoring'!T7,""),"")</f>
        <v/>
      </c>
      <c r="L12" s="80">
        <f>IF('Open 30M - Scoring'!B7&lt;&gt;"",'Open 30M - Scoring'!AR7,"")</f>
        <v>0</v>
      </c>
      <c r="M12" s="81">
        <f>IF(L10&lt;&gt;"",IFERROR(IF(ISNUMBER(L10),L10,0),0)+IFERROR(IF(ISNUMBER(L11),L11,0),0)+IFERROR(IF(ISNUMBER(L12),L12,0),0),"")</f>
        <v>0</v>
      </c>
    </row>
    <row r="13" spans="1:13" ht="19.5" customHeight="1" x14ac:dyDescent="0.35">
      <c r="A13" s="78" t="s">
        <v>227</v>
      </c>
      <c r="B13" s="79" t="str">
        <f>IF('Open 30M - Scoring'!B6&lt;&gt;"",IF('Open 30M - Scoring'!X6&lt;&gt;"",'Open 30M - Scoring'!X6,""),"")</f>
        <v/>
      </c>
      <c r="C13" s="79" t="str">
        <f>IF('Open 30M - Scoring'!B6&lt;&gt;"",IF('Open 30M - Scoring'!Y6&lt;&gt;"",'Open 30M - Scoring'!Y6,""),"")</f>
        <v/>
      </c>
      <c r="D13" s="79" t="str">
        <f>IF('Open 30M - Scoring'!B6&lt;&gt;"",IF('Open 30M - Scoring'!Z6&lt;&gt;"",'Open 30M - Scoring'!Z6,""),"")</f>
        <v/>
      </c>
      <c r="E13" s="80">
        <f>IF('Open 30M - Scoring'!B6&lt;&gt;"",'Open 30M - Scoring'!AS6,"")</f>
        <v>0</v>
      </c>
      <c r="F13" s="81">
        <f>IF(E10&lt;&gt;"",IFERROR(IF(ISNUMBER(E10),E10,0),0)+IFERROR(IF(ISNUMBER(E11),E11,0),0)+IFERROR(IF(ISNUMBER(E12),E12,0),0)+IFERROR(IF(ISNUMBER(E13),E13,0),0),"")</f>
        <v>0</v>
      </c>
      <c r="H13" s="78" t="s">
        <v>227</v>
      </c>
      <c r="I13" s="79" t="str">
        <f>IF('Open 30M - Scoring'!B7&lt;&gt;"",IF('Open 30M - Scoring'!X7&lt;&gt;"",'Open 30M - Scoring'!X7,""),"")</f>
        <v/>
      </c>
      <c r="J13" s="79" t="str">
        <f>IF('Open 30M - Scoring'!B7&lt;&gt;"",IF('Open 30M - Scoring'!Y7&lt;&gt;"",'Open 30M - Scoring'!Y7,""),"")</f>
        <v/>
      </c>
      <c r="K13" s="79" t="str">
        <f>IF('Open 30M - Scoring'!B7&lt;&gt;"",IF('Open 30M - Scoring'!Z7&lt;&gt;"",'Open 30M - Scoring'!Z7,""),"")</f>
        <v/>
      </c>
      <c r="L13" s="80">
        <f>IF('Open 30M - Scoring'!B7&lt;&gt;"",'Open 30M - Scoring'!AS7,"")</f>
        <v>0</v>
      </c>
      <c r="M13" s="81">
        <f>IF(L10&lt;&gt;"",IFERROR(IF(ISNUMBER(L10),L10,0),0)+IFERROR(IF(ISNUMBER(L11),L11,0),0)+IFERROR(IF(ISNUMBER(L12),L12,0),0)+IFERROR(IF(ISNUMBER(L13),L13,0),0),"")</f>
        <v>0</v>
      </c>
    </row>
    <row r="14" spans="1:13" ht="19.5" customHeight="1" x14ac:dyDescent="0.35">
      <c r="A14" s="78" t="s">
        <v>228</v>
      </c>
      <c r="B14" s="79" t="str">
        <f>IF('Open 30M - Scoring'!B6&lt;&gt;"",IF('Open 30M - Scoring'!AD6&lt;&gt;"",'Open 30M - Scoring'!AD6,""),"")</f>
        <v/>
      </c>
      <c r="C14" s="79" t="str">
        <f>IF('Open 30M - Scoring'!B6&lt;&gt;"",IF('Open 30M - Scoring'!AE6&lt;&gt;"",'Open 30M - Scoring'!AE6,""),"")</f>
        <v/>
      </c>
      <c r="D14" s="79" t="str">
        <f>IF('Open 30M - Scoring'!B6&lt;&gt;"",IF('Open 30M - Scoring'!AF6&lt;&gt;"",'Open 30M - Scoring'!AF6,""),"")</f>
        <v/>
      </c>
      <c r="E14" s="80">
        <f>IF('Open 30M - Scoring'!B6&lt;&gt;"",'Open 30M - Scoring'!AT6,"")</f>
        <v>0</v>
      </c>
      <c r="F14" s="81">
        <f>IF(E10&lt;&gt;"",IFERROR(IF(ISNUMBER(E10),E10,0),0)+IFERROR(IF(ISNUMBER(E11),E11,0),0)+IFERROR(IF(ISNUMBER(E12),E12,0),0)+IFERROR(IF(ISNUMBER(E13),E13,0),0)+IFERROR(IF(ISNUMBER(E14),E14,0),0),"")</f>
        <v>0</v>
      </c>
      <c r="H14" s="78" t="s">
        <v>228</v>
      </c>
      <c r="I14" s="79" t="str">
        <f>IF('Open 30M - Scoring'!B7&lt;&gt;"",IF('Open 30M - Scoring'!AD7&lt;&gt;"",'Open 30M - Scoring'!AD7,""),"")</f>
        <v/>
      </c>
      <c r="J14" s="79" t="str">
        <f>IF('Open 30M - Scoring'!B7&lt;&gt;"",IF('Open 30M - Scoring'!AE7&lt;&gt;"",'Open 30M - Scoring'!AE7,""),"")</f>
        <v/>
      </c>
      <c r="K14" s="79" t="str">
        <f>IF('Open 30M - Scoring'!B7&lt;&gt;"",IF('Open 30M - Scoring'!AF7&lt;&gt;"",'Open 30M - Scoring'!AF7,""),"")</f>
        <v/>
      </c>
      <c r="L14" s="80">
        <f>IF('Open 30M - Scoring'!B7&lt;&gt;"",'Open 30M - Scoring'!AT7,"")</f>
        <v>0</v>
      </c>
      <c r="M14" s="81">
        <f>IF(L10&lt;&gt;"",IFERROR(IF(ISNUMBER(L10),L10,0),0)+IFERROR(IF(ISNUMBER(L11),L11,0),0)+IFERROR(IF(ISNUMBER(L12),L12,0),0)+IFERROR(IF(ISNUMBER(L13),L13,0),0)+IFERROR(IF(ISNUMBER(L14),L14,0),0),"")</f>
        <v>0</v>
      </c>
    </row>
    <row r="15" spans="1:13" ht="19.5" customHeight="1" x14ac:dyDescent="0.35">
      <c r="A15" s="78" t="s">
        <v>229</v>
      </c>
      <c r="B15" s="79" t="str">
        <f>IF('Open 30M - Scoring'!B6&lt;&gt;"",IF('Open 30M - Scoring'!AJ6&lt;&gt;"",'Open 30M - Scoring'!AJ6,""),"")</f>
        <v/>
      </c>
      <c r="C15" s="79" t="str">
        <f>IF('Open 30M - Scoring'!B6&lt;&gt;"",IF('Open 30M - Scoring'!AK6&lt;&gt;"",'Open 30M - Scoring'!AK6,""),"")</f>
        <v/>
      </c>
      <c r="D15" s="79" t="str">
        <f>IF('Open 30M - Scoring'!B6&lt;&gt;"",IF('Open 30M - Scoring'!AL6&lt;&gt;"",'Open 30M - Scoring'!AL6,""),"")</f>
        <v/>
      </c>
      <c r="E15" s="80">
        <f>IF('Open 30M - Scoring'!B6&lt;&gt;"",'Open 30M - Scoring'!AU6,"")</f>
        <v>0</v>
      </c>
      <c r="F15" s="81">
        <f>IF(E10&lt;&gt;"",IFERROR(IF(ISNUMBER(E10),E10,0),0)+IFERROR(IF(ISNUMBER(E11),E11,0),0)+IFERROR(IF(ISNUMBER(E12),E12,0),0)+IFERROR(IF(ISNUMBER(E13),E13,0),0)+IFERROR(IF(ISNUMBER(E14),E14,0),0)+IFERROR(IF(ISNUMBER(E15),E15,0),0),"")</f>
        <v>0</v>
      </c>
      <c r="H15" s="78" t="s">
        <v>229</v>
      </c>
      <c r="I15" s="79" t="str">
        <f>IF('Open 30M - Scoring'!B7&lt;&gt;"",IF('Open 30M - Scoring'!AJ7&lt;&gt;"",'Open 30M - Scoring'!AJ7,""),"")</f>
        <v/>
      </c>
      <c r="J15" s="79" t="str">
        <f>IF('Open 30M - Scoring'!B7&lt;&gt;"",IF('Open 30M - Scoring'!AK7&lt;&gt;"",'Open 30M - Scoring'!AK7,""),"")</f>
        <v/>
      </c>
      <c r="K15" s="79" t="str">
        <f>IF('Open 30M - Scoring'!B7&lt;&gt;"",IF('Open 30M - Scoring'!AL7&lt;&gt;"",'Open 30M - Scoring'!AL7,""),"")</f>
        <v/>
      </c>
      <c r="L15" s="80">
        <f>IF('Open 30M - Scoring'!B7&lt;&gt;"",'Open 30M - Scoring'!AU7,"")</f>
        <v>0</v>
      </c>
      <c r="M15" s="81">
        <f>IF(L10&lt;&gt;"",IFERROR(IF(ISNUMBER(L10),L10,0),0)+IFERROR(IF(ISNUMBER(L11),L11,0),0)+IFERROR(IF(ISNUMBER(L12),L12,0),0)+IFERROR(IF(ISNUMBER(L13),L13,0),0)+IFERROR(IF(ISNUMBER(L14),L14,0),0)+IFERROR(IF(ISNUMBER(L15),L15,0),0),"")</f>
        <v>0</v>
      </c>
    </row>
    <row r="16" spans="1:13" ht="3.75" customHeight="1" x14ac:dyDescent="0.35"/>
    <row r="17" spans="1:13" ht="24" customHeight="1" x14ac:dyDescent="0.35">
      <c r="A17" s="124" t="s">
        <v>230</v>
      </c>
      <c r="B17" s="124"/>
      <c r="C17" s="124"/>
      <c r="D17" s="124"/>
      <c r="E17" s="125">
        <f>IF('Open 30M - Scoring'!B6&lt;&gt;"",'Open 30M - Scoring'!AV6,"")</f>
        <v>0</v>
      </c>
      <c r="F17" s="125"/>
      <c r="H17" s="124" t="s">
        <v>230</v>
      </c>
      <c r="I17" s="124"/>
      <c r="J17" s="124"/>
      <c r="K17" s="124"/>
      <c r="L17" s="125">
        <f>IF('Open 30M - Scoring'!B7&lt;&gt;"",'Open 30M - Scoring'!AV7,"")</f>
        <v>0</v>
      </c>
      <c r="M17" s="125"/>
    </row>
    <row r="18" spans="1:13" ht="19.5" customHeight="1" x14ac:dyDescent="0.35">
      <c r="E18" s="125"/>
      <c r="F18" s="125"/>
      <c r="L18" s="125"/>
      <c r="M18" s="125"/>
    </row>
    <row r="19" spans="1:13" ht="3.75" customHeight="1" x14ac:dyDescent="0.35"/>
    <row r="20" spans="1:13" ht="18" customHeight="1" x14ac:dyDescent="0.35">
      <c r="A20" s="73" t="s">
        <v>126</v>
      </c>
      <c r="B20" s="82">
        <f>IF('Open 30M - Scoring'!B6&lt;&gt;"",'Open 30M - Scoring'!AW6,"")</f>
        <v>0</v>
      </c>
      <c r="C20" s="73" t="s">
        <v>127</v>
      </c>
      <c r="D20" s="83">
        <f>IF('Open 30M - Scoring'!B6&lt;&gt;"",'Open 30M - Scoring'!AX6,"")</f>
        <v>0</v>
      </c>
      <c r="E20" s="73" t="s">
        <v>128</v>
      </c>
      <c r="F20" s="83">
        <f>IF('Open 30M - Scoring'!B6&lt;&gt;"",'Open 30M - Scoring'!AY6,"")</f>
        <v>0</v>
      </c>
      <c r="H20" s="73" t="s">
        <v>126</v>
      </c>
      <c r="I20" s="82">
        <f>IF('Open 30M - Scoring'!B7&lt;&gt;"",'Open 30M - Scoring'!AW7,"")</f>
        <v>0</v>
      </c>
      <c r="J20" s="73" t="s">
        <v>127</v>
      </c>
      <c r="K20" s="83">
        <f>IF('Open 30M - Scoring'!B7&lt;&gt;"",'Open 30M - Scoring'!AX7,"")</f>
        <v>0</v>
      </c>
      <c r="L20" s="73" t="s">
        <v>128</v>
      </c>
      <c r="M20" s="83">
        <f>IF('Open 30M - Scoring'!B7&lt;&gt;"",'Open 30M - Scoring'!AY7,"")</f>
        <v>0</v>
      </c>
    </row>
    <row r="21" spans="1:13" ht="3.75" customHeight="1" x14ac:dyDescent="0.35"/>
    <row r="22" spans="1:13" ht="7.5" customHeight="1" x14ac:dyDescent="0.35">
      <c r="A22" s="126"/>
      <c r="B22" s="126"/>
      <c r="C22" s="126"/>
      <c r="D22" s="126"/>
      <c r="E22" s="126"/>
      <c r="F22" s="126"/>
      <c r="G22" s="126"/>
      <c r="H22" s="126"/>
      <c r="I22" s="126"/>
      <c r="J22" s="126"/>
      <c r="K22" s="126"/>
      <c r="L22" s="126"/>
      <c r="M22" s="126"/>
    </row>
    <row r="23" spans="1:13" ht="15.75" customHeight="1" x14ac:dyDescent="0.35">
      <c r="A23" s="73" t="s">
        <v>218</v>
      </c>
      <c r="B23" s="122" t="str">
        <f>IF('Open 30M - Scoring'!B8&lt;&gt;"",'Open 30M - Scoring'!B8,"")</f>
        <v>Zhean Benito</v>
      </c>
      <c r="C23" s="122"/>
      <c r="D23" s="122"/>
      <c r="E23" s="73" t="s">
        <v>219</v>
      </c>
      <c r="F23" s="74">
        <f>IF('Open 30M - Scoring'!B8&lt;&gt;"",'Open 30M - Scoring'!BB8,"")</f>
        <v>1</v>
      </c>
      <c r="H23" s="73" t="s">
        <v>218</v>
      </c>
      <c r="I23" s="122" t="str">
        <f>IF('Open 30M - Scoring'!B9&lt;&gt;"",'Open 30M - Scoring'!B9,"")</f>
        <v>Allan Robert Aruego</v>
      </c>
      <c r="J23" s="122"/>
      <c r="K23" s="122"/>
      <c r="L23" s="73" t="s">
        <v>219</v>
      </c>
      <c r="M23" s="74">
        <f>IF('Open 30M - Scoring'!B9&lt;&gt;"",'Open 30M - Scoring'!BB9,"")</f>
        <v>1</v>
      </c>
    </row>
    <row r="24" spans="1:13" ht="15.75" customHeight="1" x14ac:dyDescent="0.35">
      <c r="A24" s="73" t="s">
        <v>220</v>
      </c>
      <c r="B24" s="123" t="str">
        <f>IF('Open 30M - Scoring'!B8&lt;&gt;"",'Open 30M - Scoring'!D8,"")</f>
        <v>Attack Arena</v>
      </c>
      <c r="C24" s="123"/>
      <c r="D24" s="123"/>
      <c r="E24" s="73" t="s">
        <v>8</v>
      </c>
      <c r="F24" s="75" t="str">
        <f>IF('Open 30M - Scoring'!B8&lt;&gt;"",'Open 30M - Scoring'!E8,"")</f>
        <v>5A</v>
      </c>
      <c r="H24" s="73" t="s">
        <v>220</v>
      </c>
      <c r="I24" s="123" t="str">
        <f>IF('Open 30M - Scoring'!B9&lt;&gt;"",'Open 30M - Scoring'!D9,"")</f>
        <v>Attack Arena</v>
      </c>
      <c r="J24" s="123"/>
      <c r="K24" s="123"/>
      <c r="L24" s="73" t="s">
        <v>8</v>
      </c>
      <c r="M24" s="75" t="str">
        <f>IF('Open 30M - Scoring'!B9&lt;&gt;"",'Open 30M - Scoring'!E9,"")</f>
        <v>6A</v>
      </c>
    </row>
    <row r="25" spans="1:13" ht="3.75" customHeight="1" x14ac:dyDescent="0.35"/>
    <row r="26" spans="1:13" ht="25.5" customHeight="1" x14ac:dyDescent="0.35">
      <c r="A26" s="76" t="s">
        <v>221</v>
      </c>
      <c r="B26" s="77" t="s">
        <v>222</v>
      </c>
      <c r="C26" s="77" t="s">
        <v>223</v>
      </c>
      <c r="D26" s="77" t="s">
        <v>224</v>
      </c>
      <c r="E26" s="76" t="s">
        <v>225</v>
      </c>
      <c r="F26" s="76" t="s">
        <v>226</v>
      </c>
      <c r="H26" s="76" t="s">
        <v>221</v>
      </c>
      <c r="I26" s="77" t="s">
        <v>222</v>
      </c>
      <c r="J26" s="77" t="s">
        <v>223</v>
      </c>
      <c r="K26" s="77" t="s">
        <v>224</v>
      </c>
      <c r="L26" s="76" t="s">
        <v>225</v>
      </c>
      <c r="M26" s="76" t="s">
        <v>226</v>
      </c>
    </row>
    <row r="27" spans="1:13" ht="19.5" customHeight="1" x14ac:dyDescent="0.35">
      <c r="A27" s="78" t="s">
        <v>222</v>
      </c>
      <c r="B27" s="79" t="str">
        <f>IF('Open 30M - Scoring'!B8&lt;&gt;"",IF('Open 30M - Scoring'!F8&lt;&gt;"",'Open 30M - Scoring'!F8,""),"")</f>
        <v/>
      </c>
      <c r="C27" s="79" t="str">
        <f>IF('Open 30M - Scoring'!B8&lt;&gt;"",IF('Open 30M - Scoring'!G8&lt;&gt;"",'Open 30M - Scoring'!G8,""),"")</f>
        <v/>
      </c>
      <c r="D27" s="79" t="str">
        <f>IF('Open 30M - Scoring'!B8&lt;&gt;"",IF('Open 30M - Scoring'!H8&lt;&gt;"",'Open 30M - Scoring'!H8,""),"")</f>
        <v/>
      </c>
      <c r="E27" s="80">
        <f>IF('Open 30M - Scoring'!B8&lt;&gt;"",'Open 30M - Scoring'!AP8,"")</f>
        <v>0</v>
      </c>
      <c r="F27" s="81">
        <f>IFERROR(IF(ISNUMBER(E27),E27,""),"")</f>
        <v>0</v>
      </c>
      <c r="H27" s="78" t="s">
        <v>222</v>
      </c>
      <c r="I27" s="79" t="str">
        <f>IF('Open 30M - Scoring'!B9&lt;&gt;"",IF('Open 30M - Scoring'!F9&lt;&gt;"",'Open 30M - Scoring'!F9,""),"")</f>
        <v/>
      </c>
      <c r="J27" s="79" t="str">
        <f>IF('Open 30M - Scoring'!B9&lt;&gt;"",IF('Open 30M - Scoring'!G9&lt;&gt;"",'Open 30M - Scoring'!G9,""),"")</f>
        <v/>
      </c>
      <c r="K27" s="79" t="str">
        <f>IF('Open 30M - Scoring'!B9&lt;&gt;"",IF('Open 30M - Scoring'!H9&lt;&gt;"",'Open 30M - Scoring'!H9,""),"")</f>
        <v/>
      </c>
      <c r="L27" s="80">
        <f>IF('Open 30M - Scoring'!B9&lt;&gt;"",'Open 30M - Scoring'!AP9,"")</f>
        <v>0</v>
      </c>
      <c r="M27" s="81">
        <f>IFERROR(IF(ISNUMBER(L27),L27,""),"")</f>
        <v>0</v>
      </c>
    </row>
    <row r="28" spans="1:13" ht="19.5" customHeight="1" x14ac:dyDescent="0.35">
      <c r="A28" s="78" t="s">
        <v>223</v>
      </c>
      <c r="B28" s="79" t="str">
        <f>IF('Open 30M - Scoring'!B8&lt;&gt;"",IF('Open 30M - Scoring'!L8&lt;&gt;"",'Open 30M - Scoring'!L8,""),"")</f>
        <v/>
      </c>
      <c r="C28" s="79" t="str">
        <f>IF('Open 30M - Scoring'!B8&lt;&gt;"",IF('Open 30M - Scoring'!M8&lt;&gt;"",'Open 30M - Scoring'!M8,""),"")</f>
        <v/>
      </c>
      <c r="D28" s="79" t="str">
        <f>IF('Open 30M - Scoring'!B8&lt;&gt;"",IF('Open 30M - Scoring'!N8&lt;&gt;"",'Open 30M - Scoring'!N8,""),"")</f>
        <v/>
      </c>
      <c r="E28" s="80">
        <f>IF('Open 30M - Scoring'!B8&lt;&gt;"",'Open 30M - Scoring'!AQ8,"")</f>
        <v>0</v>
      </c>
      <c r="F28" s="81">
        <f>IF(E27&lt;&gt;"",IFERROR(IF(ISNUMBER(E27),E27,0),0)+IFERROR(IF(ISNUMBER(E28),E28,0),0),"")</f>
        <v>0</v>
      </c>
      <c r="H28" s="78" t="s">
        <v>223</v>
      </c>
      <c r="I28" s="79" t="str">
        <f>IF('Open 30M - Scoring'!B9&lt;&gt;"",IF('Open 30M - Scoring'!L9&lt;&gt;"",'Open 30M - Scoring'!L9,""),"")</f>
        <v/>
      </c>
      <c r="J28" s="79" t="str">
        <f>IF('Open 30M - Scoring'!B9&lt;&gt;"",IF('Open 30M - Scoring'!M9&lt;&gt;"",'Open 30M - Scoring'!M9,""),"")</f>
        <v/>
      </c>
      <c r="K28" s="79" t="str">
        <f>IF('Open 30M - Scoring'!B9&lt;&gt;"",IF('Open 30M - Scoring'!N9&lt;&gt;"",'Open 30M - Scoring'!N9,""),"")</f>
        <v/>
      </c>
      <c r="L28" s="80">
        <f>IF('Open 30M - Scoring'!B9&lt;&gt;"",'Open 30M - Scoring'!AQ9,"")</f>
        <v>0</v>
      </c>
      <c r="M28" s="81">
        <f>IF(L27&lt;&gt;"",IFERROR(IF(ISNUMBER(L27),L27,0),0)+IFERROR(IF(ISNUMBER(L28),L28,0),0),"")</f>
        <v>0</v>
      </c>
    </row>
    <row r="29" spans="1:13" ht="19.5" customHeight="1" x14ac:dyDescent="0.35">
      <c r="A29" s="78" t="s">
        <v>224</v>
      </c>
      <c r="B29" s="79" t="str">
        <f>IF('Open 30M - Scoring'!B8&lt;&gt;"",IF('Open 30M - Scoring'!R8&lt;&gt;"",'Open 30M - Scoring'!R8,""),"")</f>
        <v/>
      </c>
      <c r="C29" s="79" t="str">
        <f>IF('Open 30M - Scoring'!B8&lt;&gt;"",IF('Open 30M - Scoring'!S8&lt;&gt;"",'Open 30M - Scoring'!S8,""),"")</f>
        <v/>
      </c>
      <c r="D29" s="79" t="str">
        <f>IF('Open 30M - Scoring'!B8&lt;&gt;"",IF('Open 30M - Scoring'!T8&lt;&gt;"",'Open 30M - Scoring'!T8,""),"")</f>
        <v/>
      </c>
      <c r="E29" s="80">
        <f>IF('Open 30M - Scoring'!B8&lt;&gt;"",'Open 30M - Scoring'!AR8,"")</f>
        <v>0</v>
      </c>
      <c r="F29" s="81">
        <f>IF(E27&lt;&gt;"",IFERROR(IF(ISNUMBER(E27),E27,0),0)+IFERROR(IF(ISNUMBER(E28),E28,0),0)+IFERROR(IF(ISNUMBER(E29),E29,0),0),"")</f>
        <v>0</v>
      </c>
      <c r="H29" s="78" t="s">
        <v>224</v>
      </c>
      <c r="I29" s="79" t="str">
        <f>IF('Open 30M - Scoring'!B9&lt;&gt;"",IF('Open 30M - Scoring'!R9&lt;&gt;"",'Open 30M - Scoring'!R9,""),"")</f>
        <v/>
      </c>
      <c r="J29" s="79" t="str">
        <f>IF('Open 30M - Scoring'!B9&lt;&gt;"",IF('Open 30M - Scoring'!S9&lt;&gt;"",'Open 30M - Scoring'!S9,""),"")</f>
        <v/>
      </c>
      <c r="K29" s="79" t="str">
        <f>IF('Open 30M - Scoring'!B9&lt;&gt;"",IF('Open 30M - Scoring'!T9&lt;&gt;"",'Open 30M - Scoring'!T9,""),"")</f>
        <v/>
      </c>
      <c r="L29" s="80">
        <f>IF('Open 30M - Scoring'!B9&lt;&gt;"",'Open 30M - Scoring'!AR9,"")</f>
        <v>0</v>
      </c>
      <c r="M29" s="81">
        <f>IF(L27&lt;&gt;"",IFERROR(IF(ISNUMBER(L27),L27,0),0)+IFERROR(IF(ISNUMBER(L28),L28,0),0)+IFERROR(IF(ISNUMBER(L29),L29,0),0),"")</f>
        <v>0</v>
      </c>
    </row>
    <row r="30" spans="1:13" ht="19.5" customHeight="1" x14ac:dyDescent="0.35">
      <c r="A30" s="78" t="s">
        <v>227</v>
      </c>
      <c r="B30" s="79" t="str">
        <f>IF('Open 30M - Scoring'!B8&lt;&gt;"",IF('Open 30M - Scoring'!X8&lt;&gt;"",'Open 30M - Scoring'!X8,""),"")</f>
        <v/>
      </c>
      <c r="C30" s="79" t="str">
        <f>IF('Open 30M - Scoring'!B8&lt;&gt;"",IF('Open 30M - Scoring'!Y8&lt;&gt;"",'Open 30M - Scoring'!Y8,""),"")</f>
        <v/>
      </c>
      <c r="D30" s="79" t="str">
        <f>IF('Open 30M - Scoring'!B8&lt;&gt;"",IF('Open 30M - Scoring'!Z8&lt;&gt;"",'Open 30M - Scoring'!Z8,""),"")</f>
        <v/>
      </c>
      <c r="E30" s="80">
        <f>IF('Open 30M - Scoring'!B8&lt;&gt;"",'Open 30M - Scoring'!AS8,"")</f>
        <v>0</v>
      </c>
      <c r="F30" s="81">
        <f>IF(E27&lt;&gt;"",IFERROR(IF(ISNUMBER(E27),E27,0),0)+IFERROR(IF(ISNUMBER(E28),E28,0),0)+IFERROR(IF(ISNUMBER(E29),E29,0),0)+IFERROR(IF(ISNUMBER(E30),E30,0),0),"")</f>
        <v>0</v>
      </c>
      <c r="H30" s="78" t="s">
        <v>227</v>
      </c>
      <c r="I30" s="79" t="str">
        <f>IF('Open 30M - Scoring'!B9&lt;&gt;"",IF('Open 30M - Scoring'!X9&lt;&gt;"",'Open 30M - Scoring'!X9,""),"")</f>
        <v/>
      </c>
      <c r="J30" s="79" t="str">
        <f>IF('Open 30M - Scoring'!B9&lt;&gt;"",IF('Open 30M - Scoring'!Y9&lt;&gt;"",'Open 30M - Scoring'!Y9,""),"")</f>
        <v/>
      </c>
      <c r="K30" s="79" t="str">
        <f>IF('Open 30M - Scoring'!B9&lt;&gt;"",IF('Open 30M - Scoring'!Z9&lt;&gt;"",'Open 30M - Scoring'!Z9,""),"")</f>
        <v/>
      </c>
      <c r="L30" s="80">
        <f>IF('Open 30M - Scoring'!B9&lt;&gt;"",'Open 30M - Scoring'!AS9,"")</f>
        <v>0</v>
      </c>
      <c r="M30" s="81">
        <f>IF(L27&lt;&gt;"",IFERROR(IF(ISNUMBER(L27),L27,0),0)+IFERROR(IF(ISNUMBER(L28),L28,0),0)+IFERROR(IF(ISNUMBER(L29),L29,0),0)+IFERROR(IF(ISNUMBER(L30),L30,0),0),"")</f>
        <v>0</v>
      </c>
    </row>
    <row r="31" spans="1:13" ht="19.5" customHeight="1" x14ac:dyDescent="0.35">
      <c r="A31" s="78" t="s">
        <v>228</v>
      </c>
      <c r="B31" s="79" t="str">
        <f>IF('Open 30M - Scoring'!B8&lt;&gt;"",IF('Open 30M - Scoring'!AD8&lt;&gt;"",'Open 30M - Scoring'!AD8,""),"")</f>
        <v/>
      </c>
      <c r="C31" s="79" t="str">
        <f>IF('Open 30M - Scoring'!B8&lt;&gt;"",IF('Open 30M - Scoring'!AE8&lt;&gt;"",'Open 30M - Scoring'!AE8,""),"")</f>
        <v/>
      </c>
      <c r="D31" s="79" t="str">
        <f>IF('Open 30M - Scoring'!B8&lt;&gt;"",IF('Open 30M - Scoring'!AF8&lt;&gt;"",'Open 30M - Scoring'!AF8,""),"")</f>
        <v/>
      </c>
      <c r="E31" s="80">
        <f>IF('Open 30M - Scoring'!B8&lt;&gt;"",'Open 30M - Scoring'!AT8,"")</f>
        <v>0</v>
      </c>
      <c r="F31" s="81">
        <f>IF(E27&lt;&gt;"",IFERROR(IF(ISNUMBER(E27),E27,0),0)+IFERROR(IF(ISNUMBER(E28),E28,0),0)+IFERROR(IF(ISNUMBER(E29),E29,0),0)+IFERROR(IF(ISNUMBER(E30),E30,0),0)+IFERROR(IF(ISNUMBER(E31),E31,0),0),"")</f>
        <v>0</v>
      </c>
      <c r="H31" s="78" t="s">
        <v>228</v>
      </c>
      <c r="I31" s="79" t="str">
        <f>IF('Open 30M - Scoring'!B9&lt;&gt;"",IF('Open 30M - Scoring'!AD9&lt;&gt;"",'Open 30M - Scoring'!AD9,""),"")</f>
        <v/>
      </c>
      <c r="J31" s="79" t="str">
        <f>IF('Open 30M - Scoring'!B9&lt;&gt;"",IF('Open 30M - Scoring'!AE9&lt;&gt;"",'Open 30M - Scoring'!AE9,""),"")</f>
        <v/>
      </c>
      <c r="K31" s="79" t="str">
        <f>IF('Open 30M - Scoring'!B9&lt;&gt;"",IF('Open 30M - Scoring'!AF9&lt;&gt;"",'Open 30M - Scoring'!AF9,""),"")</f>
        <v/>
      </c>
      <c r="L31" s="80">
        <f>IF('Open 30M - Scoring'!B9&lt;&gt;"",'Open 30M - Scoring'!AT9,"")</f>
        <v>0</v>
      </c>
      <c r="M31" s="81">
        <f>IF(L27&lt;&gt;"",IFERROR(IF(ISNUMBER(L27),L27,0),0)+IFERROR(IF(ISNUMBER(L28),L28,0),0)+IFERROR(IF(ISNUMBER(L29),L29,0),0)+IFERROR(IF(ISNUMBER(L30),L30,0),0)+IFERROR(IF(ISNUMBER(L31),L31,0),0),"")</f>
        <v>0</v>
      </c>
    </row>
    <row r="32" spans="1:13" ht="19.5" customHeight="1" x14ac:dyDescent="0.35">
      <c r="A32" s="78" t="s">
        <v>229</v>
      </c>
      <c r="B32" s="79" t="str">
        <f>IF('Open 30M - Scoring'!B8&lt;&gt;"",IF('Open 30M - Scoring'!AJ8&lt;&gt;"",'Open 30M - Scoring'!AJ8,""),"")</f>
        <v/>
      </c>
      <c r="C32" s="79" t="str">
        <f>IF('Open 30M - Scoring'!B8&lt;&gt;"",IF('Open 30M - Scoring'!AK8&lt;&gt;"",'Open 30M - Scoring'!AK8,""),"")</f>
        <v/>
      </c>
      <c r="D32" s="79" t="str">
        <f>IF('Open 30M - Scoring'!B8&lt;&gt;"",IF('Open 30M - Scoring'!AL8&lt;&gt;"",'Open 30M - Scoring'!AL8,""),"")</f>
        <v/>
      </c>
      <c r="E32" s="80">
        <f>IF('Open 30M - Scoring'!B8&lt;&gt;"",'Open 30M - Scoring'!AU8,"")</f>
        <v>0</v>
      </c>
      <c r="F32" s="81">
        <f>IF(E27&lt;&gt;"",IFERROR(IF(ISNUMBER(E27),E27,0),0)+IFERROR(IF(ISNUMBER(E28),E28,0),0)+IFERROR(IF(ISNUMBER(E29),E29,0),0)+IFERROR(IF(ISNUMBER(E30),E30,0),0)+IFERROR(IF(ISNUMBER(E31),E31,0),0)+IFERROR(IF(ISNUMBER(E32),E32,0),0),"")</f>
        <v>0</v>
      </c>
      <c r="H32" s="78" t="s">
        <v>229</v>
      </c>
      <c r="I32" s="79" t="str">
        <f>IF('Open 30M - Scoring'!B9&lt;&gt;"",IF('Open 30M - Scoring'!AJ9&lt;&gt;"",'Open 30M - Scoring'!AJ9,""),"")</f>
        <v/>
      </c>
      <c r="J32" s="79" t="str">
        <f>IF('Open 30M - Scoring'!B9&lt;&gt;"",IF('Open 30M - Scoring'!AK9&lt;&gt;"",'Open 30M - Scoring'!AK9,""),"")</f>
        <v/>
      </c>
      <c r="K32" s="79" t="str">
        <f>IF('Open 30M - Scoring'!B9&lt;&gt;"",IF('Open 30M - Scoring'!AL9&lt;&gt;"",'Open 30M - Scoring'!AL9,""),"")</f>
        <v/>
      </c>
      <c r="L32" s="80">
        <f>IF('Open 30M - Scoring'!B9&lt;&gt;"",'Open 30M - Scoring'!AU9,"")</f>
        <v>0</v>
      </c>
      <c r="M32" s="81">
        <f>IF(L27&lt;&gt;"",IFERROR(IF(ISNUMBER(L27),L27,0),0)+IFERROR(IF(ISNUMBER(L28),L28,0),0)+IFERROR(IF(ISNUMBER(L29),L29,0),0)+IFERROR(IF(ISNUMBER(L30),L30,0),0)+IFERROR(IF(ISNUMBER(L31),L31,0),0)+IFERROR(IF(ISNUMBER(L32),L32,0),0),"")</f>
        <v>0</v>
      </c>
    </row>
    <row r="33" spans="1:13" ht="3.75" customHeight="1" x14ac:dyDescent="0.35"/>
    <row r="34" spans="1:13" ht="24" customHeight="1" x14ac:dyDescent="0.35">
      <c r="A34" s="124" t="s">
        <v>230</v>
      </c>
      <c r="B34" s="124"/>
      <c r="C34" s="124"/>
      <c r="D34" s="124"/>
      <c r="E34" s="125">
        <f>IF('Open 30M - Scoring'!B8&lt;&gt;"",'Open 30M - Scoring'!AV8,"")</f>
        <v>0</v>
      </c>
      <c r="F34" s="125"/>
      <c r="H34" s="124" t="s">
        <v>230</v>
      </c>
      <c r="I34" s="124"/>
      <c r="J34" s="124"/>
      <c r="K34" s="124"/>
      <c r="L34" s="125">
        <f>IF('Open 30M - Scoring'!B9&lt;&gt;"",'Open 30M - Scoring'!AV9,"")</f>
        <v>0</v>
      </c>
      <c r="M34" s="125"/>
    </row>
    <row r="35" spans="1:13" ht="19.5" customHeight="1" x14ac:dyDescent="0.35">
      <c r="E35" s="125"/>
      <c r="F35" s="125"/>
      <c r="L35" s="125"/>
      <c r="M35" s="125"/>
    </row>
    <row r="36" spans="1:13" ht="3.75" customHeight="1" x14ac:dyDescent="0.35"/>
    <row r="37" spans="1:13" ht="18" customHeight="1" x14ac:dyDescent="0.35">
      <c r="A37" s="73" t="s">
        <v>126</v>
      </c>
      <c r="B37" s="82">
        <f>IF('Open 30M - Scoring'!B8&lt;&gt;"",'Open 30M - Scoring'!AW8,"")</f>
        <v>0</v>
      </c>
      <c r="C37" s="73" t="s">
        <v>127</v>
      </c>
      <c r="D37" s="83">
        <f>IF('Open 30M - Scoring'!B8&lt;&gt;"",'Open 30M - Scoring'!AX8,"")</f>
        <v>0</v>
      </c>
      <c r="E37" s="73" t="s">
        <v>128</v>
      </c>
      <c r="F37" s="83">
        <f>IF('Open 30M - Scoring'!B8&lt;&gt;"",'Open 30M - Scoring'!AY8,"")</f>
        <v>0</v>
      </c>
      <c r="H37" s="73" t="s">
        <v>126</v>
      </c>
      <c r="I37" s="82">
        <f>IF('Open 30M - Scoring'!B9&lt;&gt;"",'Open 30M - Scoring'!AW9,"")</f>
        <v>0</v>
      </c>
      <c r="J37" s="73" t="s">
        <v>127</v>
      </c>
      <c r="K37" s="83">
        <f>IF('Open 30M - Scoring'!B9&lt;&gt;"",'Open 30M - Scoring'!AX9,"")</f>
        <v>0</v>
      </c>
      <c r="L37" s="73" t="s">
        <v>128</v>
      </c>
      <c r="M37" s="83">
        <f>IF('Open 30M - Scoring'!B9&lt;&gt;"",'Open 30M - Scoring'!AY9,"")</f>
        <v>0</v>
      </c>
    </row>
    <row r="38" spans="1:13" ht="3.75" customHeight="1" x14ac:dyDescent="0.35"/>
    <row r="39" spans="1:13" ht="7.5" customHeight="1" x14ac:dyDescent="0.35">
      <c r="A39" s="126"/>
      <c r="B39" s="126"/>
      <c r="C39" s="126"/>
      <c r="D39" s="126"/>
      <c r="E39" s="126"/>
      <c r="F39" s="126"/>
      <c r="G39" s="126"/>
      <c r="H39" s="126"/>
      <c r="I39" s="126"/>
      <c r="J39" s="126"/>
      <c r="K39" s="126"/>
      <c r="L39" s="126"/>
      <c r="M39" s="126"/>
    </row>
    <row r="40" spans="1:13" ht="15.75" customHeight="1" x14ac:dyDescent="0.35">
      <c r="A40" s="73" t="s">
        <v>218</v>
      </c>
      <c r="B40" s="122" t="str">
        <f>IF('Open 30M - Scoring'!B10&lt;&gt;"",'Open 30M - Scoring'!B10,"")</f>
        <v>Sheena Marie Monico</v>
      </c>
      <c r="C40" s="122"/>
      <c r="D40" s="122"/>
      <c r="E40" s="73" t="s">
        <v>219</v>
      </c>
      <c r="F40" s="74">
        <f>IF('Open 30M - Scoring'!B10&lt;&gt;"",'Open 30M - Scoring'!BB10,"")</f>
        <v>1</v>
      </c>
      <c r="H40" s="73" t="s">
        <v>218</v>
      </c>
      <c r="I40" s="122" t="str">
        <f>IF('Open 30M - Scoring'!B11&lt;&gt;"",'Open 30M - Scoring'!B11,"")</f>
        <v>Stella Mae Magalang</v>
      </c>
      <c r="J40" s="122"/>
      <c r="K40" s="122"/>
      <c r="L40" s="73" t="s">
        <v>219</v>
      </c>
      <c r="M40" s="74">
        <f>IF('Open 30M - Scoring'!B11&lt;&gt;"",'Open 30M - Scoring'!BB11,"")</f>
        <v>1</v>
      </c>
    </row>
    <row r="41" spans="1:13" ht="15.75" customHeight="1" x14ac:dyDescent="0.35">
      <c r="A41" s="73" t="s">
        <v>220</v>
      </c>
      <c r="B41" s="123" t="str">
        <f>IF('Open 30M - Scoring'!B10&lt;&gt;"",'Open 30M - Scoring'!D10,"")</f>
        <v>Pasig AC</v>
      </c>
      <c r="C41" s="123"/>
      <c r="D41" s="123"/>
      <c r="E41" s="73" t="s">
        <v>8</v>
      </c>
      <c r="F41" s="75" t="str">
        <f>IF('Open 30M - Scoring'!B10&lt;&gt;"",'Open 30M - Scoring'!E10,"")</f>
        <v>3B</v>
      </c>
      <c r="H41" s="73" t="s">
        <v>220</v>
      </c>
      <c r="I41" s="123" t="str">
        <f>IF('Open 30M - Scoring'!B11&lt;&gt;"",'Open 30M - Scoring'!D11,"")</f>
        <v>Buting</v>
      </c>
      <c r="J41" s="123"/>
      <c r="K41" s="123"/>
      <c r="L41" s="73" t="s">
        <v>8</v>
      </c>
      <c r="M41" s="75" t="str">
        <f>IF('Open 30M - Scoring'!B11&lt;&gt;"",'Open 30M - Scoring'!E11,"")</f>
        <v>4B</v>
      </c>
    </row>
    <row r="42" spans="1:13" ht="3.75" customHeight="1" x14ac:dyDescent="0.35"/>
    <row r="43" spans="1:13" ht="25.5" customHeight="1" x14ac:dyDescent="0.35">
      <c r="A43" s="76" t="s">
        <v>221</v>
      </c>
      <c r="B43" s="77" t="s">
        <v>222</v>
      </c>
      <c r="C43" s="77" t="s">
        <v>223</v>
      </c>
      <c r="D43" s="77" t="s">
        <v>224</v>
      </c>
      <c r="E43" s="76" t="s">
        <v>225</v>
      </c>
      <c r="F43" s="76" t="s">
        <v>226</v>
      </c>
      <c r="H43" s="76" t="s">
        <v>221</v>
      </c>
      <c r="I43" s="77" t="s">
        <v>222</v>
      </c>
      <c r="J43" s="77" t="s">
        <v>223</v>
      </c>
      <c r="K43" s="77" t="s">
        <v>224</v>
      </c>
      <c r="L43" s="76" t="s">
        <v>225</v>
      </c>
      <c r="M43" s="76" t="s">
        <v>226</v>
      </c>
    </row>
    <row r="44" spans="1:13" ht="19.5" customHeight="1" x14ac:dyDescent="0.35">
      <c r="A44" s="78" t="s">
        <v>222</v>
      </c>
      <c r="B44" s="79" t="str">
        <f>IF('Open 30M - Scoring'!B10&lt;&gt;"",IF('Open 30M - Scoring'!F10&lt;&gt;"",'Open 30M - Scoring'!F10,""),"")</f>
        <v/>
      </c>
      <c r="C44" s="79" t="str">
        <f>IF('Open 30M - Scoring'!B10&lt;&gt;"",IF('Open 30M - Scoring'!G10&lt;&gt;"",'Open 30M - Scoring'!G10,""),"")</f>
        <v/>
      </c>
      <c r="D44" s="79" t="str">
        <f>IF('Open 30M - Scoring'!B10&lt;&gt;"",IF('Open 30M - Scoring'!H10&lt;&gt;"",'Open 30M - Scoring'!H10,""),"")</f>
        <v/>
      </c>
      <c r="E44" s="80">
        <f>IF('Open 30M - Scoring'!B10&lt;&gt;"",'Open 30M - Scoring'!AP10,"")</f>
        <v>0</v>
      </c>
      <c r="F44" s="81">
        <f>IFERROR(IF(ISNUMBER(E44),E44,""),"")</f>
        <v>0</v>
      </c>
      <c r="H44" s="78" t="s">
        <v>222</v>
      </c>
      <c r="I44" s="79" t="str">
        <f>IF('Open 30M - Scoring'!B11&lt;&gt;"",IF('Open 30M - Scoring'!F11&lt;&gt;"",'Open 30M - Scoring'!F11,""),"")</f>
        <v/>
      </c>
      <c r="J44" s="79" t="str">
        <f>IF('Open 30M - Scoring'!B11&lt;&gt;"",IF('Open 30M - Scoring'!G11&lt;&gt;"",'Open 30M - Scoring'!G11,""),"")</f>
        <v/>
      </c>
      <c r="K44" s="79" t="str">
        <f>IF('Open 30M - Scoring'!B11&lt;&gt;"",IF('Open 30M - Scoring'!H11&lt;&gt;"",'Open 30M - Scoring'!H11,""),"")</f>
        <v/>
      </c>
      <c r="L44" s="80">
        <f>IF('Open 30M - Scoring'!B11&lt;&gt;"",'Open 30M - Scoring'!AP11,"")</f>
        <v>0</v>
      </c>
      <c r="M44" s="81">
        <f>IFERROR(IF(ISNUMBER(L44),L44,""),"")</f>
        <v>0</v>
      </c>
    </row>
    <row r="45" spans="1:13" ht="19.5" customHeight="1" x14ac:dyDescent="0.35">
      <c r="A45" s="78" t="s">
        <v>223</v>
      </c>
      <c r="B45" s="79" t="str">
        <f>IF('Open 30M - Scoring'!B10&lt;&gt;"",IF('Open 30M - Scoring'!L10&lt;&gt;"",'Open 30M - Scoring'!L10,""),"")</f>
        <v/>
      </c>
      <c r="C45" s="79" t="str">
        <f>IF('Open 30M - Scoring'!B10&lt;&gt;"",IF('Open 30M - Scoring'!M10&lt;&gt;"",'Open 30M - Scoring'!M10,""),"")</f>
        <v/>
      </c>
      <c r="D45" s="79" t="str">
        <f>IF('Open 30M - Scoring'!B10&lt;&gt;"",IF('Open 30M - Scoring'!N10&lt;&gt;"",'Open 30M - Scoring'!N10,""),"")</f>
        <v/>
      </c>
      <c r="E45" s="80">
        <f>IF('Open 30M - Scoring'!B10&lt;&gt;"",'Open 30M - Scoring'!AQ10,"")</f>
        <v>0</v>
      </c>
      <c r="F45" s="81">
        <f>IF(E44&lt;&gt;"",IFERROR(IF(ISNUMBER(E44),E44,0),0)+IFERROR(IF(ISNUMBER(E45),E45,0),0),"")</f>
        <v>0</v>
      </c>
      <c r="H45" s="78" t="s">
        <v>223</v>
      </c>
      <c r="I45" s="79" t="str">
        <f>IF('Open 30M - Scoring'!B11&lt;&gt;"",IF('Open 30M - Scoring'!L11&lt;&gt;"",'Open 30M - Scoring'!L11,""),"")</f>
        <v/>
      </c>
      <c r="J45" s="79" t="str">
        <f>IF('Open 30M - Scoring'!B11&lt;&gt;"",IF('Open 30M - Scoring'!M11&lt;&gt;"",'Open 30M - Scoring'!M11,""),"")</f>
        <v/>
      </c>
      <c r="K45" s="79" t="str">
        <f>IF('Open 30M - Scoring'!B11&lt;&gt;"",IF('Open 30M - Scoring'!N11&lt;&gt;"",'Open 30M - Scoring'!N11,""),"")</f>
        <v/>
      </c>
      <c r="L45" s="80">
        <f>IF('Open 30M - Scoring'!B11&lt;&gt;"",'Open 30M - Scoring'!AQ11,"")</f>
        <v>0</v>
      </c>
      <c r="M45" s="81">
        <f>IF(L44&lt;&gt;"",IFERROR(IF(ISNUMBER(L44),L44,0),0)+IFERROR(IF(ISNUMBER(L45),L45,0),0),"")</f>
        <v>0</v>
      </c>
    </row>
    <row r="46" spans="1:13" ht="19.5" customHeight="1" x14ac:dyDescent="0.35">
      <c r="A46" s="78" t="s">
        <v>224</v>
      </c>
      <c r="B46" s="79" t="str">
        <f>IF('Open 30M - Scoring'!B10&lt;&gt;"",IF('Open 30M - Scoring'!R10&lt;&gt;"",'Open 30M - Scoring'!R10,""),"")</f>
        <v/>
      </c>
      <c r="C46" s="79" t="str">
        <f>IF('Open 30M - Scoring'!B10&lt;&gt;"",IF('Open 30M - Scoring'!S10&lt;&gt;"",'Open 30M - Scoring'!S10,""),"")</f>
        <v/>
      </c>
      <c r="D46" s="79" t="str">
        <f>IF('Open 30M - Scoring'!B10&lt;&gt;"",IF('Open 30M - Scoring'!T10&lt;&gt;"",'Open 30M - Scoring'!T10,""),"")</f>
        <v/>
      </c>
      <c r="E46" s="80">
        <f>IF('Open 30M - Scoring'!B10&lt;&gt;"",'Open 30M - Scoring'!AR10,"")</f>
        <v>0</v>
      </c>
      <c r="F46" s="81">
        <f>IF(E44&lt;&gt;"",IFERROR(IF(ISNUMBER(E44),E44,0),0)+IFERROR(IF(ISNUMBER(E45),E45,0),0)+IFERROR(IF(ISNUMBER(E46),E46,0),0),"")</f>
        <v>0</v>
      </c>
      <c r="H46" s="78" t="s">
        <v>224</v>
      </c>
      <c r="I46" s="79" t="str">
        <f>IF('Open 30M - Scoring'!B11&lt;&gt;"",IF('Open 30M - Scoring'!R11&lt;&gt;"",'Open 30M - Scoring'!R11,""),"")</f>
        <v/>
      </c>
      <c r="J46" s="79" t="str">
        <f>IF('Open 30M - Scoring'!B11&lt;&gt;"",IF('Open 30M - Scoring'!S11&lt;&gt;"",'Open 30M - Scoring'!S11,""),"")</f>
        <v/>
      </c>
      <c r="K46" s="79" t="str">
        <f>IF('Open 30M - Scoring'!B11&lt;&gt;"",IF('Open 30M - Scoring'!T11&lt;&gt;"",'Open 30M - Scoring'!T11,""),"")</f>
        <v/>
      </c>
      <c r="L46" s="80">
        <f>IF('Open 30M - Scoring'!B11&lt;&gt;"",'Open 30M - Scoring'!AR11,"")</f>
        <v>0</v>
      </c>
      <c r="M46" s="81">
        <f>IF(L44&lt;&gt;"",IFERROR(IF(ISNUMBER(L44),L44,0),0)+IFERROR(IF(ISNUMBER(L45),L45,0),0)+IFERROR(IF(ISNUMBER(L46),L46,0),0),"")</f>
        <v>0</v>
      </c>
    </row>
    <row r="47" spans="1:13" ht="19.5" customHeight="1" x14ac:dyDescent="0.35">
      <c r="A47" s="78" t="s">
        <v>227</v>
      </c>
      <c r="B47" s="79" t="str">
        <f>IF('Open 30M - Scoring'!B10&lt;&gt;"",IF('Open 30M - Scoring'!X10&lt;&gt;"",'Open 30M - Scoring'!X10,""),"")</f>
        <v/>
      </c>
      <c r="C47" s="79" t="str">
        <f>IF('Open 30M - Scoring'!B10&lt;&gt;"",IF('Open 30M - Scoring'!Y10&lt;&gt;"",'Open 30M - Scoring'!Y10,""),"")</f>
        <v/>
      </c>
      <c r="D47" s="79" t="str">
        <f>IF('Open 30M - Scoring'!B10&lt;&gt;"",IF('Open 30M - Scoring'!Z10&lt;&gt;"",'Open 30M - Scoring'!Z10,""),"")</f>
        <v/>
      </c>
      <c r="E47" s="80">
        <f>IF('Open 30M - Scoring'!B10&lt;&gt;"",'Open 30M - Scoring'!AS10,"")</f>
        <v>0</v>
      </c>
      <c r="F47" s="81">
        <f>IF(E44&lt;&gt;"",IFERROR(IF(ISNUMBER(E44),E44,0),0)+IFERROR(IF(ISNUMBER(E45),E45,0),0)+IFERROR(IF(ISNUMBER(E46),E46,0),0)+IFERROR(IF(ISNUMBER(E47),E47,0),0),"")</f>
        <v>0</v>
      </c>
      <c r="H47" s="78" t="s">
        <v>227</v>
      </c>
      <c r="I47" s="79" t="str">
        <f>IF('Open 30M - Scoring'!B11&lt;&gt;"",IF('Open 30M - Scoring'!X11&lt;&gt;"",'Open 30M - Scoring'!X11,""),"")</f>
        <v/>
      </c>
      <c r="J47" s="79" t="str">
        <f>IF('Open 30M - Scoring'!B11&lt;&gt;"",IF('Open 30M - Scoring'!Y11&lt;&gt;"",'Open 30M - Scoring'!Y11,""),"")</f>
        <v/>
      </c>
      <c r="K47" s="79" t="str">
        <f>IF('Open 30M - Scoring'!B11&lt;&gt;"",IF('Open 30M - Scoring'!Z11&lt;&gt;"",'Open 30M - Scoring'!Z11,""),"")</f>
        <v/>
      </c>
      <c r="L47" s="80">
        <f>IF('Open 30M - Scoring'!B11&lt;&gt;"",'Open 30M - Scoring'!AS11,"")</f>
        <v>0</v>
      </c>
      <c r="M47" s="81">
        <f>IF(L44&lt;&gt;"",IFERROR(IF(ISNUMBER(L44),L44,0),0)+IFERROR(IF(ISNUMBER(L45),L45,0),0)+IFERROR(IF(ISNUMBER(L46),L46,0),0)+IFERROR(IF(ISNUMBER(L47),L47,0),0),"")</f>
        <v>0</v>
      </c>
    </row>
    <row r="48" spans="1:13" ht="19.5" customHeight="1" x14ac:dyDescent="0.35">
      <c r="A48" s="78" t="s">
        <v>228</v>
      </c>
      <c r="B48" s="79" t="str">
        <f>IF('Open 30M - Scoring'!B10&lt;&gt;"",IF('Open 30M - Scoring'!AD10&lt;&gt;"",'Open 30M - Scoring'!AD10,""),"")</f>
        <v/>
      </c>
      <c r="C48" s="79" t="str">
        <f>IF('Open 30M - Scoring'!B10&lt;&gt;"",IF('Open 30M - Scoring'!AE10&lt;&gt;"",'Open 30M - Scoring'!AE10,""),"")</f>
        <v/>
      </c>
      <c r="D48" s="79" t="str">
        <f>IF('Open 30M - Scoring'!B10&lt;&gt;"",IF('Open 30M - Scoring'!AF10&lt;&gt;"",'Open 30M - Scoring'!AF10,""),"")</f>
        <v/>
      </c>
      <c r="E48" s="80">
        <f>IF('Open 30M - Scoring'!B10&lt;&gt;"",'Open 30M - Scoring'!AT10,"")</f>
        <v>0</v>
      </c>
      <c r="F48" s="81">
        <f>IF(E44&lt;&gt;"",IFERROR(IF(ISNUMBER(E44),E44,0),0)+IFERROR(IF(ISNUMBER(E45),E45,0),0)+IFERROR(IF(ISNUMBER(E46),E46,0),0)+IFERROR(IF(ISNUMBER(E47),E47,0),0)+IFERROR(IF(ISNUMBER(E48),E48,0),0),"")</f>
        <v>0</v>
      </c>
      <c r="H48" s="78" t="s">
        <v>228</v>
      </c>
      <c r="I48" s="79" t="str">
        <f>IF('Open 30M - Scoring'!B11&lt;&gt;"",IF('Open 30M - Scoring'!AD11&lt;&gt;"",'Open 30M - Scoring'!AD11,""),"")</f>
        <v/>
      </c>
      <c r="J48" s="79" t="str">
        <f>IF('Open 30M - Scoring'!B11&lt;&gt;"",IF('Open 30M - Scoring'!AE11&lt;&gt;"",'Open 30M - Scoring'!AE11,""),"")</f>
        <v/>
      </c>
      <c r="K48" s="79" t="str">
        <f>IF('Open 30M - Scoring'!B11&lt;&gt;"",IF('Open 30M - Scoring'!AF11&lt;&gt;"",'Open 30M - Scoring'!AF11,""),"")</f>
        <v/>
      </c>
      <c r="L48" s="80">
        <f>IF('Open 30M - Scoring'!B11&lt;&gt;"",'Open 30M - Scoring'!AT11,"")</f>
        <v>0</v>
      </c>
      <c r="M48" s="81">
        <f>IF(L44&lt;&gt;"",IFERROR(IF(ISNUMBER(L44),L44,0),0)+IFERROR(IF(ISNUMBER(L45),L45,0),0)+IFERROR(IF(ISNUMBER(L46),L46,0),0)+IFERROR(IF(ISNUMBER(L47),L47,0),0)+IFERROR(IF(ISNUMBER(L48),L48,0),0),"")</f>
        <v>0</v>
      </c>
    </row>
    <row r="49" spans="1:13" ht="19.5" customHeight="1" x14ac:dyDescent="0.35">
      <c r="A49" s="78" t="s">
        <v>229</v>
      </c>
      <c r="B49" s="79" t="str">
        <f>IF('Open 30M - Scoring'!B10&lt;&gt;"",IF('Open 30M - Scoring'!AJ10&lt;&gt;"",'Open 30M - Scoring'!AJ10,""),"")</f>
        <v/>
      </c>
      <c r="C49" s="79" t="str">
        <f>IF('Open 30M - Scoring'!B10&lt;&gt;"",IF('Open 30M - Scoring'!AK10&lt;&gt;"",'Open 30M - Scoring'!AK10,""),"")</f>
        <v/>
      </c>
      <c r="D49" s="79" t="str">
        <f>IF('Open 30M - Scoring'!B10&lt;&gt;"",IF('Open 30M - Scoring'!AL10&lt;&gt;"",'Open 30M - Scoring'!AL10,""),"")</f>
        <v/>
      </c>
      <c r="E49" s="80">
        <f>IF('Open 30M - Scoring'!B10&lt;&gt;"",'Open 30M - Scoring'!AU10,"")</f>
        <v>0</v>
      </c>
      <c r="F49" s="81">
        <f>IF(E44&lt;&gt;"",IFERROR(IF(ISNUMBER(E44),E44,0),0)+IFERROR(IF(ISNUMBER(E45),E45,0),0)+IFERROR(IF(ISNUMBER(E46),E46,0),0)+IFERROR(IF(ISNUMBER(E47),E47,0),0)+IFERROR(IF(ISNUMBER(E48),E48,0),0)+IFERROR(IF(ISNUMBER(E49),E49,0),0),"")</f>
        <v>0</v>
      </c>
      <c r="H49" s="78" t="s">
        <v>229</v>
      </c>
      <c r="I49" s="79" t="str">
        <f>IF('Open 30M - Scoring'!B11&lt;&gt;"",IF('Open 30M - Scoring'!AJ11&lt;&gt;"",'Open 30M - Scoring'!AJ11,""),"")</f>
        <v/>
      </c>
      <c r="J49" s="79" t="str">
        <f>IF('Open 30M - Scoring'!B11&lt;&gt;"",IF('Open 30M - Scoring'!AK11&lt;&gt;"",'Open 30M - Scoring'!AK11,""),"")</f>
        <v/>
      </c>
      <c r="K49" s="79" t="str">
        <f>IF('Open 30M - Scoring'!B11&lt;&gt;"",IF('Open 30M - Scoring'!AL11&lt;&gt;"",'Open 30M - Scoring'!AL11,""),"")</f>
        <v/>
      </c>
      <c r="L49" s="80">
        <f>IF('Open 30M - Scoring'!B11&lt;&gt;"",'Open 30M - Scoring'!AU11,"")</f>
        <v>0</v>
      </c>
      <c r="M49" s="81">
        <f>IF(L44&lt;&gt;"",IFERROR(IF(ISNUMBER(L44),L44,0),0)+IFERROR(IF(ISNUMBER(L45),L45,0),0)+IFERROR(IF(ISNUMBER(L46),L46,0),0)+IFERROR(IF(ISNUMBER(L47),L47,0),0)+IFERROR(IF(ISNUMBER(L48),L48,0),0)+IFERROR(IF(ISNUMBER(L49),L49,0),0),"")</f>
        <v>0</v>
      </c>
    </row>
    <row r="50" spans="1:13" ht="3.75" customHeight="1" x14ac:dyDescent="0.35"/>
    <row r="51" spans="1:13" ht="24" customHeight="1" x14ac:dyDescent="0.35">
      <c r="A51" s="124" t="s">
        <v>230</v>
      </c>
      <c r="B51" s="124"/>
      <c r="C51" s="124"/>
      <c r="D51" s="124"/>
      <c r="E51" s="125">
        <f>IF('Open 30M - Scoring'!B10&lt;&gt;"",'Open 30M - Scoring'!AV10,"")</f>
        <v>0</v>
      </c>
      <c r="F51" s="125"/>
      <c r="H51" s="124" t="s">
        <v>230</v>
      </c>
      <c r="I51" s="124"/>
      <c r="J51" s="124"/>
      <c r="K51" s="124"/>
      <c r="L51" s="125">
        <f>IF('Open 30M - Scoring'!B11&lt;&gt;"",'Open 30M - Scoring'!AV11,"")</f>
        <v>0</v>
      </c>
      <c r="M51" s="125"/>
    </row>
    <row r="52" spans="1:13" ht="19.5" customHeight="1" x14ac:dyDescent="0.35">
      <c r="E52" s="125"/>
      <c r="F52" s="125"/>
      <c r="L52" s="125"/>
      <c r="M52" s="125"/>
    </row>
    <row r="53" spans="1:13" ht="3.75" customHeight="1" x14ac:dyDescent="0.35"/>
    <row r="54" spans="1:13" ht="18" customHeight="1" x14ac:dyDescent="0.35">
      <c r="A54" s="73" t="s">
        <v>126</v>
      </c>
      <c r="B54" s="82">
        <f>IF('Open 30M - Scoring'!B10&lt;&gt;"",'Open 30M - Scoring'!AW10,"")</f>
        <v>0</v>
      </c>
      <c r="C54" s="73" t="s">
        <v>127</v>
      </c>
      <c r="D54" s="83">
        <f>IF('Open 30M - Scoring'!B10&lt;&gt;"",'Open 30M - Scoring'!AX10,"")</f>
        <v>0</v>
      </c>
      <c r="E54" s="73" t="s">
        <v>128</v>
      </c>
      <c r="F54" s="83">
        <f>IF('Open 30M - Scoring'!B10&lt;&gt;"",'Open 30M - Scoring'!AY10,"")</f>
        <v>0</v>
      </c>
      <c r="H54" s="73" t="s">
        <v>126</v>
      </c>
      <c r="I54" s="82">
        <f>IF('Open 30M - Scoring'!B11&lt;&gt;"",'Open 30M - Scoring'!AW11,"")</f>
        <v>0</v>
      </c>
      <c r="J54" s="73" t="s">
        <v>127</v>
      </c>
      <c r="K54" s="83">
        <f>IF('Open 30M - Scoring'!B11&lt;&gt;"",'Open 30M - Scoring'!AX11,"")</f>
        <v>0</v>
      </c>
      <c r="L54" s="73" t="s">
        <v>128</v>
      </c>
      <c r="M54" s="83">
        <f>IF('Open 30M - Scoring'!B11&lt;&gt;"",'Open 30M - Scoring'!AY11,"")</f>
        <v>0</v>
      </c>
    </row>
    <row r="55" spans="1:13" ht="3.75" customHeight="1" x14ac:dyDescent="0.35"/>
    <row r="56" spans="1:13" ht="7.5" customHeight="1" x14ac:dyDescent="0.35">
      <c r="A56" s="126"/>
      <c r="B56" s="126"/>
      <c r="C56" s="126"/>
      <c r="D56" s="126"/>
      <c r="E56" s="126"/>
      <c r="F56" s="126"/>
      <c r="G56" s="126"/>
      <c r="H56" s="126"/>
      <c r="I56" s="126"/>
      <c r="J56" s="126"/>
      <c r="K56" s="126"/>
      <c r="L56" s="126"/>
      <c r="M56" s="126"/>
    </row>
    <row r="57" spans="1:13" ht="15.75" customHeight="1" x14ac:dyDescent="0.35">
      <c r="A57" s="73" t="s">
        <v>218</v>
      </c>
      <c r="B57" s="122" t="str">
        <f>IF('Open 30M - Scoring'!B12&lt;&gt;"",'Open 30M - Scoring'!B12,"")</f>
        <v>Aizen Zainna Quiellan M. Riego</v>
      </c>
      <c r="C57" s="122"/>
      <c r="D57" s="122"/>
      <c r="E57" s="73" t="s">
        <v>219</v>
      </c>
      <c r="F57" s="74">
        <f>IF('Open 30M - Scoring'!B12&lt;&gt;"",'Open 30M - Scoring'!BB12,"")</f>
        <v>1</v>
      </c>
      <c r="H57" s="73" t="s">
        <v>218</v>
      </c>
      <c r="I57" s="122" t="str">
        <f>IF('Open 30M - Scoring'!B13&lt;&gt;"",'Open 30M - Scoring'!B13,"")</f>
        <v>Leira Maxene Lagrimas</v>
      </c>
      <c r="J57" s="122"/>
      <c r="K57" s="122"/>
      <c r="L57" s="73" t="s">
        <v>219</v>
      </c>
      <c r="M57" s="74">
        <f>IF('Open 30M - Scoring'!B13&lt;&gt;"",'Open 30M - Scoring'!BB13,"")</f>
        <v>1</v>
      </c>
    </row>
    <row r="58" spans="1:13" ht="15.75" customHeight="1" x14ac:dyDescent="0.35">
      <c r="A58" s="73" t="s">
        <v>220</v>
      </c>
      <c r="B58" s="123" t="str">
        <f>IF('Open 30M - Scoring'!B12&lt;&gt;"",'Open 30M - Scoring'!D12,"")</f>
        <v>PAC Maybunga</v>
      </c>
      <c r="C58" s="123"/>
      <c r="D58" s="123"/>
      <c r="E58" s="73" t="s">
        <v>8</v>
      </c>
      <c r="F58" s="75" t="str">
        <f>IF('Open 30M - Scoring'!B12&lt;&gt;"",'Open 30M - Scoring'!E12,"")</f>
        <v>5B</v>
      </c>
      <c r="H58" s="73" t="s">
        <v>220</v>
      </c>
      <c r="I58" s="123" t="str">
        <f>IF('Open 30M - Scoring'!B13&lt;&gt;"",'Open 30M - Scoring'!D13,"")</f>
        <v>Brgy. Sta Lucia</v>
      </c>
      <c r="J58" s="123"/>
      <c r="K58" s="123"/>
      <c r="L58" s="73" t="s">
        <v>8</v>
      </c>
      <c r="M58" s="75" t="str">
        <f>IF('Open 30M - Scoring'!B13&lt;&gt;"",'Open 30M - Scoring'!E13,"")</f>
        <v>6B</v>
      </c>
    </row>
    <row r="59" spans="1:13" ht="3.75" customHeight="1" x14ac:dyDescent="0.35"/>
    <row r="60" spans="1:13" ht="25.5" customHeight="1" x14ac:dyDescent="0.35">
      <c r="A60" s="76" t="s">
        <v>221</v>
      </c>
      <c r="B60" s="77" t="s">
        <v>222</v>
      </c>
      <c r="C60" s="77" t="s">
        <v>223</v>
      </c>
      <c r="D60" s="77" t="s">
        <v>224</v>
      </c>
      <c r="E60" s="76" t="s">
        <v>225</v>
      </c>
      <c r="F60" s="76" t="s">
        <v>226</v>
      </c>
      <c r="H60" s="76" t="s">
        <v>221</v>
      </c>
      <c r="I60" s="77" t="s">
        <v>222</v>
      </c>
      <c r="J60" s="77" t="s">
        <v>223</v>
      </c>
      <c r="K60" s="77" t="s">
        <v>224</v>
      </c>
      <c r="L60" s="76" t="s">
        <v>225</v>
      </c>
      <c r="M60" s="76" t="s">
        <v>226</v>
      </c>
    </row>
    <row r="61" spans="1:13" ht="19.5" customHeight="1" x14ac:dyDescent="0.35">
      <c r="A61" s="78" t="s">
        <v>222</v>
      </c>
      <c r="B61" s="79" t="str">
        <f>IF('Open 30M - Scoring'!B12&lt;&gt;"",IF('Open 30M - Scoring'!F12&lt;&gt;"",'Open 30M - Scoring'!F12,""),"")</f>
        <v/>
      </c>
      <c r="C61" s="79" t="str">
        <f>IF('Open 30M - Scoring'!B12&lt;&gt;"",IF('Open 30M - Scoring'!G12&lt;&gt;"",'Open 30M - Scoring'!G12,""),"")</f>
        <v/>
      </c>
      <c r="D61" s="79" t="str">
        <f>IF('Open 30M - Scoring'!B12&lt;&gt;"",IF('Open 30M - Scoring'!H12&lt;&gt;"",'Open 30M - Scoring'!H12,""),"")</f>
        <v/>
      </c>
      <c r="E61" s="80">
        <f>IF('Open 30M - Scoring'!B12&lt;&gt;"",'Open 30M - Scoring'!AP12,"")</f>
        <v>0</v>
      </c>
      <c r="F61" s="81">
        <f>IFERROR(IF(ISNUMBER(E61),E61,""),"")</f>
        <v>0</v>
      </c>
      <c r="H61" s="78" t="s">
        <v>222</v>
      </c>
      <c r="I61" s="79" t="str">
        <f>IF('Open 30M - Scoring'!B13&lt;&gt;"",IF('Open 30M - Scoring'!F13&lt;&gt;"",'Open 30M - Scoring'!F13,""),"")</f>
        <v/>
      </c>
      <c r="J61" s="79" t="str">
        <f>IF('Open 30M - Scoring'!B13&lt;&gt;"",IF('Open 30M - Scoring'!G13&lt;&gt;"",'Open 30M - Scoring'!G13,""),"")</f>
        <v/>
      </c>
      <c r="K61" s="79" t="str">
        <f>IF('Open 30M - Scoring'!B13&lt;&gt;"",IF('Open 30M - Scoring'!H13&lt;&gt;"",'Open 30M - Scoring'!H13,""),"")</f>
        <v/>
      </c>
      <c r="L61" s="80">
        <f>IF('Open 30M - Scoring'!B13&lt;&gt;"",'Open 30M - Scoring'!AP13,"")</f>
        <v>0</v>
      </c>
      <c r="M61" s="81">
        <f>IFERROR(IF(ISNUMBER(L61),L61,""),"")</f>
        <v>0</v>
      </c>
    </row>
    <row r="62" spans="1:13" ht="19.5" customHeight="1" x14ac:dyDescent="0.35">
      <c r="A62" s="78" t="s">
        <v>223</v>
      </c>
      <c r="B62" s="79" t="str">
        <f>IF('Open 30M - Scoring'!B12&lt;&gt;"",IF('Open 30M - Scoring'!L12&lt;&gt;"",'Open 30M - Scoring'!L12,""),"")</f>
        <v/>
      </c>
      <c r="C62" s="79" t="str">
        <f>IF('Open 30M - Scoring'!B12&lt;&gt;"",IF('Open 30M - Scoring'!M12&lt;&gt;"",'Open 30M - Scoring'!M12,""),"")</f>
        <v/>
      </c>
      <c r="D62" s="79" t="str">
        <f>IF('Open 30M - Scoring'!B12&lt;&gt;"",IF('Open 30M - Scoring'!N12&lt;&gt;"",'Open 30M - Scoring'!N12,""),"")</f>
        <v/>
      </c>
      <c r="E62" s="80">
        <f>IF('Open 30M - Scoring'!B12&lt;&gt;"",'Open 30M - Scoring'!AQ12,"")</f>
        <v>0</v>
      </c>
      <c r="F62" s="81">
        <f>IF(E61&lt;&gt;"",IFERROR(IF(ISNUMBER(E61),E61,0),0)+IFERROR(IF(ISNUMBER(E62),E62,0),0),"")</f>
        <v>0</v>
      </c>
      <c r="H62" s="78" t="s">
        <v>223</v>
      </c>
      <c r="I62" s="79" t="str">
        <f>IF('Open 30M - Scoring'!B13&lt;&gt;"",IF('Open 30M - Scoring'!L13&lt;&gt;"",'Open 30M - Scoring'!L13,""),"")</f>
        <v/>
      </c>
      <c r="J62" s="79" t="str">
        <f>IF('Open 30M - Scoring'!B13&lt;&gt;"",IF('Open 30M - Scoring'!M13&lt;&gt;"",'Open 30M - Scoring'!M13,""),"")</f>
        <v/>
      </c>
      <c r="K62" s="79" t="str">
        <f>IF('Open 30M - Scoring'!B13&lt;&gt;"",IF('Open 30M - Scoring'!N13&lt;&gt;"",'Open 30M - Scoring'!N13,""),"")</f>
        <v/>
      </c>
      <c r="L62" s="80">
        <f>IF('Open 30M - Scoring'!B13&lt;&gt;"",'Open 30M - Scoring'!AQ13,"")</f>
        <v>0</v>
      </c>
      <c r="M62" s="81">
        <f>IF(L61&lt;&gt;"",IFERROR(IF(ISNUMBER(L61),L61,0),0)+IFERROR(IF(ISNUMBER(L62),L62,0),0),"")</f>
        <v>0</v>
      </c>
    </row>
    <row r="63" spans="1:13" ht="19.5" customHeight="1" x14ac:dyDescent="0.35">
      <c r="A63" s="78" t="s">
        <v>224</v>
      </c>
      <c r="B63" s="79" t="str">
        <f>IF('Open 30M - Scoring'!B12&lt;&gt;"",IF('Open 30M - Scoring'!R12&lt;&gt;"",'Open 30M - Scoring'!R12,""),"")</f>
        <v/>
      </c>
      <c r="C63" s="79" t="str">
        <f>IF('Open 30M - Scoring'!B12&lt;&gt;"",IF('Open 30M - Scoring'!S12&lt;&gt;"",'Open 30M - Scoring'!S12,""),"")</f>
        <v/>
      </c>
      <c r="D63" s="79" t="str">
        <f>IF('Open 30M - Scoring'!B12&lt;&gt;"",IF('Open 30M - Scoring'!T12&lt;&gt;"",'Open 30M - Scoring'!T12,""),"")</f>
        <v/>
      </c>
      <c r="E63" s="80">
        <f>IF('Open 30M - Scoring'!B12&lt;&gt;"",'Open 30M - Scoring'!AR12,"")</f>
        <v>0</v>
      </c>
      <c r="F63" s="81">
        <f>IF(E61&lt;&gt;"",IFERROR(IF(ISNUMBER(E61),E61,0),0)+IFERROR(IF(ISNUMBER(E62),E62,0),0)+IFERROR(IF(ISNUMBER(E63),E63,0),0),"")</f>
        <v>0</v>
      </c>
      <c r="H63" s="78" t="s">
        <v>224</v>
      </c>
      <c r="I63" s="79" t="str">
        <f>IF('Open 30M - Scoring'!B13&lt;&gt;"",IF('Open 30M - Scoring'!R13&lt;&gt;"",'Open 30M - Scoring'!R13,""),"")</f>
        <v/>
      </c>
      <c r="J63" s="79" t="str">
        <f>IF('Open 30M - Scoring'!B13&lt;&gt;"",IF('Open 30M - Scoring'!S13&lt;&gt;"",'Open 30M - Scoring'!S13,""),"")</f>
        <v/>
      </c>
      <c r="K63" s="79" t="str">
        <f>IF('Open 30M - Scoring'!B13&lt;&gt;"",IF('Open 30M - Scoring'!T13&lt;&gt;"",'Open 30M - Scoring'!T13,""),"")</f>
        <v/>
      </c>
      <c r="L63" s="80">
        <f>IF('Open 30M - Scoring'!B13&lt;&gt;"",'Open 30M - Scoring'!AR13,"")</f>
        <v>0</v>
      </c>
      <c r="M63" s="81">
        <f>IF(L61&lt;&gt;"",IFERROR(IF(ISNUMBER(L61),L61,0),0)+IFERROR(IF(ISNUMBER(L62),L62,0),0)+IFERROR(IF(ISNUMBER(L63),L63,0),0),"")</f>
        <v>0</v>
      </c>
    </row>
    <row r="64" spans="1:13" ht="19.5" customHeight="1" x14ac:dyDescent="0.35">
      <c r="A64" s="78" t="s">
        <v>227</v>
      </c>
      <c r="B64" s="79" t="str">
        <f>IF('Open 30M - Scoring'!B12&lt;&gt;"",IF('Open 30M - Scoring'!X12&lt;&gt;"",'Open 30M - Scoring'!X12,""),"")</f>
        <v/>
      </c>
      <c r="C64" s="79" t="str">
        <f>IF('Open 30M - Scoring'!B12&lt;&gt;"",IF('Open 30M - Scoring'!Y12&lt;&gt;"",'Open 30M - Scoring'!Y12,""),"")</f>
        <v/>
      </c>
      <c r="D64" s="79" t="str">
        <f>IF('Open 30M - Scoring'!B12&lt;&gt;"",IF('Open 30M - Scoring'!Z12&lt;&gt;"",'Open 30M - Scoring'!Z12,""),"")</f>
        <v/>
      </c>
      <c r="E64" s="80">
        <f>IF('Open 30M - Scoring'!B12&lt;&gt;"",'Open 30M - Scoring'!AS12,"")</f>
        <v>0</v>
      </c>
      <c r="F64" s="81">
        <f>IF(E61&lt;&gt;"",IFERROR(IF(ISNUMBER(E61),E61,0),0)+IFERROR(IF(ISNUMBER(E62),E62,0),0)+IFERROR(IF(ISNUMBER(E63),E63,0),0)+IFERROR(IF(ISNUMBER(E64),E64,0),0),"")</f>
        <v>0</v>
      </c>
      <c r="H64" s="78" t="s">
        <v>227</v>
      </c>
      <c r="I64" s="79" t="str">
        <f>IF('Open 30M - Scoring'!B13&lt;&gt;"",IF('Open 30M - Scoring'!X13&lt;&gt;"",'Open 30M - Scoring'!X13,""),"")</f>
        <v/>
      </c>
      <c r="J64" s="79" t="str">
        <f>IF('Open 30M - Scoring'!B13&lt;&gt;"",IF('Open 30M - Scoring'!Y13&lt;&gt;"",'Open 30M - Scoring'!Y13,""),"")</f>
        <v/>
      </c>
      <c r="K64" s="79" t="str">
        <f>IF('Open 30M - Scoring'!B13&lt;&gt;"",IF('Open 30M - Scoring'!Z13&lt;&gt;"",'Open 30M - Scoring'!Z13,""),"")</f>
        <v/>
      </c>
      <c r="L64" s="80">
        <f>IF('Open 30M - Scoring'!B13&lt;&gt;"",'Open 30M - Scoring'!AS13,"")</f>
        <v>0</v>
      </c>
      <c r="M64" s="81">
        <f>IF(L61&lt;&gt;"",IFERROR(IF(ISNUMBER(L61),L61,0),0)+IFERROR(IF(ISNUMBER(L62),L62,0),0)+IFERROR(IF(ISNUMBER(L63),L63,0),0)+IFERROR(IF(ISNUMBER(L64),L64,0),0),"")</f>
        <v>0</v>
      </c>
    </row>
    <row r="65" spans="1:13" ht="19.5" customHeight="1" x14ac:dyDescent="0.35">
      <c r="A65" s="78" t="s">
        <v>228</v>
      </c>
      <c r="B65" s="79" t="str">
        <f>IF('Open 30M - Scoring'!B12&lt;&gt;"",IF('Open 30M - Scoring'!AD12&lt;&gt;"",'Open 30M - Scoring'!AD12,""),"")</f>
        <v/>
      </c>
      <c r="C65" s="79" t="str">
        <f>IF('Open 30M - Scoring'!B12&lt;&gt;"",IF('Open 30M - Scoring'!AE12&lt;&gt;"",'Open 30M - Scoring'!AE12,""),"")</f>
        <v/>
      </c>
      <c r="D65" s="79" t="str">
        <f>IF('Open 30M - Scoring'!B12&lt;&gt;"",IF('Open 30M - Scoring'!AF12&lt;&gt;"",'Open 30M - Scoring'!AF12,""),"")</f>
        <v/>
      </c>
      <c r="E65" s="80">
        <f>IF('Open 30M - Scoring'!B12&lt;&gt;"",'Open 30M - Scoring'!AT12,"")</f>
        <v>0</v>
      </c>
      <c r="F65" s="81">
        <f>IF(E61&lt;&gt;"",IFERROR(IF(ISNUMBER(E61),E61,0),0)+IFERROR(IF(ISNUMBER(E62),E62,0),0)+IFERROR(IF(ISNUMBER(E63),E63,0),0)+IFERROR(IF(ISNUMBER(E64),E64,0),0)+IFERROR(IF(ISNUMBER(E65),E65,0),0),"")</f>
        <v>0</v>
      </c>
      <c r="H65" s="78" t="s">
        <v>228</v>
      </c>
      <c r="I65" s="79" t="str">
        <f>IF('Open 30M - Scoring'!B13&lt;&gt;"",IF('Open 30M - Scoring'!AD13&lt;&gt;"",'Open 30M - Scoring'!AD13,""),"")</f>
        <v/>
      </c>
      <c r="J65" s="79" t="str">
        <f>IF('Open 30M - Scoring'!B13&lt;&gt;"",IF('Open 30M - Scoring'!AE13&lt;&gt;"",'Open 30M - Scoring'!AE13,""),"")</f>
        <v/>
      </c>
      <c r="K65" s="79" t="str">
        <f>IF('Open 30M - Scoring'!B13&lt;&gt;"",IF('Open 30M - Scoring'!AF13&lt;&gt;"",'Open 30M - Scoring'!AF13,""),"")</f>
        <v/>
      </c>
      <c r="L65" s="80">
        <f>IF('Open 30M - Scoring'!B13&lt;&gt;"",'Open 30M - Scoring'!AT13,"")</f>
        <v>0</v>
      </c>
      <c r="M65" s="81">
        <f>IF(L61&lt;&gt;"",IFERROR(IF(ISNUMBER(L61),L61,0),0)+IFERROR(IF(ISNUMBER(L62),L62,0),0)+IFERROR(IF(ISNUMBER(L63),L63,0),0)+IFERROR(IF(ISNUMBER(L64),L64,0),0)+IFERROR(IF(ISNUMBER(L65),L65,0),0),"")</f>
        <v>0</v>
      </c>
    </row>
    <row r="66" spans="1:13" ht="19.5" customHeight="1" x14ac:dyDescent="0.35">
      <c r="A66" s="78" t="s">
        <v>229</v>
      </c>
      <c r="B66" s="79" t="str">
        <f>IF('Open 30M - Scoring'!B12&lt;&gt;"",IF('Open 30M - Scoring'!AJ12&lt;&gt;"",'Open 30M - Scoring'!AJ12,""),"")</f>
        <v/>
      </c>
      <c r="C66" s="79" t="str">
        <f>IF('Open 30M - Scoring'!B12&lt;&gt;"",IF('Open 30M - Scoring'!AK12&lt;&gt;"",'Open 30M - Scoring'!AK12,""),"")</f>
        <v/>
      </c>
      <c r="D66" s="79" t="str">
        <f>IF('Open 30M - Scoring'!B12&lt;&gt;"",IF('Open 30M - Scoring'!AL12&lt;&gt;"",'Open 30M - Scoring'!AL12,""),"")</f>
        <v/>
      </c>
      <c r="E66" s="80">
        <f>IF('Open 30M - Scoring'!B12&lt;&gt;"",'Open 30M - Scoring'!AU12,"")</f>
        <v>0</v>
      </c>
      <c r="F66" s="81">
        <f>IF(E61&lt;&gt;"",IFERROR(IF(ISNUMBER(E61),E61,0),0)+IFERROR(IF(ISNUMBER(E62),E62,0),0)+IFERROR(IF(ISNUMBER(E63),E63,0),0)+IFERROR(IF(ISNUMBER(E64),E64,0),0)+IFERROR(IF(ISNUMBER(E65),E65,0),0)+IFERROR(IF(ISNUMBER(E66),E66,0),0),"")</f>
        <v>0</v>
      </c>
      <c r="H66" s="78" t="s">
        <v>229</v>
      </c>
      <c r="I66" s="79" t="str">
        <f>IF('Open 30M - Scoring'!B13&lt;&gt;"",IF('Open 30M - Scoring'!AJ13&lt;&gt;"",'Open 30M - Scoring'!AJ13,""),"")</f>
        <v/>
      </c>
      <c r="J66" s="79" t="str">
        <f>IF('Open 30M - Scoring'!B13&lt;&gt;"",IF('Open 30M - Scoring'!AK13&lt;&gt;"",'Open 30M - Scoring'!AK13,""),"")</f>
        <v/>
      </c>
      <c r="K66" s="79" t="str">
        <f>IF('Open 30M - Scoring'!B13&lt;&gt;"",IF('Open 30M - Scoring'!AL13&lt;&gt;"",'Open 30M - Scoring'!AL13,""),"")</f>
        <v/>
      </c>
      <c r="L66" s="80">
        <f>IF('Open 30M - Scoring'!B13&lt;&gt;"",'Open 30M - Scoring'!AU13,"")</f>
        <v>0</v>
      </c>
      <c r="M66" s="81">
        <f>IF(L61&lt;&gt;"",IFERROR(IF(ISNUMBER(L61),L61,0),0)+IFERROR(IF(ISNUMBER(L62),L62,0),0)+IFERROR(IF(ISNUMBER(L63),L63,0),0)+IFERROR(IF(ISNUMBER(L64),L64,0),0)+IFERROR(IF(ISNUMBER(L65),L65,0),0)+IFERROR(IF(ISNUMBER(L66),L66,0),0),"")</f>
        <v>0</v>
      </c>
    </row>
    <row r="67" spans="1:13" ht="3.75" customHeight="1" x14ac:dyDescent="0.35"/>
    <row r="68" spans="1:13" ht="24" customHeight="1" x14ac:dyDescent="0.35">
      <c r="A68" s="124" t="s">
        <v>230</v>
      </c>
      <c r="B68" s="124"/>
      <c r="C68" s="124"/>
      <c r="D68" s="124"/>
      <c r="E68" s="125">
        <f>IF('Open 30M - Scoring'!B12&lt;&gt;"",'Open 30M - Scoring'!AV12,"")</f>
        <v>0</v>
      </c>
      <c r="F68" s="125"/>
      <c r="H68" s="124" t="s">
        <v>230</v>
      </c>
      <c r="I68" s="124"/>
      <c r="J68" s="124"/>
      <c r="K68" s="124"/>
      <c r="L68" s="125">
        <f>IF('Open 30M - Scoring'!B13&lt;&gt;"",'Open 30M - Scoring'!AV13,"")</f>
        <v>0</v>
      </c>
      <c r="M68" s="125"/>
    </row>
    <row r="69" spans="1:13" ht="19.5" customHeight="1" x14ac:dyDescent="0.35">
      <c r="E69" s="125"/>
      <c r="F69" s="125"/>
      <c r="L69" s="125"/>
      <c r="M69" s="125"/>
    </row>
    <row r="70" spans="1:13" ht="3.75" customHeight="1" x14ac:dyDescent="0.35"/>
    <row r="71" spans="1:13" ht="18" customHeight="1" x14ac:dyDescent="0.35">
      <c r="A71" s="73" t="s">
        <v>126</v>
      </c>
      <c r="B71" s="82">
        <f>IF('Open 30M - Scoring'!B12&lt;&gt;"",'Open 30M - Scoring'!AW12,"")</f>
        <v>0</v>
      </c>
      <c r="C71" s="73" t="s">
        <v>127</v>
      </c>
      <c r="D71" s="83">
        <f>IF('Open 30M - Scoring'!B12&lt;&gt;"",'Open 30M - Scoring'!AX12,"")</f>
        <v>0</v>
      </c>
      <c r="E71" s="73" t="s">
        <v>128</v>
      </c>
      <c r="F71" s="83">
        <f>IF('Open 30M - Scoring'!B12&lt;&gt;"",'Open 30M - Scoring'!AY12,"")</f>
        <v>0</v>
      </c>
      <c r="H71" s="73" t="s">
        <v>126</v>
      </c>
      <c r="I71" s="82">
        <f>IF('Open 30M - Scoring'!B13&lt;&gt;"",'Open 30M - Scoring'!AW13,"")</f>
        <v>0</v>
      </c>
      <c r="J71" s="73" t="s">
        <v>127</v>
      </c>
      <c r="K71" s="83">
        <f>IF('Open 30M - Scoring'!B13&lt;&gt;"",'Open 30M - Scoring'!AX13,"")</f>
        <v>0</v>
      </c>
      <c r="L71" s="73" t="s">
        <v>128</v>
      </c>
      <c r="M71" s="83">
        <f>IF('Open 30M - Scoring'!B13&lt;&gt;"",'Open 30M - Scoring'!AY13,"")</f>
        <v>0</v>
      </c>
    </row>
    <row r="72" spans="1:13" ht="3.75" customHeight="1" x14ac:dyDescent="0.35"/>
    <row r="73" spans="1:13" ht="7.5" customHeight="1" x14ac:dyDescent="0.35">
      <c r="A73" s="126"/>
      <c r="B73" s="126"/>
      <c r="C73" s="126"/>
      <c r="D73" s="126"/>
      <c r="E73" s="126"/>
      <c r="F73" s="126"/>
      <c r="G73" s="126"/>
      <c r="H73" s="126"/>
      <c r="I73" s="126"/>
      <c r="J73" s="126"/>
      <c r="K73" s="126"/>
      <c r="L73" s="126"/>
      <c r="M73" s="126"/>
    </row>
    <row r="74" spans="1:13" ht="15.75" customHeight="1" x14ac:dyDescent="0.35">
      <c r="A74" s="73" t="s">
        <v>218</v>
      </c>
      <c r="B74" s="122" t="str">
        <f>IF('Open 30M - Scoring'!B14&lt;&gt;"",'Open 30M - Scoring'!B14,"")</f>
        <v>Jasmine Eizelle P. Dipad</v>
      </c>
      <c r="C74" s="122"/>
      <c r="D74" s="122"/>
      <c r="E74" s="73" t="s">
        <v>219</v>
      </c>
      <c r="F74" s="74">
        <f>IF('Open 30M - Scoring'!B14&lt;&gt;"",'Open 30M - Scoring'!BB14,"")</f>
        <v>1</v>
      </c>
      <c r="H74" s="73" t="s">
        <v>218</v>
      </c>
      <c r="I74" s="122" t="str">
        <f>IF('Open 30M - Scoring'!B15&lt;&gt;"",'Open 30M - Scoring'!B15,"")</f>
        <v>Allan Chew</v>
      </c>
      <c r="J74" s="122"/>
      <c r="K74" s="122"/>
      <c r="L74" s="73" t="s">
        <v>219</v>
      </c>
      <c r="M74" s="74">
        <f>IF('Open 30M - Scoring'!B15&lt;&gt;"",'Open 30M - Scoring'!BB15,"")</f>
        <v>1</v>
      </c>
    </row>
    <row r="75" spans="1:13" ht="15.75" customHeight="1" x14ac:dyDescent="0.35">
      <c r="A75" s="73" t="s">
        <v>220</v>
      </c>
      <c r="B75" s="123" t="str">
        <f>IF('Open 30M - Scoring'!B14&lt;&gt;"",'Open 30M - Scoring'!D14,"")</f>
        <v>N/A</v>
      </c>
      <c r="C75" s="123"/>
      <c r="D75" s="123"/>
      <c r="E75" s="73" t="s">
        <v>8</v>
      </c>
      <c r="F75" s="75" t="str">
        <f>IF('Open 30M - Scoring'!B14&lt;&gt;"",'Open 30M - Scoring'!E14,"")</f>
        <v>3C</v>
      </c>
      <c r="H75" s="73" t="s">
        <v>220</v>
      </c>
      <c r="I75" s="123" t="str">
        <f>IF('Open 30M - Scoring'!B15&lt;&gt;"",'Open 30M - Scoring'!D15,"")</f>
        <v>Attack Arena</v>
      </c>
      <c r="J75" s="123"/>
      <c r="K75" s="123"/>
      <c r="L75" s="73" t="s">
        <v>8</v>
      </c>
      <c r="M75" s="75" t="str">
        <f>IF('Open 30M - Scoring'!B15&lt;&gt;"",'Open 30M - Scoring'!E15,"")</f>
        <v>4C</v>
      </c>
    </row>
    <row r="76" spans="1:13" ht="3.75" customHeight="1" x14ac:dyDescent="0.35"/>
    <row r="77" spans="1:13" ht="25.5" customHeight="1" x14ac:dyDescent="0.35">
      <c r="A77" s="76" t="s">
        <v>221</v>
      </c>
      <c r="B77" s="77" t="s">
        <v>222</v>
      </c>
      <c r="C77" s="77" t="s">
        <v>223</v>
      </c>
      <c r="D77" s="77" t="s">
        <v>224</v>
      </c>
      <c r="E77" s="76" t="s">
        <v>225</v>
      </c>
      <c r="F77" s="76" t="s">
        <v>226</v>
      </c>
      <c r="H77" s="76" t="s">
        <v>221</v>
      </c>
      <c r="I77" s="77" t="s">
        <v>222</v>
      </c>
      <c r="J77" s="77" t="s">
        <v>223</v>
      </c>
      <c r="K77" s="77" t="s">
        <v>224</v>
      </c>
      <c r="L77" s="76" t="s">
        <v>225</v>
      </c>
      <c r="M77" s="76" t="s">
        <v>226</v>
      </c>
    </row>
    <row r="78" spans="1:13" ht="19.5" customHeight="1" x14ac:dyDescent="0.35">
      <c r="A78" s="78" t="s">
        <v>222</v>
      </c>
      <c r="B78" s="79" t="str">
        <f>IF('Open 30M - Scoring'!B14&lt;&gt;"",IF('Open 30M - Scoring'!F14&lt;&gt;"",'Open 30M - Scoring'!F14,""),"")</f>
        <v/>
      </c>
      <c r="C78" s="79" t="str">
        <f>IF('Open 30M - Scoring'!B14&lt;&gt;"",IF('Open 30M - Scoring'!G14&lt;&gt;"",'Open 30M - Scoring'!G14,""),"")</f>
        <v/>
      </c>
      <c r="D78" s="79" t="str">
        <f>IF('Open 30M - Scoring'!B14&lt;&gt;"",IF('Open 30M - Scoring'!H14&lt;&gt;"",'Open 30M - Scoring'!H14,""),"")</f>
        <v/>
      </c>
      <c r="E78" s="80">
        <f>IF('Open 30M - Scoring'!B14&lt;&gt;"",'Open 30M - Scoring'!AP14,"")</f>
        <v>0</v>
      </c>
      <c r="F78" s="81">
        <f>IFERROR(IF(ISNUMBER(E78),E78,""),"")</f>
        <v>0</v>
      </c>
      <c r="H78" s="78" t="s">
        <v>222</v>
      </c>
      <c r="I78" s="79" t="str">
        <f>IF('Open 30M - Scoring'!B15&lt;&gt;"",IF('Open 30M - Scoring'!F15&lt;&gt;"",'Open 30M - Scoring'!F15,""),"")</f>
        <v/>
      </c>
      <c r="J78" s="79" t="str">
        <f>IF('Open 30M - Scoring'!B15&lt;&gt;"",IF('Open 30M - Scoring'!G15&lt;&gt;"",'Open 30M - Scoring'!G15,""),"")</f>
        <v/>
      </c>
      <c r="K78" s="79" t="str">
        <f>IF('Open 30M - Scoring'!B15&lt;&gt;"",IF('Open 30M - Scoring'!H15&lt;&gt;"",'Open 30M - Scoring'!H15,""),"")</f>
        <v/>
      </c>
      <c r="L78" s="80">
        <f>IF('Open 30M - Scoring'!B15&lt;&gt;"",'Open 30M - Scoring'!AP15,"")</f>
        <v>0</v>
      </c>
      <c r="M78" s="81">
        <f>IFERROR(IF(ISNUMBER(L78),L78,""),"")</f>
        <v>0</v>
      </c>
    </row>
    <row r="79" spans="1:13" ht="19.5" customHeight="1" x14ac:dyDescent="0.35">
      <c r="A79" s="78" t="s">
        <v>223</v>
      </c>
      <c r="B79" s="79" t="str">
        <f>IF('Open 30M - Scoring'!B14&lt;&gt;"",IF('Open 30M - Scoring'!L14&lt;&gt;"",'Open 30M - Scoring'!L14,""),"")</f>
        <v/>
      </c>
      <c r="C79" s="79" t="str">
        <f>IF('Open 30M - Scoring'!B14&lt;&gt;"",IF('Open 30M - Scoring'!M14&lt;&gt;"",'Open 30M - Scoring'!M14,""),"")</f>
        <v/>
      </c>
      <c r="D79" s="79" t="str">
        <f>IF('Open 30M - Scoring'!B14&lt;&gt;"",IF('Open 30M - Scoring'!N14&lt;&gt;"",'Open 30M - Scoring'!N14,""),"")</f>
        <v/>
      </c>
      <c r="E79" s="80">
        <f>IF('Open 30M - Scoring'!B14&lt;&gt;"",'Open 30M - Scoring'!AQ14,"")</f>
        <v>0</v>
      </c>
      <c r="F79" s="81">
        <f>IF(E78&lt;&gt;"",IFERROR(IF(ISNUMBER(E78),E78,0),0)+IFERROR(IF(ISNUMBER(E79),E79,0),0),"")</f>
        <v>0</v>
      </c>
      <c r="H79" s="78" t="s">
        <v>223</v>
      </c>
      <c r="I79" s="79" t="str">
        <f>IF('Open 30M - Scoring'!B15&lt;&gt;"",IF('Open 30M - Scoring'!L15&lt;&gt;"",'Open 30M - Scoring'!L15,""),"")</f>
        <v/>
      </c>
      <c r="J79" s="79" t="str">
        <f>IF('Open 30M - Scoring'!B15&lt;&gt;"",IF('Open 30M - Scoring'!M15&lt;&gt;"",'Open 30M - Scoring'!M15,""),"")</f>
        <v/>
      </c>
      <c r="K79" s="79" t="str">
        <f>IF('Open 30M - Scoring'!B15&lt;&gt;"",IF('Open 30M - Scoring'!N15&lt;&gt;"",'Open 30M - Scoring'!N15,""),"")</f>
        <v/>
      </c>
      <c r="L79" s="80">
        <f>IF('Open 30M - Scoring'!B15&lt;&gt;"",'Open 30M - Scoring'!AQ15,"")</f>
        <v>0</v>
      </c>
      <c r="M79" s="81">
        <f>IF(L78&lt;&gt;"",IFERROR(IF(ISNUMBER(L78),L78,0),0)+IFERROR(IF(ISNUMBER(L79),L79,0),0),"")</f>
        <v>0</v>
      </c>
    </row>
    <row r="80" spans="1:13" ht="19.5" customHeight="1" x14ac:dyDescent="0.35">
      <c r="A80" s="78" t="s">
        <v>224</v>
      </c>
      <c r="B80" s="79" t="str">
        <f>IF('Open 30M - Scoring'!B14&lt;&gt;"",IF('Open 30M - Scoring'!R14&lt;&gt;"",'Open 30M - Scoring'!R14,""),"")</f>
        <v/>
      </c>
      <c r="C80" s="79" t="str">
        <f>IF('Open 30M - Scoring'!B14&lt;&gt;"",IF('Open 30M - Scoring'!S14&lt;&gt;"",'Open 30M - Scoring'!S14,""),"")</f>
        <v/>
      </c>
      <c r="D80" s="79" t="str">
        <f>IF('Open 30M - Scoring'!B14&lt;&gt;"",IF('Open 30M - Scoring'!T14&lt;&gt;"",'Open 30M - Scoring'!T14,""),"")</f>
        <v/>
      </c>
      <c r="E80" s="80">
        <f>IF('Open 30M - Scoring'!B14&lt;&gt;"",'Open 30M - Scoring'!AR14,"")</f>
        <v>0</v>
      </c>
      <c r="F80" s="81">
        <f>IF(E78&lt;&gt;"",IFERROR(IF(ISNUMBER(E78),E78,0),0)+IFERROR(IF(ISNUMBER(E79),E79,0),0)+IFERROR(IF(ISNUMBER(E80),E80,0),0),"")</f>
        <v>0</v>
      </c>
      <c r="H80" s="78" t="s">
        <v>224</v>
      </c>
      <c r="I80" s="79" t="str">
        <f>IF('Open 30M - Scoring'!B15&lt;&gt;"",IF('Open 30M - Scoring'!R15&lt;&gt;"",'Open 30M - Scoring'!R15,""),"")</f>
        <v/>
      </c>
      <c r="J80" s="79" t="str">
        <f>IF('Open 30M - Scoring'!B15&lt;&gt;"",IF('Open 30M - Scoring'!S15&lt;&gt;"",'Open 30M - Scoring'!S15,""),"")</f>
        <v/>
      </c>
      <c r="K80" s="79" t="str">
        <f>IF('Open 30M - Scoring'!B15&lt;&gt;"",IF('Open 30M - Scoring'!T15&lt;&gt;"",'Open 30M - Scoring'!T15,""),"")</f>
        <v/>
      </c>
      <c r="L80" s="80">
        <f>IF('Open 30M - Scoring'!B15&lt;&gt;"",'Open 30M - Scoring'!AR15,"")</f>
        <v>0</v>
      </c>
      <c r="M80" s="81">
        <f>IF(L78&lt;&gt;"",IFERROR(IF(ISNUMBER(L78),L78,0),0)+IFERROR(IF(ISNUMBER(L79),L79,0),0)+IFERROR(IF(ISNUMBER(L80),L80,0),0),"")</f>
        <v>0</v>
      </c>
    </row>
    <row r="81" spans="1:13" ht="19.5" customHeight="1" x14ac:dyDescent="0.35">
      <c r="A81" s="78" t="s">
        <v>227</v>
      </c>
      <c r="B81" s="79" t="str">
        <f>IF('Open 30M - Scoring'!B14&lt;&gt;"",IF('Open 30M - Scoring'!X14&lt;&gt;"",'Open 30M - Scoring'!X14,""),"")</f>
        <v/>
      </c>
      <c r="C81" s="79" t="str">
        <f>IF('Open 30M - Scoring'!B14&lt;&gt;"",IF('Open 30M - Scoring'!Y14&lt;&gt;"",'Open 30M - Scoring'!Y14,""),"")</f>
        <v/>
      </c>
      <c r="D81" s="79" t="str">
        <f>IF('Open 30M - Scoring'!B14&lt;&gt;"",IF('Open 30M - Scoring'!Z14&lt;&gt;"",'Open 30M - Scoring'!Z14,""),"")</f>
        <v/>
      </c>
      <c r="E81" s="80">
        <f>IF('Open 30M - Scoring'!B14&lt;&gt;"",'Open 30M - Scoring'!AS14,"")</f>
        <v>0</v>
      </c>
      <c r="F81" s="81">
        <f>IF(E78&lt;&gt;"",IFERROR(IF(ISNUMBER(E78),E78,0),0)+IFERROR(IF(ISNUMBER(E79),E79,0),0)+IFERROR(IF(ISNUMBER(E80),E80,0),0)+IFERROR(IF(ISNUMBER(E81),E81,0),0),"")</f>
        <v>0</v>
      </c>
      <c r="H81" s="78" t="s">
        <v>227</v>
      </c>
      <c r="I81" s="79" t="str">
        <f>IF('Open 30M - Scoring'!B15&lt;&gt;"",IF('Open 30M - Scoring'!X15&lt;&gt;"",'Open 30M - Scoring'!X15,""),"")</f>
        <v/>
      </c>
      <c r="J81" s="79" t="str">
        <f>IF('Open 30M - Scoring'!B15&lt;&gt;"",IF('Open 30M - Scoring'!Y15&lt;&gt;"",'Open 30M - Scoring'!Y15,""),"")</f>
        <v/>
      </c>
      <c r="K81" s="79" t="str">
        <f>IF('Open 30M - Scoring'!B15&lt;&gt;"",IF('Open 30M - Scoring'!Z15&lt;&gt;"",'Open 30M - Scoring'!Z15,""),"")</f>
        <v/>
      </c>
      <c r="L81" s="80">
        <f>IF('Open 30M - Scoring'!B15&lt;&gt;"",'Open 30M - Scoring'!AS15,"")</f>
        <v>0</v>
      </c>
      <c r="M81" s="81">
        <f>IF(L78&lt;&gt;"",IFERROR(IF(ISNUMBER(L78),L78,0),0)+IFERROR(IF(ISNUMBER(L79),L79,0),0)+IFERROR(IF(ISNUMBER(L80),L80,0),0)+IFERROR(IF(ISNUMBER(L81),L81,0),0),"")</f>
        <v>0</v>
      </c>
    </row>
    <row r="82" spans="1:13" ht="19.5" customHeight="1" x14ac:dyDescent="0.35">
      <c r="A82" s="78" t="s">
        <v>228</v>
      </c>
      <c r="B82" s="79" t="str">
        <f>IF('Open 30M - Scoring'!B14&lt;&gt;"",IF('Open 30M - Scoring'!AD14&lt;&gt;"",'Open 30M - Scoring'!AD14,""),"")</f>
        <v/>
      </c>
      <c r="C82" s="79" t="str">
        <f>IF('Open 30M - Scoring'!B14&lt;&gt;"",IF('Open 30M - Scoring'!AE14&lt;&gt;"",'Open 30M - Scoring'!AE14,""),"")</f>
        <v/>
      </c>
      <c r="D82" s="79" t="str">
        <f>IF('Open 30M - Scoring'!B14&lt;&gt;"",IF('Open 30M - Scoring'!AF14&lt;&gt;"",'Open 30M - Scoring'!AF14,""),"")</f>
        <v/>
      </c>
      <c r="E82" s="80">
        <f>IF('Open 30M - Scoring'!B14&lt;&gt;"",'Open 30M - Scoring'!AT14,"")</f>
        <v>0</v>
      </c>
      <c r="F82" s="81">
        <f>IF(E78&lt;&gt;"",IFERROR(IF(ISNUMBER(E78),E78,0),0)+IFERROR(IF(ISNUMBER(E79),E79,0),0)+IFERROR(IF(ISNUMBER(E80),E80,0),0)+IFERROR(IF(ISNUMBER(E81),E81,0),0)+IFERROR(IF(ISNUMBER(E82),E82,0),0),"")</f>
        <v>0</v>
      </c>
      <c r="H82" s="78" t="s">
        <v>228</v>
      </c>
      <c r="I82" s="79" t="str">
        <f>IF('Open 30M - Scoring'!B15&lt;&gt;"",IF('Open 30M - Scoring'!AD15&lt;&gt;"",'Open 30M - Scoring'!AD15,""),"")</f>
        <v/>
      </c>
      <c r="J82" s="79" t="str">
        <f>IF('Open 30M - Scoring'!B15&lt;&gt;"",IF('Open 30M - Scoring'!AE15&lt;&gt;"",'Open 30M - Scoring'!AE15,""),"")</f>
        <v/>
      </c>
      <c r="K82" s="79" t="str">
        <f>IF('Open 30M - Scoring'!B15&lt;&gt;"",IF('Open 30M - Scoring'!AF15&lt;&gt;"",'Open 30M - Scoring'!AF15,""),"")</f>
        <v/>
      </c>
      <c r="L82" s="80">
        <f>IF('Open 30M - Scoring'!B15&lt;&gt;"",'Open 30M - Scoring'!AT15,"")</f>
        <v>0</v>
      </c>
      <c r="M82" s="81">
        <f>IF(L78&lt;&gt;"",IFERROR(IF(ISNUMBER(L78),L78,0),0)+IFERROR(IF(ISNUMBER(L79),L79,0),0)+IFERROR(IF(ISNUMBER(L80),L80,0),0)+IFERROR(IF(ISNUMBER(L81),L81,0),0)+IFERROR(IF(ISNUMBER(L82),L82,0),0),"")</f>
        <v>0</v>
      </c>
    </row>
    <row r="83" spans="1:13" ht="19.5" customHeight="1" x14ac:dyDescent="0.35">
      <c r="A83" s="78" t="s">
        <v>229</v>
      </c>
      <c r="B83" s="79" t="str">
        <f>IF('Open 30M - Scoring'!B14&lt;&gt;"",IF('Open 30M - Scoring'!AJ14&lt;&gt;"",'Open 30M - Scoring'!AJ14,""),"")</f>
        <v/>
      </c>
      <c r="C83" s="79" t="str">
        <f>IF('Open 30M - Scoring'!B14&lt;&gt;"",IF('Open 30M - Scoring'!AK14&lt;&gt;"",'Open 30M - Scoring'!AK14,""),"")</f>
        <v/>
      </c>
      <c r="D83" s="79" t="str">
        <f>IF('Open 30M - Scoring'!B14&lt;&gt;"",IF('Open 30M - Scoring'!AL14&lt;&gt;"",'Open 30M - Scoring'!AL14,""),"")</f>
        <v/>
      </c>
      <c r="E83" s="80">
        <f>IF('Open 30M - Scoring'!B14&lt;&gt;"",'Open 30M - Scoring'!AU14,"")</f>
        <v>0</v>
      </c>
      <c r="F83" s="81">
        <f>IF(E78&lt;&gt;"",IFERROR(IF(ISNUMBER(E78),E78,0),0)+IFERROR(IF(ISNUMBER(E79),E79,0),0)+IFERROR(IF(ISNUMBER(E80),E80,0),0)+IFERROR(IF(ISNUMBER(E81),E81,0),0)+IFERROR(IF(ISNUMBER(E82),E82,0),0)+IFERROR(IF(ISNUMBER(E83),E83,0),0),"")</f>
        <v>0</v>
      </c>
      <c r="H83" s="78" t="s">
        <v>229</v>
      </c>
      <c r="I83" s="79" t="str">
        <f>IF('Open 30M - Scoring'!B15&lt;&gt;"",IF('Open 30M - Scoring'!AJ15&lt;&gt;"",'Open 30M - Scoring'!AJ15,""),"")</f>
        <v/>
      </c>
      <c r="J83" s="79" t="str">
        <f>IF('Open 30M - Scoring'!B15&lt;&gt;"",IF('Open 30M - Scoring'!AK15&lt;&gt;"",'Open 30M - Scoring'!AK15,""),"")</f>
        <v/>
      </c>
      <c r="K83" s="79" t="str">
        <f>IF('Open 30M - Scoring'!B15&lt;&gt;"",IF('Open 30M - Scoring'!AL15&lt;&gt;"",'Open 30M - Scoring'!AL15,""),"")</f>
        <v/>
      </c>
      <c r="L83" s="80">
        <f>IF('Open 30M - Scoring'!B15&lt;&gt;"",'Open 30M - Scoring'!AU15,"")</f>
        <v>0</v>
      </c>
      <c r="M83" s="81">
        <f>IF(L78&lt;&gt;"",IFERROR(IF(ISNUMBER(L78),L78,0),0)+IFERROR(IF(ISNUMBER(L79),L79,0),0)+IFERROR(IF(ISNUMBER(L80),L80,0),0)+IFERROR(IF(ISNUMBER(L81),L81,0),0)+IFERROR(IF(ISNUMBER(L82),L82,0),0)+IFERROR(IF(ISNUMBER(L83),L83,0),0),"")</f>
        <v>0</v>
      </c>
    </row>
    <row r="84" spans="1:13" ht="3.75" customHeight="1" x14ac:dyDescent="0.35"/>
    <row r="85" spans="1:13" ht="24" customHeight="1" x14ac:dyDescent="0.35">
      <c r="A85" s="124" t="s">
        <v>230</v>
      </c>
      <c r="B85" s="124"/>
      <c r="C85" s="124"/>
      <c r="D85" s="124"/>
      <c r="E85" s="125">
        <f>IF('Open 30M - Scoring'!B14&lt;&gt;"",'Open 30M - Scoring'!AV14,"")</f>
        <v>0</v>
      </c>
      <c r="F85" s="125"/>
      <c r="H85" s="124" t="s">
        <v>230</v>
      </c>
      <c r="I85" s="124"/>
      <c r="J85" s="124"/>
      <c r="K85" s="124"/>
      <c r="L85" s="125">
        <f>IF('Open 30M - Scoring'!B15&lt;&gt;"",'Open 30M - Scoring'!AV15,"")</f>
        <v>0</v>
      </c>
      <c r="M85" s="125"/>
    </row>
    <row r="86" spans="1:13" ht="19.5" customHeight="1" x14ac:dyDescent="0.35">
      <c r="E86" s="125"/>
      <c r="F86" s="125"/>
      <c r="L86" s="125"/>
      <c r="M86" s="125"/>
    </row>
    <row r="87" spans="1:13" ht="3.75" customHeight="1" x14ac:dyDescent="0.35"/>
    <row r="88" spans="1:13" ht="18" customHeight="1" x14ac:dyDescent="0.35">
      <c r="A88" s="73" t="s">
        <v>126</v>
      </c>
      <c r="B88" s="82">
        <f>IF('Open 30M - Scoring'!B14&lt;&gt;"",'Open 30M - Scoring'!AW14,"")</f>
        <v>0</v>
      </c>
      <c r="C88" s="73" t="s">
        <v>127</v>
      </c>
      <c r="D88" s="83">
        <f>IF('Open 30M - Scoring'!B14&lt;&gt;"",'Open 30M - Scoring'!AX14,"")</f>
        <v>0</v>
      </c>
      <c r="E88" s="73" t="s">
        <v>128</v>
      </c>
      <c r="F88" s="83">
        <f>IF('Open 30M - Scoring'!B14&lt;&gt;"",'Open 30M - Scoring'!AY14,"")</f>
        <v>0</v>
      </c>
      <c r="H88" s="73" t="s">
        <v>126</v>
      </c>
      <c r="I88" s="82">
        <f>IF('Open 30M - Scoring'!B15&lt;&gt;"",'Open 30M - Scoring'!AW15,"")</f>
        <v>0</v>
      </c>
      <c r="J88" s="73" t="s">
        <v>127</v>
      </c>
      <c r="K88" s="83">
        <f>IF('Open 30M - Scoring'!B15&lt;&gt;"",'Open 30M - Scoring'!AX15,"")</f>
        <v>0</v>
      </c>
      <c r="L88" s="73" t="s">
        <v>128</v>
      </c>
      <c r="M88" s="83">
        <f>IF('Open 30M - Scoring'!B15&lt;&gt;"",'Open 30M - Scoring'!AY15,"")</f>
        <v>0</v>
      </c>
    </row>
    <row r="89" spans="1:13" ht="3.75" customHeight="1" x14ac:dyDescent="0.35"/>
    <row r="90" spans="1:13" ht="7.5" customHeight="1" x14ac:dyDescent="0.35">
      <c r="A90" s="126"/>
      <c r="B90" s="126"/>
      <c r="C90" s="126"/>
      <c r="D90" s="126"/>
      <c r="E90" s="126"/>
      <c r="F90" s="126"/>
      <c r="G90" s="126"/>
      <c r="H90" s="126"/>
      <c r="I90" s="126"/>
      <c r="J90" s="126"/>
      <c r="K90" s="126"/>
      <c r="L90" s="126"/>
      <c r="M90" s="126"/>
    </row>
    <row r="91" spans="1:13" ht="15.75" customHeight="1" x14ac:dyDescent="0.35">
      <c r="A91" s="73" t="s">
        <v>218</v>
      </c>
      <c r="B91" s="122" t="str">
        <f>IF('Open 30M - Scoring'!B16&lt;&gt;"",'Open 30M - Scoring'!B16,"")</f>
        <v>Myckhielle Joji Tan</v>
      </c>
      <c r="C91" s="122"/>
      <c r="D91" s="122"/>
      <c r="E91" s="73" t="s">
        <v>219</v>
      </c>
      <c r="F91" s="74">
        <f>IF('Open 30M - Scoring'!B16&lt;&gt;"",'Open 30M - Scoring'!BB16,"")</f>
        <v>1</v>
      </c>
      <c r="H91" s="73" t="s">
        <v>218</v>
      </c>
      <c r="I91" s="122" t="str">
        <f>IF('Open 30M - Scoring'!B17&lt;&gt;"",'Open 30M - Scoring'!B17,"")</f>
        <v/>
      </c>
      <c r="J91" s="122"/>
      <c r="K91" s="122"/>
      <c r="L91" s="73" t="s">
        <v>219</v>
      </c>
      <c r="M91" s="74" t="str">
        <f>IF('Open 30M - Scoring'!B17&lt;&gt;"",'Open 30M - Scoring'!BB17,"")</f>
        <v/>
      </c>
    </row>
    <row r="92" spans="1:13" ht="15.75" customHeight="1" x14ac:dyDescent="0.35">
      <c r="A92" s="73" t="s">
        <v>220</v>
      </c>
      <c r="B92" s="123" t="str">
        <f>IF('Open 30M - Scoring'!B16&lt;&gt;"",'Open 30M - Scoring'!D16,"")</f>
        <v>Attack Arena</v>
      </c>
      <c r="C92" s="123"/>
      <c r="D92" s="123"/>
      <c r="E92" s="73" t="s">
        <v>8</v>
      </c>
      <c r="F92" s="75" t="str">
        <f>IF('Open 30M - Scoring'!B16&lt;&gt;"",'Open 30M - Scoring'!E16,"")</f>
        <v>5C</v>
      </c>
      <c r="H92" s="73" t="s">
        <v>220</v>
      </c>
      <c r="I92" s="123" t="str">
        <f>IF('Open 30M - Scoring'!B17&lt;&gt;"",'Open 30M - Scoring'!D17,"")</f>
        <v/>
      </c>
      <c r="J92" s="123"/>
      <c r="K92" s="123"/>
      <c r="L92" s="73" t="s">
        <v>8</v>
      </c>
      <c r="M92" s="75" t="str">
        <f>IF('Open 30M - Scoring'!B17&lt;&gt;"",'Open 30M - Scoring'!E17,"")</f>
        <v/>
      </c>
    </row>
    <row r="93" spans="1:13" ht="3.75" customHeight="1" x14ac:dyDescent="0.35"/>
    <row r="94" spans="1:13" ht="25.5" customHeight="1" x14ac:dyDescent="0.35">
      <c r="A94" s="76" t="s">
        <v>221</v>
      </c>
      <c r="B94" s="77" t="s">
        <v>222</v>
      </c>
      <c r="C94" s="77" t="s">
        <v>223</v>
      </c>
      <c r="D94" s="77" t="s">
        <v>224</v>
      </c>
      <c r="E94" s="76" t="s">
        <v>225</v>
      </c>
      <c r="F94" s="76" t="s">
        <v>226</v>
      </c>
      <c r="H94" s="76" t="s">
        <v>221</v>
      </c>
      <c r="I94" s="77" t="s">
        <v>222</v>
      </c>
      <c r="J94" s="77" t="s">
        <v>223</v>
      </c>
      <c r="K94" s="77" t="s">
        <v>224</v>
      </c>
      <c r="L94" s="76" t="s">
        <v>225</v>
      </c>
      <c r="M94" s="76" t="s">
        <v>226</v>
      </c>
    </row>
    <row r="95" spans="1:13" ht="19.5" customHeight="1" x14ac:dyDescent="0.35">
      <c r="A95" s="78" t="s">
        <v>222</v>
      </c>
      <c r="B95" s="79" t="str">
        <f>IF('Open 30M - Scoring'!B16&lt;&gt;"",IF('Open 30M - Scoring'!F16&lt;&gt;"",'Open 30M - Scoring'!F16,""),"")</f>
        <v/>
      </c>
      <c r="C95" s="79" t="str">
        <f>IF('Open 30M - Scoring'!B16&lt;&gt;"",IF('Open 30M - Scoring'!G16&lt;&gt;"",'Open 30M - Scoring'!G16,""),"")</f>
        <v/>
      </c>
      <c r="D95" s="79" t="str">
        <f>IF('Open 30M - Scoring'!B16&lt;&gt;"",IF('Open 30M - Scoring'!H16&lt;&gt;"",'Open 30M - Scoring'!H16,""),"")</f>
        <v/>
      </c>
      <c r="E95" s="80">
        <f>IF('Open 30M - Scoring'!B16&lt;&gt;"",'Open 30M - Scoring'!AP16,"")</f>
        <v>0</v>
      </c>
      <c r="F95" s="81">
        <f>IFERROR(IF(ISNUMBER(E95),E95,""),"")</f>
        <v>0</v>
      </c>
      <c r="H95" s="78" t="s">
        <v>222</v>
      </c>
      <c r="I95" s="79" t="str">
        <f>IF('Open 30M - Scoring'!B17&lt;&gt;"",IF('Open 30M - Scoring'!F17&lt;&gt;"",'Open 30M - Scoring'!F17,""),"")</f>
        <v/>
      </c>
      <c r="J95" s="79" t="str">
        <f>IF('Open 30M - Scoring'!B17&lt;&gt;"",IF('Open 30M - Scoring'!G17&lt;&gt;"",'Open 30M - Scoring'!G17,""),"")</f>
        <v/>
      </c>
      <c r="K95" s="79" t="str">
        <f>IF('Open 30M - Scoring'!B17&lt;&gt;"",IF('Open 30M - Scoring'!H17&lt;&gt;"",'Open 30M - Scoring'!H17,""),"")</f>
        <v/>
      </c>
      <c r="L95" s="80" t="str">
        <f>IF('Open 30M - Scoring'!B17&lt;&gt;"",'Open 30M - Scoring'!AP17,"")</f>
        <v/>
      </c>
      <c r="M95" s="81" t="str">
        <f>IFERROR(IF(ISNUMBER(L95),L95,""),"")</f>
        <v/>
      </c>
    </row>
    <row r="96" spans="1:13" ht="19.5" customHeight="1" x14ac:dyDescent="0.35">
      <c r="A96" s="78" t="s">
        <v>223</v>
      </c>
      <c r="B96" s="79" t="str">
        <f>IF('Open 30M - Scoring'!B16&lt;&gt;"",IF('Open 30M - Scoring'!L16&lt;&gt;"",'Open 30M - Scoring'!L16,""),"")</f>
        <v/>
      </c>
      <c r="C96" s="79" t="str">
        <f>IF('Open 30M - Scoring'!B16&lt;&gt;"",IF('Open 30M - Scoring'!M16&lt;&gt;"",'Open 30M - Scoring'!M16,""),"")</f>
        <v/>
      </c>
      <c r="D96" s="79" t="str">
        <f>IF('Open 30M - Scoring'!B16&lt;&gt;"",IF('Open 30M - Scoring'!N16&lt;&gt;"",'Open 30M - Scoring'!N16,""),"")</f>
        <v/>
      </c>
      <c r="E96" s="80">
        <f>IF('Open 30M - Scoring'!B16&lt;&gt;"",'Open 30M - Scoring'!AQ16,"")</f>
        <v>0</v>
      </c>
      <c r="F96" s="81">
        <f>IF(E95&lt;&gt;"",IFERROR(IF(ISNUMBER(E95),E95,0),0)+IFERROR(IF(ISNUMBER(E96),E96,0),0),"")</f>
        <v>0</v>
      </c>
      <c r="H96" s="78" t="s">
        <v>223</v>
      </c>
      <c r="I96" s="79" t="str">
        <f>IF('Open 30M - Scoring'!B17&lt;&gt;"",IF('Open 30M - Scoring'!L17&lt;&gt;"",'Open 30M - Scoring'!L17,""),"")</f>
        <v/>
      </c>
      <c r="J96" s="79" t="str">
        <f>IF('Open 30M - Scoring'!B17&lt;&gt;"",IF('Open 30M - Scoring'!M17&lt;&gt;"",'Open 30M - Scoring'!M17,""),"")</f>
        <v/>
      </c>
      <c r="K96" s="79" t="str">
        <f>IF('Open 30M - Scoring'!B17&lt;&gt;"",IF('Open 30M - Scoring'!N17&lt;&gt;"",'Open 30M - Scoring'!N17,""),"")</f>
        <v/>
      </c>
      <c r="L96" s="80" t="str">
        <f>IF('Open 30M - Scoring'!B17&lt;&gt;"",'Open 30M - Scoring'!AQ17,"")</f>
        <v/>
      </c>
      <c r="M96" s="81" t="str">
        <f>IF(L95&lt;&gt;"",IFERROR(IF(ISNUMBER(L95),L95,0),0)+IFERROR(IF(ISNUMBER(L96),L96,0),0),"")</f>
        <v/>
      </c>
    </row>
    <row r="97" spans="1:13" ht="19.5" customHeight="1" x14ac:dyDescent="0.35">
      <c r="A97" s="78" t="s">
        <v>224</v>
      </c>
      <c r="B97" s="79" t="str">
        <f>IF('Open 30M - Scoring'!B16&lt;&gt;"",IF('Open 30M - Scoring'!R16&lt;&gt;"",'Open 30M - Scoring'!R16,""),"")</f>
        <v/>
      </c>
      <c r="C97" s="79" t="str">
        <f>IF('Open 30M - Scoring'!B16&lt;&gt;"",IF('Open 30M - Scoring'!S16&lt;&gt;"",'Open 30M - Scoring'!S16,""),"")</f>
        <v/>
      </c>
      <c r="D97" s="79" t="str">
        <f>IF('Open 30M - Scoring'!B16&lt;&gt;"",IF('Open 30M - Scoring'!T16&lt;&gt;"",'Open 30M - Scoring'!T16,""),"")</f>
        <v/>
      </c>
      <c r="E97" s="80">
        <f>IF('Open 30M - Scoring'!B16&lt;&gt;"",'Open 30M - Scoring'!AR16,"")</f>
        <v>0</v>
      </c>
      <c r="F97" s="81">
        <f>IF(E95&lt;&gt;"",IFERROR(IF(ISNUMBER(E95),E95,0),0)+IFERROR(IF(ISNUMBER(E96),E96,0),0)+IFERROR(IF(ISNUMBER(E97),E97,0),0),"")</f>
        <v>0</v>
      </c>
      <c r="H97" s="78" t="s">
        <v>224</v>
      </c>
      <c r="I97" s="79" t="str">
        <f>IF('Open 30M - Scoring'!B17&lt;&gt;"",IF('Open 30M - Scoring'!R17&lt;&gt;"",'Open 30M - Scoring'!R17,""),"")</f>
        <v/>
      </c>
      <c r="J97" s="79" t="str">
        <f>IF('Open 30M - Scoring'!B17&lt;&gt;"",IF('Open 30M - Scoring'!S17&lt;&gt;"",'Open 30M - Scoring'!S17,""),"")</f>
        <v/>
      </c>
      <c r="K97" s="79" t="str">
        <f>IF('Open 30M - Scoring'!B17&lt;&gt;"",IF('Open 30M - Scoring'!T17&lt;&gt;"",'Open 30M - Scoring'!T17,""),"")</f>
        <v/>
      </c>
      <c r="L97" s="80" t="str">
        <f>IF('Open 30M - Scoring'!B17&lt;&gt;"",'Open 30M - Scoring'!AR17,"")</f>
        <v/>
      </c>
      <c r="M97" s="81" t="str">
        <f>IF(L95&lt;&gt;"",IFERROR(IF(ISNUMBER(L95),L95,0),0)+IFERROR(IF(ISNUMBER(L96),L96,0),0)+IFERROR(IF(ISNUMBER(L97),L97,0),0),"")</f>
        <v/>
      </c>
    </row>
    <row r="98" spans="1:13" ht="19.5" customHeight="1" x14ac:dyDescent="0.35">
      <c r="A98" s="78" t="s">
        <v>227</v>
      </c>
      <c r="B98" s="79" t="str">
        <f>IF('Open 30M - Scoring'!B16&lt;&gt;"",IF('Open 30M - Scoring'!X16&lt;&gt;"",'Open 30M - Scoring'!X16,""),"")</f>
        <v/>
      </c>
      <c r="C98" s="79" t="str">
        <f>IF('Open 30M - Scoring'!B16&lt;&gt;"",IF('Open 30M - Scoring'!Y16&lt;&gt;"",'Open 30M - Scoring'!Y16,""),"")</f>
        <v/>
      </c>
      <c r="D98" s="79" t="str">
        <f>IF('Open 30M - Scoring'!B16&lt;&gt;"",IF('Open 30M - Scoring'!Z16&lt;&gt;"",'Open 30M - Scoring'!Z16,""),"")</f>
        <v/>
      </c>
      <c r="E98" s="80">
        <f>IF('Open 30M - Scoring'!B16&lt;&gt;"",'Open 30M - Scoring'!AS16,"")</f>
        <v>0</v>
      </c>
      <c r="F98" s="81">
        <f>IF(E95&lt;&gt;"",IFERROR(IF(ISNUMBER(E95),E95,0),0)+IFERROR(IF(ISNUMBER(E96),E96,0),0)+IFERROR(IF(ISNUMBER(E97),E97,0),0)+IFERROR(IF(ISNUMBER(E98),E98,0),0),"")</f>
        <v>0</v>
      </c>
      <c r="H98" s="78" t="s">
        <v>227</v>
      </c>
      <c r="I98" s="79" t="str">
        <f>IF('Open 30M - Scoring'!B17&lt;&gt;"",IF('Open 30M - Scoring'!X17&lt;&gt;"",'Open 30M - Scoring'!X17,""),"")</f>
        <v/>
      </c>
      <c r="J98" s="79" t="str">
        <f>IF('Open 30M - Scoring'!B17&lt;&gt;"",IF('Open 30M - Scoring'!Y17&lt;&gt;"",'Open 30M - Scoring'!Y17,""),"")</f>
        <v/>
      </c>
      <c r="K98" s="79" t="str">
        <f>IF('Open 30M - Scoring'!B17&lt;&gt;"",IF('Open 30M - Scoring'!Z17&lt;&gt;"",'Open 30M - Scoring'!Z17,""),"")</f>
        <v/>
      </c>
      <c r="L98" s="80" t="str">
        <f>IF('Open 30M - Scoring'!B17&lt;&gt;"",'Open 30M - Scoring'!AS17,"")</f>
        <v/>
      </c>
      <c r="M98" s="81" t="str">
        <f>IF(L95&lt;&gt;"",IFERROR(IF(ISNUMBER(L95),L95,0),0)+IFERROR(IF(ISNUMBER(L96),L96,0),0)+IFERROR(IF(ISNUMBER(L97),L97,0),0)+IFERROR(IF(ISNUMBER(L98),L98,0),0),"")</f>
        <v/>
      </c>
    </row>
    <row r="99" spans="1:13" ht="19.5" customHeight="1" x14ac:dyDescent="0.35">
      <c r="A99" s="78" t="s">
        <v>228</v>
      </c>
      <c r="B99" s="79" t="str">
        <f>IF('Open 30M - Scoring'!B16&lt;&gt;"",IF('Open 30M - Scoring'!AD16&lt;&gt;"",'Open 30M - Scoring'!AD16,""),"")</f>
        <v/>
      </c>
      <c r="C99" s="79" t="str">
        <f>IF('Open 30M - Scoring'!B16&lt;&gt;"",IF('Open 30M - Scoring'!AE16&lt;&gt;"",'Open 30M - Scoring'!AE16,""),"")</f>
        <v/>
      </c>
      <c r="D99" s="79" t="str">
        <f>IF('Open 30M - Scoring'!B16&lt;&gt;"",IF('Open 30M - Scoring'!AF16&lt;&gt;"",'Open 30M - Scoring'!AF16,""),"")</f>
        <v/>
      </c>
      <c r="E99" s="80">
        <f>IF('Open 30M - Scoring'!B16&lt;&gt;"",'Open 30M - Scoring'!AT16,"")</f>
        <v>0</v>
      </c>
      <c r="F99" s="81">
        <f>IF(E95&lt;&gt;"",IFERROR(IF(ISNUMBER(E95),E95,0),0)+IFERROR(IF(ISNUMBER(E96),E96,0),0)+IFERROR(IF(ISNUMBER(E97),E97,0),0)+IFERROR(IF(ISNUMBER(E98),E98,0),0)+IFERROR(IF(ISNUMBER(E99),E99,0),0),"")</f>
        <v>0</v>
      </c>
      <c r="H99" s="78" t="s">
        <v>228</v>
      </c>
      <c r="I99" s="79" t="str">
        <f>IF('Open 30M - Scoring'!B17&lt;&gt;"",IF('Open 30M - Scoring'!AD17&lt;&gt;"",'Open 30M - Scoring'!AD17,""),"")</f>
        <v/>
      </c>
      <c r="J99" s="79" t="str">
        <f>IF('Open 30M - Scoring'!B17&lt;&gt;"",IF('Open 30M - Scoring'!AE17&lt;&gt;"",'Open 30M - Scoring'!AE17,""),"")</f>
        <v/>
      </c>
      <c r="K99" s="79" t="str">
        <f>IF('Open 30M - Scoring'!B17&lt;&gt;"",IF('Open 30M - Scoring'!AF17&lt;&gt;"",'Open 30M - Scoring'!AF17,""),"")</f>
        <v/>
      </c>
      <c r="L99" s="80" t="str">
        <f>IF('Open 30M - Scoring'!B17&lt;&gt;"",'Open 30M - Scoring'!AT17,"")</f>
        <v/>
      </c>
      <c r="M99" s="81" t="str">
        <f>IF(L95&lt;&gt;"",IFERROR(IF(ISNUMBER(L95),L95,0),0)+IFERROR(IF(ISNUMBER(L96),L96,0),0)+IFERROR(IF(ISNUMBER(L97),L97,0),0)+IFERROR(IF(ISNUMBER(L98),L98,0),0)+IFERROR(IF(ISNUMBER(L99),L99,0),0),"")</f>
        <v/>
      </c>
    </row>
    <row r="100" spans="1:13" ht="19.5" customHeight="1" x14ac:dyDescent="0.35">
      <c r="A100" s="78" t="s">
        <v>229</v>
      </c>
      <c r="B100" s="79" t="str">
        <f>IF('Open 30M - Scoring'!B16&lt;&gt;"",IF('Open 30M - Scoring'!AJ16&lt;&gt;"",'Open 30M - Scoring'!AJ16,""),"")</f>
        <v/>
      </c>
      <c r="C100" s="79" t="str">
        <f>IF('Open 30M - Scoring'!B16&lt;&gt;"",IF('Open 30M - Scoring'!AK16&lt;&gt;"",'Open 30M - Scoring'!AK16,""),"")</f>
        <v/>
      </c>
      <c r="D100" s="79" t="str">
        <f>IF('Open 30M - Scoring'!B16&lt;&gt;"",IF('Open 30M - Scoring'!AL16&lt;&gt;"",'Open 30M - Scoring'!AL16,""),"")</f>
        <v/>
      </c>
      <c r="E100" s="80">
        <f>IF('Open 30M - Scoring'!B16&lt;&gt;"",'Open 30M - Scoring'!AU16,"")</f>
        <v>0</v>
      </c>
      <c r="F100" s="81">
        <f>IF(E95&lt;&gt;"",IFERROR(IF(ISNUMBER(E95),E95,0),0)+IFERROR(IF(ISNUMBER(E96),E96,0),0)+IFERROR(IF(ISNUMBER(E97),E97,0),0)+IFERROR(IF(ISNUMBER(E98),E98,0),0)+IFERROR(IF(ISNUMBER(E99),E99,0),0)+IFERROR(IF(ISNUMBER(E100),E100,0),0),"")</f>
        <v>0</v>
      </c>
      <c r="H100" s="78" t="s">
        <v>229</v>
      </c>
      <c r="I100" s="79" t="str">
        <f>IF('Open 30M - Scoring'!B17&lt;&gt;"",IF('Open 30M - Scoring'!AJ17&lt;&gt;"",'Open 30M - Scoring'!AJ17,""),"")</f>
        <v/>
      </c>
      <c r="J100" s="79" t="str">
        <f>IF('Open 30M - Scoring'!B17&lt;&gt;"",IF('Open 30M - Scoring'!AK17&lt;&gt;"",'Open 30M - Scoring'!AK17,""),"")</f>
        <v/>
      </c>
      <c r="K100" s="79" t="str">
        <f>IF('Open 30M - Scoring'!B17&lt;&gt;"",IF('Open 30M - Scoring'!AL17&lt;&gt;"",'Open 30M - Scoring'!AL17,""),"")</f>
        <v/>
      </c>
      <c r="L100" s="80" t="str">
        <f>IF('Open 30M - Scoring'!B17&lt;&gt;"",'Open 30M - Scoring'!AU17,"")</f>
        <v/>
      </c>
      <c r="M100" s="81" t="str">
        <f>IF(L95&lt;&gt;"",IFERROR(IF(ISNUMBER(L95),L95,0),0)+IFERROR(IF(ISNUMBER(L96),L96,0),0)+IFERROR(IF(ISNUMBER(L97),L97,0),0)+IFERROR(IF(ISNUMBER(L98),L98,0),0)+IFERROR(IF(ISNUMBER(L99),L99,0),0)+IFERROR(IF(ISNUMBER(L100),L100,0),0),"")</f>
        <v/>
      </c>
    </row>
    <row r="101" spans="1:13" ht="3.75" customHeight="1" x14ac:dyDescent="0.35"/>
    <row r="102" spans="1:13" ht="24" customHeight="1" x14ac:dyDescent="0.35">
      <c r="A102" s="124" t="s">
        <v>230</v>
      </c>
      <c r="B102" s="124"/>
      <c r="C102" s="124"/>
      <c r="D102" s="124"/>
      <c r="E102" s="125">
        <f>IF('Open 30M - Scoring'!B16&lt;&gt;"",'Open 30M - Scoring'!AV16,"")</f>
        <v>0</v>
      </c>
      <c r="F102" s="125"/>
      <c r="H102" s="124" t="s">
        <v>230</v>
      </c>
      <c r="I102" s="124"/>
      <c r="J102" s="124"/>
      <c r="K102" s="124"/>
      <c r="L102" s="125" t="str">
        <f>IF('Open 30M - Scoring'!B17&lt;&gt;"",'Open 30M - Scoring'!AV17,"")</f>
        <v/>
      </c>
      <c r="M102" s="125"/>
    </row>
    <row r="103" spans="1:13" ht="19.5" customHeight="1" x14ac:dyDescent="0.35">
      <c r="E103" s="125"/>
      <c r="F103" s="125"/>
      <c r="L103" s="125"/>
      <c r="M103" s="125"/>
    </row>
    <row r="104" spans="1:13" ht="3.75" customHeight="1" x14ac:dyDescent="0.35"/>
    <row r="105" spans="1:13" ht="18" customHeight="1" x14ac:dyDescent="0.35">
      <c r="A105" s="73" t="s">
        <v>126</v>
      </c>
      <c r="B105" s="82">
        <f>IF('Open 30M - Scoring'!B16&lt;&gt;"",'Open 30M - Scoring'!AW16,"")</f>
        <v>0</v>
      </c>
      <c r="C105" s="73" t="s">
        <v>127</v>
      </c>
      <c r="D105" s="83">
        <f>IF('Open 30M - Scoring'!B16&lt;&gt;"",'Open 30M - Scoring'!AX16,"")</f>
        <v>0</v>
      </c>
      <c r="E105" s="73" t="s">
        <v>128</v>
      </c>
      <c r="F105" s="83">
        <f>IF('Open 30M - Scoring'!B16&lt;&gt;"",'Open 30M - Scoring'!AY16,"")</f>
        <v>0</v>
      </c>
      <c r="H105" s="73" t="s">
        <v>126</v>
      </c>
      <c r="I105" s="82" t="str">
        <f>IF('Open 30M - Scoring'!B17&lt;&gt;"",'Open 30M - Scoring'!AW17,"")</f>
        <v/>
      </c>
      <c r="J105" s="73" t="s">
        <v>127</v>
      </c>
      <c r="K105" s="83" t="str">
        <f>IF('Open 30M - Scoring'!B17&lt;&gt;"",'Open 30M - Scoring'!AX17,"")</f>
        <v/>
      </c>
      <c r="L105" s="73" t="s">
        <v>128</v>
      </c>
      <c r="M105" s="83" t="str">
        <f>IF('Open 30M - Scoring'!B17&lt;&gt;"",'Open 30M - Scoring'!AY17,"")</f>
        <v/>
      </c>
    </row>
    <row r="106" spans="1:13" ht="3.75" customHeight="1" x14ac:dyDescent="0.35"/>
    <row r="107" spans="1:13" ht="7.5" customHeight="1" x14ac:dyDescent="0.35">
      <c r="A107" s="126"/>
      <c r="B107" s="126"/>
      <c r="C107" s="126"/>
      <c r="D107" s="126"/>
      <c r="E107" s="126"/>
      <c r="F107" s="126"/>
      <c r="G107" s="126"/>
      <c r="H107" s="126"/>
      <c r="I107" s="126"/>
      <c r="J107" s="126"/>
      <c r="K107" s="126"/>
      <c r="L107" s="126"/>
      <c r="M107" s="126"/>
    </row>
    <row r="108" spans="1:13" ht="15.75" customHeight="1" x14ac:dyDescent="0.35">
      <c r="A108" s="73" t="s">
        <v>218</v>
      </c>
      <c r="B108" s="122" t="str">
        <f>IF('Open 30M - Scoring'!B18&lt;&gt;"",'Open 30M - Scoring'!B18,"")</f>
        <v/>
      </c>
      <c r="C108" s="122"/>
      <c r="D108" s="122"/>
      <c r="E108" s="73" t="s">
        <v>219</v>
      </c>
      <c r="F108" s="74" t="str">
        <f>IF('Open 30M - Scoring'!B18&lt;&gt;"",'Open 30M - Scoring'!BB18,"")</f>
        <v/>
      </c>
      <c r="H108" s="73" t="s">
        <v>218</v>
      </c>
      <c r="I108" s="122" t="str">
        <f>IF('Open 30M - Scoring'!B19&lt;&gt;"",'Open 30M - Scoring'!B19,"")</f>
        <v/>
      </c>
      <c r="J108" s="122"/>
      <c r="K108" s="122"/>
      <c r="L108" s="73" t="s">
        <v>219</v>
      </c>
      <c r="M108" s="74" t="str">
        <f>IF('Open 30M - Scoring'!B19&lt;&gt;"",'Open 30M - Scoring'!BB19,"")</f>
        <v/>
      </c>
    </row>
    <row r="109" spans="1:13" ht="15.75" customHeight="1" x14ac:dyDescent="0.35">
      <c r="A109" s="73" t="s">
        <v>220</v>
      </c>
      <c r="B109" s="123" t="str">
        <f>IF('Open 30M - Scoring'!B18&lt;&gt;"",'Open 30M - Scoring'!D18,"")</f>
        <v/>
      </c>
      <c r="C109" s="123"/>
      <c r="D109" s="123"/>
      <c r="E109" s="73" t="s">
        <v>8</v>
      </c>
      <c r="F109" s="75" t="str">
        <f>IF('Open 30M - Scoring'!B18&lt;&gt;"",'Open 30M - Scoring'!E18,"")</f>
        <v/>
      </c>
      <c r="H109" s="73" t="s">
        <v>220</v>
      </c>
      <c r="I109" s="123" t="str">
        <f>IF('Open 30M - Scoring'!B19&lt;&gt;"",'Open 30M - Scoring'!D19,"")</f>
        <v/>
      </c>
      <c r="J109" s="123"/>
      <c r="K109" s="123"/>
      <c r="L109" s="73" t="s">
        <v>8</v>
      </c>
      <c r="M109" s="75" t="str">
        <f>IF('Open 30M - Scoring'!B19&lt;&gt;"",'Open 30M - Scoring'!E19,"")</f>
        <v/>
      </c>
    </row>
    <row r="110" spans="1:13" ht="3.75" customHeight="1" x14ac:dyDescent="0.35"/>
    <row r="111" spans="1:13" ht="25.5" customHeight="1" x14ac:dyDescent="0.35">
      <c r="A111" s="76" t="s">
        <v>221</v>
      </c>
      <c r="B111" s="77" t="s">
        <v>222</v>
      </c>
      <c r="C111" s="77" t="s">
        <v>223</v>
      </c>
      <c r="D111" s="77" t="s">
        <v>224</v>
      </c>
      <c r="E111" s="76" t="s">
        <v>225</v>
      </c>
      <c r="F111" s="76" t="s">
        <v>226</v>
      </c>
      <c r="H111" s="76" t="s">
        <v>221</v>
      </c>
      <c r="I111" s="77" t="s">
        <v>222</v>
      </c>
      <c r="J111" s="77" t="s">
        <v>223</v>
      </c>
      <c r="K111" s="77" t="s">
        <v>224</v>
      </c>
      <c r="L111" s="76" t="s">
        <v>225</v>
      </c>
      <c r="M111" s="76" t="s">
        <v>226</v>
      </c>
    </row>
    <row r="112" spans="1:13" ht="19.5" customHeight="1" x14ac:dyDescent="0.35">
      <c r="A112" s="78" t="s">
        <v>222</v>
      </c>
      <c r="B112" s="79" t="str">
        <f>IF('Open 30M - Scoring'!B18&lt;&gt;"",IF('Open 30M - Scoring'!F18&lt;&gt;"",'Open 30M - Scoring'!F18,""),"")</f>
        <v/>
      </c>
      <c r="C112" s="79" t="str">
        <f>IF('Open 30M - Scoring'!B18&lt;&gt;"",IF('Open 30M - Scoring'!G18&lt;&gt;"",'Open 30M - Scoring'!G18,""),"")</f>
        <v/>
      </c>
      <c r="D112" s="79" t="str">
        <f>IF('Open 30M - Scoring'!B18&lt;&gt;"",IF('Open 30M - Scoring'!H18&lt;&gt;"",'Open 30M - Scoring'!H18,""),"")</f>
        <v/>
      </c>
      <c r="E112" s="80" t="str">
        <f>IF('Open 30M - Scoring'!B18&lt;&gt;"",'Open 30M - Scoring'!AP18,"")</f>
        <v/>
      </c>
      <c r="F112" s="81" t="str">
        <f>IFERROR(IF(ISNUMBER(E112),E112,""),"")</f>
        <v/>
      </c>
      <c r="H112" s="78" t="s">
        <v>222</v>
      </c>
      <c r="I112" s="79" t="str">
        <f>IF('Open 30M - Scoring'!B19&lt;&gt;"",IF('Open 30M - Scoring'!F19&lt;&gt;"",'Open 30M - Scoring'!F19,""),"")</f>
        <v/>
      </c>
      <c r="J112" s="79" t="str">
        <f>IF('Open 30M - Scoring'!B19&lt;&gt;"",IF('Open 30M - Scoring'!G19&lt;&gt;"",'Open 30M - Scoring'!G19,""),"")</f>
        <v/>
      </c>
      <c r="K112" s="79" t="str">
        <f>IF('Open 30M - Scoring'!B19&lt;&gt;"",IF('Open 30M - Scoring'!H19&lt;&gt;"",'Open 30M - Scoring'!H19,""),"")</f>
        <v/>
      </c>
      <c r="L112" s="80" t="str">
        <f>IF('Open 30M - Scoring'!B19&lt;&gt;"",'Open 30M - Scoring'!AP19,"")</f>
        <v/>
      </c>
      <c r="M112" s="81" t="str">
        <f>IFERROR(IF(ISNUMBER(L112),L112,""),"")</f>
        <v/>
      </c>
    </row>
    <row r="113" spans="1:13" ht="19.5" customHeight="1" x14ac:dyDescent="0.35">
      <c r="A113" s="78" t="s">
        <v>223</v>
      </c>
      <c r="B113" s="79" t="str">
        <f>IF('Open 30M - Scoring'!B18&lt;&gt;"",IF('Open 30M - Scoring'!L18&lt;&gt;"",'Open 30M - Scoring'!L18,""),"")</f>
        <v/>
      </c>
      <c r="C113" s="79" t="str">
        <f>IF('Open 30M - Scoring'!B18&lt;&gt;"",IF('Open 30M - Scoring'!M18&lt;&gt;"",'Open 30M - Scoring'!M18,""),"")</f>
        <v/>
      </c>
      <c r="D113" s="79" t="str">
        <f>IF('Open 30M - Scoring'!B18&lt;&gt;"",IF('Open 30M - Scoring'!N18&lt;&gt;"",'Open 30M - Scoring'!N18,""),"")</f>
        <v/>
      </c>
      <c r="E113" s="80" t="str">
        <f>IF('Open 30M - Scoring'!B18&lt;&gt;"",'Open 30M - Scoring'!AQ18,"")</f>
        <v/>
      </c>
      <c r="F113" s="81" t="str">
        <f>IF(E112&lt;&gt;"",IFERROR(IF(ISNUMBER(E112),E112,0),0)+IFERROR(IF(ISNUMBER(E113),E113,0),0),"")</f>
        <v/>
      </c>
      <c r="H113" s="78" t="s">
        <v>223</v>
      </c>
      <c r="I113" s="79" t="str">
        <f>IF('Open 30M - Scoring'!B19&lt;&gt;"",IF('Open 30M - Scoring'!L19&lt;&gt;"",'Open 30M - Scoring'!L19,""),"")</f>
        <v/>
      </c>
      <c r="J113" s="79" t="str">
        <f>IF('Open 30M - Scoring'!B19&lt;&gt;"",IF('Open 30M - Scoring'!M19&lt;&gt;"",'Open 30M - Scoring'!M19,""),"")</f>
        <v/>
      </c>
      <c r="K113" s="79" t="str">
        <f>IF('Open 30M - Scoring'!B19&lt;&gt;"",IF('Open 30M - Scoring'!N19&lt;&gt;"",'Open 30M - Scoring'!N19,""),"")</f>
        <v/>
      </c>
      <c r="L113" s="80" t="str">
        <f>IF('Open 30M - Scoring'!B19&lt;&gt;"",'Open 30M - Scoring'!AQ19,"")</f>
        <v/>
      </c>
      <c r="M113" s="81" t="str">
        <f>IF(L112&lt;&gt;"",IFERROR(IF(ISNUMBER(L112),L112,0),0)+IFERROR(IF(ISNUMBER(L113),L113,0),0),"")</f>
        <v/>
      </c>
    </row>
    <row r="114" spans="1:13" ht="19.5" customHeight="1" x14ac:dyDescent="0.35">
      <c r="A114" s="78" t="s">
        <v>224</v>
      </c>
      <c r="B114" s="79" t="str">
        <f>IF('Open 30M - Scoring'!B18&lt;&gt;"",IF('Open 30M - Scoring'!R18&lt;&gt;"",'Open 30M - Scoring'!R18,""),"")</f>
        <v/>
      </c>
      <c r="C114" s="79" t="str">
        <f>IF('Open 30M - Scoring'!B18&lt;&gt;"",IF('Open 30M - Scoring'!S18&lt;&gt;"",'Open 30M - Scoring'!S18,""),"")</f>
        <v/>
      </c>
      <c r="D114" s="79" t="str">
        <f>IF('Open 30M - Scoring'!B18&lt;&gt;"",IF('Open 30M - Scoring'!T18&lt;&gt;"",'Open 30M - Scoring'!T18,""),"")</f>
        <v/>
      </c>
      <c r="E114" s="80" t="str">
        <f>IF('Open 30M - Scoring'!B18&lt;&gt;"",'Open 30M - Scoring'!AR18,"")</f>
        <v/>
      </c>
      <c r="F114" s="81" t="str">
        <f>IF(E112&lt;&gt;"",IFERROR(IF(ISNUMBER(E112),E112,0),0)+IFERROR(IF(ISNUMBER(E113),E113,0),0)+IFERROR(IF(ISNUMBER(E114),E114,0),0),"")</f>
        <v/>
      </c>
      <c r="H114" s="78" t="s">
        <v>224</v>
      </c>
      <c r="I114" s="79" t="str">
        <f>IF('Open 30M - Scoring'!B19&lt;&gt;"",IF('Open 30M - Scoring'!R19&lt;&gt;"",'Open 30M - Scoring'!R19,""),"")</f>
        <v/>
      </c>
      <c r="J114" s="79" t="str">
        <f>IF('Open 30M - Scoring'!B19&lt;&gt;"",IF('Open 30M - Scoring'!S19&lt;&gt;"",'Open 30M - Scoring'!S19,""),"")</f>
        <v/>
      </c>
      <c r="K114" s="79" t="str">
        <f>IF('Open 30M - Scoring'!B19&lt;&gt;"",IF('Open 30M - Scoring'!T19&lt;&gt;"",'Open 30M - Scoring'!T19,""),"")</f>
        <v/>
      </c>
      <c r="L114" s="80" t="str">
        <f>IF('Open 30M - Scoring'!B19&lt;&gt;"",'Open 30M - Scoring'!AR19,"")</f>
        <v/>
      </c>
      <c r="M114" s="81" t="str">
        <f>IF(L112&lt;&gt;"",IFERROR(IF(ISNUMBER(L112),L112,0),0)+IFERROR(IF(ISNUMBER(L113),L113,0),0)+IFERROR(IF(ISNUMBER(L114),L114,0),0),"")</f>
        <v/>
      </c>
    </row>
    <row r="115" spans="1:13" ht="19.5" customHeight="1" x14ac:dyDescent="0.35">
      <c r="A115" s="78" t="s">
        <v>227</v>
      </c>
      <c r="B115" s="79" t="str">
        <f>IF('Open 30M - Scoring'!B18&lt;&gt;"",IF('Open 30M - Scoring'!X18&lt;&gt;"",'Open 30M - Scoring'!X18,""),"")</f>
        <v/>
      </c>
      <c r="C115" s="79" t="str">
        <f>IF('Open 30M - Scoring'!B18&lt;&gt;"",IF('Open 30M - Scoring'!Y18&lt;&gt;"",'Open 30M - Scoring'!Y18,""),"")</f>
        <v/>
      </c>
      <c r="D115" s="79" t="str">
        <f>IF('Open 30M - Scoring'!B18&lt;&gt;"",IF('Open 30M - Scoring'!Z18&lt;&gt;"",'Open 30M - Scoring'!Z18,""),"")</f>
        <v/>
      </c>
      <c r="E115" s="80" t="str">
        <f>IF('Open 30M - Scoring'!B18&lt;&gt;"",'Open 30M - Scoring'!AS18,"")</f>
        <v/>
      </c>
      <c r="F115" s="81" t="str">
        <f>IF(E112&lt;&gt;"",IFERROR(IF(ISNUMBER(E112),E112,0),0)+IFERROR(IF(ISNUMBER(E113),E113,0),0)+IFERROR(IF(ISNUMBER(E114),E114,0),0)+IFERROR(IF(ISNUMBER(E115),E115,0),0),"")</f>
        <v/>
      </c>
      <c r="H115" s="78" t="s">
        <v>227</v>
      </c>
      <c r="I115" s="79" t="str">
        <f>IF('Open 30M - Scoring'!B19&lt;&gt;"",IF('Open 30M - Scoring'!X19&lt;&gt;"",'Open 30M - Scoring'!X19,""),"")</f>
        <v/>
      </c>
      <c r="J115" s="79" t="str">
        <f>IF('Open 30M - Scoring'!B19&lt;&gt;"",IF('Open 30M - Scoring'!Y19&lt;&gt;"",'Open 30M - Scoring'!Y19,""),"")</f>
        <v/>
      </c>
      <c r="K115" s="79" t="str">
        <f>IF('Open 30M - Scoring'!B19&lt;&gt;"",IF('Open 30M - Scoring'!Z19&lt;&gt;"",'Open 30M - Scoring'!Z19,""),"")</f>
        <v/>
      </c>
      <c r="L115" s="80" t="str">
        <f>IF('Open 30M - Scoring'!B19&lt;&gt;"",'Open 30M - Scoring'!AS19,"")</f>
        <v/>
      </c>
      <c r="M115" s="81" t="str">
        <f>IF(L112&lt;&gt;"",IFERROR(IF(ISNUMBER(L112),L112,0),0)+IFERROR(IF(ISNUMBER(L113),L113,0),0)+IFERROR(IF(ISNUMBER(L114),L114,0),0)+IFERROR(IF(ISNUMBER(L115),L115,0),0),"")</f>
        <v/>
      </c>
    </row>
    <row r="116" spans="1:13" ht="19.5" customHeight="1" x14ac:dyDescent="0.35">
      <c r="A116" s="78" t="s">
        <v>228</v>
      </c>
      <c r="B116" s="79" t="str">
        <f>IF('Open 30M - Scoring'!B18&lt;&gt;"",IF('Open 30M - Scoring'!AD18&lt;&gt;"",'Open 30M - Scoring'!AD18,""),"")</f>
        <v/>
      </c>
      <c r="C116" s="79" t="str">
        <f>IF('Open 30M - Scoring'!B18&lt;&gt;"",IF('Open 30M - Scoring'!AE18&lt;&gt;"",'Open 30M - Scoring'!AE18,""),"")</f>
        <v/>
      </c>
      <c r="D116" s="79" t="str">
        <f>IF('Open 30M - Scoring'!B18&lt;&gt;"",IF('Open 30M - Scoring'!AF18&lt;&gt;"",'Open 30M - Scoring'!AF18,""),"")</f>
        <v/>
      </c>
      <c r="E116" s="80" t="str">
        <f>IF('Open 30M - Scoring'!B18&lt;&gt;"",'Open 30M - Scoring'!AT18,"")</f>
        <v/>
      </c>
      <c r="F116" s="81" t="str">
        <f>IF(E112&lt;&gt;"",IFERROR(IF(ISNUMBER(E112),E112,0),0)+IFERROR(IF(ISNUMBER(E113),E113,0),0)+IFERROR(IF(ISNUMBER(E114),E114,0),0)+IFERROR(IF(ISNUMBER(E115),E115,0),0)+IFERROR(IF(ISNUMBER(E116),E116,0),0),"")</f>
        <v/>
      </c>
      <c r="H116" s="78" t="s">
        <v>228</v>
      </c>
      <c r="I116" s="79" t="str">
        <f>IF('Open 30M - Scoring'!B19&lt;&gt;"",IF('Open 30M - Scoring'!AD19&lt;&gt;"",'Open 30M - Scoring'!AD19,""),"")</f>
        <v/>
      </c>
      <c r="J116" s="79" t="str">
        <f>IF('Open 30M - Scoring'!B19&lt;&gt;"",IF('Open 30M - Scoring'!AE19&lt;&gt;"",'Open 30M - Scoring'!AE19,""),"")</f>
        <v/>
      </c>
      <c r="K116" s="79" t="str">
        <f>IF('Open 30M - Scoring'!B19&lt;&gt;"",IF('Open 30M - Scoring'!AF19&lt;&gt;"",'Open 30M - Scoring'!AF19,""),"")</f>
        <v/>
      </c>
      <c r="L116" s="80" t="str">
        <f>IF('Open 30M - Scoring'!B19&lt;&gt;"",'Open 30M - Scoring'!AT19,"")</f>
        <v/>
      </c>
      <c r="M116" s="81" t="str">
        <f>IF(L112&lt;&gt;"",IFERROR(IF(ISNUMBER(L112),L112,0),0)+IFERROR(IF(ISNUMBER(L113),L113,0),0)+IFERROR(IF(ISNUMBER(L114),L114,0),0)+IFERROR(IF(ISNUMBER(L115),L115,0),0)+IFERROR(IF(ISNUMBER(L116),L116,0),0),"")</f>
        <v/>
      </c>
    </row>
    <row r="117" spans="1:13" ht="19.5" customHeight="1" x14ac:dyDescent="0.35">
      <c r="A117" s="78" t="s">
        <v>229</v>
      </c>
      <c r="B117" s="79" t="str">
        <f>IF('Open 30M - Scoring'!B18&lt;&gt;"",IF('Open 30M - Scoring'!AJ18&lt;&gt;"",'Open 30M - Scoring'!AJ18,""),"")</f>
        <v/>
      </c>
      <c r="C117" s="79" t="str">
        <f>IF('Open 30M - Scoring'!B18&lt;&gt;"",IF('Open 30M - Scoring'!AK18&lt;&gt;"",'Open 30M - Scoring'!AK18,""),"")</f>
        <v/>
      </c>
      <c r="D117" s="79" t="str">
        <f>IF('Open 30M - Scoring'!B18&lt;&gt;"",IF('Open 30M - Scoring'!AL18&lt;&gt;"",'Open 30M - Scoring'!AL18,""),"")</f>
        <v/>
      </c>
      <c r="E117" s="80" t="str">
        <f>IF('Open 30M - Scoring'!B18&lt;&gt;"",'Open 30M - Scoring'!AU18,"")</f>
        <v/>
      </c>
      <c r="F117" s="81" t="str">
        <f>IF(E112&lt;&gt;"",IFERROR(IF(ISNUMBER(E112),E112,0),0)+IFERROR(IF(ISNUMBER(E113),E113,0),0)+IFERROR(IF(ISNUMBER(E114),E114,0),0)+IFERROR(IF(ISNUMBER(E115),E115,0),0)+IFERROR(IF(ISNUMBER(E116),E116,0),0)+IFERROR(IF(ISNUMBER(E117),E117,0),0),"")</f>
        <v/>
      </c>
      <c r="H117" s="78" t="s">
        <v>229</v>
      </c>
      <c r="I117" s="79" t="str">
        <f>IF('Open 30M - Scoring'!B19&lt;&gt;"",IF('Open 30M - Scoring'!AJ19&lt;&gt;"",'Open 30M - Scoring'!AJ19,""),"")</f>
        <v/>
      </c>
      <c r="J117" s="79" t="str">
        <f>IF('Open 30M - Scoring'!B19&lt;&gt;"",IF('Open 30M - Scoring'!AK19&lt;&gt;"",'Open 30M - Scoring'!AK19,""),"")</f>
        <v/>
      </c>
      <c r="K117" s="79" t="str">
        <f>IF('Open 30M - Scoring'!B19&lt;&gt;"",IF('Open 30M - Scoring'!AL19&lt;&gt;"",'Open 30M - Scoring'!AL19,""),"")</f>
        <v/>
      </c>
      <c r="L117" s="80" t="str">
        <f>IF('Open 30M - Scoring'!B19&lt;&gt;"",'Open 30M - Scoring'!AU19,"")</f>
        <v/>
      </c>
      <c r="M117" s="81" t="str">
        <f>IF(L112&lt;&gt;"",IFERROR(IF(ISNUMBER(L112),L112,0),0)+IFERROR(IF(ISNUMBER(L113),L113,0),0)+IFERROR(IF(ISNUMBER(L114),L114,0),0)+IFERROR(IF(ISNUMBER(L115),L115,0),0)+IFERROR(IF(ISNUMBER(L116),L116,0),0)+IFERROR(IF(ISNUMBER(L117),L117,0),0),"")</f>
        <v/>
      </c>
    </row>
    <row r="118" spans="1:13" ht="3.75" customHeight="1" x14ac:dyDescent="0.35"/>
    <row r="119" spans="1:13" ht="24" customHeight="1" x14ac:dyDescent="0.35">
      <c r="A119" s="124" t="s">
        <v>230</v>
      </c>
      <c r="B119" s="124"/>
      <c r="C119" s="124"/>
      <c r="D119" s="124"/>
      <c r="E119" s="125" t="str">
        <f>IF('Open 30M - Scoring'!B18&lt;&gt;"",'Open 30M - Scoring'!AV18,"")</f>
        <v/>
      </c>
      <c r="F119" s="125"/>
      <c r="H119" s="124" t="s">
        <v>230</v>
      </c>
      <c r="I119" s="124"/>
      <c r="J119" s="124"/>
      <c r="K119" s="124"/>
      <c r="L119" s="125" t="str">
        <f>IF('Open 30M - Scoring'!B19&lt;&gt;"",'Open 30M - Scoring'!AV19,"")</f>
        <v/>
      </c>
      <c r="M119" s="125"/>
    </row>
    <row r="120" spans="1:13" ht="19.5" customHeight="1" x14ac:dyDescent="0.35">
      <c r="E120" s="125"/>
      <c r="F120" s="125"/>
      <c r="L120" s="125"/>
      <c r="M120" s="125"/>
    </row>
    <row r="121" spans="1:13" ht="3.75" customHeight="1" x14ac:dyDescent="0.35"/>
    <row r="122" spans="1:13" ht="18" customHeight="1" x14ac:dyDescent="0.35">
      <c r="A122" s="73" t="s">
        <v>126</v>
      </c>
      <c r="B122" s="82" t="str">
        <f>IF('Open 30M - Scoring'!B18&lt;&gt;"",'Open 30M - Scoring'!AW18,"")</f>
        <v/>
      </c>
      <c r="C122" s="73" t="s">
        <v>127</v>
      </c>
      <c r="D122" s="83" t="str">
        <f>IF('Open 30M - Scoring'!B18&lt;&gt;"",'Open 30M - Scoring'!AX18,"")</f>
        <v/>
      </c>
      <c r="E122" s="73" t="s">
        <v>128</v>
      </c>
      <c r="F122" s="83" t="str">
        <f>IF('Open 30M - Scoring'!B18&lt;&gt;"",'Open 30M - Scoring'!AY18,"")</f>
        <v/>
      </c>
      <c r="H122" s="73" t="s">
        <v>126</v>
      </c>
      <c r="I122" s="82" t="str">
        <f>IF('Open 30M - Scoring'!B19&lt;&gt;"",'Open 30M - Scoring'!AW19,"")</f>
        <v/>
      </c>
      <c r="J122" s="73" t="s">
        <v>127</v>
      </c>
      <c r="K122" s="83" t="str">
        <f>IF('Open 30M - Scoring'!B19&lt;&gt;"",'Open 30M - Scoring'!AX19,"")</f>
        <v/>
      </c>
      <c r="L122" s="73" t="s">
        <v>128</v>
      </c>
      <c r="M122" s="83" t="str">
        <f>IF('Open 30M - Scoring'!B19&lt;&gt;"",'Open 30M - Scoring'!AY19,"")</f>
        <v/>
      </c>
    </row>
    <row r="123" spans="1:13" ht="3.75" customHeight="1" x14ac:dyDescent="0.35"/>
    <row r="124" spans="1:13" ht="7.5" customHeight="1" x14ac:dyDescent="0.35">
      <c r="A124" s="126"/>
      <c r="B124" s="126"/>
      <c r="C124" s="126"/>
      <c r="D124" s="126"/>
      <c r="E124" s="126"/>
      <c r="F124" s="126"/>
      <c r="G124" s="126"/>
      <c r="H124" s="126"/>
      <c r="I124" s="126"/>
      <c r="J124" s="126"/>
      <c r="K124" s="126"/>
      <c r="L124" s="126"/>
      <c r="M124" s="126"/>
    </row>
    <row r="125" spans="1:13" ht="15.75" customHeight="1" x14ac:dyDescent="0.35">
      <c r="A125" s="73" t="s">
        <v>218</v>
      </c>
      <c r="B125" s="122" t="str">
        <f>IF('Open 30M - Scoring'!B20&lt;&gt;"",'Open 30M - Scoring'!B20,"")</f>
        <v/>
      </c>
      <c r="C125" s="122"/>
      <c r="D125" s="122"/>
      <c r="E125" s="73" t="s">
        <v>219</v>
      </c>
      <c r="F125" s="74" t="str">
        <f>IF('Open 30M - Scoring'!B20&lt;&gt;"",'Open 30M - Scoring'!BB20,"")</f>
        <v/>
      </c>
      <c r="H125" s="73" t="s">
        <v>218</v>
      </c>
      <c r="I125" s="122" t="str">
        <f>IF('Open 30M - Scoring'!B21&lt;&gt;"",'Open 30M - Scoring'!B21,"")</f>
        <v/>
      </c>
      <c r="J125" s="122"/>
      <c r="K125" s="122"/>
      <c r="L125" s="73" t="s">
        <v>219</v>
      </c>
      <c r="M125" s="74" t="str">
        <f>IF('Open 30M - Scoring'!B21&lt;&gt;"",'Open 30M - Scoring'!BB21,"")</f>
        <v/>
      </c>
    </row>
    <row r="126" spans="1:13" ht="15.75" customHeight="1" x14ac:dyDescent="0.35">
      <c r="A126" s="73" t="s">
        <v>220</v>
      </c>
      <c r="B126" s="123" t="str">
        <f>IF('Open 30M - Scoring'!B20&lt;&gt;"",'Open 30M - Scoring'!D20,"")</f>
        <v/>
      </c>
      <c r="C126" s="123"/>
      <c r="D126" s="123"/>
      <c r="E126" s="73" t="s">
        <v>8</v>
      </c>
      <c r="F126" s="75" t="str">
        <f>IF('Open 30M - Scoring'!B20&lt;&gt;"",'Open 30M - Scoring'!E20,"")</f>
        <v/>
      </c>
      <c r="H126" s="73" t="s">
        <v>220</v>
      </c>
      <c r="I126" s="123" t="str">
        <f>IF('Open 30M - Scoring'!B21&lt;&gt;"",'Open 30M - Scoring'!D21,"")</f>
        <v/>
      </c>
      <c r="J126" s="123"/>
      <c r="K126" s="123"/>
      <c r="L126" s="73" t="s">
        <v>8</v>
      </c>
      <c r="M126" s="75" t="str">
        <f>IF('Open 30M - Scoring'!B21&lt;&gt;"",'Open 30M - Scoring'!E21,"")</f>
        <v/>
      </c>
    </row>
    <row r="127" spans="1:13" ht="3.75" customHeight="1" x14ac:dyDescent="0.35"/>
    <row r="128" spans="1:13" ht="25.5" customHeight="1" x14ac:dyDescent="0.35">
      <c r="A128" s="76" t="s">
        <v>221</v>
      </c>
      <c r="B128" s="77" t="s">
        <v>222</v>
      </c>
      <c r="C128" s="77" t="s">
        <v>223</v>
      </c>
      <c r="D128" s="77" t="s">
        <v>224</v>
      </c>
      <c r="E128" s="76" t="s">
        <v>225</v>
      </c>
      <c r="F128" s="76" t="s">
        <v>226</v>
      </c>
      <c r="H128" s="76" t="s">
        <v>221</v>
      </c>
      <c r="I128" s="77" t="s">
        <v>222</v>
      </c>
      <c r="J128" s="77" t="s">
        <v>223</v>
      </c>
      <c r="K128" s="77" t="s">
        <v>224</v>
      </c>
      <c r="L128" s="76" t="s">
        <v>225</v>
      </c>
      <c r="M128" s="76" t="s">
        <v>226</v>
      </c>
    </row>
    <row r="129" spans="1:13" ht="19.5" customHeight="1" x14ac:dyDescent="0.35">
      <c r="A129" s="78" t="s">
        <v>222</v>
      </c>
      <c r="B129" s="79" t="str">
        <f>IF('Open 30M - Scoring'!B20&lt;&gt;"",IF('Open 30M - Scoring'!F20&lt;&gt;"",'Open 30M - Scoring'!F20,""),"")</f>
        <v/>
      </c>
      <c r="C129" s="79" t="str">
        <f>IF('Open 30M - Scoring'!B20&lt;&gt;"",IF('Open 30M - Scoring'!G20&lt;&gt;"",'Open 30M - Scoring'!G20,""),"")</f>
        <v/>
      </c>
      <c r="D129" s="79" t="str">
        <f>IF('Open 30M - Scoring'!B20&lt;&gt;"",IF('Open 30M - Scoring'!H20&lt;&gt;"",'Open 30M - Scoring'!H20,""),"")</f>
        <v/>
      </c>
      <c r="E129" s="80" t="str">
        <f>IF('Open 30M - Scoring'!B20&lt;&gt;"",'Open 30M - Scoring'!AP20,"")</f>
        <v/>
      </c>
      <c r="F129" s="81" t="str">
        <f>IFERROR(IF(ISNUMBER(E129),E129,""),"")</f>
        <v/>
      </c>
      <c r="H129" s="78" t="s">
        <v>222</v>
      </c>
      <c r="I129" s="79" t="str">
        <f>IF('Open 30M - Scoring'!B21&lt;&gt;"",IF('Open 30M - Scoring'!F21&lt;&gt;"",'Open 30M - Scoring'!F21,""),"")</f>
        <v/>
      </c>
      <c r="J129" s="79" t="str">
        <f>IF('Open 30M - Scoring'!B21&lt;&gt;"",IF('Open 30M - Scoring'!G21&lt;&gt;"",'Open 30M - Scoring'!G21,""),"")</f>
        <v/>
      </c>
      <c r="K129" s="79" t="str">
        <f>IF('Open 30M - Scoring'!B21&lt;&gt;"",IF('Open 30M - Scoring'!H21&lt;&gt;"",'Open 30M - Scoring'!H21,""),"")</f>
        <v/>
      </c>
      <c r="L129" s="80" t="str">
        <f>IF('Open 30M - Scoring'!B21&lt;&gt;"",'Open 30M - Scoring'!AP21,"")</f>
        <v/>
      </c>
      <c r="M129" s="81" t="str">
        <f>IFERROR(IF(ISNUMBER(L129),L129,""),"")</f>
        <v/>
      </c>
    </row>
    <row r="130" spans="1:13" ht="19.5" customHeight="1" x14ac:dyDescent="0.35">
      <c r="A130" s="78" t="s">
        <v>223</v>
      </c>
      <c r="B130" s="79" t="str">
        <f>IF('Open 30M - Scoring'!B20&lt;&gt;"",IF('Open 30M - Scoring'!L20&lt;&gt;"",'Open 30M - Scoring'!L20,""),"")</f>
        <v/>
      </c>
      <c r="C130" s="79" t="str">
        <f>IF('Open 30M - Scoring'!B20&lt;&gt;"",IF('Open 30M - Scoring'!M20&lt;&gt;"",'Open 30M - Scoring'!M20,""),"")</f>
        <v/>
      </c>
      <c r="D130" s="79" t="str">
        <f>IF('Open 30M - Scoring'!B20&lt;&gt;"",IF('Open 30M - Scoring'!N20&lt;&gt;"",'Open 30M - Scoring'!N20,""),"")</f>
        <v/>
      </c>
      <c r="E130" s="80" t="str">
        <f>IF('Open 30M - Scoring'!B20&lt;&gt;"",'Open 30M - Scoring'!AQ20,"")</f>
        <v/>
      </c>
      <c r="F130" s="81" t="str">
        <f>IF(E129&lt;&gt;"",IFERROR(IF(ISNUMBER(E129),E129,0),0)+IFERROR(IF(ISNUMBER(E130),E130,0),0),"")</f>
        <v/>
      </c>
      <c r="H130" s="78" t="s">
        <v>223</v>
      </c>
      <c r="I130" s="79" t="str">
        <f>IF('Open 30M - Scoring'!B21&lt;&gt;"",IF('Open 30M - Scoring'!L21&lt;&gt;"",'Open 30M - Scoring'!L21,""),"")</f>
        <v/>
      </c>
      <c r="J130" s="79" t="str">
        <f>IF('Open 30M - Scoring'!B21&lt;&gt;"",IF('Open 30M - Scoring'!M21&lt;&gt;"",'Open 30M - Scoring'!M21,""),"")</f>
        <v/>
      </c>
      <c r="K130" s="79" t="str">
        <f>IF('Open 30M - Scoring'!B21&lt;&gt;"",IF('Open 30M - Scoring'!N21&lt;&gt;"",'Open 30M - Scoring'!N21,""),"")</f>
        <v/>
      </c>
      <c r="L130" s="80" t="str">
        <f>IF('Open 30M - Scoring'!B21&lt;&gt;"",'Open 30M - Scoring'!AQ21,"")</f>
        <v/>
      </c>
      <c r="M130" s="81" t="str">
        <f>IF(L129&lt;&gt;"",IFERROR(IF(ISNUMBER(L129),L129,0),0)+IFERROR(IF(ISNUMBER(L130),L130,0),0),"")</f>
        <v/>
      </c>
    </row>
    <row r="131" spans="1:13" ht="19.5" customHeight="1" x14ac:dyDescent="0.35">
      <c r="A131" s="78" t="s">
        <v>224</v>
      </c>
      <c r="B131" s="79" t="str">
        <f>IF('Open 30M - Scoring'!B20&lt;&gt;"",IF('Open 30M - Scoring'!R20&lt;&gt;"",'Open 30M - Scoring'!R20,""),"")</f>
        <v/>
      </c>
      <c r="C131" s="79" t="str">
        <f>IF('Open 30M - Scoring'!B20&lt;&gt;"",IF('Open 30M - Scoring'!S20&lt;&gt;"",'Open 30M - Scoring'!S20,""),"")</f>
        <v/>
      </c>
      <c r="D131" s="79" t="str">
        <f>IF('Open 30M - Scoring'!B20&lt;&gt;"",IF('Open 30M - Scoring'!T20&lt;&gt;"",'Open 30M - Scoring'!T20,""),"")</f>
        <v/>
      </c>
      <c r="E131" s="80" t="str">
        <f>IF('Open 30M - Scoring'!B20&lt;&gt;"",'Open 30M - Scoring'!AR20,"")</f>
        <v/>
      </c>
      <c r="F131" s="81" t="str">
        <f>IF(E129&lt;&gt;"",IFERROR(IF(ISNUMBER(E129),E129,0),0)+IFERROR(IF(ISNUMBER(E130),E130,0),0)+IFERROR(IF(ISNUMBER(E131),E131,0),0),"")</f>
        <v/>
      </c>
      <c r="H131" s="78" t="s">
        <v>224</v>
      </c>
      <c r="I131" s="79" t="str">
        <f>IF('Open 30M - Scoring'!B21&lt;&gt;"",IF('Open 30M - Scoring'!R21&lt;&gt;"",'Open 30M - Scoring'!R21,""),"")</f>
        <v/>
      </c>
      <c r="J131" s="79" t="str">
        <f>IF('Open 30M - Scoring'!B21&lt;&gt;"",IF('Open 30M - Scoring'!S21&lt;&gt;"",'Open 30M - Scoring'!S21,""),"")</f>
        <v/>
      </c>
      <c r="K131" s="79" t="str">
        <f>IF('Open 30M - Scoring'!B21&lt;&gt;"",IF('Open 30M - Scoring'!T21&lt;&gt;"",'Open 30M - Scoring'!T21,""),"")</f>
        <v/>
      </c>
      <c r="L131" s="80" t="str">
        <f>IF('Open 30M - Scoring'!B21&lt;&gt;"",'Open 30M - Scoring'!AR21,"")</f>
        <v/>
      </c>
      <c r="M131" s="81" t="str">
        <f>IF(L129&lt;&gt;"",IFERROR(IF(ISNUMBER(L129),L129,0),0)+IFERROR(IF(ISNUMBER(L130),L130,0),0)+IFERROR(IF(ISNUMBER(L131),L131,0),0),"")</f>
        <v/>
      </c>
    </row>
    <row r="132" spans="1:13" ht="19.5" customHeight="1" x14ac:dyDescent="0.35">
      <c r="A132" s="78" t="s">
        <v>227</v>
      </c>
      <c r="B132" s="79" t="str">
        <f>IF('Open 30M - Scoring'!B20&lt;&gt;"",IF('Open 30M - Scoring'!X20&lt;&gt;"",'Open 30M - Scoring'!X20,""),"")</f>
        <v/>
      </c>
      <c r="C132" s="79" t="str">
        <f>IF('Open 30M - Scoring'!B20&lt;&gt;"",IF('Open 30M - Scoring'!Y20&lt;&gt;"",'Open 30M - Scoring'!Y20,""),"")</f>
        <v/>
      </c>
      <c r="D132" s="79" t="str">
        <f>IF('Open 30M - Scoring'!B20&lt;&gt;"",IF('Open 30M - Scoring'!Z20&lt;&gt;"",'Open 30M - Scoring'!Z20,""),"")</f>
        <v/>
      </c>
      <c r="E132" s="80" t="str">
        <f>IF('Open 30M - Scoring'!B20&lt;&gt;"",'Open 30M - Scoring'!AS20,"")</f>
        <v/>
      </c>
      <c r="F132" s="81" t="str">
        <f>IF(E129&lt;&gt;"",IFERROR(IF(ISNUMBER(E129),E129,0),0)+IFERROR(IF(ISNUMBER(E130),E130,0),0)+IFERROR(IF(ISNUMBER(E131),E131,0),0)+IFERROR(IF(ISNUMBER(E132),E132,0),0),"")</f>
        <v/>
      </c>
      <c r="H132" s="78" t="s">
        <v>227</v>
      </c>
      <c r="I132" s="79" t="str">
        <f>IF('Open 30M - Scoring'!B21&lt;&gt;"",IF('Open 30M - Scoring'!X21&lt;&gt;"",'Open 30M - Scoring'!X21,""),"")</f>
        <v/>
      </c>
      <c r="J132" s="79" t="str">
        <f>IF('Open 30M - Scoring'!B21&lt;&gt;"",IF('Open 30M - Scoring'!Y21&lt;&gt;"",'Open 30M - Scoring'!Y21,""),"")</f>
        <v/>
      </c>
      <c r="K132" s="79" t="str">
        <f>IF('Open 30M - Scoring'!B21&lt;&gt;"",IF('Open 30M - Scoring'!Z21&lt;&gt;"",'Open 30M - Scoring'!Z21,""),"")</f>
        <v/>
      </c>
      <c r="L132" s="80" t="str">
        <f>IF('Open 30M - Scoring'!B21&lt;&gt;"",'Open 30M - Scoring'!AS21,"")</f>
        <v/>
      </c>
      <c r="M132" s="81" t="str">
        <f>IF(L129&lt;&gt;"",IFERROR(IF(ISNUMBER(L129),L129,0),0)+IFERROR(IF(ISNUMBER(L130),L130,0),0)+IFERROR(IF(ISNUMBER(L131),L131,0),0)+IFERROR(IF(ISNUMBER(L132),L132,0),0),"")</f>
        <v/>
      </c>
    </row>
    <row r="133" spans="1:13" ht="19.5" customHeight="1" x14ac:dyDescent="0.35">
      <c r="A133" s="78" t="s">
        <v>228</v>
      </c>
      <c r="B133" s="79" t="str">
        <f>IF('Open 30M - Scoring'!B20&lt;&gt;"",IF('Open 30M - Scoring'!AD20&lt;&gt;"",'Open 30M - Scoring'!AD20,""),"")</f>
        <v/>
      </c>
      <c r="C133" s="79" t="str">
        <f>IF('Open 30M - Scoring'!B20&lt;&gt;"",IF('Open 30M - Scoring'!AE20&lt;&gt;"",'Open 30M - Scoring'!AE20,""),"")</f>
        <v/>
      </c>
      <c r="D133" s="79" t="str">
        <f>IF('Open 30M - Scoring'!B20&lt;&gt;"",IF('Open 30M - Scoring'!AF20&lt;&gt;"",'Open 30M - Scoring'!AF20,""),"")</f>
        <v/>
      </c>
      <c r="E133" s="80" t="str">
        <f>IF('Open 30M - Scoring'!B20&lt;&gt;"",'Open 30M - Scoring'!AT20,"")</f>
        <v/>
      </c>
      <c r="F133" s="81" t="str">
        <f>IF(E129&lt;&gt;"",IFERROR(IF(ISNUMBER(E129),E129,0),0)+IFERROR(IF(ISNUMBER(E130),E130,0),0)+IFERROR(IF(ISNUMBER(E131),E131,0),0)+IFERROR(IF(ISNUMBER(E132),E132,0),0)+IFERROR(IF(ISNUMBER(E133),E133,0),0),"")</f>
        <v/>
      </c>
      <c r="H133" s="78" t="s">
        <v>228</v>
      </c>
      <c r="I133" s="79" t="str">
        <f>IF('Open 30M - Scoring'!B21&lt;&gt;"",IF('Open 30M - Scoring'!AD21&lt;&gt;"",'Open 30M - Scoring'!AD21,""),"")</f>
        <v/>
      </c>
      <c r="J133" s="79" t="str">
        <f>IF('Open 30M - Scoring'!B21&lt;&gt;"",IF('Open 30M - Scoring'!AE21&lt;&gt;"",'Open 30M - Scoring'!AE21,""),"")</f>
        <v/>
      </c>
      <c r="K133" s="79" t="str">
        <f>IF('Open 30M - Scoring'!B21&lt;&gt;"",IF('Open 30M - Scoring'!AF21&lt;&gt;"",'Open 30M - Scoring'!AF21,""),"")</f>
        <v/>
      </c>
      <c r="L133" s="80" t="str">
        <f>IF('Open 30M - Scoring'!B21&lt;&gt;"",'Open 30M - Scoring'!AT21,"")</f>
        <v/>
      </c>
      <c r="M133" s="81" t="str">
        <f>IF(L129&lt;&gt;"",IFERROR(IF(ISNUMBER(L129),L129,0),0)+IFERROR(IF(ISNUMBER(L130),L130,0),0)+IFERROR(IF(ISNUMBER(L131),L131,0),0)+IFERROR(IF(ISNUMBER(L132),L132,0),0)+IFERROR(IF(ISNUMBER(L133),L133,0),0),"")</f>
        <v/>
      </c>
    </row>
    <row r="134" spans="1:13" ht="19.5" customHeight="1" x14ac:dyDescent="0.35">
      <c r="A134" s="78" t="s">
        <v>229</v>
      </c>
      <c r="B134" s="79" t="str">
        <f>IF('Open 30M - Scoring'!B20&lt;&gt;"",IF('Open 30M - Scoring'!AJ20&lt;&gt;"",'Open 30M - Scoring'!AJ20,""),"")</f>
        <v/>
      </c>
      <c r="C134" s="79" t="str">
        <f>IF('Open 30M - Scoring'!B20&lt;&gt;"",IF('Open 30M - Scoring'!AK20&lt;&gt;"",'Open 30M - Scoring'!AK20,""),"")</f>
        <v/>
      </c>
      <c r="D134" s="79" t="str">
        <f>IF('Open 30M - Scoring'!B20&lt;&gt;"",IF('Open 30M - Scoring'!AL20&lt;&gt;"",'Open 30M - Scoring'!AL20,""),"")</f>
        <v/>
      </c>
      <c r="E134" s="80" t="str">
        <f>IF('Open 30M - Scoring'!B20&lt;&gt;"",'Open 30M - Scoring'!AU20,"")</f>
        <v/>
      </c>
      <c r="F134" s="81" t="str">
        <f>IF(E129&lt;&gt;"",IFERROR(IF(ISNUMBER(E129),E129,0),0)+IFERROR(IF(ISNUMBER(E130),E130,0),0)+IFERROR(IF(ISNUMBER(E131),E131,0),0)+IFERROR(IF(ISNUMBER(E132),E132,0),0)+IFERROR(IF(ISNUMBER(E133),E133,0),0)+IFERROR(IF(ISNUMBER(E134),E134,0),0),"")</f>
        <v/>
      </c>
      <c r="H134" s="78" t="s">
        <v>229</v>
      </c>
      <c r="I134" s="79" t="str">
        <f>IF('Open 30M - Scoring'!B21&lt;&gt;"",IF('Open 30M - Scoring'!AJ21&lt;&gt;"",'Open 30M - Scoring'!AJ21,""),"")</f>
        <v/>
      </c>
      <c r="J134" s="79" t="str">
        <f>IF('Open 30M - Scoring'!B21&lt;&gt;"",IF('Open 30M - Scoring'!AK21&lt;&gt;"",'Open 30M - Scoring'!AK21,""),"")</f>
        <v/>
      </c>
      <c r="K134" s="79" t="str">
        <f>IF('Open 30M - Scoring'!B21&lt;&gt;"",IF('Open 30M - Scoring'!AL21&lt;&gt;"",'Open 30M - Scoring'!AL21,""),"")</f>
        <v/>
      </c>
      <c r="L134" s="80" t="str">
        <f>IF('Open 30M - Scoring'!B21&lt;&gt;"",'Open 30M - Scoring'!AU21,"")</f>
        <v/>
      </c>
      <c r="M134" s="81" t="str">
        <f>IF(L129&lt;&gt;"",IFERROR(IF(ISNUMBER(L129),L129,0),0)+IFERROR(IF(ISNUMBER(L130),L130,0),0)+IFERROR(IF(ISNUMBER(L131),L131,0),0)+IFERROR(IF(ISNUMBER(L132),L132,0),0)+IFERROR(IF(ISNUMBER(L133),L133,0),0)+IFERROR(IF(ISNUMBER(L134),L134,0),0),"")</f>
        <v/>
      </c>
    </row>
    <row r="135" spans="1:13" ht="3.75" customHeight="1" x14ac:dyDescent="0.35"/>
    <row r="136" spans="1:13" ht="24" customHeight="1" x14ac:dyDescent="0.35">
      <c r="A136" s="124" t="s">
        <v>230</v>
      </c>
      <c r="B136" s="124"/>
      <c r="C136" s="124"/>
      <c r="D136" s="124"/>
      <c r="E136" s="125" t="str">
        <f>IF('Open 30M - Scoring'!B20&lt;&gt;"",'Open 30M - Scoring'!AV20,"")</f>
        <v/>
      </c>
      <c r="F136" s="125"/>
      <c r="H136" s="124" t="s">
        <v>230</v>
      </c>
      <c r="I136" s="124"/>
      <c r="J136" s="124"/>
      <c r="K136" s="124"/>
      <c r="L136" s="125" t="str">
        <f>IF('Open 30M - Scoring'!B21&lt;&gt;"",'Open 30M - Scoring'!AV21,"")</f>
        <v/>
      </c>
      <c r="M136" s="125"/>
    </row>
    <row r="137" spans="1:13" ht="19.5" customHeight="1" x14ac:dyDescent="0.35">
      <c r="E137" s="125"/>
      <c r="F137" s="125"/>
      <c r="L137" s="125"/>
      <c r="M137" s="125"/>
    </row>
    <row r="138" spans="1:13" ht="3.75" customHeight="1" x14ac:dyDescent="0.35"/>
    <row r="139" spans="1:13" ht="18" customHeight="1" x14ac:dyDescent="0.35">
      <c r="A139" s="73" t="s">
        <v>126</v>
      </c>
      <c r="B139" s="82" t="str">
        <f>IF('Open 30M - Scoring'!B20&lt;&gt;"",'Open 30M - Scoring'!AW20,"")</f>
        <v/>
      </c>
      <c r="C139" s="73" t="s">
        <v>127</v>
      </c>
      <c r="D139" s="83" t="str">
        <f>IF('Open 30M - Scoring'!B20&lt;&gt;"",'Open 30M - Scoring'!AX20,"")</f>
        <v/>
      </c>
      <c r="E139" s="73" t="s">
        <v>128</v>
      </c>
      <c r="F139" s="83" t="str">
        <f>IF('Open 30M - Scoring'!B20&lt;&gt;"",'Open 30M - Scoring'!AY20,"")</f>
        <v/>
      </c>
      <c r="H139" s="73" t="s">
        <v>126</v>
      </c>
      <c r="I139" s="82" t="str">
        <f>IF('Open 30M - Scoring'!B21&lt;&gt;"",'Open 30M - Scoring'!AW21,"")</f>
        <v/>
      </c>
      <c r="J139" s="73" t="s">
        <v>127</v>
      </c>
      <c r="K139" s="83" t="str">
        <f>IF('Open 30M - Scoring'!B21&lt;&gt;"",'Open 30M - Scoring'!AX21,"")</f>
        <v/>
      </c>
      <c r="L139" s="73" t="s">
        <v>128</v>
      </c>
      <c r="M139" s="83" t="str">
        <f>IF('Open 30M - Scoring'!B21&lt;&gt;"",'Open 30M - Scoring'!AY21,"")</f>
        <v/>
      </c>
    </row>
    <row r="140" spans="1:13" ht="3.75" customHeight="1" x14ac:dyDescent="0.35"/>
    <row r="141" spans="1:13" ht="7.5" customHeight="1" x14ac:dyDescent="0.35">
      <c r="A141" s="126"/>
      <c r="B141" s="126"/>
      <c r="C141" s="126"/>
      <c r="D141" s="126"/>
      <c r="E141" s="126"/>
      <c r="F141" s="126"/>
      <c r="G141" s="126"/>
      <c r="H141" s="126"/>
      <c r="I141" s="126"/>
      <c r="J141" s="126"/>
      <c r="K141" s="126"/>
      <c r="L141" s="126"/>
      <c r="M141" s="126"/>
    </row>
    <row r="142" spans="1:13" ht="15.75" customHeight="1" x14ac:dyDescent="0.35">
      <c r="A142" s="73" t="s">
        <v>218</v>
      </c>
      <c r="B142" s="122" t="str">
        <f>IF('Open 30M - Scoring'!B22&lt;&gt;"",'Open 30M - Scoring'!B22,"")</f>
        <v/>
      </c>
      <c r="C142" s="122"/>
      <c r="D142" s="122"/>
      <c r="E142" s="73" t="s">
        <v>219</v>
      </c>
      <c r="F142" s="74" t="str">
        <f>IF('Open 30M - Scoring'!B22&lt;&gt;"",'Open 30M - Scoring'!BB22,"")</f>
        <v/>
      </c>
      <c r="H142" s="73" t="s">
        <v>218</v>
      </c>
      <c r="I142" s="122" t="str">
        <f>IF('Open 30M - Scoring'!B23&lt;&gt;"",'Open 30M - Scoring'!B23,"")</f>
        <v/>
      </c>
      <c r="J142" s="122"/>
      <c r="K142" s="122"/>
      <c r="L142" s="73" t="s">
        <v>219</v>
      </c>
      <c r="M142" s="74" t="str">
        <f>IF('Open 30M - Scoring'!B23&lt;&gt;"",'Open 30M - Scoring'!BB23,"")</f>
        <v/>
      </c>
    </row>
    <row r="143" spans="1:13" ht="15.75" customHeight="1" x14ac:dyDescent="0.35">
      <c r="A143" s="73" t="s">
        <v>220</v>
      </c>
      <c r="B143" s="123" t="str">
        <f>IF('Open 30M - Scoring'!B22&lt;&gt;"",'Open 30M - Scoring'!D22,"")</f>
        <v/>
      </c>
      <c r="C143" s="123"/>
      <c r="D143" s="123"/>
      <c r="E143" s="73" t="s">
        <v>8</v>
      </c>
      <c r="F143" s="75" t="str">
        <f>IF('Open 30M - Scoring'!B22&lt;&gt;"",'Open 30M - Scoring'!E22,"")</f>
        <v/>
      </c>
      <c r="H143" s="73" t="s">
        <v>220</v>
      </c>
      <c r="I143" s="123" t="str">
        <f>IF('Open 30M - Scoring'!B23&lt;&gt;"",'Open 30M - Scoring'!D23,"")</f>
        <v/>
      </c>
      <c r="J143" s="123"/>
      <c r="K143" s="123"/>
      <c r="L143" s="73" t="s">
        <v>8</v>
      </c>
      <c r="M143" s="75" t="str">
        <f>IF('Open 30M - Scoring'!B23&lt;&gt;"",'Open 30M - Scoring'!E23,"")</f>
        <v/>
      </c>
    </row>
    <row r="144" spans="1:13" ht="3.75" customHeight="1" x14ac:dyDescent="0.35"/>
    <row r="145" spans="1:13" ht="25.5" customHeight="1" x14ac:dyDescent="0.35">
      <c r="A145" s="76" t="s">
        <v>221</v>
      </c>
      <c r="B145" s="77" t="s">
        <v>222</v>
      </c>
      <c r="C145" s="77" t="s">
        <v>223</v>
      </c>
      <c r="D145" s="77" t="s">
        <v>224</v>
      </c>
      <c r="E145" s="76" t="s">
        <v>225</v>
      </c>
      <c r="F145" s="76" t="s">
        <v>226</v>
      </c>
      <c r="H145" s="76" t="s">
        <v>221</v>
      </c>
      <c r="I145" s="77" t="s">
        <v>222</v>
      </c>
      <c r="J145" s="77" t="s">
        <v>223</v>
      </c>
      <c r="K145" s="77" t="s">
        <v>224</v>
      </c>
      <c r="L145" s="76" t="s">
        <v>225</v>
      </c>
      <c r="M145" s="76" t="s">
        <v>226</v>
      </c>
    </row>
    <row r="146" spans="1:13" ht="19.5" customHeight="1" x14ac:dyDescent="0.35">
      <c r="A146" s="78" t="s">
        <v>222</v>
      </c>
      <c r="B146" s="79" t="str">
        <f>IF('Open 30M - Scoring'!B22&lt;&gt;"",IF('Open 30M - Scoring'!F22&lt;&gt;"",'Open 30M - Scoring'!F22,""),"")</f>
        <v/>
      </c>
      <c r="C146" s="79" t="str">
        <f>IF('Open 30M - Scoring'!B22&lt;&gt;"",IF('Open 30M - Scoring'!G22&lt;&gt;"",'Open 30M - Scoring'!G22,""),"")</f>
        <v/>
      </c>
      <c r="D146" s="79" t="str">
        <f>IF('Open 30M - Scoring'!B22&lt;&gt;"",IF('Open 30M - Scoring'!H22&lt;&gt;"",'Open 30M - Scoring'!H22,""),"")</f>
        <v/>
      </c>
      <c r="E146" s="80" t="str">
        <f>IF('Open 30M - Scoring'!B22&lt;&gt;"",'Open 30M - Scoring'!AP22,"")</f>
        <v/>
      </c>
      <c r="F146" s="81" t="str">
        <f>IFERROR(IF(ISNUMBER(E146),E146,""),"")</f>
        <v/>
      </c>
      <c r="H146" s="78" t="s">
        <v>222</v>
      </c>
      <c r="I146" s="79" t="str">
        <f>IF('Open 30M - Scoring'!B23&lt;&gt;"",IF('Open 30M - Scoring'!F23&lt;&gt;"",'Open 30M - Scoring'!F23,""),"")</f>
        <v/>
      </c>
      <c r="J146" s="79" t="str">
        <f>IF('Open 30M - Scoring'!B23&lt;&gt;"",IF('Open 30M - Scoring'!G23&lt;&gt;"",'Open 30M - Scoring'!G23,""),"")</f>
        <v/>
      </c>
      <c r="K146" s="79" t="str">
        <f>IF('Open 30M - Scoring'!B23&lt;&gt;"",IF('Open 30M - Scoring'!H23&lt;&gt;"",'Open 30M - Scoring'!H23,""),"")</f>
        <v/>
      </c>
      <c r="L146" s="80" t="str">
        <f>IF('Open 30M - Scoring'!B23&lt;&gt;"",'Open 30M - Scoring'!AP23,"")</f>
        <v/>
      </c>
      <c r="M146" s="81" t="str">
        <f>IFERROR(IF(ISNUMBER(L146),L146,""),"")</f>
        <v/>
      </c>
    </row>
    <row r="147" spans="1:13" ht="19.5" customHeight="1" x14ac:dyDescent="0.35">
      <c r="A147" s="78" t="s">
        <v>223</v>
      </c>
      <c r="B147" s="79" t="str">
        <f>IF('Open 30M - Scoring'!B22&lt;&gt;"",IF('Open 30M - Scoring'!L22&lt;&gt;"",'Open 30M - Scoring'!L22,""),"")</f>
        <v/>
      </c>
      <c r="C147" s="79" t="str">
        <f>IF('Open 30M - Scoring'!B22&lt;&gt;"",IF('Open 30M - Scoring'!M22&lt;&gt;"",'Open 30M - Scoring'!M22,""),"")</f>
        <v/>
      </c>
      <c r="D147" s="79" t="str">
        <f>IF('Open 30M - Scoring'!B22&lt;&gt;"",IF('Open 30M - Scoring'!N22&lt;&gt;"",'Open 30M - Scoring'!N22,""),"")</f>
        <v/>
      </c>
      <c r="E147" s="80" t="str">
        <f>IF('Open 30M - Scoring'!B22&lt;&gt;"",'Open 30M - Scoring'!AQ22,"")</f>
        <v/>
      </c>
      <c r="F147" s="81" t="str">
        <f>IF(E146&lt;&gt;"",IFERROR(IF(ISNUMBER(E146),E146,0),0)+IFERROR(IF(ISNUMBER(E147),E147,0),0),"")</f>
        <v/>
      </c>
      <c r="H147" s="78" t="s">
        <v>223</v>
      </c>
      <c r="I147" s="79" t="str">
        <f>IF('Open 30M - Scoring'!B23&lt;&gt;"",IF('Open 30M - Scoring'!L23&lt;&gt;"",'Open 30M - Scoring'!L23,""),"")</f>
        <v/>
      </c>
      <c r="J147" s="79" t="str">
        <f>IF('Open 30M - Scoring'!B23&lt;&gt;"",IF('Open 30M - Scoring'!M23&lt;&gt;"",'Open 30M - Scoring'!M23,""),"")</f>
        <v/>
      </c>
      <c r="K147" s="79" t="str">
        <f>IF('Open 30M - Scoring'!B23&lt;&gt;"",IF('Open 30M - Scoring'!N23&lt;&gt;"",'Open 30M - Scoring'!N23,""),"")</f>
        <v/>
      </c>
      <c r="L147" s="80" t="str">
        <f>IF('Open 30M - Scoring'!B23&lt;&gt;"",'Open 30M - Scoring'!AQ23,"")</f>
        <v/>
      </c>
      <c r="M147" s="81" t="str">
        <f>IF(L146&lt;&gt;"",IFERROR(IF(ISNUMBER(L146),L146,0),0)+IFERROR(IF(ISNUMBER(L147),L147,0),0),"")</f>
        <v/>
      </c>
    </row>
    <row r="148" spans="1:13" ht="19.5" customHeight="1" x14ac:dyDescent="0.35">
      <c r="A148" s="78" t="s">
        <v>224</v>
      </c>
      <c r="B148" s="79" t="str">
        <f>IF('Open 30M - Scoring'!B22&lt;&gt;"",IF('Open 30M - Scoring'!R22&lt;&gt;"",'Open 30M - Scoring'!R22,""),"")</f>
        <v/>
      </c>
      <c r="C148" s="79" t="str">
        <f>IF('Open 30M - Scoring'!B22&lt;&gt;"",IF('Open 30M - Scoring'!S22&lt;&gt;"",'Open 30M - Scoring'!S22,""),"")</f>
        <v/>
      </c>
      <c r="D148" s="79" t="str">
        <f>IF('Open 30M - Scoring'!B22&lt;&gt;"",IF('Open 30M - Scoring'!T22&lt;&gt;"",'Open 30M - Scoring'!T22,""),"")</f>
        <v/>
      </c>
      <c r="E148" s="80" t="str">
        <f>IF('Open 30M - Scoring'!B22&lt;&gt;"",'Open 30M - Scoring'!AR22,"")</f>
        <v/>
      </c>
      <c r="F148" s="81" t="str">
        <f>IF(E146&lt;&gt;"",IFERROR(IF(ISNUMBER(E146),E146,0),0)+IFERROR(IF(ISNUMBER(E147),E147,0),0)+IFERROR(IF(ISNUMBER(E148),E148,0),0),"")</f>
        <v/>
      </c>
      <c r="H148" s="78" t="s">
        <v>224</v>
      </c>
      <c r="I148" s="79" t="str">
        <f>IF('Open 30M - Scoring'!B23&lt;&gt;"",IF('Open 30M - Scoring'!R23&lt;&gt;"",'Open 30M - Scoring'!R23,""),"")</f>
        <v/>
      </c>
      <c r="J148" s="79" t="str">
        <f>IF('Open 30M - Scoring'!B23&lt;&gt;"",IF('Open 30M - Scoring'!S23&lt;&gt;"",'Open 30M - Scoring'!S23,""),"")</f>
        <v/>
      </c>
      <c r="K148" s="79" t="str">
        <f>IF('Open 30M - Scoring'!B23&lt;&gt;"",IF('Open 30M - Scoring'!T23&lt;&gt;"",'Open 30M - Scoring'!T23,""),"")</f>
        <v/>
      </c>
      <c r="L148" s="80" t="str">
        <f>IF('Open 30M - Scoring'!B23&lt;&gt;"",'Open 30M - Scoring'!AR23,"")</f>
        <v/>
      </c>
      <c r="M148" s="81" t="str">
        <f>IF(L146&lt;&gt;"",IFERROR(IF(ISNUMBER(L146),L146,0),0)+IFERROR(IF(ISNUMBER(L147),L147,0),0)+IFERROR(IF(ISNUMBER(L148),L148,0),0),"")</f>
        <v/>
      </c>
    </row>
    <row r="149" spans="1:13" ht="19.5" customHeight="1" x14ac:dyDescent="0.35">
      <c r="A149" s="78" t="s">
        <v>227</v>
      </c>
      <c r="B149" s="79" t="str">
        <f>IF('Open 30M - Scoring'!B22&lt;&gt;"",IF('Open 30M - Scoring'!X22&lt;&gt;"",'Open 30M - Scoring'!X22,""),"")</f>
        <v/>
      </c>
      <c r="C149" s="79" t="str">
        <f>IF('Open 30M - Scoring'!B22&lt;&gt;"",IF('Open 30M - Scoring'!Y22&lt;&gt;"",'Open 30M - Scoring'!Y22,""),"")</f>
        <v/>
      </c>
      <c r="D149" s="79" t="str">
        <f>IF('Open 30M - Scoring'!B22&lt;&gt;"",IF('Open 30M - Scoring'!Z22&lt;&gt;"",'Open 30M - Scoring'!Z22,""),"")</f>
        <v/>
      </c>
      <c r="E149" s="80" t="str">
        <f>IF('Open 30M - Scoring'!B22&lt;&gt;"",'Open 30M - Scoring'!AS22,"")</f>
        <v/>
      </c>
      <c r="F149" s="81" t="str">
        <f>IF(E146&lt;&gt;"",IFERROR(IF(ISNUMBER(E146),E146,0),0)+IFERROR(IF(ISNUMBER(E147),E147,0),0)+IFERROR(IF(ISNUMBER(E148),E148,0),0)+IFERROR(IF(ISNUMBER(E149),E149,0),0),"")</f>
        <v/>
      </c>
      <c r="H149" s="78" t="s">
        <v>227</v>
      </c>
      <c r="I149" s="79" t="str">
        <f>IF('Open 30M - Scoring'!B23&lt;&gt;"",IF('Open 30M - Scoring'!X23&lt;&gt;"",'Open 30M - Scoring'!X23,""),"")</f>
        <v/>
      </c>
      <c r="J149" s="79" t="str">
        <f>IF('Open 30M - Scoring'!B23&lt;&gt;"",IF('Open 30M - Scoring'!Y23&lt;&gt;"",'Open 30M - Scoring'!Y23,""),"")</f>
        <v/>
      </c>
      <c r="K149" s="79" t="str">
        <f>IF('Open 30M - Scoring'!B23&lt;&gt;"",IF('Open 30M - Scoring'!Z23&lt;&gt;"",'Open 30M - Scoring'!Z23,""),"")</f>
        <v/>
      </c>
      <c r="L149" s="80" t="str">
        <f>IF('Open 30M - Scoring'!B23&lt;&gt;"",'Open 30M - Scoring'!AS23,"")</f>
        <v/>
      </c>
      <c r="M149" s="81" t="str">
        <f>IF(L146&lt;&gt;"",IFERROR(IF(ISNUMBER(L146),L146,0),0)+IFERROR(IF(ISNUMBER(L147),L147,0),0)+IFERROR(IF(ISNUMBER(L148),L148,0),0)+IFERROR(IF(ISNUMBER(L149),L149,0),0),"")</f>
        <v/>
      </c>
    </row>
    <row r="150" spans="1:13" ht="19.5" customHeight="1" x14ac:dyDescent="0.35">
      <c r="A150" s="78" t="s">
        <v>228</v>
      </c>
      <c r="B150" s="79" t="str">
        <f>IF('Open 30M - Scoring'!B22&lt;&gt;"",IF('Open 30M - Scoring'!AD22&lt;&gt;"",'Open 30M - Scoring'!AD22,""),"")</f>
        <v/>
      </c>
      <c r="C150" s="79" t="str">
        <f>IF('Open 30M - Scoring'!B22&lt;&gt;"",IF('Open 30M - Scoring'!AE22&lt;&gt;"",'Open 30M - Scoring'!AE22,""),"")</f>
        <v/>
      </c>
      <c r="D150" s="79" t="str">
        <f>IF('Open 30M - Scoring'!B22&lt;&gt;"",IF('Open 30M - Scoring'!AF22&lt;&gt;"",'Open 30M - Scoring'!AF22,""),"")</f>
        <v/>
      </c>
      <c r="E150" s="80" t="str">
        <f>IF('Open 30M - Scoring'!B22&lt;&gt;"",'Open 30M - Scoring'!AT22,"")</f>
        <v/>
      </c>
      <c r="F150" s="81" t="str">
        <f>IF(E146&lt;&gt;"",IFERROR(IF(ISNUMBER(E146),E146,0),0)+IFERROR(IF(ISNUMBER(E147),E147,0),0)+IFERROR(IF(ISNUMBER(E148),E148,0),0)+IFERROR(IF(ISNUMBER(E149),E149,0),0)+IFERROR(IF(ISNUMBER(E150),E150,0),0),"")</f>
        <v/>
      </c>
      <c r="H150" s="78" t="s">
        <v>228</v>
      </c>
      <c r="I150" s="79" t="str">
        <f>IF('Open 30M - Scoring'!B23&lt;&gt;"",IF('Open 30M - Scoring'!AD23&lt;&gt;"",'Open 30M - Scoring'!AD23,""),"")</f>
        <v/>
      </c>
      <c r="J150" s="79" t="str">
        <f>IF('Open 30M - Scoring'!B23&lt;&gt;"",IF('Open 30M - Scoring'!AE23&lt;&gt;"",'Open 30M - Scoring'!AE23,""),"")</f>
        <v/>
      </c>
      <c r="K150" s="79" t="str">
        <f>IF('Open 30M - Scoring'!B23&lt;&gt;"",IF('Open 30M - Scoring'!AF23&lt;&gt;"",'Open 30M - Scoring'!AF23,""),"")</f>
        <v/>
      </c>
      <c r="L150" s="80" t="str">
        <f>IF('Open 30M - Scoring'!B23&lt;&gt;"",'Open 30M - Scoring'!AT23,"")</f>
        <v/>
      </c>
      <c r="M150" s="81" t="str">
        <f>IF(L146&lt;&gt;"",IFERROR(IF(ISNUMBER(L146),L146,0),0)+IFERROR(IF(ISNUMBER(L147),L147,0),0)+IFERROR(IF(ISNUMBER(L148),L148,0),0)+IFERROR(IF(ISNUMBER(L149),L149,0),0)+IFERROR(IF(ISNUMBER(L150),L150,0),0),"")</f>
        <v/>
      </c>
    </row>
    <row r="151" spans="1:13" ht="19.5" customHeight="1" x14ac:dyDescent="0.35">
      <c r="A151" s="78" t="s">
        <v>229</v>
      </c>
      <c r="B151" s="79" t="str">
        <f>IF('Open 30M - Scoring'!B22&lt;&gt;"",IF('Open 30M - Scoring'!AJ22&lt;&gt;"",'Open 30M - Scoring'!AJ22,""),"")</f>
        <v/>
      </c>
      <c r="C151" s="79" t="str">
        <f>IF('Open 30M - Scoring'!B22&lt;&gt;"",IF('Open 30M - Scoring'!AK22&lt;&gt;"",'Open 30M - Scoring'!AK22,""),"")</f>
        <v/>
      </c>
      <c r="D151" s="79" t="str">
        <f>IF('Open 30M - Scoring'!B22&lt;&gt;"",IF('Open 30M - Scoring'!AL22&lt;&gt;"",'Open 30M - Scoring'!AL22,""),"")</f>
        <v/>
      </c>
      <c r="E151" s="80" t="str">
        <f>IF('Open 30M - Scoring'!B22&lt;&gt;"",'Open 30M - Scoring'!AU22,"")</f>
        <v/>
      </c>
      <c r="F151" s="81" t="str">
        <f>IF(E146&lt;&gt;"",IFERROR(IF(ISNUMBER(E146),E146,0),0)+IFERROR(IF(ISNUMBER(E147),E147,0),0)+IFERROR(IF(ISNUMBER(E148),E148,0),0)+IFERROR(IF(ISNUMBER(E149),E149,0),0)+IFERROR(IF(ISNUMBER(E150),E150,0),0)+IFERROR(IF(ISNUMBER(E151),E151,0),0),"")</f>
        <v/>
      </c>
      <c r="H151" s="78" t="s">
        <v>229</v>
      </c>
      <c r="I151" s="79" t="str">
        <f>IF('Open 30M - Scoring'!B23&lt;&gt;"",IF('Open 30M - Scoring'!AJ23&lt;&gt;"",'Open 30M - Scoring'!AJ23,""),"")</f>
        <v/>
      </c>
      <c r="J151" s="79" t="str">
        <f>IF('Open 30M - Scoring'!B23&lt;&gt;"",IF('Open 30M - Scoring'!AK23&lt;&gt;"",'Open 30M - Scoring'!AK23,""),"")</f>
        <v/>
      </c>
      <c r="K151" s="79" t="str">
        <f>IF('Open 30M - Scoring'!B23&lt;&gt;"",IF('Open 30M - Scoring'!AL23&lt;&gt;"",'Open 30M - Scoring'!AL23,""),"")</f>
        <v/>
      </c>
      <c r="L151" s="80" t="str">
        <f>IF('Open 30M - Scoring'!B23&lt;&gt;"",'Open 30M - Scoring'!AU23,"")</f>
        <v/>
      </c>
      <c r="M151" s="81" t="str">
        <f>IF(L146&lt;&gt;"",IFERROR(IF(ISNUMBER(L146),L146,0),0)+IFERROR(IF(ISNUMBER(L147),L147,0),0)+IFERROR(IF(ISNUMBER(L148),L148,0),0)+IFERROR(IF(ISNUMBER(L149),L149,0),0)+IFERROR(IF(ISNUMBER(L150),L150,0),0)+IFERROR(IF(ISNUMBER(L151),L151,0),0),"")</f>
        <v/>
      </c>
    </row>
    <row r="152" spans="1:13" ht="3.75" customHeight="1" x14ac:dyDescent="0.35"/>
    <row r="153" spans="1:13" ht="24" customHeight="1" x14ac:dyDescent="0.35">
      <c r="A153" s="124" t="s">
        <v>230</v>
      </c>
      <c r="B153" s="124"/>
      <c r="C153" s="124"/>
      <c r="D153" s="124"/>
      <c r="E153" s="125" t="str">
        <f>IF('Open 30M - Scoring'!B22&lt;&gt;"",'Open 30M - Scoring'!AV22,"")</f>
        <v/>
      </c>
      <c r="F153" s="125"/>
      <c r="H153" s="124" t="s">
        <v>230</v>
      </c>
      <c r="I153" s="124"/>
      <c r="J153" s="124"/>
      <c r="K153" s="124"/>
      <c r="L153" s="125" t="str">
        <f>IF('Open 30M - Scoring'!B23&lt;&gt;"",'Open 30M - Scoring'!AV23,"")</f>
        <v/>
      </c>
      <c r="M153" s="125"/>
    </row>
    <row r="154" spans="1:13" ht="19.5" customHeight="1" x14ac:dyDescent="0.35">
      <c r="E154" s="125"/>
      <c r="F154" s="125"/>
      <c r="L154" s="125"/>
      <c r="M154" s="125"/>
    </row>
    <row r="155" spans="1:13" ht="3.75" customHeight="1" x14ac:dyDescent="0.35"/>
    <row r="156" spans="1:13" ht="18" customHeight="1" x14ac:dyDescent="0.35">
      <c r="A156" s="73" t="s">
        <v>126</v>
      </c>
      <c r="B156" s="82" t="str">
        <f>IF('Open 30M - Scoring'!B22&lt;&gt;"",'Open 30M - Scoring'!AW22,"")</f>
        <v/>
      </c>
      <c r="C156" s="73" t="s">
        <v>127</v>
      </c>
      <c r="D156" s="83" t="str">
        <f>IF('Open 30M - Scoring'!B22&lt;&gt;"",'Open 30M - Scoring'!AX22,"")</f>
        <v/>
      </c>
      <c r="E156" s="73" t="s">
        <v>128</v>
      </c>
      <c r="F156" s="83" t="str">
        <f>IF('Open 30M - Scoring'!B22&lt;&gt;"",'Open 30M - Scoring'!AY22,"")</f>
        <v/>
      </c>
      <c r="H156" s="73" t="s">
        <v>126</v>
      </c>
      <c r="I156" s="82" t="str">
        <f>IF('Open 30M - Scoring'!B23&lt;&gt;"",'Open 30M - Scoring'!AW23,"")</f>
        <v/>
      </c>
      <c r="J156" s="73" t="s">
        <v>127</v>
      </c>
      <c r="K156" s="83" t="str">
        <f>IF('Open 30M - Scoring'!B23&lt;&gt;"",'Open 30M - Scoring'!AX23,"")</f>
        <v/>
      </c>
      <c r="L156" s="73" t="s">
        <v>128</v>
      </c>
      <c r="M156" s="83" t="str">
        <f>IF('Open 30M - Scoring'!B23&lt;&gt;"",'Open 30M - Scoring'!AY23,"")</f>
        <v/>
      </c>
    </row>
    <row r="157" spans="1:13" ht="3.75" customHeight="1" x14ac:dyDescent="0.35"/>
    <row r="158" spans="1:13" ht="7.5" customHeight="1" x14ac:dyDescent="0.35">
      <c r="A158" s="126"/>
      <c r="B158" s="126"/>
      <c r="C158" s="126"/>
      <c r="D158" s="126"/>
      <c r="E158" s="126"/>
      <c r="F158" s="126"/>
      <c r="G158" s="126"/>
      <c r="H158" s="126"/>
      <c r="I158" s="126"/>
      <c r="J158" s="126"/>
      <c r="K158" s="126"/>
      <c r="L158" s="126"/>
      <c r="M158" s="126"/>
    </row>
    <row r="159" spans="1:13" ht="15.75" customHeight="1" x14ac:dyDescent="0.35">
      <c r="A159" s="73" t="s">
        <v>218</v>
      </c>
      <c r="B159" s="122" t="str">
        <f>IF('Open 30M - Scoring'!B24&lt;&gt;"",'Open 30M - Scoring'!B24,"")</f>
        <v/>
      </c>
      <c r="C159" s="122"/>
      <c r="D159" s="122"/>
      <c r="E159" s="73" t="s">
        <v>219</v>
      </c>
      <c r="F159" s="74" t="str">
        <f>IF('Open 30M - Scoring'!B24&lt;&gt;"",'Open 30M - Scoring'!BB24,"")</f>
        <v/>
      </c>
      <c r="H159" s="73" t="s">
        <v>218</v>
      </c>
      <c r="I159" s="122" t="str">
        <f>IF('Open 30M - Scoring'!B25&lt;&gt;"",'Open 30M - Scoring'!B25,"")</f>
        <v/>
      </c>
      <c r="J159" s="122"/>
      <c r="K159" s="122"/>
      <c r="L159" s="73" t="s">
        <v>219</v>
      </c>
      <c r="M159" s="74" t="str">
        <f>IF('Open 30M - Scoring'!B25&lt;&gt;"",'Open 30M - Scoring'!BB25,"")</f>
        <v/>
      </c>
    </row>
    <row r="160" spans="1:13" ht="15.75" customHeight="1" x14ac:dyDescent="0.35">
      <c r="A160" s="73" t="s">
        <v>220</v>
      </c>
      <c r="B160" s="123" t="str">
        <f>IF('Open 30M - Scoring'!B24&lt;&gt;"",'Open 30M - Scoring'!D24,"")</f>
        <v/>
      </c>
      <c r="C160" s="123"/>
      <c r="D160" s="123"/>
      <c r="E160" s="73" t="s">
        <v>8</v>
      </c>
      <c r="F160" s="75" t="str">
        <f>IF('Open 30M - Scoring'!B24&lt;&gt;"",'Open 30M - Scoring'!E24,"")</f>
        <v/>
      </c>
      <c r="H160" s="73" t="s">
        <v>220</v>
      </c>
      <c r="I160" s="123" t="str">
        <f>IF('Open 30M - Scoring'!B25&lt;&gt;"",'Open 30M - Scoring'!D25,"")</f>
        <v/>
      </c>
      <c r="J160" s="123"/>
      <c r="K160" s="123"/>
      <c r="L160" s="73" t="s">
        <v>8</v>
      </c>
      <c r="M160" s="75" t="str">
        <f>IF('Open 30M - Scoring'!B25&lt;&gt;"",'Open 30M - Scoring'!E25,"")</f>
        <v/>
      </c>
    </row>
    <row r="161" spans="1:13" ht="3.75" customHeight="1" x14ac:dyDescent="0.35"/>
    <row r="162" spans="1:13" ht="25.5" customHeight="1" x14ac:dyDescent="0.35">
      <c r="A162" s="76" t="s">
        <v>221</v>
      </c>
      <c r="B162" s="77" t="s">
        <v>222</v>
      </c>
      <c r="C162" s="77" t="s">
        <v>223</v>
      </c>
      <c r="D162" s="77" t="s">
        <v>224</v>
      </c>
      <c r="E162" s="76" t="s">
        <v>225</v>
      </c>
      <c r="F162" s="76" t="s">
        <v>226</v>
      </c>
      <c r="H162" s="76" t="s">
        <v>221</v>
      </c>
      <c r="I162" s="77" t="s">
        <v>222</v>
      </c>
      <c r="J162" s="77" t="s">
        <v>223</v>
      </c>
      <c r="K162" s="77" t="s">
        <v>224</v>
      </c>
      <c r="L162" s="76" t="s">
        <v>225</v>
      </c>
      <c r="M162" s="76" t="s">
        <v>226</v>
      </c>
    </row>
    <row r="163" spans="1:13" ht="19.5" customHeight="1" x14ac:dyDescent="0.35">
      <c r="A163" s="78" t="s">
        <v>222</v>
      </c>
      <c r="B163" s="79" t="str">
        <f>IF('Open 30M - Scoring'!B24&lt;&gt;"",IF('Open 30M - Scoring'!F24&lt;&gt;"",'Open 30M - Scoring'!F24,""),"")</f>
        <v/>
      </c>
      <c r="C163" s="79" t="str">
        <f>IF('Open 30M - Scoring'!B24&lt;&gt;"",IF('Open 30M - Scoring'!G24&lt;&gt;"",'Open 30M - Scoring'!G24,""),"")</f>
        <v/>
      </c>
      <c r="D163" s="79" t="str">
        <f>IF('Open 30M - Scoring'!B24&lt;&gt;"",IF('Open 30M - Scoring'!H24&lt;&gt;"",'Open 30M - Scoring'!H24,""),"")</f>
        <v/>
      </c>
      <c r="E163" s="80" t="str">
        <f>IF('Open 30M - Scoring'!B24&lt;&gt;"",'Open 30M - Scoring'!AP24,"")</f>
        <v/>
      </c>
      <c r="F163" s="81" t="str">
        <f>IFERROR(IF(ISNUMBER(E163),E163,""),"")</f>
        <v/>
      </c>
      <c r="H163" s="78" t="s">
        <v>222</v>
      </c>
      <c r="I163" s="79" t="str">
        <f>IF('Open 30M - Scoring'!B25&lt;&gt;"",IF('Open 30M - Scoring'!F25&lt;&gt;"",'Open 30M - Scoring'!F25,""),"")</f>
        <v/>
      </c>
      <c r="J163" s="79" t="str">
        <f>IF('Open 30M - Scoring'!B25&lt;&gt;"",IF('Open 30M - Scoring'!G25&lt;&gt;"",'Open 30M - Scoring'!G25,""),"")</f>
        <v/>
      </c>
      <c r="K163" s="79" t="str">
        <f>IF('Open 30M - Scoring'!B25&lt;&gt;"",IF('Open 30M - Scoring'!H25&lt;&gt;"",'Open 30M - Scoring'!H25,""),"")</f>
        <v/>
      </c>
      <c r="L163" s="80" t="str">
        <f>IF('Open 30M - Scoring'!B25&lt;&gt;"",'Open 30M - Scoring'!AP25,"")</f>
        <v/>
      </c>
      <c r="M163" s="81" t="str">
        <f>IFERROR(IF(ISNUMBER(L163),L163,""),"")</f>
        <v/>
      </c>
    </row>
    <row r="164" spans="1:13" ht="19.5" customHeight="1" x14ac:dyDescent="0.35">
      <c r="A164" s="78" t="s">
        <v>223</v>
      </c>
      <c r="B164" s="79" t="str">
        <f>IF('Open 30M - Scoring'!B24&lt;&gt;"",IF('Open 30M - Scoring'!L24&lt;&gt;"",'Open 30M - Scoring'!L24,""),"")</f>
        <v/>
      </c>
      <c r="C164" s="79" t="str">
        <f>IF('Open 30M - Scoring'!B24&lt;&gt;"",IF('Open 30M - Scoring'!M24&lt;&gt;"",'Open 30M - Scoring'!M24,""),"")</f>
        <v/>
      </c>
      <c r="D164" s="79" t="str">
        <f>IF('Open 30M - Scoring'!B24&lt;&gt;"",IF('Open 30M - Scoring'!N24&lt;&gt;"",'Open 30M - Scoring'!N24,""),"")</f>
        <v/>
      </c>
      <c r="E164" s="80" t="str">
        <f>IF('Open 30M - Scoring'!B24&lt;&gt;"",'Open 30M - Scoring'!AQ24,"")</f>
        <v/>
      </c>
      <c r="F164" s="81" t="str">
        <f>IF(E163&lt;&gt;"",IFERROR(IF(ISNUMBER(E163),E163,0),0)+IFERROR(IF(ISNUMBER(E164),E164,0),0),"")</f>
        <v/>
      </c>
      <c r="H164" s="78" t="s">
        <v>223</v>
      </c>
      <c r="I164" s="79" t="str">
        <f>IF('Open 30M - Scoring'!B25&lt;&gt;"",IF('Open 30M - Scoring'!L25&lt;&gt;"",'Open 30M - Scoring'!L25,""),"")</f>
        <v/>
      </c>
      <c r="J164" s="79" t="str">
        <f>IF('Open 30M - Scoring'!B25&lt;&gt;"",IF('Open 30M - Scoring'!M25&lt;&gt;"",'Open 30M - Scoring'!M25,""),"")</f>
        <v/>
      </c>
      <c r="K164" s="79" t="str">
        <f>IF('Open 30M - Scoring'!B25&lt;&gt;"",IF('Open 30M - Scoring'!N25&lt;&gt;"",'Open 30M - Scoring'!N25,""),"")</f>
        <v/>
      </c>
      <c r="L164" s="80" t="str">
        <f>IF('Open 30M - Scoring'!B25&lt;&gt;"",'Open 30M - Scoring'!AQ25,"")</f>
        <v/>
      </c>
      <c r="M164" s="81" t="str">
        <f>IF(L163&lt;&gt;"",IFERROR(IF(ISNUMBER(L163),L163,0),0)+IFERROR(IF(ISNUMBER(L164),L164,0),0),"")</f>
        <v/>
      </c>
    </row>
    <row r="165" spans="1:13" ht="19.5" customHeight="1" x14ac:dyDescent="0.35">
      <c r="A165" s="78" t="s">
        <v>224</v>
      </c>
      <c r="B165" s="79" t="str">
        <f>IF('Open 30M - Scoring'!B24&lt;&gt;"",IF('Open 30M - Scoring'!R24&lt;&gt;"",'Open 30M - Scoring'!R24,""),"")</f>
        <v/>
      </c>
      <c r="C165" s="79" t="str">
        <f>IF('Open 30M - Scoring'!B24&lt;&gt;"",IF('Open 30M - Scoring'!S24&lt;&gt;"",'Open 30M - Scoring'!S24,""),"")</f>
        <v/>
      </c>
      <c r="D165" s="79" t="str">
        <f>IF('Open 30M - Scoring'!B24&lt;&gt;"",IF('Open 30M - Scoring'!T24&lt;&gt;"",'Open 30M - Scoring'!T24,""),"")</f>
        <v/>
      </c>
      <c r="E165" s="80" t="str">
        <f>IF('Open 30M - Scoring'!B24&lt;&gt;"",'Open 30M - Scoring'!AR24,"")</f>
        <v/>
      </c>
      <c r="F165" s="81" t="str">
        <f>IF(E163&lt;&gt;"",IFERROR(IF(ISNUMBER(E163),E163,0),0)+IFERROR(IF(ISNUMBER(E164),E164,0),0)+IFERROR(IF(ISNUMBER(E165),E165,0),0),"")</f>
        <v/>
      </c>
      <c r="H165" s="78" t="s">
        <v>224</v>
      </c>
      <c r="I165" s="79" t="str">
        <f>IF('Open 30M - Scoring'!B25&lt;&gt;"",IF('Open 30M - Scoring'!R25&lt;&gt;"",'Open 30M - Scoring'!R25,""),"")</f>
        <v/>
      </c>
      <c r="J165" s="79" t="str">
        <f>IF('Open 30M - Scoring'!B25&lt;&gt;"",IF('Open 30M - Scoring'!S25&lt;&gt;"",'Open 30M - Scoring'!S25,""),"")</f>
        <v/>
      </c>
      <c r="K165" s="79" t="str">
        <f>IF('Open 30M - Scoring'!B25&lt;&gt;"",IF('Open 30M - Scoring'!T25&lt;&gt;"",'Open 30M - Scoring'!T25,""),"")</f>
        <v/>
      </c>
      <c r="L165" s="80" t="str">
        <f>IF('Open 30M - Scoring'!B25&lt;&gt;"",'Open 30M - Scoring'!AR25,"")</f>
        <v/>
      </c>
      <c r="M165" s="81" t="str">
        <f>IF(L163&lt;&gt;"",IFERROR(IF(ISNUMBER(L163),L163,0),0)+IFERROR(IF(ISNUMBER(L164),L164,0),0)+IFERROR(IF(ISNUMBER(L165),L165,0),0),"")</f>
        <v/>
      </c>
    </row>
    <row r="166" spans="1:13" ht="19.5" customHeight="1" x14ac:dyDescent="0.35">
      <c r="A166" s="78" t="s">
        <v>227</v>
      </c>
      <c r="B166" s="79" t="str">
        <f>IF('Open 30M - Scoring'!B24&lt;&gt;"",IF('Open 30M - Scoring'!X24&lt;&gt;"",'Open 30M - Scoring'!X24,""),"")</f>
        <v/>
      </c>
      <c r="C166" s="79" t="str">
        <f>IF('Open 30M - Scoring'!B24&lt;&gt;"",IF('Open 30M - Scoring'!Y24&lt;&gt;"",'Open 30M - Scoring'!Y24,""),"")</f>
        <v/>
      </c>
      <c r="D166" s="79" t="str">
        <f>IF('Open 30M - Scoring'!B24&lt;&gt;"",IF('Open 30M - Scoring'!Z24&lt;&gt;"",'Open 30M - Scoring'!Z24,""),"")</f>
        <v/>
      </c>
      <c r="E166" s="80" t="str">
        <f>IF('Open 30M - Scoring'!B24&lt;&gt;"",'Open 30M - Scoring'!AS24,"")</f>
        <v/>
      </c>
      <c r="F166" s="81" t="str">
        <f>IF(E163&lt;&gt;"",IFERROR(IF(ISNUMBER(E163),E163,0),0)+IFERROR(IF(ISNUMBER(E164),E164,0),0)+IFERROR(IF(ISNUMBER(E165),E165,0),0)+IFERROR(IF(ISNUMBER(E166),E166,0),0),"")</f>
        <v/>
      </c>
      <c r="H166" s="78" t="s">
        <v>227</v>
      </c>
      <c r="I166" s="79" t="str">
        <f>IF('Open 30M - Scoring'!B25&lt;&gt;"",IF('Open 30M - Scoring'!X25&lt;&gt;"",'Open 30M - Scoring'!X25,""),"")</f>
        <v/>
      </c>
      <c r="J166" s="79" t="str">
        <f>IF('Open 30M - Scoring'!B25&lt;&gt;"",IF('Open 30M - Scoring'!Y25&lt;&gt;"",'Open 30M - Scoring'!Y25,""),"")</f>
        <v/>
      </c>
      <c r="K166" s="79" t="str">
        <f>IF('Open 30M - Scoring'!B25&lt;&gt;"",IF('Open 30M - Scoring'!Z25&lt;&gt;"",'Open 30M - Scoring'!Z25,""),"")</f>
        <v/>
      </c>
      <c r="L166" s="80" t="str">
        <f>IF('Open 30M - Scoring'!B25&lt;&gt;"",'Open 30M - Scoring'!AS25,"")</f>
        <v/>
      </c>
      <c r="M166" s="81" t="str">
        <f>IF(L163&lt;&gt;"",IFERROR(IF(ISNUMBER(L163),L163,0),0)+IFERROR(IF(ISNUMBER(L164),L164,0),0)+IFERROR(IF(ISNUMBER(L165),L165,0),0)+IFERROR(IF(ISNUMBER(L166),L166,0),0),"")</f>
        <v/>
      </c>
    </row>
    <row r="167" spans="1:13" ht="19.5" customHeight="1" x14ac:dyDescent="0.35">
      <c r="A167" s="78" t="s">
        <v>228</v>
      </c>
      <c r="B167" s="79" t="str">
        <f>IF('Open 30M - Scoring'!B24&lt;&gt;"",IF('Open 30M - Scoring'!AD24&lt;&gt;"",'Open 30M - Scoring'!AD24,""),"")</f>
        <v/>
      </c>
      <c r="C167" s="79" t="str">
        <f>IF('Open 30M - Scoring'!B24&lt;&gt;"",IF('Open 30M - Scoring'!AE24&lt;&gt;"",'Open 30M - Scoring'!AE24,""),"")</f>
        <v/>
      </c>
      <c r="D167" s="79" t="str">
        <f>IF('Open 30M - Scoring'!B24&lt;&gt;"",IF('Open 30M - Scoring'!AF24&lt;&gt;"",'Open 30M - Scoring'!AF24,""),"")</f>
        <v/>
      </c>
      <c r="E167" s="80" t="str">
        <f>IF('Open 30M - Scoring'!B24&lt;&gt;"",'Open 30M - Scoring'!AT24,"")</f>
        <v/>
      </c>
      <c r="F167" s="81" t="str">
        <f>IF(E163&lt;&gt;"",IFERROR(IF(ISNUMBER(E163),E163,0),0)+IFERROR(IF(ISNUMBER(E164),E164,0),0)+IFERROR(IF(ISNUMBER(E165),E165,0),0)+IFERROR(IF(ISNUMBER(E166),E166,0),0)+IFERROR(IF(ISNUMBER(E167),E167,0),0),"")</f>
        <v/>
      </c>
      <c r="H167" s="78" t="s">
        <v>228</v>
      </c>
      <c r="I167" s="79" t="str">
        <f>IF('Open 30M - Scoring'!B25&lt;&gt;"",IF('Open 30M - Scoring'!AD25&lt;&gt;"",'Open 30M - Scoring'!AD25,""),"")</f>
        <v/>
      </c>
      <c r="J167" s="79" t="str">
        <f>IF('Open 30M - Scoring'!B25&lt;&gt;"",IF('Open 30M - Scoring'!AE25&lt;&gt;"",'Open 30M - Scoring'!AE25,""),"")</f>
        <v/>
      </c>
      <c r="K167" s="79" t="str">
        <f>IF('Open 30M - Scoring'!B25&lt;&gt;"",IF('Open 30M - Scoring'!AF25&lt;&gt;"",'Open 30M - Scoring'!AF25,""),"")</f>
        <v/>
      </c>
      <c r="L167" s="80" t="str">
        <f>IF('Open 30M - Scoring'!B25&lt;&gt;"",'Open 30M - Scoring'!AT25,"")</f>
        <v/>
      </c>
      <c r="M167" s="81" t="str">
        <f>IF(L163&lt;&gt;"",IFERROR(IF(ISNUMBER(L163),L163,0),0)+IFERROR(IF(ISNUMBER(L164),L164,0),0)+IFERROR(IF(ISNUMBER(L165),L165,0),0)+IFERROR(IF(ISNUMBER(L166),L166,0),0)+IFERROR(IF(ISNUMBER(L167),L167,0),0),"")</f>
        <v/>
      </c>
    </row>
    <row r="168" spans="1:13" ht="19.5" customHeight="1" x14ac:dyDescent="0.35">
      <c r="A168" s="78" t="s">
        <v>229</v>
      </c>
      <c r="B168" s="79" t="str">
        <f>IF('Open 30M - Scoring'!B24&lt;&gt;"",IF('Open 30M - Scoring'!AJ24&lt;&gt;"",'Open 30M - Scoring'!AJ24,""),"")</f>
        <v/>
      </c>
      <c r="C168" s="79" t="str">
        <f>IF('Open 30M - Scoring'!B24&lt;&gt;"",IF('Open 30M - Scoring'!AK24&lt;&gt;"",'Open 30M - Scoring'!AK24,""),"")</f>
        <v/>
      </c>
      <c r="D168" s="79" t="str">
        <f>IF('Open 30M - Scoring'!B24&lt;&gt;"",IF('Open 30M - Scoring'!AL24&lt;&gt;"",'Open 30M - Scoring'!AL24,""),"")</f>
        <v/>
      </c>
      <c r="E168" s="80" t="str">
        <f>IF('Open 30M - Scoring'!B24&lt;&gt;"",'Open 30M - Scoring'!AU24,"")</f>
        <v/>
      </c>
      <c r="F168" s="81" t="str">
        <f>IF(E163&lt;&gt;"",IFERROR(IF(ISNUMBER(E163),E163,0),0)+IFERROR(IF(ISNUMBER(E164),E164,0),0)+IFERROR(IF(ISNUMBER(E165),E165,0),0)+IFERROR(IF(ISNUMBER(E166),E166,0),0)+IFERROR(IF(ISNUMBER(E167),E167,0),0)+IFERROR(IF(ISNUMBER(E168),E168,0),0),"")</f>
        <v/>
      </c>
      <c r="H168" s="78" t="s">
        <v>229</v>
      </c>
      <c r="I168" s="79" t="str">
        <f>IF('Open 30M - Scoring'!B25&lt;&gt;"",IF('Open 30M - Scoring'!AJ25&lt;&gt;"",'Open 30M - Scoring'!AJ25,""),"")</f>
        <v/>
      </c>
      <c r="J168" s="79" t="str">
        <f>IF('Open 30M - Scoring'!B25&lt;&gt;"",IF('Open 30M - Scoring'!AK25&lt;&gt;"",'Open 30M - Scoring'!AK25,""),"")</f>
        <v/>
      </c>
      <c r="K168" s="79" t="str">
        <f>IF('Open 30M - Scoring'!B25&lt;&gt;"",IF('Open 30M - Scoring'!AL25&lt;&gt;"",'Open 30M - Scoring'!AL25,""),"")</f>
        <v/>
      </c>
      <c r="L168" s="80" t="str">
        <f>IF('Open 30M - Scoring'!B25&lt;&gt;"",'Open 30M - Scoring'!AU25,"")</f>
        <v/>
      </c>
      <c r="M168" s="81" t="str">
        <f>IF(L163&lt;&gt;"",IFERROR(IF(ISNUMBER(L163),L163,0),0)+IFERROR(IF(ISNUMBER(L164),L164,0),0)+IFERROR(IF(ISNUMBER(L165),L165,0),0)+IFERROR(IF(ISNUMBER(L166),L166,0),0)+IFERROR(IF(ISNUMBER(L167),L167,0),0)+IFERROR(IF(ISNUMBER(L168),L168,0),0),"")</f>
        <v/>
      </c>
    </row>
    <row r="169" spans="1:13" ht="3.75" customHeight="1" x14ac:dyDescent="0.35"/>
    <row r="170" spans="1:13" ht="24" customHeight="1" x14ac:dyDescent="0.35">
      <c r="A170" s="124" t="s">
        <v>230</v>
      </c>
      <c r="B170" s="124"/>
      <c r="C170" s="124"/>
      <c r="D170" s="124"/>
      <c r="E170" s="125" t="str">
        <f>IF('Open 30M - Scoring'!B24&lt;&gt;"",'Open 30M - Scoring'!AV24,"")</f>
        <v/>
      </c>
      <c r="F170" s="125"/>
      <c r="H170" s="124" t="s">
        <v>230</v>
      </c>
      <c r="I170" s="124"/>
      <c r="J170" s="124"/>
      <c r="K170" s="124"/>
      <c r="L170" s="125" t="str">
        <f>IF('Open 30M - Scoring'!B25&lt;&gt;"",'Open 30M - Scoring'!AV25,"")</f>
        <v/>
      </c>
      <c r="M170" s="125"/>
    </row>
    <row r="171" spans="1:13" ht="19.5" customHeight="1" x14ac:dyDescent="0.35">
      <c r="E171" s="125"/>
      <c r="F171" s="125"/>
      <c r="L171" s="125"/>
      <c r="M171" s="125"/>
    </row>
    <row r="172" spans="1:13" ht="3.75" customHeight="1" x14ac:dyDescent="0.35"/>
    <row r="173" spans="1:13" ht="18" customHeight="1" x14ac:dyDescent="0.35">
      <c r="A173" s="73" t="s">
        <v>126</v>
      </c>
      <c r="B173" s="82" t="str">
        <f>IF('Open 30M - Scoring'!B24&lt;&gt;"",'Open 30M - Scoring'!AW24,"")</f>
        <v/>
      </c>
      <c r="C173" s="73" t="s">
        <v>127</v>
      </c>
      <c r="D173" s="83" t="str">
        <f>IF('Open 30M - Scoring'!B24&lt;&gt;"",'Open 30M - Scoring'!AX24,"")</f>
        <v/>
      </c>
      <c r="E173" s="73" t="s">
        <v>128</v>
      </c>
      <c r="F173" s="83" t="str">
        <f>IF('Open 30M - Scoring'!B24&lt;&gt;"",'Open 30M - Scoring'!AY24,"")</f>
        <v/>
      </c>
      <c r="H173" s="73" t="s">
        <v>126</v>
      </c>
      <c r="I173" s="82" t="str">
        <f>IF('Open 30M - Scoring'!B25&lt;&gt;"",'Open 30M - Scoring'!AW25,"")</f>
        <v/>
      </c>
      <c r="J173" s="73" t="s">
        <v>127</v>
      </c>
      <c r="K173" s="83" t="str">
        <f>IF('Open 30M - Scoring'!B25&lt;&gt;"",'Open 30M - Scoring'!AX25,"")</f>
        <v/>
      </c>
      <c r="L173" s="73" t="s">
        <v>128</v>
      </c>
      <c r="M173" s="83" t="str">
        <f>IF('Open 30M - Scoring'!B25&lt;&gt;"",'Open 30M - Scoring'!AY25,"")</f>
        <v/>
      </c>
    </row>
    <row r="174" spans="1:13" ht="3.75" customHeight="1" x14ac:dyDescent="0.35"/>
    <row r="175" spans="1:13" ht="7.5" customHeight="1" x14ac:dyDescent="0.35">
      <c r="A175" s="126"/>
      <c r="B175" s="126"/>
      <c r="C175" s="126"/>
      <c r="D175" s="126"/>
      <c r="E175" s="126"/>
      <c r="F175" s="126"/>
      <c r="G175" s="126"/>
      <c r="H175" s="126"/>
      <c r="I175" s="126"/>
      <c r="J175" s="126"/>
      <c r="K175" s="126"/>
      <c r="L175" s="126"/>
      <c r="M175" s="126"/>
    </row>
    <row r="176" spans="1:13" ht="15.75" customHeight="1" x14ac:dyDescent="0.35">
      <c r="A176" s="73" t="s">
        <v>218</v>
      </c>
      <c r="B176" s="122" t="str">
        <f>IF('Open 30M - Scoring'!B26&lt;&gt;"",'Open 30M - Scoring'!B26,"")</f>
        <v/>
      </c>
      <c r="C176" s="122"/>
      <c r="D176" s="122"/>
      <c r="E176" s="73" t="s">
        <v>219</v>
      </c>
      <c r="F176" s="74" t="str">
        <f>IF('Open 30M - Scoring'!B26&lt;&gt;"",'Open 30M - Scoring'!BB26,"")</f>
        <v/>
      </c>
      <c r="H176" s="73" t="s">
        <v>218</v>
      </c>
      <c r="I176" s="122" t="str">
        <f>IF('Open 30M - Scoring'!B27&lt;&gt;"",'Open 30M - Scoring'!B27,"")</f>
        <v/>
      </c>
      <c r="J176" s="122"/>
      <c r="K176" s="122"/>
      <c r="L176" s="73" t="s">
        <v>219</v>
      </c>
      <c r="M176" s="74" t="str">
        <f>IF('Open 30M - Scoring'!B27&lt;&gt;"",'Open 30M - Scoring'!BB27,"")</f>
        <v/>
      </c>
    </row>
    <row r="177" spans="1:13" ht="15.75" customHeight="1" x14ac:dyDescent="0.35">
      <c r="A177" s="73" t="s">
        <v>220</v>
      </c>
      <c r="B177" s="123" t="str">
        <f>IF('Open 30M - Scoring'!B26&lt;&gt;"",'Open 30M - Scoring'!D26,"")</f>
        <v/>
      </c>
      <c r="C177" s="123"/>
      <c r="D177" s="123"/>
      <c r="E177" s="73" t="s">
        <v>8</v>
      </c>
      <c r="F177" s="75" t="str">
        <f>IF('Open 30M - Scoring'!B26&lt;&gt;"",'Open 30M - Scoring'!E26,"")</f>
        <v/>
      </c>
      <c r="H177" s="73" t="s">
        <v>220</v>
      </c>
      <c r="I177" s="123" t="str">
        <f>IF('Open 30M - Scoring'!B27&lt;&gt;"",'Open 30M - Scoring'!D27,"")</f>
        <v/>
      </c>
      <c r="J177" s="123"/>
      <c r="K177" s="123"/>
      <c r="L177" s="73" t="s">
        <v>8</v>
      </c>
      <c r="M177" s="75" t="str">
        <f>IF('Open 30M - Scoring'!B27&lt;&gt;"",'Open 30M - Scoring'!E27,"")</f>
        <v/>
      </c>
    </row>
    <row r="178" spans="1:13" ht="3.75" customHeight="1" x14ac:dyDescent="0.35"/>
    <row r="179" spans="1:13" ht="25.5" customHeight="1" x14ac:dyDescent="0.35">
      <c r="A179" s="76" t="s">
        <v>221</v>
      </c>
      <c r="B179" s="77" t="s">
        <v>222</v>
      </c>
      <c r="C179" s="77" t="s">
        <v>223</v>
      </c>
      <c r="D179" s="77" t="s">
        <v>224</v>
      </c>
      <c r="E179" s="76" t="s">
        <v>225</v>
      </c>
      <c r="F179" s="76" t="s">
        <v>226</v>
      </c>
      <c r="H179" s="76" t="s">
        <v>221</v>
      </c>
      <c r="I179" s="77" t="s">
        <v>222</v>
      </c>
      <c r="J179" s="77" t="s">
        <v>223</v>
      </c>
      <c r="K179" s="77" t="s">
        <v>224</v>
      </c>
      <c r="L179" s="76" t="s">
        <v>225</v>
      </c>
      <c r="M179" s="76" t="s">
        <v>226</v>
      </c>
    </row>
    <row r="180" spans="1:13" ht="19.5" customHeight="1" x14ac:dyDescent="0.35">
      <c r="A180" s="78" t="s">
        <v>222</v>
      </c>
      <c r="B180" s="79" t="str">
        <f>IF('Open 30M - Scoring'!B26&lt;&gt;"",IF('Open 30M - Scoring'!F26&lt;&gt;"",'Open 30M - Scoring'!F26,""),"")</f>
        <v/>
      </c>
      <c r="C180" s="79" t="str">
        <f>IF('Open 30M - Scoring'!B26&lt;&gt;"",IF('Open 30M - Scoring'!G26&lt;&gt;"",'Open 30M - Scoring'!G26,""),"")</f>
        <v/>
      </c>
      <c r="D180" s="79" t="str">
        <f>IF('Open 30M - Scoring'!B26&lt;&gt;"",IF('Open 30M - Scoring'!H26&lt;&gt;"",'Open 30M - Scoring'!H26,""),"")</f>
        <v/>
      </c>
      <c r="E180" s="80" t="str">
        <f>IF('Open 30M - Scoring'!B26&lt;&gt;"",'Open 30M - Scoring'!AP26,"")</f>
        <v/>
      </c>
      <c r="F180" s="81" t="str">
        <f>IFERROR(IF(ISNUMBER(E180),E180,""),"")</f>
        <v/>
      </c>
      <c r="H180" s="78" t="s">
        <v>222</v>
      </c>
      <c r="I180" s="79" t="str">
        <f>IF('Open 30M - Scoring'!B27&lt;&gt;"",IF('Open 30M - Scoring'!F27&lt;&gt;"",'Open 30M - Scoring'!F27,""),"")</f>
        <v/>
      </c>
      <c r="J180" s="79" t="str">
        <f>IF('Open 30M - Scoring'!B27&lt;&gt;"",IF('Open 30M - Scoring'!G27&lt;&gt;"",'Open 30M - Scoring'!G27,""),"")</f>
        <v/>
      </c>
      <c r="K180" s="79" t="str">
        <f>IF('Open 30M - Scoring'!B27&lt;&gt;"",IF('Open 30M - Scoring'!H27&lt;&gt;"",'Open 30M - Scoring'!H27,""),"")</f>
        <v/>
      </c>
      <c r="L180" s="80" t="str">
        <f>IF('Open 30M - Scoring'!B27&lt;&gt;"",'Open 30M - Scoring'!AP27,"")</f>
        <v/>
      </c>
      <c r="M180" s="81" t="str">
        <f>IFERROR(IF(ISNUMBER(L180),L180,""),"")</f>
        <v/>
      </c>
    </row>
    <row r="181" spans="1:13" ht="19.5" customHeight="1" x14ac:dyDescent="0.35">
      <c r="A181" s="78" t="s">
        <v>223</v>
      </c>
      <c r="B181" s="79" t="str">
        <f>IF('Open 30M - Scoring'!B26&lt;&gt;"",IF('Open 30M - Scoring'!L26&lt;&gt;"",'Open 30M - Scoring'!L26,""),"")</f>
        <v/>
      </c>
      <c r="C181" s="79" t="str">
        <f>IF('Open 30M - Scoring'!B26&lt;&gt;"",IF('Open 30M - Scoring'!M26&lt;&gt;"",'Open 30M - Scoring'!M26,""),"")</f>
        <v/>
      </c>
      <c r="D181" s="79" t="str">
        <f>IF('Open 30M - Scoring'!B26&lt;&gt;"",IF('Open 30M - Scoring'!N26&lt;&gt;"",'Open 30M - Scoring'!N26,""),"")</f>
        <v/>
      </c>
      <c r="E181" s="80" t="str">
        <f>IF('Open 30M - Scoring'!B26&lt;&gt;"",'Open 30M - Scoring'!AQ26,"")</f>
        <v/>
      </c>
      <c r="F181" s="81" t="str">
        <f>IF(E180&lt;&gt;"",IFERROR(IF(ISNUMBER(E180),E180,0),0)+IFERROR(IF(ISNUMBER(E181),E181,0),0),"")</f>
        <v/>
      </c>
      <c r="H181" s="78" t="s">
        <v>223</v>
      </c>
      <c r="I181" s="79" t="str">
        <f>IF('Open 30M - Scoring'!B27&lt;&gt;"",IF('Open 30M - Scoring'!L27&lt;&gt;"",'Open 30M - Scoring'!L27,""),"")</f>
        <v/>
      </c>
      <c r="J181" s="79" t="str">
        <f>IF('Open 30M - Scoring'!B27&lt;&gt;"",IF('Open 30M - Scoring'!M27&lt;&gt;"",'Open 30M - Scoring'!M27,""),"")</f>
        <v/>
      </c>
      <c r="K181" s="79" t="str">
        <f>IF('Open 30M - Scoring'!B27&lt;&gt;"",IF('Open 30M - Scoring'!N27&lt;&gt;"",'Open 30M - Scoring'!N27,""),"")</f>
        <v/>
      </c>
      <c r="L181" s="80" t="str">
        <f>IF('Open 30M - Scoring'!B27&lt;&gt;"",'Open 30M - Scoring'!AQ27,"")</f>
        <v/>
      </c>
      <c r="M181" s="81" t="str">
        <f>IF(L180&lt;&gt;"",IFERROR(IF(ISNUMBER(L180),L180,0),0)+IFERROR(IF(ISNUMBER(L181),L181,0),0),"")</f>
        <v/>
      </c>
    </row>
    <row r="182" spans="1:13" ht="19.5" customHeight="1" x14ac:dyDescent="0.35">
      <c r="A182" s="78" t="s">
        <v>224</v>
      </c>
      <c r="B182" s="79" t="str">
        <f>IF('Open 30M - Scoring'!B26&lt;&gt;"",IF('Open 30M - Scoring'!R26&lt;&gt;"",'Open 30M - Scoring'!R26,""),"")</f>
        <v/>
      </c>
      <c r="C182" s="79" t="str">
        <f>IF('Open 30M - Scoring'!B26&lt;&gt;"",IF('Open 30M - Scoring'!S26&lt;&gt;"",'Open 30M - Scoring'!S26,""),"")</f>
        <v/>
      </c>
      <c r="D182" s="79" t="str">
        <f>IF('Open 30M - Scoring'!B26&lt;&gt;"",IF('Open 30M - Scoring'!T26&lt;&gt;"",'Open 30M - Scoring'!T26,""),"")</f>
        <v/>
      </c>
      <c r="E182" s="80" t="str">
        <f>IF('Open 30M - Scoring'!B26&lt;&gt;"",'Open 30M - Scoring'!AR26,"")</f>
        <v/>
      </c>
      <c r="F182" s="81" t="str">
        <f>IF(E180&lt;&gt;"",IFERROR(IF(ISNUMBER(E180),E180,0),0)+IFERROR(IF(ISNUMBER(E181),E181,0),0)+IFERROR(IF(ISNUMBER(E182),E182,0),0),"")</f>
        <v/>
      </c>
      <c r="H182" s="78" t="s">
        <v>224</v>
      </c>
      <c r="I182" s="79" t="str">
        <f>IF('Open 30M - Scoring'!B27&lt;&gt;"",IF('Open 30M - Scoring'!R27&lt;&gt;"",'Open 30M - Scoring'!R27,""),"")</f>
        <v/>
      </c>
      <c r="J182" s="79" t="str">
        <f>IF('Open 30M - Scoring'!B27&lt;&gt;"",IF('Open 30M - Scoring'!S27&lt;&gt;"",'Open 30M - Scoring'!S27,""),"")</f>
        <v/>
      </c>
      <c r="K182" s="79" t="str">
        <f>IF('Open 30M - Scoring'!B27&lt;&gt;"",IF('Open 30M - Scoring'!T27&lt;&gt;"",'Open 30M - Scoring'!T27,""),"")</f>
        <v/>
      </c>
      <c r="L182" s="80" t="str">
        <f>IF('Open 30M - Scoring'!B27&lt;&gt;"",'Open 30M - Scoring'!AR27,"")</f>
        <v/>
      </c>
      <c r="M182" s="81" t="str">
        <f>IF(L180&lt;&gt;"",IFERROR(IF(ISNUMBER(L180),L180,0),0)+IFERROR(IF(ISNUMBER(L181),L181,0),0)+IFERROR(IF(ISNUMBER(L182),L182,0),0),"")</f>
        <v/>
      </c>
    </row>
    <row r="183" spans="1:13" ht="19.5" customHeight="1" x14ac:dyDescent="0.35">
      <c r="A183" s="78" t="s">
        <v>227</v>
      </c>
      <c r="B183" s="79" t="str">
        <f>IF('Open 30M - Scoring'!B26&lt;&gt;"",IF('Open 30M - Scoring'!X26&lt;&gt;"",'Open 30M - Scoring'!X26,""),"")</f>
        <v/>
      </c>
      <c r="C183" s="79" t="str">
        <f>IF('Open 30M - Scoring'!B26&lt;&gt;"",IF('Open 30M - Scoring'!Y26&lt;&gt;"",'Open 30M - Scoring'!Y26,""),"")</f>
        <v/>
      </c>
      <c r="D183" s="79" t="str">
        <f>IF('Open 30M - Scoring'!B26&lt;&gt;"",IF('Open 30M - Scoring'!Z26&lt;&gt;"",'Open 30M - Scoring'!Z26,""),"")</f>
        <v/>
      </c>
      <c r="E183" s="80" t="str">
        <f>IF('Open 30M - Scoring'!B26&lt;&gt;"",'Open 30M - Scoring'!AS26,"")</f>
        <v/>
      </c>
      <c r="F183" s="81" t="str">
        <f>IF(E180&lt;&gt;"",IFERROR(IF(ISNUMBER(E180),E180,0),0)+IFERROR(IF(ISNUMBER(E181),E181,0),0)+IFERROR(IF(ISNUMBER(E182),E182,0),0)+IFERROR(IF(ISNUMBER(E183),E183,0),0),"")</f>
        <v/>
      </c>
      <c r="H183" s="78" t="s">
        <v>227</v>
      </c>
      <c r="I183" s="79" t="str">
        <f>IF('Open 30M - Scoring'!B27&lt;&gt;"",IF('Open 30M - Scoring'!X27&lt;&gt;"",'Open 30M - Scoring'!X27,""),"")</f>
        <v/>
      </c>
      <c r="J183" s="79" t="str">
        <f>IF('Open 30M - Scoring'!B27&lt;&gt;"",IF('Open 30M - Scoring'!Y27&lt;&gt;"",'Open 30M - Scoring'!Y27,""),"")</f>
        <v/>
      </c>
      <c r="K183" s="79" t="str">
        <f>IF('Open 30M - Scoring'!B27&lt;&gt;"",IF('Open 30M - Scoring'!Z27&lt;&gt;"",'Open 30M - Scoring'!Z27,""),"")</f>
        <v/>
      </c>
      <c r="L183" s="80" t="str">
        <f>IF('Open 30M - Scoring'!B27&lt;&gt;"",'Open 30M - Scoring'!AS27,"")</f>
        <v/>
      </c>
      <c r="M183" s="81" t="str">
        <f>IF(L180&lt;&gt;"",IFERROR(IF(ISNUMBER(L180),L180,0),0)+IFERROR(IF(ISNUMBER(L181),L181,0),0)+IFERROR(IF(ISNUMBER(L182),L182,0),0)+IFERROR(IF(ISNUMBER(L183),L183,0),0),"")</f>
        <v/>
      </c>
    </row>
    <row r="184" spans="1:13" ht="19.5" customHeight="1" x14ac:dyDescent="0.35">
      <c r="A184" s="78" t="s">
        <v>228</v>
      </c>
      <c r="B184" s="79" t="str">
        <f>IF('Open 30M - Scoring'!B26&lt;&gt;"",IF('Open 30M - Scoring'!AD26&lt;&gt;"",'Open 30M - Scoring'!AD26,""),"")</f>
        <v/>
      </c>
      <c r="C184" s="79" t="str">
        <f>IF('Open 30M - Scoring'!B26&lt;&gt;"",IF('Open 30M - Scoring'!AE26&lt;&gt;"",'Open 30M - Scoring'!AE26,""),"")</f>
        <v/>
      </c>
      <c r="D184" s="79" t="str">
        <f>IF('Open 30M - Scoring'!B26&lt;&gt;"",IF('Open 30M - Scoring'!AF26&lt;&gt;"",'Open 30M - Scoring'!AF26,""),"")</f>
        <v/>
      </c>
      <c r="E184" s="80" t="str">
        <f>IF('Open 30M - Scoring'!B26&lt;&gt;"",'Open 30M - Scoring'!AT26,"")</f>
        <v/>
      </c>
      <c r="F184" s="81" t="str">
        <f>IF(E180&lt;&gt;"",IFERROR(IF(ISNUMBER(E180),E180,0),0)+IFERROR(IF(ISNUMBER(E181),E181,0),0)+IFERROR(IF(ISNUMBER(E182),E182,0),0)+IFERROR(IF(ISNUMBER(E183),E183,0),0)+IFERROR(IF(ISNUMBER(E184),E184,0),0),"")</f>
        <v/>
      </c>
      <c r="H184" s="78" t="s">
        <v>228</v>
      </c>
      <c r="I184" s="79" t="str">
        <f>IF('Open 30M - Scoring'!B27&lt;&gt;"",IF('Open 30M - Scoring'!AD27&lt;&gt;"",'Open 30M - Scoring'!AD27,""),"")</f>
        <v/>
      </c>
      <c r="J184" s="79" t="str">
        <f>IF('Open 30M - Scoring'!B27&lt;&gt;"",IF('Open 30M - Scoring'!AE27&lt;&gt;"",'Open 30M - Scoring'!AE27,""),"")</f>
        <v/>
      </c>
      <c r="K184" s="79" t="str">
        <f>IF('Open 30M - Scoring'!B27&lt;&gt;"",IF('Open 30M - Scoring'!AF27&lt;&gt;"",'Open 30M - Scoring'!AF27,""),"")</f>
        <v/>
      </c>
      <c r="L184" s="80" t="str">
        <f>IF('Open 30M - Scoring'!B27&lt;&gt;"",'Open 30M - Scoring'!AT27,"")</f>
        <v/>
      </c>
      <c r="M184" s="81" t="str">
        <f>IF(L180&lt;&gt;"",IFERROR(IF(ISNUMBER(L180),L180,0),0)+IFERROR(IF(ISNUMBER(L181),L181,0),0)+IFERROR(IF(ISNUMBER(L182),L182,0),0)+IFERROR(IF(ISNUMBER(L183),L183,0),0)+IFERROR(IF(ISNUMBER(L184),L184,0),0),"")</f>
        <v/>
      </c>
    </row>
    <row r="185" spans="1:13" ht="19.5" customHeight="1" x14ac:dyDescent="0.35">
      <c r="A185" s="78" t="s">
        <v>229</v>
      </c>
      <c r="B185" s="79" t="str">
        <f>IF('Open 30M - Scoring'!B26&lt;&gt;"",IF('Open 30M - Scoring'!AJ26&lt;&gt;"",'Open 30M - Scoring'!AJ26,""),"")</f>
        <v/>
      </c>
      <c r="C185" s="79" t="str">
        <f>IF('Open 30M - Scoring'!B26&lt;&gt;"",IF('Open 30M - Scoring'!AK26&lt;&gt;"",'Open 30M - Scoring'!AK26,""),"")</f>
        <v/>
      </c>
      <c r="D185" s="79" t="str">
        <f>IF('Open 30M - Scoring'!B26&lt;&gt;"",IF('Open 30M - Scoring'!AL26&lt;&gt;"",'Open 30M - Scoring'!AL26,""),"")</f>
        <v/>
      </c>
      <c r="E185" s="80" t="str">
        <f>IF('Open 30M - Scoring'!B26&lt;&gt;"",'Open 30M - Scoring'!AU26,"")</f>
        <v/>
      </c>
      <c r="F185" s="81" t="str">
        <f>IF(E180&lt;&gt;"",IFERROR(IF(ISNUMBER(E180),E180,0),0)+IFERROR(IF(ISNUMBER(E181),E181,0),0)+IFERROR(IF(ISNUMBER(E182),E182,0),0)+IFERROR(IF(ISNUMBER(E183),E183,0),0)+IFERROR(IF(ISNUMBER(E184),E184,0),0)+IFERROR(IF(ISNUMBER(E185),E185,0),0),"")</f>
        <v/>
      </c>
      <c r="H185" s="78" t="s">
        <v>229</v>
      </c>
      <c r="I185" s="79" t="str">
        <f>IF('Open 30M - Scoring'!B27&lt;&gt;"",IF('Open 30M - Scoring'!AJ27&lt;&gt;"",'Open 30M - Scoring'!AJ27,""),"")</f>
        <v/>
      </c>
      <c r="J185" s="79" t="str">
        <f>IF('Open 30M - Scoring'!B27&lt;&gt;"",IF('Open 30M - Scoring'!AK27&lt;&gt;"",'Open 30M - Scoring'!AK27,""),"")</f>
        <v/>
      </c>
      <c r="K185" s="79" t="str">
        <f>IF('Open 30M - Scoring'!B27&lt;&gt;"",IF('Open 30M - Scoring'!AL27&lt;&gt;"",'Open 30M - Scoring'!AL27,""),"")</f>
        <v/>
      </c>
      <c r="L185" s="80" t="str">
        <f>IF('Open 30M - Scoring'!B27&lt;&gt;"",'Open 30M - Scoring'!AU27,"")</f>
        <v/>
      </c>
      <c r="M185" s="81" t="str">
        <f>IF(L180&lt;&gt;"",IFERROR(IF(ISNUMBER(L180),L180,0),0)+IFERROR(IF(ISNUMBER(L181),L181,0),0)+IFERROR(IF(ISNUMBER(L182),L182,0),0)+IFERROR(IF(ISNUMBER(L183),L183,0),0)+IFERROR(IF(ISNUMBER(L184),L184,0),0)+IFERROR(IF(ISNUMBER(L185),L185,0),0),"")</f>
        <v/>
      </c>
    </row>
    <row r="186" spans="1:13" ht="3.75" customHeight="1" x14ac:dyDescent="0.35"/>
    <row r="187" spans="1:13" ht="24" customHeight="1" x14ac:dyDescent="0.35">
      <c r="A187" s="124" t="s">
        <v>230</v>
      </c>
      <c r="B187" s="124"/>
      <c r="C187" s="124"/>
      <c r="D187" s="124"/>
      <c r="E187" s="125" t="str">
        <f>IF('Open 30M - Scoring'!B26&lt;&gt;"",'Open 30M - Scoring'!AV26,"")</f>
        <v/>
      </c>
      <c r="F187" s="125"/>
      <c r="H187" s="124" t="s">
        <v>230</v>
      </c>
      <c r="I187" s="124"/>
      <c r="J187" s="124"/>
      <c r="K187" s="124"/>
      <c r="L187" s="125" t="str">
        <f>IF('Open 30M - Scoring'!B27&lt;&gt;"",'Open 30M - Scoring'!AV27,"")</f>
        <v/>
      </c>
      <c r="M187" s="125"/>
    </row>
    <row r="188" spans="1:13" ht="19.5" customHeight="1" x14ac:dyDescent="0.35">
      <c r="E188" s="125"/>
      <c r="F188" s="125"/>
      <c r="L188" s="125"/>
      <c r="M188" s="125"/>
    </row>
    <row r="189" spans="1:13" ht="3.75" customHeight="1" x14ac:dyDescent="0.35"/>
    <row r="190" spans="1:13" ht="18" customHeight="1" x14ac:dyDescent="0.35">
      <c r="A190" s="73" t="s">
        <v>126</v>
      </c>
      <c r="B190" s="82" t="str">
        <f>IF('Open 30M - Scoring'!B26&lt;&gt;"",'Open 30M - Scoring'!AW26,"")</f>
        <v/>
      </c>
      <c r="C190" s="73" t="s">
        <v>127</v>
      </c>
      <c r="D190" s="83" t="str">
        <f>IF('Open 30M - Scoring'!B26&lt;&gt;"",'Open 30M - Scoring'!AX26,"")</f>
        <v/>
      </c>
      <c r="E190" s="73" t="s">
        <v>128</v>
      </c>
      <c r="F190" s="83" t="str">
        <f>IF('Open 30M - Scoring'!B26&lt;&gt;"",'Open 30M - Scoring'!AY26,"")</f>
        <v/>
      </c>
      <c r="H190" s="73" t="s">
        <v>126</v>
      </c>
      <c r="I190" s="82" t="str">
        <f>IF('Open 30M - Scoring'!B27&lt;&gt;"",'Open 30M - Scoring'!AW27,"")</f>
        <v/>
      </c>
      <c r="J190" s="73" t="s">
        <v>127</v>
      </c>
      <c r="K190" s="83" t="str">
        <f>IF('Open 30M - Scoring'!B27&lt;&gt;"",'Open 30M - Scoring'!AX27,"")</f>
        <v/>
      </c>
      <c r="L190" s="73" t="s">
        <v>128</v>
      </c>
      <c r="M190" s="83" t="str">
        <f>IF('Open 30M - Scoring'!B27&lt;&gt;"",'Open 30M - Scoring'!AY27,"")</f>
        <v/>
      </c>
    </row>
    <row r="191" spans="1:13" ht="3.75" customHeight="1" x14ac:dyDescent="0.35"/>
    <row r="192" spans="1:13" ht="7.5" customHeight="1" x14ac:dyDescent="0.35">
      <c r="A192" s="126"/>
      <c r="B192" s="126"/>
      <c r="C192" s="126"/>
      <c r="D192" s="126"/>
      <c r="E192" s="126"/>
      <c r="F192" s="126"/>
      <c r="G192" s="126"/>
      <c r="H192" s="126"/>
      <c r="I192" s="126"/>
      <c r="J192" s="126"/>
      <c r="K192" s="126"/>
      <c r="L192" s="126"/>
      <c r="M192" s="126"/>
    </row>
    <row r="193" spans="1:13" ht="15.75" customHeight="1" x14ac:dyDescent="0.35">
      <c r="A193" s="73" t="s">
        <v>218</v>
      </c>
      <c r="B193" s="122" t="str">
        <f>IF('Open 30M - Scoring'!B28&lt;&gt;"",'Open 30M - Scoring'!B28,"")</f>
        <v/>
      </c>
      <c r="C193" s="122"/>
      <c r="D193" s="122"/>
      <c r="E193" s="73" t="s">
        <v>219</v>
      </c>
      <c r="F193" s="74" t="str">
        <f>IF('Open 30M - Scoring'!B28&lt;&gt;"",'Open 30M - Scoring'!BB28,"")</f>
        <v/>
      </c>
      <c r="H193" s="73" t="s">
        <v>218</v>
      </c>
      <c r="I193" s="122" t="str">
        <f>IF('Open 30M - Scoring'!B29&lt;&gt;"",'Open 30M - Scoring'!B29,"")</f>
        <v/>
      </c>
      <c r="J193" s="122"/>
      <c r="K193" s="122"/>
      <c r="L193" s="73" t="s">
        <v>219</v>
      </c>
      <c r="M193" s="74" t="str">
        <f>IF('Open 30M - Scoring'!B29&lt;&gt;"",'Open 30M - Scoring'!BB29,"")</f>
        <v/>
      </c>
    </row>
    <row r="194" spans="1:13" ht="15.75" customHeight="1" x14ac:dyDescent="0.35">
      <c r="A194" s="73" t="s">
        <v>220</v>
      </c>
      <c r="B194" s="123" t="str">
        <f>IF('Open 30M - Scoring'!B28&lt;&gt;"",'Open 30M - Scoring'!D28,"")</f>
        <v/>
      </c>
      <c r="C194" s="123"/>
      <c r="D194" s="123"/>
      <c r="E194" s="73" t="s">
        <v>8</v>
      </c>
      <c r="F194" s="75" t="str">
        <f>IF('Open 30M - Scoring'!B28&lt;&gt;"",'Open 30M - Scoring'!E28,"")</f>
        <v/>
      </c>
      <c r="H194" s="73" t="s">
        <v>220</v>
      </c>
      <c r="I194" s="123" t="str">
        <f>IF('Open 30M - Scoring'!B29&lt;&gt;"",'Open 30M - Scoring'!D29,"")</f>
        <v/>
      </c>
      <c r="J194" s="123"/>
      <c r="K194" s="123"/>
      <c r="L194" s="73" t="s">
        <v>8</v>
      </c>
      <c r="M194" s="75" t="str">
        <f>IF('Open 30M - Scoring'!B29&lt;&gt;"",'Open 30M - Scoring'!E29,"")</f>
        <v/>
      </c>
    </row>
    <row r="195" spans="1:13" ht="3.75" customHeight="1" x14ac:dyDescent="0.35"/>
    <row r="196" spans="1:13" ht="25.5" customHeight="1" x14ac:dyDescent="0.35">
      <c r="A196" s="76" t="s">
        <v>221</v>
      </c>
      <c r="B196" s="77" t="s">
        <v>222</v>
      </c>
      <c r="C196" s="77" t="s">
        <v>223</v>
      </c>
      <c r="D196" s="77" t="s">
        <v>224</v>
      </c>
      <c r="E196" s="76" t="s">
        <v>225</v>
      </c>
      <c r="F196" s="76" t="s">
        <v>226</v>
      </c>
      <c r="H196" s="76" t="s">
        <v>221</v>
      </c>
      <c r="I196" s="77" t="s">
        <v>222</v>
      </c>
      <c r="J196" s="77" t="s">
        <v>223</v>
      </c>
      <c r="K196" s="77" t="s">
        <v>224</v>
      </c>
      <c r="L196" s="76" t="s">
        <v>225</v>
      </c>
      <c r="M196" s="76" t="s">
        <v>226</v>
      </c>
    </row>
    <row r="197" spans="1:13" ht="19.5" customHeight="1" x14ac:dyDescent="0.35">
      <c r="A197" s="78" t="s">
        <v>222</v>
      </c>
      <c r="B197" s="79" t="str">
        <f>IF('Open 30M - Scoring'!B28&lt;&gt;"",IF('Open 30M - Scoring'!F28&lt;&gt;"",'Open 30M - Scoring'!F28,""),"")</f>
        <v/>
      </c>
      <c r="C197" s="79" t="str">
        <f>IF('Open 30M - Scoring'!B28&lt;&gt;"",IF('Open 30M - Scoring'!G28&lt;&gt;"",'Open 30M - Scoring'!G28,""),"")</f>
        <v/>
      </c>
      <c r="D197" s="79" t="str">
        <f>IF('Open 30M - Scoring'!B28&lt;&gt;"",IF('Open 30M - Scoring'!H28&lt;&gt;"",'Open 30M - Scoring'!H28,""),"")</f>
        <v/>
      </c>
      <c r="E197" s="80" t="str">
        <f>IF('Open 30M - Scoring'!B28&lt;&gt;"",'Open 30M - Scoring'!AP28,"")</f>
        <v/>
      </c>
      <c r="F197" s="81" t="str">
        <f>IFERROR(IF(ISNUMBER(E197),E197,""),"")</f>
        <v/>
      </c>
      <c r="H197" s="78" t="s">
        <v>222</v>
      </c>
      <c r="I197" s="79" t="str">
        <f>IF('Open 30M - Scoring'!B29&lt;&gt;"",IF('Open 30M - Scoring'!F29&lt;&gt;"",'Open 30M - Scoring'!F29,""),"")</f>
        <v/>
      </c>
      <c r="J197" s="79" t="str">
        <f>IF('Open 30M - Scoring'!B29&lt;&gt;"",IF('Open 30M - Scoring'!G29&lt;&gt;"",'Open 30M - Scoring'!G29,""),"")</f>
        <v/>
      </c>
      <c r="K197" s="79" t="str">
        <f>IF('Open 30M - Scoring'!B29&lt;&gt;"",IF('Open 30M - Scoring'!H29&lt;&gt;"",'Open 30M - Scoring'!H29,""),"")</f>
        <v/>
      </c>
      <c r="L197" s="80" t="str">
        <f>IF('Open 30M - Scoring'!B29&lt;&gt;"",'Open 30M - Scoring'!AP29,"")</f>
        <v/>
      </c>
      <c r="M197" s="81" t="str">
        <f>IFERROR(IF(ISNUMBER(L197),L197,""),"")</f>
        <v/>
      </c>
    </row>
    <row r="198" spans="1:13" ht="19.5" customHeight="1" x14ac:dyDescent="0.35">
      <c r="A198" s="78" t="s">
        <v>223</v>
      </c>
      <c r="B198" s="79" t="str">
        <f>IF('Open 30M - Scoring'!B28&lt;&gt;"",IF('Open 30M - Scoring'!L28&lt;&gt;"",'Open 30M - Scoring'!L28,""),"")</f>
        <v/>
      </c>
      <c r="C198" s="79" t="str">
        <f>IF('Open 30M - Scoring'!B28&lt;&gt;"",IF('Open 30M - Scoring'!M28&lt;&gt;"",'Open 30M - Scoring'!M28,""),"")</f>
        <v/>
      </c>
      <c r="D198" s="79" t="str">
        <f>IF('Open 30M - Scoring'!B28&lt;&gt;"",IF('Open 30M - Scoring'!N28&lt;&gt;"",'Open 30M - Scoring'!N28,""),"")</f>
        <v/>
      </c>
      <c r="E198" s="80" t="str">
        <f>IF('Open 30M - Scoring'!B28&lt;&gt;"",'Open 30M - Scoring'!AQ28,"")</f>
        <v/>
      </c>
      <c r="F198" s="81" t="str">
        <f>IF(E197&lt;&gt;"",IFERROR(IF(ISNUMBER(E197),E197,0),0)+IFERROR(IF(ISNUMBER(E198),E198,0),0),"")</f>
        <v/>
      </c>
      <c r="H198" s="78" t="s">
        <v>223</v>
      </c>
      <c r="I198" s="79" t="str">
        <f>IF('Open 30M - Scoring'!B29&lt;&gt;"",IF('Open 30M - Scoring'!L29&lt;&gt;"",'Open 30M - Scoring'!L29,""),"")</f>
        <v/>
      </c>
      <c r="J198" s="79" t="str">
        <f>IF('Open 30M - Scoring'!B29&lt;&gt;"",IF('Open 30M - Scoring'!M29&lt;&gt;"",'Open 30M - Scoring'!M29,""),"")</f>
        <v/>
      </c>
      <c r="K198" s="79" t="str">
        <f>IF('Open 30M - Scoring'!B29&lt;&gt;"",IF('Open 30M - Scoring'!N29&lt;&gt;"",'Open 30M - Scoring'!N29,""),"")</f>
        <v/>
      </c>
      <c r="L198" s="80" t="str">
        <f>IF('Open 30M - Scoring'!B29&lt;&gt;"",'Open 30M - Scoring'!AQ29,"")</f>
        <v/>
      </c>
      <c r="M198" s="81" t="str">
        <f>IF(L197&lt;&gt;"",IFERROR(IF(ISNUMBER(L197),L197,0),0)+IFERROR(IF(ISNUMBER(L198),L198,0),0),"")</f>
        <v/>
      </c>
    </row>
    <row r="199" spans="1:13" ht="19.5" customHeight="1" x14ac:dyDescent="0.35">
      <c r="A199" s="78" t="s">
        <v>224</v>
      </c>
      <c r="B199" s="79" t="str">
        <f>IF('Open 30M - Scoring'!B28&lt;&gt;"",IF('Open 30M - Scoring'!R28&lt;&gt;"",'Open 30M - Scoring'!R28,""),"")</f>
        <v/>
      </c>
      <c r="C199" s="79" t="str">
        <f>IF('Open 30M - Scoring'!B28&lt;&gt;"",IF('Open 30M - Scoring'!S28&lt;&gt;"",'Open 30M - Scoring'!S28,""),"")</f>
        <v/>
      </c>
      <c r="D199" s="79" t="str">
        <f>IF('Open 30M - Scoring'!B28&lt;&gt;"",IF('Open 30M - Scoring'!T28&lt;&gt;"",'Open 30M - Scoring'!T28,""),"")</f>
        <v/>
      </c>
      <c r="E199" s="80" t="str">
        <f>IF('Open 30M - Scoring'!B28&lt;&gt;"",'Open 30M - Scoring'!AR28,"")</f>
        <v/>
      </c>
      <c r="F199" s="81" t="str">
        <f>IF(E197&lt;&gt;"",IFERROR(IF(ISNUMBER(E197),E197,0),0)+IFERROR(IF(ISNUMBER(E198),E198,0),0)+IFERROR(IF(ISNUMBER(E199),E199,0),0),"")</f>
        <v/>
      </c>
      <c r="H199" s="78" t="s">
        <v>224</v>
      </c>
      <c r="I199" s="79" t="str">
        <f>IF('Open 30M - Scoring'!B29&lt;&gt;"",IF('Open 30M - Scoring'!R29&lt;&gt;"",'Open 30M - Scoring'!R29,""),"")</f>
        <v/>
      </c>
      <c r="J199" s="79" t="str">
        <f>IF('Open 30M - Scoring'!B29&lt;&gt;"",IF('Open 30M - Scoring'!S29&lt;&gt;"",'Open 30M - Scoring'!S29,""),"")</f>
        <v/>
      </c>
      <c r="K199" s="79" t="str">
        <f>IF('Open 30M - Scoring'!B29&lt;&gt;"",IF('Open 30M - Scoring'!T29&lt;&gt;"",'Open 30M - Scoring'!T29,""),"")</f>
        <v/>
      </c>
      <c r="L199" s="80" t="str">
        <f>IF('Open 30M - Scoring'!B29&lt;&gt;"",'Open 30M - Scoring'!AR29,"")</f>
        <v/>
      </c>
      <c r="M199" s="81" t="str">
        <f>IF(L197&lt;&gt;"",IFERROR(IF(ISNUMBER(L197),L197,0),0)+IFERROR(IF(ISNUMBER(L198),L198,0),0)+IFERROR(IF(ISNUMBER(L199),L199,0),0),"")</f>
        <v/>
      </c>
    </row>
    <row r="200" spans="1:13" ht="19.5" customHeight="1" x14ac:dyDescent="0.35">
      <c r="A200" s="78" t="s">
        <v>227</v>
      </c>
      <c r="B200" s="79" t="str">
        <f>IF('Open 30M - Scoring'!B28&lt;&gt;"",IF('Open 30M - Scoring'!X28&lt;&gt;"",'Open 30M - Scoring'!X28,""),"")</f>
        <v/>
      </c>
      <c r="C200" s="79" t="str">
        <f>IF('Open 30M - Scoring'!B28&lt;&gt;"",IF('Open 30M - Scoring'!Y28&lt;&gt;"",'Open 30M - Scoring'!Y28,""),"")</f>
        <v/>
      </c>
      <c r="D200" s="79" t="str">
        <f>IF('Open 30M - Scoring'!B28&lt;&gt;"",IF('Open 30M - Scoring'!Z28&lt;&gt;"",'Open 30M - Scoring'!Z28,""),"")</f>
        <v/>
      </c>
      <c r="E200" s="80" t="str">
        <f>IF('Open 30M - Scoring'!B28&lt;&gt;"",'Open 30M - Scoring'!AS28,"")</f>
        <v/>
      </c>
      <c r="F200" s="81" t="str">
        <f>IF(E197&lt;&gt;"",IFERROR(IF(ISNUMBER(E197),E197,0),0)+IFERROR(IF(ISNUMBER(E198),E198,0),0)+IFERROR(IF(ISNUMBER(E199),E199,0),0)+IFERROR(IF(ISNUMBER(E200),E200,0),0),"")</f>
        <v/>
      </c>
      <c r="H200" s="78" t="s">
        <v>227</v>
      </c>
      <c r="I200" s="79" t="str">
        <f>IF('Open 30M - Scoring'!B29&lt;&gt;"",IF('Open 30M - Scoring'!X29&lt;&gt;"",'Open 30M - Scoring'!X29,""),"")</f>
        <v/>
      </c>
      <c r="J200" s="79" t="str">
        <f>IF('Open 30M - Scoring'!B29&lt;&gt;"",IF('Open 30M - Scoring'!Y29&lt;&gt;"",'Open 30M - Scoring'!Y29,""),"")</f>
        <v/>
      </c>
      <c r="K200" s="79" t="str">
        <f>IF('Open 30M - Scoring'!B29&lt;&gt;"",IF('Open 30M - Scoring'!Z29&lt;&gt;"",'Open 30M - Scoring'!Z29,""),"")</f>
        <v/>
      </c>
      <c r="L200" s="80" t="str">
        <f>IF('Open 30M - Scoring'!B29&lt;&gt;"",'Open 30M - Scoring'!AS29,"")</f>
        <v/>
      </c>
      <c r="M200" s="81" t="str">
        <f>IF(L197&lt;&gt;"",IFERROR(IF(ISNUMBER(L197),L197,0),0)+IFERROR(IF(ISNUMBER(L198),L198,0),0)+IFERROR(IF(ISNUMBER(L199),L199,0),0)+IFERROR(IF(ISNUMBER(L200),L200,0),0),"")</f>
        <v/>
      </c>
    </row>
    <row r="201" spans="1:13" ht="19.5" customHeight="1" x14ac:dyDescent="0.35">
      <c r="A201" s="78" t="s">
        <v>228</v>
      </c>
      <c r="B201" s="79" t="str">
        <f>IF('Open 30M - Scoring'!B28&lt;&gt;"",IF('Open 30M - Scoring'!AD28&lt;&gt;"",'Open 30M - Scoring'!AD28,""),"")</f>
        <v/>
      </c>
      <c r="C201" s="79" t="str">
        <f>IF('Open 30M - Scoring'!B28&lt;&gt;"",IF('Open 30M - Scoring'!AE28&lt;&gt;"",'Open 30M - Scoring'!AE28,""),"")</f>
        <v/>
      </c>
      <c r="D201" s="79" t="str">
        <f>IF('Open 30M - Scoring'!B28&lt;&gt;"",IF('Open 30M - Scoring'!AF28&lt;&gt;"",'Open 30M - Scoring'!AF28,""),"")</f>
        <v/>
      </c>
      <c r="E201" s="80" t="str">
        <f>IF('Open 30M - Scoring'!B28&lt;&gt;"",'Open 30M - Scoring'!AT28,"")</f>
        <v/>
      </c>
      <c r="F201" s="81" t="str">
        <f>IF(E197&lt;&gt;"",IFERROR(IF(ISNUMBER(E197),E197,0),0)+IFERROR(IF(ISNUMBER(E198),E198,0),0)+IFERROR(IF(ISNUMBER(E199),E199,0),0)+IFERROR(IF(ISNUMBER(E200),E200,0),0)+IFERROR(IF(ISNUMBER(E201),E201,0),0),"")</f>
        <v/>
      </c>
      <c r="H201" s="78" t="s">
        <v>228</v>
      </c>
      <c r="I201" s="79" t="str">
        <f>IF('Open 30M - Scoring'!B29&lt;&gt;"",IF('Open 30M - Scoring'!AD29&lt;&gt;"",'Open 30M - Scoring'!AD29,""),"")</f>
        <v/>
      </c>
      <c r="J201" s="79" t="str">
        <f>IF('Open 30M - Scoring'!B29&lt;&gt;"",IF('Open 30M - Scoring'!AE29&lt;&gt;"",'Open 30M - Scoring'!AE29,""),"")</f>
        <v/>
      </c>
      <c r="K201" s="79" t="str">
        <f>IF('Open 30M - Scoring'!B29&lt;&gt;"",IF('Open 30M - Scoring'!AF29&lt;&gt;"",'Open 30M - Scoring'!AF29,""),"")</f>
        <v/>
      </c>
      <c r="L201" s="80" t="str">
        <f>IF('Open 30M - Scoring'!B29&lt;&gt;"",'Open 30M - Scoring'!AT29,"")</f>
        <v/>
      </c>
      <c r="M201" s="81" t="str">
        <f>IF(L197&lt;&gt;"",IFERROR(IF(ISNUMBER(L197),L197,0),0)+IFERROR(IF(ISNUMBER(L198),L198,0),0)+IFERROR(IF(ISNUMBER(L199),L199,0),0)+IFERROR(IF(ISNUMBER(L200),L200,0),0)+IFERROR(IF(ISNUMBER(L201),L201,0),0),"")</f>
        <v/>
      </c>
    </row>
    <row r="202" spans="1:13" ht="19.5" customHeight="1" x14ac:dyDescent="0.35">
      <c r="A202" s="78" t="s">
        <v>229</v>
      </c>
      <c r="B202" s="79" t="str">
        <f>IF('Open 30M - Scoring'!B28&lt;&gt;"",IF('Open 30M - Scoring'!AJ28&lt;&gt;"",'Open 30M - Scoring'!AJ28,""),"")</f>
        <v/>
      </c>
      <c r="C202" s="79" t="str">
        <f>IF('Open 30M - Scoring'!B28&lt;&gt;"",IF('Open 30M - Scoring'!AK28&lt;&gt;"",'Open 30M - Scoring'!AK28,""),"")</f>
        <v/>
      </c>
      <c r="D202" s="79" t="str">
        <f>IF('Open 30M - Scoring'!B28&lt;&gt;"",IF('Open 30M - Scoring'!AL28&lt;&gt;"",'Open 30M - Scoring'!AL28,""),"")</f>
        <v/>
      </c>
      <c r="E202" s="80" t="str">
        <f>IF('Open 30M - Scoring'!B28&lt;&gt;"",'Open 30M - Scoring'!AU28,"")</f>
        <v/>
      </c>
      <c r="F202" s="81" t="str">
        <f>IF(E197&lt;&gt;"",IFERROR(IF(ISNUMBER(E197),E197,0),0)+IFERROR(IF(ISNUMBER(E198),E198,0),0)+IFERROR(IF(ISNUMBER(E199),E199,0),0)+IFERROR(IF(ISNUMBER(E200),E200,0),0)+IFERROR(IF(ISNUMBER(E201),E201,0),0)+IFERROR(IF(ISNUMBER(E202),E202,0),0),"")</f>
        <v/>
      </c>
      <c r="H202" s="78" t="s">
        <v>229</v>
      </c>
      <c r="I202" s="79" t="str">
        <f>IF('Open 30M - Scoring'!B29&lt;&gt;"",IF('Open 30M - Scoring'!AJ29&lt;&gt;"",'Open 30M - Scoring'!AJ29,""),"")</f>
        <v/>
      </c>
      <c r="J202" s="79" t="str">
        <f>IF('Open 30M - Scoring'!B29&lt;&gt;"",IF('Open 30M - Scoring'!AK29&lt;&gt;"",'Open 30M - Scoring'!AK29,""),"")</f>
        <v/>
      </c>
      <c r="K202" s="79" t="str">
        <f>IF('Open 30M - Scoring'!B29&lt;&gt;"",IF('Open 30M - Scoring'!AL29&lt;&gt;"",'Open 30M - Scoring'!AL29,""),"")</f>
        <v/>
      </c>
      <c r="L202" s="80" t="str">
        <f>IF('Open 30M - Scoring'!B29&lt;&gt;"",'Open 30M - Scoring'!AU29,"")</f>
        <v/>
      </c>
      <c r="M202" s="81" t="str">
        <f>IF(L197&lt;&gt;"",IFERROR(IF(ISNUMBER(L197),L197,0),0)+IFERROR(IF(ISNUMBER(L198),L198,0),0)+IFERROR(IF(ISNUMBER(L199),L199,0),0)+IFERROR(IF(ISNUMBER(L200),L200,0),0)+IFERROR(IF(ISNUMBER(L201),L201,0),0)+IFERROR(IF(ISNUMBER(L202),L202,0),0),"")</f>
        <v/>
      </c>
    </row>
    <row r="203" spans="1:13" ht="3.75" customHeight="1" x14ac:dyDescent="0.35"/>
    <row r="204" spans="1:13" ht="24" customHeight="1" x14ac:dyDescent="0.35">
      <c r="A204" s="124" t="s">
        <v>230</v>
      </c>
      <c r="B204" s="124"/>
      <c r="C204" s="124"/>
      <c r="D204" s="124"/>
      <c r="E204" s="125" t="str">
        <f>IF('Open 30M - Scoring'!B28&lt;&gt;"",'Open 30M - Scoring'!AV28,"")</f>
        <v/>
      </c>
      <c r="F204" s="125"/>
      <c r="H204" s="124" t="s">
        <v>230</v>
      </c>
      <c r="I204" s="124"/>
      <c r="J204" s="124"/>
      <c r="K204" s="124"/>
      <c r="L204" s="125" t="str">
        <f>IF('Open 30M - Scoring'!B29&lt;&gt;"",'Open 30M - Scoring'!AV29,"")</f>
        <v/>
      </c>
      <c r="M204" s="125"/>
    </row>
    <row r="205" spans="1:13" ht="19.5" customHeight="1" x14ac:dyDescent="0.35">
      <c r="E205" s="125"/>
      <c r="F205" s="125"/>
      <c r="L205" s="125"/>
      <c r="M205" s="125"/>
    </row>
    <row r="206" spans="1:13" ht="3.75" customHeight="1" x14ac:dyDescent="0.35"/>
    <row r="207" spans="1:13" ht="18" customHeight="1" x14ac:dyDescent="0.35">
      <c r="A207" s="73" t="s">
        <v>126</v>
      </c>
      <c r="B207" s="82" t="str">
        <f>IF('Open 30M - Scoring'!B28&lt;&gt;"",'Open 30M - Scoring'!AW28,"")</f>
        <v/>
      </c>
      <c r="C207" s="73" t="s">
        <v>127</v>
      </c>
      <c r="D207" s="83" t="str">
        <f>IF('Open 30M - Scoring'!B28&lt;&gt;"",'Open 30M - Scoring'!AX28,"")</f>
        <v/>
      </c>
      <c r="E207" s="73" t="s">
        <v>128</v>
      </c>
      <c r="F207" s="83" t="str">
        <f>IF('Open 30M - Scoring'!B28&lt;&gt;"",'Open 30M - Scoring'!AY28,"")</f>
        <v/>
      </c>
      <c r="H207" s="73" t="s">
        <v>126</v>
      </c>
      <c r="I207" s="82" t="str">
        <f>IF('Open 30M - Scoring'!B29&lt;&gt;"",'Open 30M - Scoring'!AW29,"")</f>
        <v/>
      </c>
      <c r="J207" s="73" t="s">
        <v>127</v>
      </c>
      <c r="K207" s="83" t="str">
        <f>IF('Open 30M - Scoring'!B29&lt;&gt;"",'Open 30M - Scoring'!AX29,"")</f>
        <v/>
      </c>
      <c r="L207" s="73" t="s">
        <v>128</v>
      </c>
      <c r="M207" s="83" t="str">
        <f>IF('Open 30M - Scoring'!B29&lt;&gt;"",'Open 30M - Scoring'!AY29,"")</f>
        <v/>
      </c>
    </row>
    <row r="208" spans="1:13" ht="3.75" customHeight="1" x14ac:dyDescent="0.35"/>
    <row r="209" spans="1:13" ht="7.5" customHeight="1" x14ac:dyDescent="0.35">
      <c r="A209" s="126"/>
      <c r="B209" s="126"/>
      <c r="C209" s="126"/>
      <c r="D209" s="126"/>
      <c r="E209" s="126"/>
      <c r="F209" s="126"/>
      <c r="G209" s="126"/>
      <c r="H209" s="126"/>
      <c r="I209" s="126"/>
      <c r="J209" s="126"/>
      <c r="K209" s="126"/>
      <c r="L209" s="126"/>
      <c r="M209" s="126"/>
    </row>
    <row r="210" spans="1:13" ht="15.75" customHeight="1" x14ac:dyDescent="0.35">
      <c r="A210" s="73" t="s">
        <v>218</v>
      </c>
      <c r="B210" s="122" t="str">
        <f>IF('Open 30M - Scoring'!B30&lt;&gt;"",'Open 30M - Scoring'!B30,"")</f>
        <v/>
      </c>
      <c r="C210" s="122"/>
      <c r="D210" s="122"/>
      <c r="E210" s="73" t="s">
        <v>219</v>
      </c>
      <c r="F210" s="74" t="str">
        <f>IF('Open 30M - Scoring'!B30&lt;&gt;"",'Open 30M - Scoring'!BB30,"")</f>
        <v/>
      </c>
      <c r="H210" s="73" t="s">
        <v>218</v>
      </c>
      <c r="I210" s="122" t="str">
        <f>IF('Open 30M - Scoring'!B31&lt;&gt;"",'Open 30M - Scoring'!B31,"")</f>
        <v/>
      </c>
      <c r="J210" s="122"/>
      <c r="K210" s="122"/>
      <c r="L210" s="73" t="s">
        <v>219</v>
      </c>
      <c r="M210" s="74" t="str">
        <f>IF('Open 30M - Scoring'!B31&lt;&gt;"",'Open 30M - Scoring'!BB31,"")</f>
        <v/>
      </c>
    </row>
    <row r="211" spans="1:13" ht="15.75" customHeight="1" x14ac:dyDescent="0.35">
      <c r="A211" s="73" t="s">
        <v>220</v>
      </c>
      <c r="B211" s="123" t="str">
        <f>IF('Open 30M - Scoring'!B30&lt;&gt;"",'Open 30M - Scoring'!D30,"")</f>
        <v/>
      </c>
      <c r="C211" s="123"/>
      <c r="D211" s="123"/>
      <c r="E211" s="73" t="s">
        <v>8</v>
      </c>
      <c r="F211" s="75" t="str">
        <f>IF('Open 30M - Scoring'!B30&lt;&gt;"",'Open 30M - Scoring'!E30,"")</f>
        <v/>
      </c>
      <c r="H211" s="73" t="s">
        <v>220</v>
      </c>
      <c r="I211" s="123" t="str">
        <f>IF('Open 30M - Scoring'!B31&lt;&gt;"",'Open 30M - Scoring'!D31,"")</f>
        <v/>
      </c>
      <c r="J211" s="123"/>
      <c r="K211" s="123"/>
      <c r="L211" s="73" t="s">
        <v>8</v>
      </c>
      <c r="M211" s="75" t="str">
        <f>IF('Open 30M - Scoring'!B31&lt;&gt;"",'Open 30M - Scoring'!E31,"")</f>
        <v/>
      </c>
    </row>
    <row r="212" spans="1:13" ht="3.75" customHeight="1" x14ac:dyDescent="0.35"/>
    <row r="213" spans="1:13" ht="25.5" customHeight="1" x14ac:dyDescent="0.35">
      <c r="A213" s="76" t="s">
        <v>221</v>
      </c>
      <c r="B213" s="77" t="s">
        <v>222</v>
      </c>
      <c r="C213" s="77" t="s">
        <v>223</v>
      </c>
      <c r="D213" s="77" t="s">
        <v>224</v>
      </c>
      <c r="E213" s="76" t="s">
        <v>225</v>
      </c>
      <c r="F213" s="76" t="s">
        <v>226</v>
      </c>
      <c r="H213" s="76" t="s">
        <v>221</v>
      </c>
      <c r="I213" s="77" t="s">
        <v>222</v>
      </c>
      <c r="J213" s="77" t="s">
        <v>223</v>
      </c>
      <c r="K213" s="77" t="s">
        <v>224</v>
      </c>
      <c r="L213" s="76" t="s">
        <v>225</v>
      </c>
      <c r="M213" s="76" t="s">
        <v>226</v>
      </c>
    </row>
    <row r="214" spans="1:13" ht="19.5" customHeight="1" x14ac:dyDescent="0.35">
      <c r="A214" s="78" t="s">
        <v>222</v>
      </c>
      <c r="B214" s="79" t="str">
        <f>IF('Open 30M - Scoring'!B30&lt;&gt;"",IF('Open 30M - Scoring'!F30&lt;&gt;"",'Open 30M - Scoring'!F30,""),"")</f>
        <v/>
      </c>
      <c r="C214" s="79" t="str">
        <f>IF('Open 30M - Scoring'!B30&lt;&gt;"",IF('Open 30M - Scoring'!G30&lt;&gt;"",'Open 30M - Scoring'!G30,""),"")</f>
        <v/>
      </c>
      <c r="D214" s="79" t="str">
        <f>IF('Open 30M - Scoring'!B30&lt;&gt;"",IF('Open 30M - Scoring'!H30&lt;&gt;"",'Open 30M - Scoring'!H30,""),"")</f>
        <v/>
      </c>
      <c r="E214" s="80" t="str">
        <f>IF('Open 30M - Scoring'!B30&lt;&gt;"",'Open 30M - Scoring'!AP30,"")</f>
        <v/>
      </c>
      <c r="F214" s="81" t="str">
        <f>IFERROR(IF(ISNUMBER(E214),E214,""),"")</f>
        <v/>
      </c>
      <c r="H214" s="78" t="s">
        <v>222</v>
      </c>
      <c r="I214" s="79" t="str">
        <f>IF('Open 30M - Scoring'!B31&lt;&gt;"",IF('Open 30M - Scoring'!F31&lt;&gt;"",'Open 30M - Scoring'!F31,""),"")</f>
        <v/>
      </c>
      <c r="J214" s="79" t="str">
        <f>IF('Open 30M - Scoring'!B31&lt;&gt;"",IF('Open 30M - Scoring'!G31&lt;&gt;"",'Open 30M - Scoring'!G31,""),"")</f>
        <v/>
      </c>
      <c r="K214" s="79" t="str">
        <f>IF('Open 30M - Scoring'!B31&lt;&gt;"",IF('Open 30M - Scoring'!H31&lt;&gt;"",'Open 30M - Scoring'!H31,""),"")</f>
        <v/>
      </c>
      <c r="L214" s="80" t="str">
        <f>IF('Open 30M - Scoring'!B31&lt;&gt;"",'Open 30M - Scoring'!AP31,"")</f>
        <v/>
      </c>
      <c r="M214" s="81" t="str">
        <f>IFERROR(IF(ISNUMBER(L214),L214,""),"")</f>
        <v/>
      </c>
    </row>
    <row r="215" spans="1:13" ht="19.5" customHeight="1" x14ac:dyDescent="0.35">
      <c r="A215" s="78" t="s">
        <v>223</v>
      </c>
      <c r="B215" s="79" t="str">
        <f>IF('Open 30M - Scoring'!B30&lt;&gt;"",IF('Open 30M - Scoring'!L30&lt;&gt;"",'Open 30M - Scoring'!L30,""),"")</f>
        <v/>
      </c>
      <c r="C215" s="79" t="str">
        <f>IF('Open 30M - Scoring'!B30&lt;&gt;"",IF('Open 30M - Scoring'!M30&lt;&gt;"",'Open 30M - Scoring'!M30,""),"")</f>
        <v/>
      </c>
      <c r="D215" s="79" t="str">
        <f>IF('Open 30M - Scoring'!B30&lt;&gt;"",IF('Open 30M - Scoring'!N30&lt;&gt;"",'Open 30M - Scoring'!N30,""),"")</f>
        <v/>
      </c>
      <c r="E215" s="80" t="str">
        <f>IF('Open 30M - Scoring'!B30&lt;&gt;"",'Open 30M - Scoring'!AQ30,"")</f>
        <v/>
      </c>
      <c r="F215" s="81" t="str">
        <f>IF(E214&lt;&gt;"",IFERROR(IF(ISNUMBER(E214),E214,0),0)+IFERROR(IF(ISNUMBER(E215),E215,0),0),"")</f>
        <v/>
      </c>
      <c r="H215" s="78" t="s">
        <v>223</v>
      </c>
      <c r="I215" s="79" t="str">
        <f>IF('Open 30M - Scoring'!B31&lt;&gt;"",IF('Open 30M - Scoring'!L31&lt;&gt;"",'Open 30M - Scoring'!L31,""),"")</f>
        <v/>
      </c>
      <c r="J215" s="79" t="str">
        <f>IF('Open 30M - Scoring'!B31&lt;&gt;"",IF('Open 30M - Scoring'!M31&lt;&gt;"",'Open 30M - Scoring'!M31,""),"")</f>
        <v/>
      </c>
      <c r="K215" s="79" t="str">
        <f>IF('Open 30M - Scoring'!B31&lt;&gt;"",IF('Open 30M - Scoring'!N31&lt;&gt;"",'Open 30M - Scoring'!N31,""),"")</f>
        <v/>
      </c>
      <c r="L215" s="80" t="str">
        <f>IF('Open 30M - Scoring'!B31&lt;&gt;"",'Open 30M - Scoring'!AQ31,"")</f>
        <v/>
      </c>
      <c r="M215" s="81" t="str">
        <f>IF(L214&lt;&gt;"",IFERROR(IF(ISNUMBER(L214),L214,0),0)+IFERROR(IF(ISNUMBER(L215),L215,0),0),"")</f>
        <v/>
      </c>
    </row>
    <row r="216" spans="1:13" ht="19.5" customHeight="1" x14ac:dyDescent="0.35">
      <c r="A216" s="78" t="s">
        <v>224</v>
      </c>
      <c r="B216" s="79" t="str">
        <f>IF('Open 30M - Scoring'!B30&lt;&gt;"",IF('Open 30M - Scoring'!R30&lt;&gt;"",'Open 30M - Scoring'!R30,""),"")</f>
        <v/>
      </c>
      <c r="C216" s="79" t="str">
        <f>IF('Open 30M - Scoring'!B30&lt;&gt;"",IF('Open 30M - Scoring'!S30&lt;&gt;"",'Open 30M - Scoring'!S30,""),"")</f>
        <v/>
      </c>
      <c r="D216" s="79" t="str">
        <f>IF('Open 30M - Scoring'!B30&lt;&gt;"",IF('Open 30M - Scoring'!T30&lt;&gt;"",'Open 30M - Scoring'!T30,""),"")</f>
        <v/>
      </c>
      <c r="E216" s="80" t="str">
        <f>IF('Open 30M - Scoring'!B30&lt;&gt;"",'Open 30M - Scoring'!AR30,"")</f>
        <v/>
      </c>
      <c r="F216" s="81" t="str">
        <f>IF(E214&lt;&gt;"",IFERROR(IF(ISNUMBER(E214),E214,0),0)+IFERROR(IF(ISNUMBER(E215),E215,0),0)+IFERROR(IF(ISNUMBER(E216),E216,0),0),"")</f>
        <v/>
      </c>
      <c r="H216" s="78" t="s">
        <v>224</v>
      </c>
      <c r="I216" s="79" t="str">
        <f>IF('Open 30M - Scoring'!B31&lt;&gt;"",IF('Open 30M - Scoring'!R31&lt;&gt;"",'Open 30M - Scoring'!R31,""),"")</f>
        <v/>
      </c>
      <c r="J216" s="79" t="str">
        <f>IF('Open 30M - Scoring'!B31&lt;&gt;"",IF('Open 30M - Scoring'!S31&lt;&gt;"",'Open 30M - Scoring'!S31,""),"")</f>
        <v/>
      </c>
      <c r="K216" s="79" t="str">
        <f>IF('Open 30M - Scoring'!B31&lt;&gt;"",IF('Open 30M - Scoring'!T31&lt;&gt;"",'Open 30M - Scoring'!T31,""),"")</f>
        <v/>
      </c>
      <c r="L216" s="80" t="str">
        <f>IF('Open 30M - Scoring'!B31&lt;&gt;"",'Open 30M - Scoring'!AR31,"")</f>
        <v/>
      </c>
      <c r="M216" s="81" t="str">
        <f>IF(L214&lt;&gt;"",IFERROR(IF(ISNUMBER(L214),L214,0),0)+IFERROR(IF(ISNUMBER(L215),L215,0),0)+IFERROR(IF(ISNUMBER(L216),L216,0),0),"")</f>
        <v/>
      </c>
    </row>
    <row r="217" spans="1:13" ht="19.5" customHeight="1" x14ac:dyDescent="0.35">
      <c r="A217" s="78" t="s">
        <v>227</v>
      </c>
      <c r="B217" s="79" t="str">
        <f>IF('Open 30M - Scoring'!B30&lt;&gt;"",IF('Open 30M - Scoring'!X30&lt;&gt;"",'Open 30M - Scoring'!X30,""),"")</f>
        <v/>
      </c>
      <c r="C217" s="79" t="str">
        <f>IF('Open 30M - Scoring'!B30&lt;&gt;"",IF('Open 30M - Scoring'!Y30&lt;&gt;"",'Open 30M - Scoring'!Y30,""),"")</f>
        <v/>
      </c>
      <c r="D217" s="79" t="str">
        <f>IF('Open 30M - Scoring'!B30&lt;&gt;"",IF('Open 30M - Scoring'!Z30&lt;&gt;"",'Open 30M - Scoring'!Z30,""),"")</f>
        <v/>
      </c>
      <c r="E217" s="80" t="str">
        <f>IF('Open 30M - Scoring'!B30&lt;&gt;"",'Open 30M - Scoring'!AS30,"")</f>
        <v/>
      </c>
      <c r="F217" s="81" t="str">
        <f>IF(E214&lt;&gt;"",IFERROR(IF(ISNUMBER(E214),E214,0),0)+IFERROR(IF(ISNUMBER(E215),E215,0),0)+IFERROR(IF(ISNUMBER(E216),E216,0),0)+IFERROR(IF(ISNUMBER(E217),E217,0),0),"")</f>
        <v/>
      </c>
      <c r="H217" s="78" t="s">
        <v>227</v>
      </c>
      <c r="I217" s="79" t="str">
        <f>IF('Open 30M - Scoring'!B31&lt;&gt;"",IF('Open 30M - Scoring'!X31&lt;&gt;"",'Open 30M - Scoring'!X31,""),"")</f>
        <v/>
      </c>
      <c r="J217" s="79" t="str">
        <f>IF('Open 30M - Scoring'!B31&lt;&gt;"",IF('Open 30M - Scoring'!Y31&lt;&gt;"",'Open 30M - Scoring'!Y31,""),"")</f>
        <v/>
      </c>
      <c r="K217" s="79" t="str">
        <f>IF('Open 30M - Scoring'!B31&lt;&gt;"",IF('Open 30M - Scoring'!Z31&lt;&gt;"",'Open 30M - Scoring'!Z31,""),"")</f>
        <v/>
      </c>
      <c r="L217" s="80" t="str">
        <f>IF('Open 30M - Scoring'!B31&lt;&gt;"",'Open 30M - Scoring'!AS31,"")</f>
        <v/>
      </c>
      <c r="M217" s="81" t="str">
        <f>IF(L214&lt;&gt;"",IFERROR(IF(ISNUMBER(L214),L214,0),0)+IFERROR(IF(ISNUMBER(L215),L215,0),0)+IFERROR(IF(ISNUMBER(L216),L216,0),0)+IFERROR(IF(ISNUMBER(L217),L217,0),0),"")</f>
        <v/>
      </c>
    </row>
    <row r="218" spans="1:13" ht="19.5" customHeight="1" x14ac:dyDescent="0.35">
      <c r="A218" s="78" t="s">
        <v>228</v>
      </c>
      <c r="B218" s="79" t="str">
        <f>IF('Open 30M - Scoring'!B30&lt;&gt;"",IF('Open 30M - Scoring'!AD30&lt;&gt;"",'Open 30M - Scoring'!AD30,""),"")</f>
        <v/>
      </c>
      <c r="C218" s="79" t="str">
        <f>IF('Open 30M - Scoring'!B30&lt;&gt;"",IF('Open 30M - Scoring'!AE30&lt;&gt;"",'Open 30M - Scoring'!AE30,""),"")</f>
        <v/>
      </c>
      <c r="D218" s="79" t="str">
        <f>IF('Open 30M - Scoring'!B30&lt;&gt;"",IF('Open 30M - Scoring'!AF30&lt;&gt;"",'Open 30M - Scoring'!AF30,""),"")</f>
        <v/>
      </c>
      <c r="E218" s="80" t="str">
        <f>IF('Open 30M - Scoring'!B30&lt;&gt;"",'Open 30M - Scoring'!AT30,"")</f>
        <v/>
      </c>
      <c r="F218" s="81" t="str">
        <f>IF(E214&lt;&gt;"",IFERROR(IF(ISNUMBER(E214),E214,0),0)+IFERROR(IF(ISNUMBER(E215),E215,0),0)+IFERROR(IF(ISNUMBER(E216),E216,0),0)+IFERROR(IF(ISNUMBER(E217),E217,0),0)+IFERROR(IF(ISNUMBER(E218),E218,0),0),"")</f>
        <v/>
      </c>
      <c r="H218" s="78" t="s">
        <v>228</v>
      </c>
      <c r="I218" s="79" t="str">
        <f>IF('Open 30M - Scoring'!B31&lt;&gt;"",IF('Open 30M - Scoring'!AD31&lt;&gt;"",'Open 30M - Scoring'!AD31,""),"")</f>
        <v/>
      </c>
      <c r="J218" s="79" t="str">
        <f>IF('Open 30M - Scoring'!B31&lt;&gt;"",IF('Open 30M - Scoring'!AE31&lt;&gt;"",'Open 30M - Scoring'!AE31,""),"")</f>
        <v/>
      </c>
      <c r="K218" s="79" t="str">
        <f>IF('Open 30M - Scoring'!B31&lt;&gt;"",IF('Open 30M - Scoring'!AF31&lt;&gt;"",'Open 30M - Scoring'!AF31,""),"")</f>
        <v/>
      </c>
      <c r="L218" s="80" t="str">
        <f>IF('Open 30M - Scoring'!B31&lt;&gt;"",'Open 30M - Scoring'!AT31,"")</f>
        <v/>
      </c>
      <c r="M218" s="81" t="str">
        <f>IF(L214&lt;&gt;"",IFERROR(IF(ISNUMBER(L214),L214,0),0)+IFERROR(IF(ISNUMBER(L215),L215,0),0)+IFERROR(IF(ISNUMBER(L216),L216,0),0)+IFERROR(IF(ISNUMBER(L217),L217,0),0)+IFERROR(IF(ISNUMBER(L218),L218,0),0),"")</f>
        <v/>
      </c>
    </row>
    <row r="219" spans="1:13" ht="19.5" customHeight="1" x14ac:dyDescent="0.35">
      <c r="A219" s="78" t="s">
        <v>229</v>
      </c>
      <c r="B219" s="79" t="str">
        <f>IF('Open 30M - Scoring'!B30&lt;&gt;"",IF('Open 30M - Scoring'!AJ30&lt;&gt;"",'Open 30M - Scoring'!AJ30,""),"")</f>
        <v/>
      </c>
      <c r="C219" s="79" t="str">
        <f>IF('Open 30M - Scoring'!B30&lt;&gt;"",IF('Open 30M - Scoring'!AK30&lt;&gt;"",'Open 30M - Scoring'!AK30,""),"")</f>
        <v/>
      </c>
      <c r="D219" s="79" t="str">
        <f>IF('Open 30M - Scoring'!B30&lt;&gt;"",IF('Open 30M - Scoring'!AL30&lt;&gt;"",'Open 30M - Scoring'!AL30,""),"")</f>
        <v/>
      </c>
      <c r="E219" s="80" t="str">
        <f>IF('Open 30M - Scoring'!B30&lt;&gt;"",'Open 30M - Scoring'!AU30,"")</f>
        <v/>
      </c>
      <c r="F219" s="81" t="str">
        <f>IF(E214&lt;&gt;"",IFERROR(IF(ISNUMBER(E214),E214,0),0)+IFERROR(IF(ISNUMBER(E215),E215,0),0)+IFERROR(IF(ISNUMBER(E216),E216,0),0)+IFERROR(IF(ISNUMBER(E217),E217,0),0)+IFERROR(IF(ISNUMBER(E218),E218,0),0)+IFERROR(IF(ISNUMBER(E219),E219,0),0),"")</f>
        <v/>
      </c>
      <c r="H219" s="78" t="s">
        <v>229</v>
      </c>
      <c r="I219" s="79" t="str">
        <f>IF('Open 30M - Scoring'!B31&lt;&gt;"",IF('Open 30M - Scoring'!AJ31&lt;&gt;"",'Open 30M - Scoring'!AJ31,""),"")</f>
        <v/>
      </c>
      <c r="J219" s="79" t="str">
        <f>IF('Open 30M - Scoring'!B31&lt;&gt;"",IF('Open 30M - Scoring'!AK31&lt;&gt;"",'Open 30M - Scoring'!AK31,""),"")</f>
        <v/>
      </c>
      <c r="K219" s="79" t="str">
        <f>IF('Open 30M - Scoring'!B31&lt;&gt;"",IF('Open 30M - Scoring'!AL31&lt;&gt;"",'Open 30M - Scoring'!AL31,""),"")</f>
        <v/>
      </c>
      <c r="L219" s="80" t="str">
        <f>IF('Open 30M - Scoring'!B31&lt;&gt;"",'Open 30M - Scoring'!AU31,"")</f>
        <v/>
      </c>
      <c r="M219" s="81" t="str">
        <f>IF(L214&lt;&gt;"",IFERROR(IF(ISNUMBER(L214),L214,0),0)+IFERROR(IF(ISNUMBER(L215),L215,0),0)+IFERROR(IF(ISNUMBER(L216),L216,0),0)+IFERROR(IF(ISNUMBER(L217),L217,0),0)+IFERROR(IF(ISNUMBER(L218),L218,0),0)+IFERROR(IF(ISNUMBER(L219),L219,0),0),"")</f>
        <v/>
      </c>
    </row>
    <row r="220" spans="1:13" ht="3.75" customHeight="1" x14ac:dyDescent="0.35"/>
    <row r="221" spans="1:13" ht="24" customHeight="1" x14ac:dyDescent="0.35">
      <c r="A221" s="124" t="s">
        <v>230</v>
      </c>
      <c r="B221" s="124"/>
      <c r="C221" s="124"/>
      <c r="D221" s="124"/>
      <c r="E221" s="125" t="str">
        <f>IF('Open 30M - Scoring'!B30&lt;&gt;"",'Open 30M - Scoring'!AV30,"")</f>
        <v/>
      </c>
      <c r="F221" s="125"/>
      <c r="H221" s="124" t="s">
        <v>230</v>
      </c>
      <c r="I221" s="124"/>
      <c r="J221" s="124"/>
      <c r="K221" s="124"/>
      <c r="L221" s="125" t="str">
        <f>IF('Open 30M - Scoring'!B31&lt;&gt;"",'Open 30M - Scoring'!AV31,"")</f>
        <v/>
      </c>
      <c r="M221" s="125"/>
    </row>
    <row r="222" spans="1:13" ht="19.5" customHeight="1" x14ac:dyDescent="0.35">
      <c r="E222" s="125"/>
      <c r="F222" s="125"/>
      <c r="L222" s="125"/>
      <c r="M222" s="125"/>
    </row>
    <row r="223" spans="1:13" ht="3.75" customHeight="1" x14ac:dyDescent="0.35"/>
    <row r="224" spans="1:13" ht="18" customHeight="1" x14ac:dyDescent="0.35">
      <c r="A224" s="73" t="s">
        <v>126</v>
      </c>
      <c r="B224" s="82" t="str">
        <f>IF('Open 30M - Scoring'!B30&lt;&gt;"",'Open 30M - Scoring'!AW30,"")</f>
        <v/>
      </c>
      <c r="C224" s="73" t="s">
        <v>127</v>
      </c>
      <c r="D224" s="83" t="str">
        <f>IF('Open 30M - Scoring'!B30&lt;&gt;"",'Open 30M - Scoring'!AX30,"")</f>
        <v/>
      </c>
      <c r="E224" s="73" t="s">
        <v>128</v>
      </c>
      <c r="F224" s="83" t="str">
        <f>IF('Open 30M - Scoring'!B30&lt;&gt;"",'Open 30M - Scoring'!AY30,"")</f>
        <v/>
      </c>
      <c r="H224" s="73" t="s">
        <v>126</v>
      </c>
      <c r="I224" s="82" t="str">
        <f>IF('Open 30M - Scoring'!B31&lt;&gt;"",'Open 30M - Scoring'!AW31,"")</f>
        <v/>
      </c>
      <c r="J224" s="73" t="s">
        <v>127</v>
      </c>
      <c r="K224" s="83" t="str">
        <f>IF('Open 30M - Scoring'!B31&lt;&gt;"",'Open 30M - Scoring'!AX31,"")</f>
        <v/>
      </c>
      <c r="L224" s="73" t="s">
        <v>128</v>
      </c>
      <c r="M224" s="83" t="str">
        <f>IF('Open 30M - Scoring'!B31&lt;&gt;"",'Open 30M - Scoring'!AY31,"")</f>
        <v/>
      </c>
    </row>
    <row r="225" spans="1:13" ht="3.75" customHeight="1" x14ac:dyDescent="0.35"/>
    <row r="226" spans="1:13" ht="7.5" customHeight="1" x14ac:dyDescent="0.35">
      <c r="A226" s="126"/>
      <c r="B226" s="126"/>
      <c r="C226" s="126"/>
      <c r="D226" s="126"/>
      <c r="E226" s="126"/>
      <c r="F226" s="126"/>
      <c r="G226" s="126"/>
      <c r="H226" s="126"/>
      <c r="I226" s="126"/>
      <c r="J226" s="126"/>
      <c r="K226" s="126"/>
      <c r="L226" s="126"/>
      <c r="M226" s="126"/>
    </row>
    <row r="227" spans="1:13" ht="15.75" customHeight="1" x14ac:dyDescent="0.35">
      <c r="A227" s="73" t="s">
        <v>218</v>
      </c>
      <c r="B227" s="122" t="str">
        <f>IF('Open 30M - Scoring'!B32&lt;&gt;"",'Open 30M - Scoring'!B32,"")</f>
        <v/>
      </c>
      <c r="C227" s="122"/>
      <c r="D227" s="122"/>
      <c r="E227" s="73" t="s">
        <v>219</v>
      </c>
      <c r="F227" s="74" t="str">
        <f>IF('Open 30M - Scoring'!B32&lt;&gt;"",'Open 30M - Scoring'!BB32,"")</f>
        <v/>
      </c>
      <c r="H227" s="73" t="s">
        <v>218</v>
      </c>
      <c r="I227" s="122" t="str">
        <f>IF('Open 30M - Scoring'!B33&lt;&gt;"",'Open 30M - Scoring'!B33,"")</f>
        <v/>
      </c>
      <c r="J227" s="122"/>
      <c r="K227" s="122"/>
      <c r="L227" s="73" t="s">
        <v>219</v>
      </c>
      <c r="M227" s="74" t="str">
        <f>IF('Open 30M - Scoring'!B33&lt;&gt;"",'Open 30M - Scoring'!BB33,"")</f>
        <v/>
      </c>
    </row>
    <row r="228" spans="1:13" ht="15.75" customHeight="1" x14ac:dyDescent="0.35">
      <c r="A228" s="73" t="s">
        <v>220</v>
      </c>
      <c r="B228" s="123" t="str">
        <f>IF('Open 30M - Scoring'!B32&lt;&gt;"",'Open 30M - Scoring'!D32,"")</f>
        <v/>
      </c>
      <c r="C228" s="123"/>
      <c r="D228" s="123"/>
      <c r="E228" s="73" t="s">
        <v>8</v>
      </c>
      <c r="F228" s="75" t="str">
        <f>IF('Open 30M - Scoring'!B32&lt;&gt;"",'Open 30M - Scoring'!E32,"")</f>
        <v/>
      </c>
      <c r="H228" s="73" t="s">
        <v>220</v>
      </c>
      <c r="I228" s="123" t="str">
        <f>IF('Open 30M - Scoring'!B33&lt;&gt;"",'Open 30M - Scoring'!D33,"")</f>
        <v/>
      </c>
      <c r="J228" s="123"/>
      <c r="K228" s="123"/>
      <c r="L228" s="73" t="s">
        <v>8</v>
      </c>
      <c r="M228" s="75" t="str">
        <f>IF('Open 30M - Scoring'!B33&lt;&gt;"",'Open 30M - Scoring'!E33,"")</f>
        <v/>
      </c>
    </row>
    <row r="229" spans="1:13" ht="3.75" customHeight="1" x14ac:dyDescent="0.35"/>
    <row r="230" spans="1:13" ht="25.5" customHeight="1" x14ac:dyDescent="0.35">
      <c r="A230" s="76" t="s">
        <v>221</v>
      </c>
      <c r="B230" s="77" t="s">
        <v>222</v>
      </c>
      <c r="C230" s="77" t="s">
        <v>223</v>
      </c>
      <c r="D230" s="77" t="s">
        <v>224</v>
      </c>
      <c r="E230" s="76" t="s">
        <v>225</v>
      </c>
      <c r="F230" s="76" t="s">
        <v>226</v>
      </c>
      <c r="H230" s="76" t="s">
        <v>221</v>
      </c>
      <c r="I230" s="77" t="s">
        <v>222</v>
      </c>
      <c r="J230" s="77" t="s">
        <v>223</v>
      </c>
      <c r="K230" s="77" t="s">
        <v>224</v>
      </c>
      <c r="L230" s="76" t="s">
        <v>225</v>
      </c>
      <c r="M230" s="76" t="s">
        <v>226</v>
      </c>
    </row>
    <row r="231" spans="1:13" ht="19.5" customHeight="1" x14ac:dyDescent="0.35">
      <c r="A231" s="78" t="s">
        <v>222</v>
      </c>
      <c r="B231" s="79" t="str">
        <f>IF('Open 30M - Scoring'!B32&lt;&gt;"",IF('Open 30M - Scoring'!F32&lt;&gt;"",'Open 30M - Scoring'!F32,""),"")</f>
        <v/>
      </c>
      <c r="C231" s="79" t="str">
        <f>IF('Open 30M - Scoring'!B32&lt;&gt;"",IF('Open 30M - Scoring'!G32&lt;&gt;"",'Open 30M - Scoring'!G32,""),"")</f>
        <v/>
      </c>
      <c r="D231" s="79" t="str">
        <f>IF('Open 30M - Scoring'!B32&lt;&gt;"",IF('Open 30M - Scoring'!H32&lt;&gt;"",'Open 30M - Scoring'!H32,""),"")</f>
        <v/>
      </c>
      <c r="E231" s="80" t="str">
        <f>IF('Open 30M - Scoring'!B32&lt;&gt;"",'Open 30M - Scoring'!AP32,"")</f>
        <v/>
      </c>
      <c r="F231" s="81" t="str">
        <f>IFERROR(IF(ISNUMBER(E231),E231,""),"")</f>
        <v/>
      </c>
      <c r="H231" s="78" t="s">
        <v>222</v>
      </c>
      <c r="I231" s="79" t="str">
        <f>IF('Open 30M - Scoring'!B33&lt;&gt;"",IF('Open 30M - Scoring'!F33&lt;&gt;"",'Open 30M - Scoring'!F33,""),"")</f>
        <v/>
      </c>
      <c r="J231" s="79" t="str">
        <f>IF('Open 30M - Scoring'!B33&lt;&gt;"",IF('Open 30M - Scoring'!G33&lt;&gt;"",'Open 30M - Scoring'!G33,""),"")</f>
        <v/>
      </c>
      <c r="K231" s="79" t="str">
        <f>IF('Open 30M - Scoring'!B33&lt;&gt;"",IF('Open 30M - Scoring'!H33&lt;&gt;"",'Open 30M - Scoring'!H33,""),"")</f>
        <v/>
      </c>
      <c r="L231" s="80" t="str">
        <f>IF('Open 30M - Scoring'!B33&lt;&gt;"",'Open 30M - Scoring'!AP33,"")</f>
        <v/>
      </c>
      <c r="M231" s="81" t="str">
        <f>IFERROR(IF(ISNUMBER(L231),L231,""),"")</f>
        <v/>
      </c>
    </row>
    <row r="232" spans="1:13" ht="19.5" customHeight="1" x14ac:dyDescent="0.35">
      <c r="A232" s="78" t="s">
        <v>223</v>
      </c>
      <c r="B232" s="79" t="str">
        <f>IF('Open 30M - Scoring'!B32&lt;&gt;"",IF('Open 30M - Scoring'!L32&lt;&gt;"",'Open 30M - Scoring'!L32,""),"")</f>
        <v/>
      </c>
      <c r="C232" s="79" t="str">
        <f>IF('Open 30M - Scoring'!B32&lt;&gt;"",IF('Open 30M - Scoring'!M32&lt;&gt;"",'Open 30M - Scoring'!M32,""),"")</f>
        <v/>
      </c>
      <c r="D232" s="79" t="str">
        <f>IF('Open 30M - Scoring'!B32&lt;&gt;"",IF('Open 30M - Scoring'!N32&lt;&gt;"",'Open 30M - Scoring'!N32,""),"")</f>
        <v/>
      </c>
      <c r="E232" s="80" t="str">
        <f>IF('Open 30M - Scoring'!B32&lt;&gt;"",'Open 30M - Scoring'!AQ32,"")</f>
        <v/>
      </c>
      <c r="F232" s="81" t="str">
        <f>IF(E231&lt;&gt;"",IFERROR(IF(ISNUMBER(E231),E231,0),0)+IFERROR(IF(ISNUMBER(E232),E232,0),0),"")</f>
        <v/>
      </c>
      <c r="H232" s="78" t="s">
        <v>223</v>
      </c>
      <c r="I232" s="79" t="str">
        <f>IF('Open 30M - Scoring'!B33&lt;&gt;"",IF('Open 30M - Scoring'!L33&lt;&gt;"",'Open 30M - Scoring'!L33,""),"")</f>
        <v/>
      </c>
      <c r="J232" s="79" t="str">
        <f>IF('Open 30M - Scoring'!B33&lt;&gt;"",IF('Open 30M - Scoring'!M33&lt;&gt;"",'Open 30M - Scoring'!M33,""),"")</f>
        <v/>
      </c>
      <c r="K232" s="79" t="str">
        <f>IF('Open 30M - Scoring'!B33&lt;&gt;"",IF('Open 30M - Scoring'!N33&lt;&gt;"",'Open 30M - Scoring'!N33,""),"")</f>
        <v/>
      </c>
      <c r="L232" s="80" t="str">
        <f>IF('Open 30M - Scoring'!B33&lt;&gt;"",'Open 30M - Scoring'!AQ33,"")</f>
        <v/>
      </c>
      <c r="M232" s="81" t="str">
        <f>IF(L231&lt;&gt;"",IFERROR(IF(ISNUMBER(L231),L231,0),0)+IFERROR(IF(ISNUMBER(L232),L232,0),0),"")</f>
        <v/>
      </c>
    </row>
    <row r="233" spans="1:13" ht="19.5" customHeight="1" x14ac:dyDescent="0.35">
      <c r="A233" s="78" t="s">
        <v>224</v>
      </c>
      <c r="B233" s="79" t="str">
        <f>IF('Open 30M - Scoring'!B32&lt;&gt;"",IF('Open 30M - Scoring'!R32&lt;&gt;"",'Open 30M - Scoring'!R32,""),"")</f>
        <v/>
      </c>
      <c r="C233" s="79" t="str">
        <f>IF('Open 30M - Scoring'!B32&lt;&gt;"",IF('Open 30M - Scoring'!S32&lt;&gt;"",'Open 30M - Scoring'!S32,""),"")</f>
        <v/>
      </c>
      <c r="D233" s="79" t="str">
        <f>IF('Open 30M - Scoring'!B32&lt;&gt;"",IF('Open 30M - Scoring'!T32&lt;&gt;"",'Open 30M - Scoring'!T32,""),"")</f>
        <v/>
      </c>
      <c r="E233" s="80" t="str">
        <f>IF('Open 30M - Scoring'!B32&lt;&gt;"",'Open 30M - Scoring'!AR32,"")</f>
        <v/>
      </c>
      <c r="F233" s="81" t="str">
        <f>IF(E231&lt;&gt;"",IFERROR(IF(ISNUMBER(E231),E231,0),0)+IFERROR(IF(ISNUMBER(E232),E232,0),0)+IFERROR(IF(ISNUMBER(E233),E233,0),0),"")</f>
        <v/>
      </c>
      <c r="H233" s="78" t="s">
        <v>224</v>
      </c>
      <c r="I233" s="79" t="str">
        <f>IF('Open 30M - Scoring'!B33&lt;&gt;"",IF('Open 30M - Scoring'!R33&lt;&gt;"",'Open 30M - Scoring'!R33,""),"")</f>
        <v/>
      </c>
      <c r="J233" s="79" t="str">
        <f>IF('Open 30M - Scoring'!B33&lt;&gt;"",IF('Open 30M - Scoring'!S33&lt;&gt;"",'Open 30M - Scoring'!S33,""),"")</f>
        <v/>
      </c>
      <c r="K233" s="79" t="str">
        <f>IF('Open 30M - Scoring'!B33&lt;&gt;"",IF('Open 30M - Scoring'!T33&lt;&gt;"",'Open 30M - Scoring'!T33,""),"")</f>
        <v/>
      </c>
      <c r="L233" s="80" t="str">
        <f>IF('Open 30M - Scoring'!B33&lt;&gt;"",'Open 30M - Scoring'!AR33,"")</f>
        <v/>
      </c>
      <c r="M233" s="81" t="str">
        <f>IF(L231&lt;&gt;"",IFERROR(IF(ISNUMBER(L231),L231,0),0)+IFERROR(IF(ISNUMBER(L232),L232,0),0)+IFERROR(IF(ISNUMBER(L233),L233,0),0),"")</f>
        <v/>
      </c>
    </row>
    <row r="234" spans="1:13" ht="19.5" customHeight="1" x14ac:dyDescent="0.35">
      <c r="A234" s="78" t="s">
        <v>227</v>
      </c>
      <c r="B234" s="79" t="str">
        <f>IF('Open 30M - Scoring'!B32&lt;&gt;"",IF('Open 30M - Scoring'!X32&lt;&gt;"",'Open 30M - Scoring'!X32,""),"")</f>
        <v/>
      </c>
      <c r="C234" s="79" t="str">
        <f>IF('Open 30M - Scoring'!B32&lt;&gt;"",IF('Open 30M - Scoring'!Y32&lt;&gt;"",'Open 30M - Scoring'!Y32,""),"")</f>
        <v/>
      </c>
      <c r="D234" s="79" t="str">
        <f>IF('Open 30M - Scoring'!B32&lt;&gt;"",IF('Open 30M - Scoring'!Z32&lt;&gt;"",'Open 30M - Scoring'!Z32,""),"")</f>
        <v/>
      </c>
      <c r="E234" s="80" t="str">
        <f>IF('Open 30M - Scoring'!B32&lt;&gt;"",'Open 30M - Scoring'!AS32,"")</f>
        <v/>
      </c>
      <c r="F234" s="81" t="str">
        <f>IF(E231&lt;&gt;"",IFERROR(IF(ISNUMBER(E231),E231,0),0)+IFERROR(IF(ISNUMBER(E232),E232,0),0)+IFERROR(IF(ISNUMBER(E233),E233,0),0)+IFERROR(IF(ISNUMBER(E234),E234,0),0),"")</f>
        <v/>
      </c>
      <c r="H234" s="78" t="s">
        <v>227</v>
      </c>
      <c r="I234" s="79" t="str">
        <f>IF('Open 30M - Scoring'!B33&lt;&gt;"",IF('Open 30M - Scoring'!X33&lt;&gt;"",'Open 30M - Scoring'!X33,""),"")</f>
        <v/>
      </c>
      <c r="J234" s="79" t="str">
        <f>IF('Open 30M - Scoring'!B33&lt;&gt;"",IF('Open 30M - Scoring'!Y33&lt;&gt;"",'Open 30M - Scoring'!Y33,""),"")</f>
        <v/>
      </c>
      <c r="K234" s="79" t="str">
        <f>IF('Open 30M - Scoring'!B33&lt;&gt;"",IF('Open 30M - Scoring'!Z33&lt;&gt;"",'Open 30M - Scoring'!Z33,""),"")</f>
        <v/>
      </c>
      <c r="L234" s="80" t="str">
        <f>IF('Open 30M - Scoring'!B33&lt;&gt;"",'Open 30M - Scoring'!AS33,"")</f>
        <v/>
      </c>
      <c r="M234" s="81" t="str">
        <f>IF(L231&lt;&gt;"",IFERROR(IF(ISNUMBER(L231),L231,0),0)+IFERROR(IF(ISNUMBER(L232),L232,0),0)+IFERROR(IF(ISNUMBER(L233),L233,0),0)+IFERROR(IF(ISNUMBER(L234),L234,0),0),"")</f>
        <v/>
      </c>
    </row>
    <row r="235" spans="1:13" ht="19.5" customHeight="1" x14ac:dyDescent="0.35">
      <c r="A235" s="78" t="s">
        <v>228</v>
      </c>
      <c r="B235" s="79" t="str">
        <f>IF('Open 30M - Scoring'!B32&lt;&gt;"",IF('Open 30M - Scoring'!AD32&lt;&gt;"",'Open 30M - Scoring'!AD32,""),"")</f>
        <v/>
      </c>
      <c r="C235" s="79" t="str">
        <f>IF('Open 30M - Scoring'!B32&lt;&gt;"",IF('Open 30M - Scoring'!AE32&lt;&gt;"",'Open 30M - Scoring'!AE32,""),"")</f>
        <v/>
      </c>
      <c r="D235" s="79" t="str">
        <f>IF('Open 30M - Scoring'!B32&lt;&gt;"",IF('Open 30M - Scoring'!AF32&lt;&gt;"",'Open 30M - Scoring'!AF32,""),"")</f>
        <v/>
      </c>
      <c r="E235" s="80" t="str">
        <f>IF('Open 30M - Scoring'!B32&lt;&gt;"",'Open 30M - Scoring'!AT32,"")</f>
        <v/>
      </c>
      <c r="F235" s="81" t="str">
        <f>IF(E231&lt;&gt;"",IFERROR(IF(ISNUMBER(E231),E231,0),0)+IFERROR(IF(ISNUMBER(E232),E232,0),0)+IFERROR(IF(ISNUMBER(E233),E233,0),0)+IFERROR(IF(ISNUMBER(E234),E234,0),0)+IFERROR(IF(ISNUMBER(E235),E235,0),0),"")</f>
        <v/>
      </c>
      <c r="H235" s="78" t="s">
        <v>228</v>
      </c>
      <c r="I235" s="79" t="str">
        <f>IF('Open 30M - Scoring'!B33&lt;&gt;"",IF('Open 30M - Scoring'!AD33&lt;&gt;"",'Open 30M - Scoring'!AD33,""),"")</f>
        <v/>
      </c>
      <c r="J235" s="79" t="str">
        <f>IF('Open 30M - Scoring'!B33&lt;&gt;"",IF('Open 30M - Scoring'!AE33&lt;&gt;"",'Open 30M - Scoring'!AE33,""),"")</f>
        <v/>
      </c>
      <c r="K235" s="79" t="str">
        <f>IF('Open 30M - Scoring'!B33&lt;&gt;"",IF('Open 30M - Scoring'!AF33&lt;&gt;"",'Open 30M - Scoring'!AF33,""),"")</f>
        <v/>
      </c>
      <c r="L235" s="80" t="str">
        <f>IF('Open 30M - Scoring'!B33&lt;&gt;"",'Open 30M - Scoring'!AT33,"")</f>
        <v/>
      </c>
      <c r="M235" s="81" t="str">
        <f>IF(L231&lt;&gt;"",IFERROR(IF(ISNUMBER(L231),L231,0),0)+IFERROR(IF(ISNUMBER(L232),L232,0),0)+IFERROR(IF(ISNUMBER(L233),L233,0),0)+IFERROR(IF(ISNUMBER(L234),L234,0),0)+IFERROR(IF(ISNUMBER(L235),L235,0),0),"")</f>
        <v/>
      </c>
    </row>
    <row r="236" spans="1:13" ht="19.5" customHeight="1" x14ac:dyDescent="0.35">
      <c r="A236" s="78" t="s">
        <v>229</v>
      </c>
      <c r="B236" s="79" t="str">
        <f>IF('Open 30M - Scoring'!B32&lt;&gt;"",IF('Open 30M - Scoring'!AJ32&lt;&gt;"",'Open 30M - Scoring'!AJ32,""),"")</f>
        <v/>
      </c>
      <c r="C236" s="79" t="str">
        <f>IF('Open 30M - Scoring'!B32&lt;&gt;"",IF('Open 30M - Scoring'!AK32&lt;&gt;"",'Open 30M - Scoring'!AK32,""),"")</f>
        <v/>
      </c>
      <c r="D236" s="79" t="str">
        <f>IF('Open 30M - Scoring'!B32&lt;&gt;"",IF('Open 30M - Scoring'!AL32&lt;&gt;"",'Open 30M - Scoring'!AL32,""),"")</f>
        <v/>
      </c>
      <c r="E236" s="80" t="str">
        <f>IF('Open 30M - Scoring'!B32&lt;&gt;"",'Open 30M - Scoring'!AU32,"")</f>
        <v/>
      </c>
      <c r="F236" s="81" t="str">
        <f>IF(E231&lt;&gt;"",IFERROR(IF(ISNUMBER(E231),E231,0),0)+IFERROR(IF(ISNUMBER(E232),E232,0),0)+IFERROR(IF(ISNUMBER(E233),E233,0),0)+IFERROR(IF(ISNUMBER(E234),E234,0),0)+IFERROR(IF(ISNUMBER(E235),E235,0),0)+IFERROR(IF(ISNUMBER(E236),E236,0),0),"")</f>
        <v/>
      </c>
      <c r="H236" s="78" t="s">
        <v>229</v>
      </c>
      <c r="I236" s="79" t="str">
        <f>IF('Open 30M - Scoring'!B33&lt;&gt;"",IF('Open 30M - Scoring'!AJ33&lt;&gt;"",'Open 30M - Scoring'!AJ33,""),"")</f>
        <v/>
      </c>
      <c r="J236" s="79" t="str">
        <f>IF('Open 30M - Scoring'!B33&lt;&gt;"",IF('Open 30M - Scoring'!AK33&lt;&gt;"",'Open 30M - Scoring'!AK33,""),"")</f>
        <v/>
      </c>
      <c r="K236" s="79" t="str">
        <f>IF('Open 30M - Scoring'!B33&lt;&gt;"",IF('Open 30M - Scoring'!AL33&lt;&gt;"",'Open 30M - Scoring'!AL33,""),"")</f>
        <v/>
      </c>
      <c r="L236" s="80" t="str">
        <f>IF('Open 30M - Scoring'!B33&lt;&gt;"",'Open 30M - Scoring'!AU33,"")</f>
        <v/>
      </c>
      <c r="M236" s="81" t="str">
        <f>IF(L231&lt;&gt;"",IFERROR(IF(ISNUMBER(L231),L231,0),0)+IFERROR(IF(ISNUMBER(L232),L232,0),0)+IFERROR(IF(ISNUMBER(L233),L233,0),0)+IFERROR(IF(ISNUMBER(L234),L234,0),0)+IFERROR(IF(ISNUMBER(L235),L235,0),0)+IFERROR(IF(ISNUMBER(L236),L236,0),0),"")</f>
        <v/>
      </c>
    </row>
    <row r="237" spans="1:13" ht="3.75" customHeight="1" x14ac:dyDescent="0.35"/>
    <row r="238" spans="1:13" ht="24" customHeight="1" x14ac:dyDescent="0.35">
      <c r="A238" s="124" t="s">
        <v>230</v>
      </c>
      <c r="B238" s="124"/>
      <c r="C238" s="124"/>
      <c r="D238" s="124"/>
      <c r="E238" s="125" t="str">
        <f>IF('Open 30M - Scoring'!B32&lt;&gt;"",'Open 30M - Scoring'!AV32,"")</f>
        <v/>
      </c>
      <c r="F238" s="125"/>
      <c r="H238" s="124" t="s">
        <v>230</v>
      </c>
      <c r="I238" s="124"/>
      <c r="J238" s="124"/>
      <c r="K238" s="124"/>
      <c r="L238" s="125" t="str">
        <f>IF('Open 30M - Scoring'!B33&lt;&gt;"",'Open 30M - Scoring'!AV33,"")</f>
        <v/>
      </c>
      <c r="M238" s="125"/>
    </row>
    <row r="239" spans="1:13" ht="19.5" customHeight="1" x14ac:dyDescent="0.35">
      <c r="E239" s="125"/>
      <c r="F239" s="125"/>
      <c r="L239" s="125"/>
      <c r="M239" s="125"/>
    </row>
    <row r="240" spans="1:13" ht="3.75" customHeight="1" x14ac:dyDescent="0.35"/>
    <row r="241" spans="1:13" ht="18" customHeight="1" x14ac:dyDescent="0.35">
      <c r="A241" s="73" t="s">
        <v>126</v>
      </c>
      <c r="B241" s="82" t="str">
        <f>IF('Open 30M - Scoring'!B32&lt;&gt;"",'Open 30M - Scoring'!AW32,"")</f>
        <v/>
      </c>
      <c r="C241" s="73" t="s">
        <v>127</v>
      </c>
      <c r="D241" s="83" t="str">
        <f>IF('Open 30M - Scoring'!B32&lt;&gt;"",'Open 30M - Scoring'!AX32,"")</f>
        <v/>
      </c>
      <c r="E241" s="73" t="s">
        <v>128</v>
      </c>
      <c r="F241" s="83" t="str">
        <f>IF('Open 30M - Scoring'!B32&lt;&gt;"",'Open 30M - Scoring'!AY32,"")</f>
        <v/>
      </c>
      <c r="H241" s="73" t="s">
        <v>126</v>
      </c>
      <c r="I241" s="82" t="str">
        <f>IF('Open 30M - Scoring'!B33&lt;&gt;"",'Open 30M - Scoring'!AW33,"")</f>
        <v/>
      </c>
      <c r="J241" s="73" t="s">
        <v>127</v>
      </c>
      <c r="K241" s="83" t="str">
        <f>IF('Open 30M - Scoring'!B33&lt;&gt;"",'Open 30M - Scoring'!AX33,"")</f>
        <v/>
      </c>
      <c r="L241" s="73" t="s">
        <v>128</v>
      </c>
      <c r="M241" s="83" t="str">
        <f>IF('Open 30M - Scoring'!B33&lt;&gt;"",'Open 30M - Scoring'!AY33,"")</f>
        <v/>
      </c>
    </row>
    <row r="242" spans="1:13" ht="3.75" customHeight="1" x14ac:dyDescent="0.35"/>
    <row r="243" spans="1:13" ht="7.5" customHeight="1" x14ac:dyDescent="0.35">
      <c r="A243" s="126"/>
      <c r="B243" s="126"/>
      <c r="C243" s="126"/>
      <c r="D243" s="126"/>
      <c r="E243" s="126"/>
      <c r="F243" s="126"/>
      <c r="G243" s="126"/>
      <c r="H243" s="126"/>
      <c r="I243" s="126"/>
      <c r="J243" s="126"/>
      <c r="K243" s="126"/>
      <c r="L243" s="126"/>
      <c r="M243" s="126"/>
    </row>
    <row r="244" spans="1:13" ht="15.75" customHeight="1" x14ac:dyDescent="0.35">
      <c r="A244" s="73" t="s">
        <v>218</v>
      </c>
      <c r="B244" s="122" t="str">
        <f>IF('Open 30M - Scoring'!B34&lt;&gt;"",'Open 30M - Scoring'!B34,"")</f>
        <v/>
      </c>
      <c r="C244" s="122"/>
      <c r="D244" s="122"/>
      <c r="E244" s="73" t="s">
        <v>219</v>
      </c>
      <c r="F244" s="74" t="str">
        <f>IF('Open 30M - Scoring'!B34&lt;&gt;"",'Open 30M - Scoring'!BB34,"")</f>
        <v/>
      </c>
      <c r="H244" s="73" t="s">
        <v>218</v>
      </c>
      <c r="I244" s="122" t="str">
        <f>IF('Open 30M - Scoring'!B35&lt;&gt;"",'Open 30M - Scoring'!B35,"")</f>
        <v/>
      </c>
      <c r="J244" s="122"/>
      <c r="K244" s="122"/>
      <c r="L244" s="73" t="s">
        <v>219</v>
      </c>
      <c r="M244" s="74" t="str">
        <f>IF('Open 30M - Scoring'!B35&lt;&gt;"",'Open 30M - Scoring'!BB35,"")</f>
        <v/>
      </c>
    </row>
    <row r="245" spans="1:13" ht="15.75" customHeight="1" x14ac:dyDescent="0.35">
      <c r="A245" s="73" t="s">
        <v>220</v>
      </c>
      <c r="B245" s="123" t="str">
        <f>IF('Open 30M - Scoring'!B34&lt;&gt;"",'Open 30M - Scoring'!D34,"")</f>
        <v/>
      </c>
      <c r="C245" s="123"/>
      <c r="D245" s="123"/>
      <c r="E245" s="73" t="s">
        <v>8</v>
      </c>
      <c r="F245" s="75" t="str">
        <f>IF('Open 30M - Scoring'!B34&lt;&gt;"",'Open 30M - Scoring'!E34,"")</f>
        <v/>
      </c>
      <c r="H245" s="73" t="s">
        <v>220</v>
      </c>
      <c r="I245" s="123" t="str">
        <f>IF('Open 30M - Scoring'!B35&lt;&gt;"",'Open 30M - Scoring'!D35,"")</f>
        <v/>
      </c>
      <c r="J245" s="123"/>
      <c r="K245" s="123"/>
      <c r="L245" s="73" t="s">
        <v>8</v>
      </c>
      <c r="M245" s="75" t="str">
        <f>IF('Open 30M - Scoring'!B35&lt;&gt;"",'Open 30M - Scoring'!E35,"")</f>
        <v/>
      </c>
    </row>
    <row r="246" spans="1:13" ht="3.75" customHeight="1" x14ac:dyDescent="0.35"/>
    <row r="247" spans="1:13" ht="25.5" customHeight="1" x14ac:dyDescent="0.35">
      <c r="A247" s="76" t="s">
        <v>221</v>
      </c>
      <c r="B247" s="77" t="s">
        <v>222</v>
      </c>
      <c r="C247" s="77" t="s">
        <v>223</v>
      </c>
      <c r="D247" s="77" t="s">
        <v>224</v>
      </c>
      <c r="E247" s="76" t="s">
        <v>225</v>
      </c>
      <c r="F247" s="76" t="s">
        <v>226</v>
      </c>
      <c r="H247" s="76" t="s">
        <v>221</v>
      </c>
      <c r="I247" s="77" t="s">
        <v>222</v>
      </c>
      <c r="J247" s="77" t="s">
        <v>223</v>
      </c>
      <c r="K247" s="77" t="s">
        <v>224</v>
      </c>
      <c r="L247" s="76" t="s">
        <v>225</v>
      </c>
      <c r="M247" s="76" t="s">
        <v>226</v>
      </c>
    </row>
    <row r="248" spans="1:13" ht="19.5" customHeight="1" x14ac:dyDescent="0.35">
      <c r="A248" s="78" t="s">
        <v>222</v>
      </c>
      <c r="B248" s="79" t="str">
        <f>IF('Open 30M - Scoring'!B34&lt;&gt;"",IF('Open 30M - Scoring'!F34&lt;&gt;"",'Open 30M - Scoring'!F34,""),"")</f>
        <v/>
      </c>
      <c r="C248" s="79" t="str">
        <f>IF('Open 30M - Scoring'!B34&lt;&gt;"",IF('Open 30M - Scoring'!G34&lt;&gt;"",'Open 30M - Scoring'!G34,""),"")</f>
        <v/>
      </c>
      <c r="D248" s="79" t="str">
        <f>IF('Open 30M - Scoring'!B34&lt;&gt;"",IF('Open 30M - Scoring'!H34&lt;&gt;"",'Open 30M - Scoring'!H34,""),"")</f>
        <v/>
      </c>
      <c r="E248" s="80" t="str">
        <f>IF('Open 30M - Scoring'!B34&lt;&gt;"",'Open 30M - Scoring'!AP34,"")</f>
        <v/>
      </c>
      <c r="F248" s="81" t="str">
        <f>IFERROR(IF(ISNUMBER(E248),E248,""),"")</f>
        <v/>
      </c>
      <c r="H248" s="78" t="s">
        <v>222</v>
      </c>
      <c r="I248" s="79" t="str">
        <f>IF('Open 30M - Scoring'!B35&lt;&gt;"",IF('Open 30M - Scoring'!F35&lt;&gt;"",'Open 30M - Scoring'!F35,""),"")</f>
        <v/>
      </c>
      <c r="J248" s="79" t="str">
        <f>IF('Open 30M - Scoring'!B35&lt;&gt;"",IF('Open 30M - Scoring'!G35&lt;&gt;"",'Open 30M - Scoring'!G35,""),"")</f>
        <v/>
      </c>
      <c r="K248" s="79" t="str">
        <f>IF('Open 30M - Scoring'!B35&lt;&gt;"",IF('Open 30M - Scoring'!H35&lt;&gt;"",'Open 30M - Scoring'!H35,""),"")</f>
        <v/>
      </c>
      <c r="L248" s="80" t="str">
        <f>IF('Open 30M - Scoring'!B35&lt;&gt;"",'Open 30M - Scoring'!AP35,"")</f>
        <v/>
      </c>
      <c r="M248" s="81" t="str">
        <f>IFERROR(IF(ISNUMBER(L248),L248,""),"")</f>
        <v/>
      </c>
    </row>
    <row r="249" spans="1:13" ht="19.5" customHeight="1" x14ac:dyDescent="0.35">
      <c r="A249" s="78" t="s">
        <v>223</v>
      </c>
      <c r="B249" s="79" t="str">
        <f>IF('Open 30M - Scoring'!B34&lt;&gt;"",IF('Open 30M - Scoring'!L34&lt;&gt;"",'Open 30M - Scoring'!L34,""),"")</f>
        <v/>
      </c>
      <c r="C249" s="79" t="str">
        <f>IF('Open 30M - Scoring'!B34&lt;&gt;"",IF('Open 30M - Scoring'!M34&lt;&gt;"",'Open 30M - Scoring'!M34,""),"")</f>
        <v/>
      </c>
      <c r="D249" s="79" t="str">
        <f>IF('Open 30M - Scoring'!B34&lt;&gt;"",IF('Open 30M - Scoring'!N34&lt;&gt;"",'Open 30M - Scoring'!N34,""),"")</f>
        <v/>
      </c>
      <c r="E249" s="80" t="str">
        <f>IF('Open 30M - Scoring'!B34&lt;&gt;"",'Open 30M - Scoring'!AQ34,"")</f>
        <v/>
      </c>
      <c r="F249" s="81" t="str">
        <f>IF(E248&lt;&gt;"",IFERROR(IF(ISNUMBER(E248),E248,0),0)+IFERROR(IF(ISNUMBER(E249),E249,0),0),"")</f>
        <v/>
      </c>
      <c r="H249" s="78" t="s">
        <v>223</v>
      </c>
      <c r="I249" s="79" t="str">
        <f>IF('Open 30M - Scoring'!B35&lt;&gt;"",IF('Open 30M - Scoring'!L35&lt;&gt;"",'Open 30M - Scoring'!L35,""),"")</f>
        <v/>
      </c>
      <c r="J249" s="79" t="str">
        <f>IF('Open 30M - Scoring'!B35&lt;&gt;"",IF('Open 30M - Scoring'!M35&lt;&gt;"",'Open 30M - Scoring'!M35,""),"")</f>
        <v/>
      </c>
      <c r="K249" s="79" t="str">
        <f>IF('Open 30M - Scoring'!B35&lt;&gt;"",IF('Open 30M - Scoring'!N35&lt;&gt;"",'Open 30M - Scoring'!N35,""),"")</f>
        <v/>
      </c>
      <c r="L249" s="80" t="str">
        <f>IF('Open 30M - Scoring'!B35&lt;&gt;"",'Open 30M - Scoring'!AQ35,"")</f>
        <v/>
      </c>
      <c r="M249" s="81" t="str">
        <f>IF(L248&lt;&gt;"",IFERROR(IF(ISNUMBER(L248),L248,0),0)+IFERROR(IF(ISNUMBER(L249),L249,0),0),"")</f>
        <v/>
      </c>
    </row>
    <row r="250" spans="1:13" ht="19.5" customHeight="1" x14ac:dyDescent="0.35">
      <c r="A250" s="78" t="s">
        <v>224</v>
      </c>
      <c r="B250" s="79" t="str">
        <f>IF('Open 30M - Scoring'!B34&lt;&gt;"",IF('Open 30M - Scoring'!R34&lt;&gt;"",'Open 30M - Scoring'!R34,""),"")</f>
        <v/>
      </c>
      <c r="C250" s="79" t="str">
        <f>IF('Open 30M - Scoring'!B34&lt;&gt;"",IF('Open 30M - Scoring'!S34&lt;&gt;"",'Open 30M - Scoring'!S34,""),"")</f>
        <v/>
      </c>
      <c r="D250" s="79" t="str">
        <f>IF('Open 30M - Scoring'!B34&lt;&gt;"",IF('Open 30M - Scoring'!T34&lt;&gt;"",'Open 30M - Scoring'!T34,""),"")</f>
        <v/>
      </c>
      <c r="E250" s="80" t="str">
        <f>IF('Open 30M - Scoring'!B34&lt;&gt;"",'Open 30M - Scoring'!AR34,"")</f>
        <v/>
      </c>
      <c r="F250" s="81" t="str">
        <f>IF(E248&lt;&gt;"",IFERROR(IF(ISNUMBER(E248),E248,0),0)+IFERROR(IF(ISNUMBER(E249),E249,0),0)+IFERROR(IF(ISNUMBER(E250),E250,0),0),"")</f>
        <v/>
      </c>
      <c r="H250" s="78" t="s">
        <v>224</v>
      </c>
      <c r="I250" s="79" t="str">
        <f>IF('Open 30M - Scoring'!B35&lt;&gt;"",IF('Open 30M - Scoring'!R35&lt;&gt;"",'Open 30M - Scoring'!R35,""),"")</f>
        <v/>
      </c>
      <c r="J250" s="79" t="str">
        <f>IF('Open 30M - Scoring'!B35&lt;&gt;"",IF('Open 30M - Scoring'!S35&lt;&gt;"",'Open 30M - Scoring'!S35,""),"")</f>
        <v/>
      </c>
      <c r="K250" s="79" t="str">
        <f>IF('Open 30M - Scoring'!B35&lt;&gt;"",IF('Open 30M - Scoring'!T35&lt;&gt;"",'Open 30M - Scoring'!T35,""),"")</f>
        <v/>
      </c>
      <c r="L250" s="80" t="str">
        <f>IF('Open 30M - Scoring'!B35&lt;&gt;"",'Open 30M - Scoring'!AR35,"")</f>
        <v/>
      </c>
      <c r="M250" s="81" t="str">
        <f>IF(L248&lt;&gt;"",IFERROR(IF(ISNUMBER(L248),L248,0),0)+IFERROR(IF(ISNUMBER(L249),L249,0),0)+IFERROR(IF(ISNUMBER(L250),L250,0),0),"")</f>
        <v/>
      </c>
    </row>
    <row r="251" spans="1:13" ht="19.5" customHeight="1" x14ac:dyDescent="0.35">
      <c r="A251" s="78" t="s">
        <v>227</v>
      </c>
      <c r="B251" s="79" t="str">
        <f>IF('Open 30M - Scoring'!B34&lt;&gt;"",IF('Open 30M - Scoring'!X34&lt;&gt;"",'Open 30M - Scoring'!X34,""),"")</f>
        <v/>
      </c>
      <c r="C251" s="79" t="str">
        <f>IF('Open 30M - Scoring'!B34&lt;&gt;"",IF('Open 30M - Scoring'!Y34&lt;&gt;"",'Open 30M - Scoring'!Y34,""),"")</f>
        <v/>
      </c>
      <c r="D251" s="79" t="str">
        <f>IF('Open 30M - Scoring'!B34&lt;&gt;"",IF('Open 30M - Scoring'!Z34&lt;&gt;"",'Open 30M - Scoring'!Z34,""),"")</f>
        <v/>
      </c>
      <c r="E251" s="80" t="str">
        <f>IF('Open 30M - Scoring'!B34&lt;&gt;"",'Open 30M - Scoring'!AS34,"")</f>
        <v/>
      </c>
      <c r="F251" s="81" t="str">
        <f>IF(E248&lt;&gt;"",IFERROR(IF(ISNUMBER(E248),E248,0),0)+IFERROR(IF(ISNUMBER(E249),E249,0),0)+IFERROR(IF(ISNUMBER(E250),E250,0),0)+IFERROR(IF(ISNUMBER(E251),E251,0),0),"")</f>
        <v/>
      </c>
      <c r="H251" s="78" t="s">
        <v>227</v>
      </c>
      <c r="I251" s="79" t="str">
        <f>IF('Open 30M - Scoring'!B35&lt;&gt;"",IF('Open 30M - Scoring'!X35&lt;&gt;"",'Open 30M - Scoring'!X35,""),"")</f>
        <v/>
      </c>
      <c r="J251" s="79" t="str">
        <f>IF('Open 30M - Scoring'!B35&lt;&gt;"",IF('Open 30M - Scoring'!Y35&lt;&gt;"",'Open 30M - Scoring'!Y35,""),"")</f>
        <v/>
      </c>
      <c r="K251" s="79" t="str">
        <f>IF('Open 30M - Scoring'!B35&lt;&gt;"",IF('Open 30M - Scoring'!Z35&lt;&gt;"",'Open 30M - Scoring'!Z35,""),"")</f>
        <v/>
      </c>
      <c r="L251" s="80" t="str">
        <f>IF('Open 30M - Scoring'!B35&lt;&gt;"",'Open 30M - Scoring'!AS35,"")</f>
        <v/>
      </c>
      <c r="M251" s="81" t="str">
        <f>IF(L248&lt;&gt;"",IFERROR(IF(ISNUMBER(L248),L248,0),0)+IFERROR(IF(ISNUMBER(L249),L249,0),0)+IFERROR(IF(ISNUMBER(L250),L250,0),0)+IFERROR(IF(ISNUMBER(L251),L251,0),0),"")</f>
        <v/>
      </c>
    </row>
    <row r="252" spans="1:13" ht="19.5" customHeight="1" x14ac:dyDescent="0.35">
      <c r="A252" s="78" t="s">
        <v>228</v>
      </c>
      <c r="B252" s="79" t="str">
        <f>IF('Open 30M - Scoring'!B34&lt;&gt;"",IF('Open 30M - Scoring'!AD34&lt;&gt;"",'Open 30M - Scoring'!AD34,""),"")</f>
        <v/>
      </c>
      <c r="C252" s="79" t="str">
        <f>IF('Open 30M - Scoring'!B34&lt;&gt;"",IF('Open 30M - Scoring'!AE34&lt;&gt;"",'Open 30M - Scoring'!AE34,""),"")</f>
        <v/>
      </c>
      <c r="D252" s="79" t="str">
        <f>IF('Open 30M - Scoring'!B34&lt;&gt;"",IF('Open 30M - Scoring'!AF34&lt;&gt;"",'Open 30M - Scoring'!AF34,""),"")</f>
        <v/>
      </c>
      <c r="E252" s="80" t="str">
        <f>IF('Open 30M - Scoring'!B34&lt;&gt;"",'Open 30M - Scoring'!AT34,"")</f>
        <v/>
      </c>
      <c r="F252" s="81" t="str">
        <f>IF(E248&lt;&gt;"",IFERROR(IF(ISNUMBER(E248),E248,0),0)+IFERROR(IF(ISNUMBER(E249),E249,0),0)+IFERROR(IF(ISNUMBER(E250),E250,0),0)+IFERROR(IF(ISNUMBER(E251),E251,0),0)+IFERROR(IF(ISNUMBER(E252),E252,0),0),"")</f>
        <v/>
      </c>
      <c r="H252" s="78" t="s">
        <v>228</v>
      </c>
      <c r="I252" s="79" t="str">
        <f>IF('Open 30M - Scoring'!B35&lt;&gt;"",IF('Open 30M - Scoring'!AD35&lt;&gt;"",'Open 30M - Scoring'!AD35,""),"")</f>
        <v/>
      </c>
      <c r="J252" s="79" t="str">
        <f>IF('Open 30M - Scoring'!B35&lt;&gt;"",IF('Open 30M - Scoring'!AE35&lt;&gt;"",'Open 30M - Scoring'!AE35,""),"")</f>
        <v/>
      </c>
      <c r="K252" s="79" t="str">
        <f>IF('Open 30M - Scoring'!B35&lt;&gt;"",IF('Open 30M - Scoring'!AF35&lt;&gt;"",'Open 30M - Scoring'!AF35,""),"")</f>
        <v/>
      </c>
      <c r="L252" s="80" t="str">
        <f>IF('Open 30M - Scoring'!B35&lt;&gt;"",'Open 30M - Scoring'!AT35,"")</f>
        <v/>
      </c>
      <c r="M252" s="81" t="str">
        <f>IF(L248&lt;&gt;"",IFERROR(IF(ISNUMBER(L248),L248,0),0)+IFERROR(IF(ISNUMBER(L249),L249,0),0)+IFERROR(IF(ISNUMBER(L250),L250,0),0)+IFERROR(IF(ISNUMBER(L251),L251,0),0)+IFERROR(IF(ISNUMBER(L252),L252,0),0),"")</f>
        <v/>
      </c>
    </row>
    <row r="253" spans="1:13" ht="19.5" customHeight="1" x14ac:dyDescent="0.35">
      <c r="A253" s="78" t="s">
        <v>229</v>
      </c>
      <c r="B253" s="79" t="str">
        <f>IF('Open 30M - Scoring'!B34&lt;&gt;"",IF('Open 30M - Scoring'!AJ34&lt;&gt;"",'Open 30M - Scoring'!AJ34,""),"")</f>
        <v/>
      </c>
      <c r="C253" s="79" t="str">
        <f>IF('Open 30M - Scoring'!B34&lt;&gt;"",IF('Open 30M - Scoring'!AK34&lt;&gt;"",'Open 30M - Scoring'!AK34,""),"")</f>
        <v/>
      </c>
      <c r="D253" s="79" t="str">
        <f>IF('Open 30M - Scoring'!B34&lt;&gt;"",IF('Open 30M - Scoring'!AL34&lt;&gt;"",'Open 30M - Scoring'!AL34,""),"")</f>
        <v/>
      </c>
      <c r="E253" s="80" t="str">
        <f>IF('Open 30M - Scoring'!B34&lt;&gt;"",'Open 30M - Scoring'!AU34,"")</f>
        <v/>
      </c>
      <c r="F253" s="81" t="str">
        <f>IF(E248&lt;&gt;"",IFERROR(IF(ISNUMBER(E248),E248,0),0)+IFERROR(IF(ISNUMBER(E249),E249,0),0)+IFERROR(IF(ISNUMBER(E250),E250,0),0)+IFERROR(IF(ISNUMBER(E251),E251,0),0)+IFERROR(IF(ISNUMBER(E252),E252,0),0)+IFERROR(IF(ISNUMBER(E253),E253,0),0),"")</f>
        <v/>
      </c>
      <c r="H253" s="78" t="s">
        <v>229</v>
      </c>
      <c r="I253" s="79" t="str">
        <f>IF('Open 30M - Scoring'!B35&lt;&gt;"",IF('Open 30M - Scoring'!AJ35&lt;&gt;"",'Open 30M - Scoring'!AJ35,""),"")</f>
        <v/>
      </c>
      <c r="J253" s="79" t="str">
        <f>IF('Open 30M - Scoring'!B35&lt;&gt;"",IF('Open 30M - Scoring'!AK35&lt;&gt;"",'Open 30M - Scoring'!AK35,""),"")</f>
        <v/>
      </c>
      <c r="K253" s="79" t="str">
        <f>IF('Open 30M - Scoring'!B35&lt;&gt;"",IF('Open 30M - Scoring'!AL35&lt;&gt;"",'Open 30M - Scoring'!AL35,""),"")</f>
        <v/>
      </c>
      <c r="L253" s="80" t="str">
        <f>IF('Open 30M - Scoring'!B35&lt;&gt;"",'Open 30M - Scoring'!AU35,"")</f>
        <v/>
      </c>
      <c r="M253" s="81" t="str">
        <f>IF(L248&lt;&gt;"",IFERROR(IF(ISNUMBER(L248),L248,0),0)+IFERROR(IF(ISNUMBER(L249),L249,0),0)+IFERROR(IF(ISNUMBER(L250),L250,0),0)+IFERROR(IF(ISNUMBER(L251),L251,0),0)+IFERROR(IF(ISNUMBER(L252),L252,0),0)+IFERROR(IF(ISNUMBER(L253),L253,0),0),"")</f>
        <v/>
      </c>
    </row>
    <row r="254" spans="1:13" ht="3.75" customHeight="1" x14ac:dyDescent="0.35"/>
    <row r="255" spans="1:13" ht="24" customHeight="1" x14ac:dyDescent="0.35">
      <c r="A255" s="124" t="s">
        <v>230</v>
      </c>
      <c r="B255" s="124"/>
      <c r="C255" s="124"/>
      <c r="D255" s="124"/>
      <c r="E255" s="125" t="str">
        <f>IF('Open 30M - Scoring'!B34&lt;&gt;"",'Open 30M - Scoring'!AV34,"")</f>
        <v/>
      </c>
      <c r="F255" s="125"/>
      <c r="H255" s="124" t="s">
        <v>230</v>
      </c>
      <c r="I255" s="124"/>
      <c r="J255" s="124"/>
      <c r="K255" s="124"/>
      <c r="L255" s="125" t="str">
        <f>IF('Open 30M - Scoring'!B35&lt;&gt;"",'Open 30M - Scoring'!AV35,"")</f>
        <v/>
      </c>
      <c r="M255" s="125"/>
    </row>
    <row r="256" spans="1:13" ht="19.5" customHeight="1" x14ac:dyDescent="0.35">
      <c r="E256" s="125"/>
      <c r="F256" s="125"/>
      <c r="L256" s="125"/>
      <c r="M256" s="125"/>
    </row>
    <row r="257" spans="1:13" ht="3.75" customHeight="1" x14ac:dyDescent="0.35"/>
    <row r="258" spans="1:13" ht="18" customHeight="1" x14ac:dyDescent="0.35">
      <c r="A258" s="73" t="s">
        <v>126</v>
      </c>
      <c r="B258" s="82" t="str">
        <f>IF('Open 30M - Scoring'!B34&lt;&gt;"",'Open 30M - Scoring'!AW34,"")</f>
        <v/>
      </c>
      <c r="C258" s="73" t="s">
        <v>127</v>
      </c>
      <c r="D258" s="83" t="str">
        <f>IF('Open 30M - Scoring'!B34&lt;&gt;"",'Open 30M - Scoring'!AX34,"")</f>
        <v/>
      </c>
      <c r="E258" s="73" t="s">
        <v>128</v>
      </c>
      <c r="F258" s="83" t="str">
        <f>IF('Open 30M - Scoring'!B34&lt;&gt;"",'Open 30M - Scoring'!AY34,"")</f>
        <v/>
      </c>
      <c r="H258" s="73" t="s">
        <v>126</v>
      </c>
      <c r="I258" s="82" t="str">
        <f>IF('Open 30M - Scoring'!B35&lt;&gt;"",'Open 30M - Scoring'!AW35,"")</f>
        <v/>
      </c>
      <c r="J258" s="73" t="s">
        <v>127</v>
      </c>
      <c r="K258" s="83" t="str">
        <f>IF('Open 30M - Scoring'!B35&lt;&gt;"",'Open 30M - Scoring'!AX35,"")</f>
        <v/>
      </c>
      <c r="L258" s="73" t="s">
        <v>128</v>
      </c>
      <c r="M258" s="83" t="str">
        <f>IF('Open 30M - Scoring'!B35&lt;&gt;"",'Open 30M - Scoring'!AY35,"")</f>
        <v/>
      </c>
    </row>
    <row r="259" spans="1:13" ht="3.75" customHeight="1" x14ac:dyDescent="0.35"/>
    <row r="260" spans="1:13" ht="7.5" customHeight="1" x14ac:dyDescent="0.35">
      <c r="A260" s="126"/>
      <c r="B260" s="126"/>
      <c r="C260" s="126"/>
      <c r="D260" s="126"/>
      <c r="E260" s="126"/>
      <c r="F260" s="126"/>
      <c r="G260" s="126"/>
      <c r="H260" s="126"/>
      <c r="I260" s="126"/>
      <c r="J260" s="126"/>
      <c r="K260" s="126"/>
      <c r="L260" s="126"/>
      <c r="M260" s="126"/>
    </row>
    <row r="261" spans="1:13" ht="15.75" customHeight="1" x14ac:dyDescent="0.35">
      <c r="A261" s="73" t="s">
        <v>218</v>
      </c>
      <c r="B261" s="122" t="str">
        <f>IF('Open 30M - Scoring'!B36&lt;&gt;"",'Open 30M - Scoring'!B36,"")</f>
        <v/>
      </c>
      <c r="C261" s="122"/>
      <c r="D261" s="122"/>
      <c r="E261" s="73" t="s">
        <v>219</v>
      </c>
      <c r="F261" s="74" t="str">
        <f>IF('Open 30M - Scoring'!B36&lt;&gt;"",'Open 30M - Scoring'!BB36,"")</f>
        <v/>
      </c>
      <c r="H261" s="73" t="s">
        <v>218</v>
      </c>
      <c r="I261" s="122" t="str">
        <f>IF('Open 30M - Scoring'!B37&lt;&gt;"",'Open 30M - Scoring'!B37,"")</f>
        <v/>
      </c>
      <c r="J261" s="122"/>
      <c r="K261" s="122"/>
      <c r="L261" s="73" t="s">
        <v>219</v>
      </c>
      <c r="M261" s="74" t="str">
        <f>IF('Open 30M - Scoring'!B37&lt;&gt;"",'Open 30M - Scoring'!BB37,"")</f>
        <v/>
      </c>
    </row>
    <row r="262" spans="1:13" ht="15.75" customHeight="1" x14ac:dyDescent="0.35">
      <c r="A262" s="73" t="s">
        <v>220</v>
      </c>
      <c r="B262" s="123" t="str">
        <f>IF('Open 30M - Scoring'!B36&lt;&gt;"",'Open 30M - Scoring'!D36,"")</f>
        <v/>
      </c>
      <c r="C262" s="123"/>
      <c r="D262" s="123"/>
      <c r="E262" s="73" t="s">
        <v>8</v>
      </c>
      <c r="F262" s="75" t="str">
        <f>IF('Open 30M - Scoring'!B36&lt;&gt;"",'Open 30M - Scoring'!E36,"")</f>
        <v/>
      </c>
      <c r="H262" s="73" t="s">
        <v>220</v>
      </c>
      <c r="I262" s="123" t="str">
        <f>IF('Open 30M - Scoring'!B37&lt;&gt;"",'Open 30M - Scoring'!D37,"")</f>
        <v/>
      </c>
      <c r="J262" s="123"/>
      <c r="K262" s="123"/>
      <c r="L262" s="73" t="s">
        <v>8</v>
      </c>
      <c r="M262" s="75" t="str">
        <f>IF('Open 30M - Scoring'!B37&lt;&gt;"",'Open 30M - Scoring'!E37,"")</f>
        <v/>
      </c>
    </row>
    <row r="263" spans="1:13" ht="3.75" customHeight="1" x14ac:dyDescent="0.35"/>
    <row r="264" spans="1:13" ht="25.5" customHeight="1" x14ac:dyDescent="0.35">
      <c r="A264" s="76" t="s">
        <v>221</v>
      </c>
      <c r="B264" s="77" t="s">
        <v>222</v>
      </c>
      <c r="C264" s="77" t="s">
        <v>223</v>
      </c>
      <c r="D264" s="77" t="s">
        <v>224</v>
      </c>
      <c r="E264" s="76" t="s">
        <v>225</v>
      </c>
      <c r="F264" s="76" t="s">
        <v>226</v>
      </c>
      <c r="H264" s="76" t="s">
        <v>221</v>
      </c>
      <c r="I264" s="77" t="s">
        <v>222</v>
      </c>
      <c r="J264" s="77" t="s">
        <v>223</v>
      </c>
      <c r="K264" s="77" t="s">
        <v>224</v>
      </c>
      <c r="L264" s="76" t="s">
        <v>225</v>
      </c>
      <c r="M264" s="76" t="s">
        <v>226</v>
      </c>
    </row>
    <row r="265" spans="1:13" ht="19.5" customHeight="1" x14ac:dyDescent="0.35">
      <c r="A265" s="78" t="s">
        <v>222</v>
      </c>
      <c r="B265" s="79" t="str">
        <f>IF('Open 30M - Scoring'!B36&lt;&gt;"",IF('Open 30M - Scoring'!F36&lt;&gt;"",'Open 30M - Scoring'!F36,""),"")</f>
        <v/>
      </c>
      <c r="C265" s="79" t="str">
        <f>IF('Open 30M - Scoring'!B36&lt;&gt;"",IF('Open 30M - Scoring'!G36&lt;&gt;"",'Open 30M - Scoring'!G36,""),"")</f>
        <v/>
      </c>
      <c r="D265" s="79" t="str">
        <f>IF('Open 30M - Scoring'!B36&lt;&gt;"",IF('Open 30M - Scoring'!H36&lt;&gt;"",'Open 30M - Scoring'!H36,""),"")</f>
        <v/>
      </c>
      <c r="E265" s="80" t="str">
        <f>IF('Open 30M - Scoring'!B36&lt;&gt;"",'Open 30M - Scoring'!AP36,"")</f>
        <v/>
      </c>
      <c r="F265" s="81" t="str">
        <f>IFERROR(IF(ISNUMBER(E265),E265,""),"")</f>
        <v/>
      </c>
      <c r="H265" s="78" t="s">
        <v>222</v>
      </c>
      <c r="I265" s="79" t="str">
        <f>IF('Open 30M - Scoring'!B37&lt;&gt;"",IF('Open 30M - Scoring'!F37&lt;&gt;"",'Open 30M - Scoring'!F37,""),"")</f>
        <v/>
      </c>
      <c r="J265" s="79" t="str">
        <f>IF('Open 30M - Scoring'!B37&lt;&gt;"",IF('Open 30M - Scoring'!G37&lt;&gt;"",'Open 30M - Scoring'!G37,""),"")</f>
        <v/>
      </c>
      <c r="K265" s="79" t="str">
        <f>IF('Open 30M - Scoring'!B37&lt;&gt;"",IF('Open 30M - Scoring'!H37&lt;&gt;"",'Open 30M - Scoring'!H37,""),"")</f>
        <v/>
      </c>
      <c r="L265" s="80" t="str">
        <f>IF('Open 30M - Scoring'!B37&lt;&gt;"",'Open 30M - Scoring'!AP37,"")</f>
        <v/>
      </c>
      <c r="M265" s="81" t="str">
        <f>IFERROR(IF(ISNUMBER(L265),L265,""),"")</f>
        <v/>
      </c>
    </row>
    <row r="266" spans="1:13" ht="19.5" customHeight="1" x14ac:dyDescent="0.35">
      <c r="A266" s="78" t="s">
        <v>223</v>
      </c>
      <c r="B266" s="79" t="str">
        <f>IF('Open 30M - Scoring'!B36&lt;&gt;"",IF('Open 30M - Scoring'!L36&lt;&gt;"",'Open 30M - Scoring'!L36,""),"")</f>
        <v/>
      </c>
      <c r="C266" s="79" t="str">
        <f>IF('Open 30M - Scoring'!B36&lt;&gt;"",IF('Open 30M - Scoring'!M36&lt;&gt;"",'Open 30M - Scoring'!M36,""),"")</f>
        <v/>
      </c>
      <c r="D266" s="79" t="str">
        <f>IF('Open 30M - Scoring'!B36&lt;&gt;"",IF('Open 30M - Scoring'!N36&lt;&gt;"",'Open 30M - Scoring'!N36,""),"")</f>
        <v/>
      </c>
      <c r="E266" s="80" t="str">
        <f>IF('Open 30M - Scoring'!B36&lt;&gt;"",'Open 30M - Scoring'!AQ36,"")</f>
        <v/>
      </c>
      <c r="F266" s="81" t="str">
        <f>IF(E265&lt;&gt;"",IFERROR(IF(ISNUMBER(E265),E265,0),0)+IFERROR(IF(ISNUMBER(E266),E266,0),0),"")</f>
        <v/>
      </c>
      <c r="H266" s="78" t="s">
        <v>223</v>
      </c>
      <c r="I266" s="79" t="str">
        <f>IF('Open 30M - Scoring'!B37&lt;&gt;"",IF('Open 30M - Scoring'!L37&lt;&gt;"",'Open 30M - Scoring'!L37,""),"")</f>
        <v/>
      </c>
      <c r="J266" s="79" t="str">
        <f>IF('Open 30M - Scoring'!B37&lt;&gt;"",IF('Open 30M - Scoring'!M37&lt;&gt;"",'Open 30M - Scoring'!M37,""),"")</f>
        <v/>
      </c>
      <c r="K266" s="79" t="str">
        <f>IF('Open 30M - Scoring'!B37&lt;&gt;"",IF('Open 30M - Scoring'!N37&lt;&gt;"",'Open 30M - Scoring'!N37,""),"")</f>
        <v/>
      </c>
      <c r="L266" s="80" t="str">
        <f>IF('Open 30M - Scoring'!B37&lt;&gt;"",'Open 30M - Scoring'!AQ37,"")</f>
        <v/>
      </c>
      <c r="M266" s="81" t="str">
        <f>IF(L265&lt;&gt;"",IFERROR(IF(ISNUMBER(L265),L265,0),0)+IFERROR(IF(ISNUMBER(L266),L266,0),0),"")</f>
        <v/>
      </c>
    </row>
    <row r="267" spans="1:13" ht="19.5" customHeight="1" x14ac:dyDescent="0.35">
      <c r="A267" s="78" t="s">
        <v>224</v>
      </c>
      <c r="B267" s="79" t="str">
        <f>IF('Open 30M - Scoring'!B36&lt;&gt;"",IF('Open 30M - Scoring'!R36&lt;&gt;"",'Open 30M - Scoring'!R36,""),"")</f>
        <v/>
      </c>
      <c r="C267" s="79" t="str">
        <f>IF('Open 30M - Scoring'!B36&lt;&gt;"",IF('Open 30M - Scoring'!S36&lt;&gt;"",'Open 30M - Scoring'!S36,""),"")</f>
        <v/>
      </c>
      <c r="D267" s="79" t="str">
        <f>IF('Open 30M - Scoring'!B36&lt;&gt;"",IF('Open 30M - Scoring'!T36&lt;&gt;"",'Open 30M - Scoring'!T36,""),"")</f>
        <v/>
      </c>
      <c r="E267" s="80" t="str">
        <f>IF('Open 30M - Scoring'!B36&lt;&gt;"",'Open 30M - Scoring'!AR36,"")</f>
        <v/>
      </c>
      <c r="F267" s="81" t="str">
        <f>IF(E265&lt;&gt;"",IFERROR(IF(ISNUMBER(E265),E265,0),0)+IFERROR(IF(ISNUMBER(E266),E266,0),0)+IFERROR(IF(ISNUMBER(E267),E267,0),0),"")</f>
        <v/>
      </c>
      <c r="H267" s="78" t="s">
        <v>224</v>
      </c>
      <c r="I267" s="79" t="str">
        <f>IF('Open 30M - Scoring'!B37&lt;&gt;"",IF('Open 30M - Scoring'!R37&lt;&gt;"",'Open 30M - Scoring'!R37,""),"")</f>
        <v/>
      </c>
      <c r="J267" s="79" t="str">
        <f>IF('Open 30M - Scoring'!B37&lt;&gt;"",IF('Open 30M - Scoring'!S37&lt;&gt;"",'Open 30M - Scoring'!S37,""),"")</f>
        <v/>
      </c>
      <c r="K267" s="79" t="str">
        <f>IF('Open 30M - Scoring'!B37&lt;&gt;"",IF('Open 30M - Scoring'!T37&lt;&gt;"",'Open 30M - Scoring'!T37,""),"")</f>
        <v/>
      </c>
      <c r="L267" s="80" t="str">
        <f>IF('Open 30M - Scoring'!B37&lt;&gt;"",'Open 30M - Scoring'!AR37,"")</f>
        <v/>
      </c>
      <c r="M267" s="81" t="str">
        <f>IF(L265&lt;&gt;"",IFERROR(IF(ISNUMBER(L265),L265,0),0)+IFERROR(IF(ISNUMBER(L266),L266,0),0)+IFERROR(IF(ISNUMBER(L267),L267,0),0),"")</f>
        <v/>
      </c>
    </row>
    <row r="268" spans="1:13" ht="19.5" customHeight="1" x14ac:dyDescent="0.35">
      <c r="A268" s="78" t="s">
        <v>227</v>
      </c>
      <c r="B268" s="79" t="str">
        <f>IF('Open 30M - Scoring'!B36&lt;&gt;"",IF('Open 30M - Scoring'!X36&lt;&gt;"",'Open 30M - Scoring'!X36,""),"")</f>
        <v/>
      </c>
      <c r="C268" s="79" t="str">
        <f>IF('Open 30M - Scoring'!B36&lt;&gt;"",IF('Open 30M - Scoring'!Y36&lt;&gt;"",'Open 30M - Scoring'!Y36,""),"")</f>
        <v/>
      </c>
      <c r="D268" s="79" t="str">
        <f>IF('Open 30M - Scoring'!B36&lt;&gt;"",IF('Open 30M - Scoring'!Z36&lt;&gt;"",'Open 30M - Scoring'!Z36,""),"")</f>
        <v/>
      </c>
      <c r="E268" s="80" t="str">
        <f>IF('Open 30M - Scoring'!B36&lt;&gt;"",'Open 30M - Scoring'!AS36,"")</f>
        <v/>
      </c>
      <c r="F268" s="81" t="str">
        <f>IF(E265&lt;&gt;"",IFERROR(IF(ISNUMBER(E265),E265,0),0)+IFERROR(IF(ISNUMBER(E266),E266,0),0)+IFERROR(IF(ISNUMBER(E267),E267,0),0)+IFERROR(IF(ISNUMBER(E268),E268,0),0),"")</f>
        <v/>
      </c>
      <c r="H268" s="78" t="s">
        <v>227</v>
      </c>
      <c r="I268" s="79" t="str">
        <f>IF('Open 30M - Scoring'!B37&lt;&gt;"",IF('Open 30M - Scoring'!X37&lt;&gt;"",'Open 30M - Scoring'!X37,""),"")</f>
        <v/>
      </c>
      <c r="J268" s="79" t="str">
        <f>IF('Open 30M - Scoring'!B37&lt;&gt;"",IF('Open 30M - Scoring'!Y37&lt;&gt;"",'Open 30M - Scoring'!Y37,""),"")</f>
        <v/>
      </c>
      <c r="K268" s="79" t="str">
        <f>IF('Open 30M - Scoring'!B37&lt;&gt;"",IF('Open 30M - Scoring'!Z37&lt;&gt;"",'Open 30M - Scoring'!Z37,""),"")</f>
        <v/>
      </c>
      <c r="L268" s="80" t="str">
        <f>IF('Open 30M - Scoring'!B37&lt;&gt;"",'Open 30M - Scoring'!AS37,"")</f>
        <v/>
      </c>
      <c r="M268" s="81" t="str">
        <f>IF(L265&lt;&gt;"",IFERROR(IF(ISNUMBER(L265),L265,0),0)+IFERROR(IF(ISNUMBER(L266),L266,0),0)+IFERROR(IF(ISNUMBER(L267),L267,0),0)+IFERROR(IF(ISNUMBER(L268),L268,0),0),"")</f>
        <v/>
      </c>
    </row>
    <row r="269" spans="1:13" ht="19.5" customHeight="1" x14ac:dyDescent="0.35">
      <c r="A269" s="78" t="s">
        <v>228</v>
      </c>
      <c r="B269" s="79" t="str">
        <f>IF('Open 30M - Scoring'!B36&lt;&gt;"",IF('Open 30M - Scoring'!AD36&lt;&gt;"",'Open 30M - Scoring'!AD36,""),"")</f>
        <v/>
      </c>
      <c r="C269" s="79" t="str">
        <f>IF('Open 30M - Scoring'!B36&lt;&gt;"",IF('Open 30M - Scoring'!AE36&lt;&gt;"",'Open 30M - Scoring'!AE36,""),"")</f>
        <v/>
      </c>
      <c r="D269" s="79" t="str">
        <f>IF('Open 30M - Scoring'!B36&lt;&gt;"",IF('Open 30M - Scoring'!AF36&lt;&gt;"",'Open 30M - Scoring'!AF36,""),"")</f>
        <v/>
      </c>
      <c r="E269" s="80" t="str">
        <f>IF('Open 30M - Scoring'!B36&lt;&gt;"",'Open 30M - Scoring'!AT36,"")</f>
        <v/>
      </c>
      <c r="F269" s="81" t="str">
        <f>IF(E265&lt;&gt;"",IFERROR(IF(ISNUMBER(E265),E265,0),0)+IFERROR(IF(ISNUMBER(E266),E266,0),0)+IFERROR(IF(ISNUMBER(E267),E267,0),0)+IFERROR(IF(ISNUMBER(E268),E268,0),0)+IFERROR(IF(ISNUMBER(E269),E269,0),0),"")</f>
        <v/>
      </c>
      <c r="H269" s="78" t="s">
        <v>228</v>
      </c>
      <c r="I269" s="79" t="str">
        <f>IF('Open 30M - Scoring'!B37&lt;&gt;"",IF('Open 30M - Scoring'!AD37&lt;&gt;"",'Open 30M - Scoring'!AD37,""),"")</f>
        <v/>
      </c>
      <c r="J269" s="79" t="str">
        <f>IF('Open 30M - Scoring'!B37&lt;&gt;"",IF('Open 30M - Scoring'!AE37&lt;&gt;"",'Open 30M - Scoring'!AE37,""),"")</f>
        <v/>
      </c>
      <c r="K269" s="79" t="str">
        <f>IF('Open 30M - Scoring'!B37&lt;&gt;"",IF('Open 30M - Scoring'!AF37&lt;&gt;"",'Open 30M - Scoring'!AF37,""),"")</f>
        <v/>
      </c>
      <c r="L269" s="80" t="str">
        <f>IF('Open 30M - Scoring'!B37&lt;&gt;"",'Open 30M - Scoring'!AT37,"")</f>
        <v/>
      </c>
      <c r="M269" s="81" t="str">
        <f>IF(L265&lt;&gt;"",IFERROR(IF(ISNUMBER(L265),L265,0),0)+IFERROR(IF(ISNUMBER(L266),L266,0),0)+IFERROR(IF(ISNUMBER(L267),L267,0),0)+IFERROR(IF(ISNUMBER(L268),L268,0),0)+IFERROR(IF(ISNUMBER(L269),L269,0),0),"")</f>
        <v/>
      </c>
    </row>
    <row r="270" spans="1:13" ht="19.5" customHeight="1" x14ac:dyDescent="0.35">
      <c r="A270" s="78" t="s">
        <v>229</v>
      </c>
      <c r="B270" s="79" t="str">
        <f>IF('Open 30M - Scoring'!B36&lt;&gt;"",IF('Open 30M - Scoring'!AJ36&lt;&gt;"",'Open 30M - Scoring'!AJ36,""),"")</f>
        <v/>
      </c>
      <c r="C270" s="79" t="str">
        <f>IF('Open 30M - Scoring'!B36&lt;&gt;"",IF('Open 30M - Scoring'!AK36&lt;&gt;"",'Open 30M - Scoring'!AK36,""),"")</f>
        <v/>
      </c>
      <c r="D270" s="79" t="str">
        <f>IF('Open 30M - Scoring'!B36&lt;&gt;"",IF('Open 30M - Scoring'!AL36&lt;&gt;"",'Open 30M - Scoring'!AL36,""),"")</f>
        <v/>
      </c>
      <c r="E270" s="80" t="str">
        <f>IF('Open 30M - Scoring'!B36&lt;&gt;"",'Open 30M - Scoring'!AU36,"")</f>
        <v/>
      </c>
      <c r="F270" s="81" t="str">
        <f>IF(E265&lt;&gt;"",IFERROR(IF(ISNUMBER(E265),E265,0),0)+IFERROR(IF(ISNUMBER(E266),E266,0),0)+IFERROR(IF(ISNUMBER(E267),E267,0),0)+IFERROR(IF(ISNUMBER(E268),E268,0),0)+IFERROR(IF(ISNUMBER(E269),E269,0),0)+IFERROR(IF(ISNUMBER(E270),E270,0),0),"")</f>
        <v/>
      </c>
      <c r="H270" s="78" t="s">
        <v>229</v>
      </c>
      <c r="I270" s="79" t="str">
        <f>IF('Open 30M - Scoring'!B37&lt;&gt;"",IF('Open 30M - Scoring'!AJ37&lt;&gt;"",'Open 30M - Scoring'!AJ37,""),"")</f>
        <v/>
      </c>
      <c r="J270" s="79" t="str">
        <f>IF('Open 30M - Scoring'!B37&lt;&gt;"",IF('Open 30M - Scoring'!AK37&lt;&gt;"",'Open 30M - Scoring'!AK37,""),"")</f>
        <v/>
      </c>
      <c r="K270" s="79" t="str">
        <f>IF('Open 30M - Scoring'!B37&lt;&gt;"",IF('Open 30M - Scoring'!AL37&lt;&gt;"",'Open 30M - Scoring'!AL37,""),"")</f>
        <v/>
      </c>
      <c r="L270" s="80" t="str">
        <f>IF('Open 30M - Scoring'!B37&lt;&gt;"",'Open 30M - Scoring'!AU37,"")</f>
        <v/>
      </c>
      <c r="M270" s="81" t="str">
        <f>IF(L265&lt;&gt;"",IFERROR(IF(ISNUMBER(L265),L265,0),0)+IFERROR(IF(ISNUMBER(L266),L266,0),0)+IFERROR(IF(ISNUMBER(L267),L267,0),0)+IFERROR(IF(ISNUMBER(L268),L268,0),0)+IFERROR(IF(ISNUMBER(L269),L269,0),0)+IFERROR(IF(ISNUMBER(L270),L270,0),0),"")</f>
        <v/>
      </c>
    </row>
    <row r="271" spans="1:13" ht="3.75" customHeight="1" x14ac:dyDescent="0.35"/>
    <row r="272" spans="1:13" ht="24" customHeight="1" x14ac:dyDescent="0.35">
      <c r="A272" s="124" t="s">
        <v>230</v>
      </c>
      <c r="B272" s="124"/>
      <c r="C272" s="124"/>
      <c r="D272" s="124"/>
      <c r="E272" s="125" t="str">
        <f>IF('Open 30M - Scoring'!B36&lt;&gt;"",'Open 30M - Scoring'!AV36,"")</f>
        <v/>
      </c>
      <c r="F272" s="125"/>
      <c r="H272" s="124" t="s">
        <v>230</v>
      </c>
      <c r="I272" s="124"/>
      <c r="J272" s="124"/>
      <c r="K272" s="124"/>
      <c r="L272" s="125" t="str">
        <f>IF('Open 30M - Scoring'!B37&lt;&gt;"",'Open 30M - Scoring'!AV37,"")</f>
        <v/>
      </c>
      <c r="M272" s="125"/>
    </row>
    <row r="273" spans="1:13" ht="19.5" customHeight="1" x14ac:dyDescent="0.35">
      <c r="E273" s="125"/>
      <c r="F273" s="125"/>
      <c r="L273" s="125"/>
      <c r="M273" s="125"/>
    </row>
    <row r="274" spans="1:13" ht="3.75" customHeight="1" x14ac:dyDescent="0.35"/>
    <row r="275" spans="1:13" ht="18" customHeight="1" x14ac:dyDescent="0.35">
      <c r="A275" s="73" t="s">
        <v>126</v>
      </c>
      <c r="B275" s="82" t="str">
        <f>IF('Open 30M - Scoring'!B36&lt;&gt;"",'Open 30M - Scoring'!AW36,"")</f>
        <v/>
      </c>
      <c r="C275" s="73" t="s">
        <v>127</v>
      </c>
      <c r="D275" s="83" t="str">
        <f>IF('Open 30M - Scoring'!B36&lt;&gt;"",'Open 30M - Scoring'!AX36,"")</f>
        <v/>
      </c>
      <c r="E275" s="73" t="s">
        <v>128</v>
      </c>
      <c r="F275" s="83" t="str">
        <f>IF('Open 30M - Scoring'!B36&lt;&gt;"",'Open 30M - Scoring'!AY36,"")</f>
        <v/>
      </c>
      <c r="H275" s="73" t="s">
        <v>126</v>
      </c>
      <c r="I275" s="82" t="str">
        <f>IF('Open 30M - Scoring'!B37&lt;&gt;"",'Open 30M - Scoring'!AW37,"")</f>
        <v/>
      </c>
      <c r="J275" s="73" t="s">
        <v>127</v>
      </c>
      <c r="K275" s="83" t="str">
        <f>IF('Open 30M - Scoring'!B37&lt;&gt;"",'Open 30M - Scoring'!AX37,"")</f>
        <v/>
      </c>
      <c r="L275" s="73" t="s">
        <v>128</v>
      </c>
      <c r="M275" s="83" t="str">
        <f>IF('Open 30M - Scoring'!B37&lt;&gt;"",'Open 30M - Scoring'!AY37,"")</f>
        <v/>
      </c>
    </row>
    <row r="276" spans="1:13" ht="3.75" customHeight="1" x14ac:dyDescent="0.35"/>
    <row r="277" spans="1:13" ht="7.5" customHeight="1" x14ac:dyDescent="0.35">
      <c r="A277" s="126"/>
      <c r="B277" s="126"/>
      <c r="C277" s="126"/>
      <c r="D277" s="126"/>
      <c r="E277" s="126"/>
      <c r="F277" s="126"/>
      <c r="G277" s="126"/>
      <c r="H277" s="126"/>
      <c r="I277" s="126"/>
      <c r="J277" s="126"/>
      <c r="K277" s="126"/>
      <c r="L277" s="126"/>
      <c r="M277" s="126"/>
    </row>
    <row r="278" spans="1:13" ht="15.75" customHeight="1" x14ac:dyDescent="0.35">
      <c r="A278" s="73" t="s">
        <v>218</v>
      </c>
      <c r="B278" s="122" t="str">
        <f>IF('Open 30M - Scoring'!B38&lt;&gt;"",'Open 30M - Scoring'!B38,"")</f>
        <v/>
      </c>
      <c r="C278" s="122"/>
      <c r="D278" s="122"/>
      <c r="E278" s="73" t="s">
        <v>219</v>
      </c>
      <c r="F278" s="74" t="str">
        <f>IF('Open 30M - Scoring'!B38&lt;&gt;"",'Open 30M - Scoring'!BB38,"")</f>
        <v/>
      </c>
      <c r="H278" s="73" t="s">
        <v>218</v>
      </c>
      <c r="I278" s="122" t="str">
        <f>IF('Open 30M - Scoring'!B39&lt;&gt;"",'Open 30M - Scoring'!B39,"")</f>
        <v/>
      </c>
      <c r="J278" s="122"/>
      <c r="K278" s="122"/>
      <c r="L278" s="73" t="s">
        <v>219</v>
      </c>
      <c r="M278" s="74" t="str">
        <f>IF('Open 30M - Scoring'!B39&lt;&gt;"",'Open 30M - Scoring'!BB39,"")</f>
        <v/>
      </c>
    </row>
    <row r="279" spans="1:13" ht="15.75" customHeight="1" x14ac:dyDescent="0.35">
      <c r="A279" s="73" t="s">
        <v>220</v>
      </c>
      <c r="B279" s="123" t="str">
        <f>IF('Open 30M - Scoring'!B38&lt;&gt;"",'Open 30M - Scoring'!D38,"")</f>
        <v/>
      </c>
      <c r="C279" s="123"/>
      <c r="D279" s="123"/>
      <c r="E279" s="73" t="s">
        <v>8</v>
      </c>
      <c r="F279" s="75" t="str">
        <f>IF('Open 30M - Scoring'!B38&lt;&gt;"",'Open 30M - Scoring'!E38,"")</f>
        <v/>
      </c>
      <c r="H279" s="73" t="s">
        <v>220</v>
      </c>
      <c r="I279" s="123" t="str">
        <f>IF('Open 30M - Scoring'!B39&lt;&gt;"",'Open 30M - Scoring'!D39,"")</f>
        <v/>
      </c>
      <c r="J279" s="123"/>
      <c r="K279" s="123"/>
      <c r="L279" s="73" t="s">
        <v>8</v>
      </c>
      <c r="M279" s="75" t="str">
        <f>IF('Open 30M - Scoring'!B39&lt;&gt;"",'Open 30M - Scoring'!E39,"")</f>
        <v/>
      </c>
    </row>
    <row r="280" spans="1:13" ht="3.75" customHeight="1" x14ac:dyDescent="0.35"/>
    <row r="281" spans="1:13" ht="25.5" customHeight="1" x14ac:dyDescent="0.35">
      <c r="A281" s="76" t="s">
        <v>221</v>
      </c>
      <c r="B281" s="77" t="s">
        <v>222</v>
      </c>
      <c r="C281" s="77" t="s">
        <v>223</v>
      </c>
      <c r="D281" s="77" t="s">
        <v>224</v>
      </c>
      <c r="E281" s="76" t="s">
        <v>225</v>
      </c>
      <c r="F281" s="76" t="s">
        <v>226</v>
      </c>
      <c r="H281" s="76" t="s">
        <v>221</v>
      </c>
      <c r="I281" s="77" t="s">
        <v>222</v>
      </c>
      <c r="J281" s="77" t="s">
        <v>223</v>
      </c>
      <c r="K281" s="77" t="s">
        <v>224</v>
      </c>
      <c r="L281" s="76" t="s">
        <v>225</v>
      </c>
      <c r="M281" s="76" t="s">
        <v>226</v>
      </c>
    </row>
    <row r="282" spans="1:13" ht="19.5" customHeight="1" x14ac:dyDescent="0.35">
      <c r="A282" s="78" t="s">
        <v>222</v>
      </c>
      <c r="B282" s="79" t="str">
        <f>IF('Open 30M - Scoring'!B38&lt;&gt;"",IF('Open 30M - Scoring'!F38&lt;&gt;"",'Open 30M - Scoring'!F38,""),"")</f>
        <v/>
      </c>
      <c r="C282" s="79" t="str">
        <f>IF('Open 30M - Scoring'!B38&lt;&gt;"",IF('Open 30M - Scoring'!G38&lt;&gt;"",'Open 30M - Scoring'!G38,""),"")</f>
        <v/>
      </c>
      <c r="D282" s="79" t="str">
        <f>IF('Open 30M - Scoring'!B38&lt;&gt;"",IF('Open 30M - Scoring'!H38&lt;&gt;"",'Open 30M - Scoring'!H38,""),"")</f>
        <v/>
      </c>
      <c r="E282" s="80" t="str">
        <f>IF('Open 30M - Scoring'!B38&lt;&gt;"",'Open 30M - Scoring'!AP38,"")</f>
        <v/>
      </c>
      <c r="F282" s="81" t="str">
        <f>IFERROR(IF(ISNUMBER(E282),E282,""),"")</f>
        <v/>
      </c>
      <c r="H282" s="78" t="s">
        <v>222</v>
      </c>
      <c r="I282" s="79" t="str">
        <f>IF('Open 30M - Scoring'!B39&lt;&gt;"",IF('Open 30M - Scoring'!F39&lt;&gt;"",'Open 30M - Scoring'!F39,""),"")</f>
        <v/>
      </c>
      <c r="J282" s="79" t="str">
        <f>IF('Open 30M - Scoring'!B39&lt;&gt;"",IF('Open 30M - Scoring'!G39&lt;&gt;"",'Open 30M - Scoring'!G39,""),"")</f>
        <v/>
      </c>
      <c r="K282" s="79" t="str">
        <f>IF('Open 30M - Scoring'!B39&lt;&gt;"",IF('Open 30M - Scoring'!H39&lt;&gt;"",'Open 30M - Scoring'!H39,""),"")</f>
        <v/>
      </c>
      <c r="L282" s="80" t="str">
        <f>IF('Open 30M - Scoring'!B39&lt;&gt;"",'Open 30M - Scoring'!AP39,"")</f>
        <v/>
      </c>
      <c r="M282" s="81" t="str">
        <f>IFERROR(IF(ISNUMBER(L282),L282,""),"")</f>
        <v/>
      </c>
    </row>
    <row r="283" spans="1:13" ht="19.5" customHeight="1" x14ac:dyDescent="0.35">
      <c r="A283" s="78" t="s">
        <v>223</v>
      </c>
      <c r="B283" s="79" t="str">
        <f>IF('Open 30M - Scoring'!B38&lt;&gt;"",IF('Open 30M - Scoring'!L38&lt;&gt;"",'Open 30M - Scoring'!L38,""),"")</f>
        <v/>
      </c>
      <c r="C283" s="79" t="str">
        <f>IF('Open 30M - Scoring'!B38&lt;&gt;"",IF('Open 30M - Scoring'!M38&lt;&gt;"",'Open 30M - Scoring'!M38,""),"")</f>
        <v/>
      </c>
      <c r="D283" s="79" t="str">
        <f>IF('Open 30M - Scoring'!B38&lt;&gt;"",IF('Open 30M - Scoring'!N38&lt;&gt;"",'Open 30M - Scoring'!N38,""),"")</f>
        <v/>
      </c>
      <c r="E283" s="80" t="str">
        <f>IF('Open 30M - Scoring'!B38&lt;&gt;"",'Open 30M - Scoring'!AQ38,"")</f>
        <v/>
      </c>
      <c r="F283" s="81" t="str">
        <f>IF(E282&lt;&gt;"",IFERROR(IF(ISNUMBER(E282),E282,0),0)+IFERROR(IF(ISNUMBER(E283),E283,0),0),"")</f>
        <v/>
      </c>
      <c r="H283" s="78" t="s">
        <v>223</v>
      </c>
      <c r="I283" s="79" t="str">
        <f>IF('Open 30M - Scoring'!B39&lt;&gt;"",IF('Open 30M - Scoring'!L39&lt;&gt;"",'Open 30M - Scoring'!L39,""),"")</f>
        <v/>
      </c>
      <c r="J283" s="79" t="str">
        <f>IF('Open 30M - Scoring'!B39&lt;&gt;"",IF('Open 30M - Scoring'!M39&lt;&gt;"",'Open 30M - Scoring'!M39,""),"")</f>
        <v/>
      </c>
      <c r="K283" s="79" t="str">
        <f>IF('Open 30M - Scoring'!B39&lt;&gt;"",IF('Open 30M - Scoring'!N39&lt;&gt;"",'Open 30M - Scoring'!N39,""),"")</f>
        <v/>
      </c>
      <c r="L283" s="80" t="str">
        <f>IF('Open 30M - Scoring'!B39&lt;&gt;"",'Open 30M - Scoring'!AQ39,"")</f>
        <v/>
      </c>
      <c r="M283" s="81" t="str">
        <f>IF(L282&lt;&gt;"",IFERROR(IF(ISNUMBER(L282),L282,0),0)+IFERROR(IF(ISNUMBER(L283),L283,0),0),"")</f>
        <v/>
      </c>
    </row>
    <row r="284" spans="1:13" ht="19.5" customHeight="1" x14ac:dyDescent="0.35">
      <c r="A284" s="78" t="s">
        <v>224</v>
      </c>
      <c r="B284" s="79" t="str">
        <f>IF('Open 30M - Scoring'!B38&lt;&gt;"",IF('Open 30M - Scoring'!R38&lt;&gt;"",'Open 30M - Scoring'!R38,""),"")</f>
        <v/>
      </c>
      <c r="C284" s="79" t="str">
        <f>IF('Open 30M - Scoring'!B38&lt;&gt;"",IF('Open 30M - Scoring'!S38&lt;&gt;"",'Open 30M - Scoring'!S38,""),"")</f>
        <v/>
      </c>
      <c r="D284" s="79" t="str">
        <f>IF('Open 30M - Scoring'!B38&lt;&gt;"",IF('Open 30M - Scoring'!T38&lt;&gt;"",'Open 30M - Scoring'!T38,""),"")</f>
        <v/>
      </c>
      <c r="E284" s="80" t="str">
        <f>IF('Open 30M - Scoring'!B38&lt;&gt;"",'Open 30M - Scoring'!AR38,"")</f>
        <v/>
      </c>
      <c r="F284" s="81" t="str">
        <f>IF(E282&lt;&gt;"",IFERROR(IF(ISNUMBER(E282),E282,0),0)+IFERROR(IF(ISNUMBER(E283),E283,0),0)+IFERROR(IF(ISNUMBER(E284),E284,0),0),"")</f>
        <v/>
      </c>
      <c r="H284" s="78" t="s">
        <v>224</v>
      </c>
      <c r="I284" s="79" t="str">
        <f>IF('Open 30M - Scoring'!B39&lt;&gt;"",IF('Open 30M - Scoring'!R39&lt;&gt;"",'Open 30M - Scoring'!R39,""),"")</f>
        <v/>
      </c>
      <c r="J284" s="79" t="str">
        <f>IF('Open 30M - Scoring'!B39&lt;&gt;"",IF('Open 30M - Scoring'!S39&lt;&gt;"",'Open 30M - Scoring'!S39,""),"")</f>
        <v/>
      </c>
      <c r="K284" s="79" t="str">
        <f>IF('Open 30M - Scoring'!B39&lt;&gt;"",IF('Open 30M - Scoring'!T39&lt;&gt;"",'Open 30M - Scoring'!T39,""),"")</f>
        <v/>
      </c>
      <c r="L284" s="80" t="str">
        <f>IF('Open 30M - Scoring'!B39&lt;&gt;"",'Open 30M - Scoring'!AR39,"")</f>
        <v/>
      </c>
      <c r="M284" s="81" t="str">
        <f>IF(L282&lt;&gt;"",IFERROR(IF(ISNUMBER(L282),L282,0),0)+IFERROR(IF(ISNUMBER(L283),L283,0),0)+IFERROR(IF(ISNUMBER(L284),L284,0),0),"")</f>
        <v/>
      </c>
    </row>
    <row r="285" spans="1:13" ht="19.5" customHeight="1" x14ac:dyDescent="0.35">
      <c r="A285" s="78" t="s">
        <v>227</v>
      </c>
      <c r="B285" s="79" t="str">
        <f>IF('Open 30M - Scoring'!B38&lt;&gt;"",IF('Open 30M - Scoring'!X38&lt;&gt;"",'Open 30M - Scoring'!X38,""),"")</f>
        <v/>
      </c>
      <c r="C285" s="79" t="str">
        <f>IF('Open 30M - Scoring'!B38&lt;&gt;"",IF('Open 30M - Scoring'!Y38&lt;&gt;"",'Open 30M - Scoring'!Y38,""),"")</f>
        <v/>
      </c>
      <c r="D285" s="79" t="str">
        <f>IF('Open 30M - Scoring'!B38&lt;&gt;"",IF('Open 30M - Scoring'!Z38&lt;&gt;"",'Open 30M - Scoring'!Z38,""),"")</f>
        <v/>
      </c>
      <c r="E285" s="80" t="str">
        <f>IF('Open 30M - Scoring'!B38&lt;&gt;"",'Open 30M - Scoring'!AS38,"")</f>
        <v/>
      </c>
      <c r="F285" s="81" t="str">
        <f>IF(E282&lt;&gt;"",IFERROR(IF(ISNUMBER(E282),E282,0),0)+IFERROR(IF(ISNUMBER(E283),E283,0),0)+IFERROR(IF(ISNUMBER(E284),E284,0),0)+IFERROR(IF(ISNUMBER(E285),E285,0),0),"")</f>
        <v/>
      </c>
      <c r="H285" s="78" t="s">
        <v>227</v>
      </c>
      <c r="I285" s="79" t="str">
        <f>IF('Open 30M - Scoring'!B39&lt;&gt;"",IF('Open 30M - Scoring'!X39&lt;&gt;"",'Open 30M - Scoring'!X39,""),"")</f>
        <v/>
      </c>
      <c r="J285" s="79" t="str">
        <f>IF('Open 30M - Scoring'!B39&lt;&gt;"",IF('Open 30M - Scoring'!Y39&lt;&gt;"",'Open 30M - Scoring'!Y39,""),"")</f>
        <v/>
      </c>
      <c r="K285" s="79" t="str">
        <f>IF('Open 30M - Scoring'!B39&lt;&gt;"",IF('Open 30M - Scoring'!Z39&lt;&gt;"",'Open 30M - Scoring'!Z39,""),"")</f>
        <v/>
      </c>
      <c r="L285" s="80" t="str">
        <f>IF('Open 30M - Scoring'!B39&lt;&gt;"",'Open 30M - Scoring'!AS39,"")</f>
        <v/>
      </c>
      <c r="M285" s="81" t="str">
        <f>IF(L282&lt;&gt;"",IFERROR(IF(ISNUMBER(L282),L282,0),0)+IFERROR(IF(ISNUMBER(L283),L283,0),0)+IFERROR(IF(ISNUMBER(L284),L284,0),0)+IFERROR(IF(ISNUMBER(L285),L285,0),0),"")</f>
        <v/>
      </c>
    </row>
    <row r="286" spans="1:13" ht="19.5" customHeight="1" x14ac:dyDescent="0.35">
      <c r="A286" s="78" t="s">
        <v>228</v>
      </c>
      <c r="B286" s="79" t="str">
        <f>IF('Open 30M - Scoring'!B38&lt;&gt;"",IF('Open 30M - Scoring'!AD38&lt;&gt;"",'Open 30M - Scoring'!AD38,""),"")</f>
        <v/>
      </c>
      <c r="C286" s="79" t="str">
        <f>IF('Open 30M - Scoring'!B38&lt;&gt;"",IF('Open 30M - Scoring'!AE38&lt;&gt;"",'Open 30M - Scoring'!AE38,""),"")</f>
        <v/>
      </c>
      <c r="D286" s="79" t="str">
        <f>IF('Open 30M - Scoring'!B38&lt;&gt;"",IF('Open 30M - Scoring'!AF38&lt;&gt;"",'Open 30M - Scoring'!AF38,""),"")</f>
        <v/>
      </c>
      <c r="E286" s="80" t="str">
        <f>IF('Open 30M - Scoring'!B38&lt;&gt;"",'Open 30M - Scoring'!AT38,"")</f>
        <v/>
      </c>
      <c r="F286" s="81" t="str">
        <f>IF(E282&lt;&gt;"",IFERROR(IF(ISNUMBER(E282),E282,0),0)+IFERROR(IF(ISNUMBER(E283),E283,0),0)+IFERROR(IF(ISNUMBER(E284),E284,0),0)+IFERROR(IF(ISNUMBER(E285),E285,0),0)+IFERROR(IF(ISNUMBER(E286),E286,0),0),"")</f>
        <v/>
      </c>
      <c r="H286" s="78" t="s">
        <v>228</v>
      </c>
      <c r="I286" s="79" t="str">
        <f>IF('Open 30M - Scoring'!B39&lt;&gt;"",IF('Open 30M - Scoring'!AD39&lt;&gt;"",'Open 30M - Scoring'!AD39,""),"")</f>
        <v/>
      </c>
      <c r="J286" s="79" t="str">
        <f>IF('Open 30M - Scoring'!B39&lt;&gt;"",IF('Open 30M - Scoring'!AE39&lt;&gt;"",'Open 30M - Scoring'!AE39,""),"")</f>
        <v/>
      </c>
      <c r="K286" s="79" t="str">
        <f>IF('Open 30M - Scoring'!B39&lt;&gt;"",IF('Open 30M - Scoring'!AF39&lt;&gt;"",'Open 30M - Scoring'!AF39,""),"")</f>
        <v/>
      </c>
      <c r="L286" s="80" t="str">
        <f>IF('Open 30M - Scoring'!B39&lt;&gt;"",'Open 30M - Scoring'!AT39,"")</f>
        <v/>
      </c>
      <c r="M286" s="81" t="str">
        <f>IF(L282&lt;&gt;"",IFERROR(IF(ISNUMBER(L282),L282,0),0)+IFERROR(IF(ISNUMBER(L283),L283,0),0)+IFERROR(IF(ISNUMBER(L284),L284,0),0)+IFERROR(IF(ISNUMBER(L285),L285,0),0)+IFERROR(IF(ISNUMBER(L286),L286,0),0),"")</f>
        <v/>
      </c>
    </row>
    <row r="287" spans="1:13" ht="19.5" customHeight="1" x14ac:dyDescent="0.35">
      <c r="A287" s="78" t="s">
        <v>229</v>
      </c>
      <c r="B287" s="79" t="str">
        <f>IF('Open 30M - Scoring'!B38&lt;&gt;"",IF('Open 30M - Scoring'!AJ38&lt;&gt;"",'Open 30M - Scoring'!AJ38,""),"")</f>
        <v/>
      </c>
      <c r="C287" s="79" t="str">
        <f>IF('Open 30M - Scoring'!B38&lt;&gt;"",IF('Open 30M - Scoring'!AK38&lt;&gt;"",'Open 30M - Scoring'!AK38,""),"")</f>
        <v/>
      </c>
      <c r="D287" s="79" t="str">
        <f>IF('Open 30M - Scoring'!B38&lt;&gt;"",IF('Open 30M - Scoring'!AL38&lt;&gt;"",'Open 30M - Scoring'!AL38,""),"")</f>
        <v/>
      </c>
      <c r="E287" s="80" t="str">
        <f>IF('Open 30M - Scoring'!B38&lt;&gt;"",'Open 30M - Scoring'!AU38,"")</f>
        <v/>
      </c>
      <c r="F287" s="81" t="str">
        <f>IF(E282&lt;&gt;"",IFERROR(IF(ISNUMBER(E282),E282,0),0)+IFERROR(IF(ISNUMBER(E283),E283,0),0)+IFERROR(IF(ISNUMBER(E284),E284,0),0)+IFERROR(IF(ISNUMBER(E285),E285,0),0)+IFERROR(IF(ISNUMBER(E286),E286,0),0)+IFERROR(IF(ISNUMBER(E287),E287,0),0),"")</f>
        <v/>
      </c>
      <c r="H287" s="78" t="s">
        <v>229</v>
      </c>
      <c r="I287" s="79" t="str">
        <f>IF('Open 30M - Scoring'!B39&lt;&gt;"",IF('Open 30M - Scoring'!AJ39&lt;&gt;"",'Open 30M - Scoring'!AJ39,""),"")</f>
        <v/>
      </c>
      <c r="J287" s="79" t="str">
        <f>IF('Open 30M - Scoring'!B39&lt;&gt;"",IF('Open 30M - Scoring'!AK39&lt;&gt;"",'Open 30M - Scoring'!AK39,""),"")</f>
        <v/>
      </c>
      <c r="K287" s="79" t="str">
        <f>IF('Open 30M - Scoring'!B39&lt;&gt;"",IF('Open 30M - Scoring'!AL39&lt;&gt;"",'Open 30M - Scoring'!AL39,""),"")</f>
        <v/>
      </c>
      <c r="L287" s="80" t="str">
        <f>IF('Open 30M - Scoring'!B39&lt;&gt;"",'Open 30M - Scoring'!AU39,"")</f>
        <v/>
      </c>
      <c r="M287" s="81" t="str">
        <f>IF(L282&lt;&gt;"",IFERROR(IF(ISNUMBER(L282),L282,0),0)+IFERROR(IF(ISNUMBER(L283),L283,0),0)+IFERROR(IF(ISNUMBER(L284),L284,0),0)+IFERROR(IF(ISNUMBER(L285),L285,0),0)+IFERROR(IF(ISNUMBER(L286),L286,0),0)+IFERROR(IF(ISNUMBER(L287),L287,0),0),"")</f>
        <v/>
      </c>
    </row>
    <row r="288" spans="1:13" ht="3.75" customHeight="1" x14ac:dyDescent="0.35"/>
    <row r="289" spans="1:13" ht="24" customHeight="1" x14ac:dyDescent="0.35">
      <c r="A289" s="124" t="s">
        <v>230</v>
      </c>
      <c r="B289" s="124"/>
      <c r="C289" s="124"/>
      <c r="D289" s="124"/>
      <c r="E289" s="125" t="str">
        <f>IF('Open 30M - Scoring'!B38&lt;&gt;"",'Open 30M - Scoring'!AV38,"")</f>
        <v/>
      </c>
      <c r="F289" s="125"/>
      <c r="H289" s="124" t="s">
        <v>230</v>
      </c>
      <c r="I289" s="124"/>
      <c r="J289" s="124"/>
      <c r="K289" s="124"/>
      <c r="L289" s="125" t="str">
        <f>IF('Open 30M - Scoring'!B39&lt;&gt;"",'Open 30M - Scoring'!AV39,"")</f>
        <v/>
      </c>
      <c r="M289" s="125"/>
    </row>
    <row r="290" spans="1:13" ht="19.5" customHeight="1" x14ac:dyDescent="0.35">
      <c r="E290" s="125"/>
      <c r="F290" s="125"/>
      <c r="L290" s="125"/>
      <c r="M290" s="125"/>
    </row>
    <row r="291" spans="1:13" ht="3.75" customHeight="1" x14ac:dyDescent="0.35"/>
    <row r="292" spans="1:13" ht="18" customHeight="1" x14ac:dyDescent="0.35">
      <c r="A292" s="73" t="s">
        <v>126</v>
      </c>
      <c r="B292" s="82" t="str">
        <f>IF('Open 30M - Scoring'!B38&lt;&gt;"",'Open 30M - Scoring'!AW38,"")</f>
        <v/>
      </c>
      <c r="C292" s="73" t="s">
        <v>127</v>
      </c>
      <c r="D292" s="83" t="str">
        <f>IF('Open 30M - Scoring'!B38&lt;&gt;"",'Open 30M - Scoring'!AX38,"")</f>
        <v/>
      </c>
      <c r="E292" s="73" t="s">
        <v>128</v>
      </c>
      <c r="F292" s="83" t="str">
        <f>IF('Open 30M - Scoring'!B38&lt;&gt;"",'Open 30M - Scoring'!AY38,"")</f>
        <v/>
      </c>
      <c r="H292" s="73" t="s">
        <v>126</v>
      </c>
      <c r="I292" s="82" t="str">
        <f>IF('Open 30M - Scoring'!B39&lt;&gt;"",'Open 30M - Scoring'!AW39,"")</f>
        <v/>
      </c>
      <c r="J292" s="73" t="s">
        <v>127</v>
      </c>
      <c r="K292" s="83" t="str">
        <f>IF('Open 30M - Scoring'!B39&lt;&gt;"",'Open 30M - Scoring'!AX39,"")</f>
        <v/>
      </c>
      <c r="L292" s="73" t="s">
        <v>128</v>
      </c>
      <c r="M292" s="83" t="str">
        <f>IF('Open 30M - Scoring'!B39&lt;&gt;"",'Open 30M - Scoring'!AY39,"")</f>
        <v/>
      </c>
    </row>
    <row r="293" spans="1:13" ht="3.75" customHeight="1" x14ac:dyDescent="0.35"/>
    <row r="294" spans="1:13" ht="7.5" customHeight="1" x14ac:dyDescent="0.35">
      <c r="A294" s="126"/>
      <c r="B294" s="126"/>
      <c r="C294" s="126"/>
      <c r="D294" s="126"/>
      <c r="E294" s="126"/>
      <c r="F294" s="126"/>
      <c r="G294" s="126"/>
      <c r="H294" s="126"/>
      <c r="I294" s="126"/>
      <c r="J294" s="126"/>
      <c r="K294" s="126"/>
      <c r="L294" s="126"/>
      <c r="M294" s="126"/>
    </row>
    <row r="295" spans="1:13" ht="15.75" customHeight="1" x14ac:dyDescent="0.35">
      <c r="A295" s="73" t="s">
        <v>218</v>
      </c>
      <c r="B295" s="122" t="str">
        <f>IF('Open 30M - Scoring'!B40&lt;&gt;"",'Open 30M - Scoring'!B40,"")</f>
        <v/>
      </c>
      <c r="C295" s="122"/>
      <c r="D295" s="122"/>
      <c r="E295" s="73" t="s">
        <v>219</v>
      </c>
      <c r="F295" s="74" t="str">
        <f>IF('Open 30M - Scoring'!B40&lt;&gt;"",'Open 30M - Scoring'!BB40,"")</f>
        <v/>
      </c>
      <c r="H295" s="73" t="s">
        <v>218</v>
      </c>
      <c r="I295" s="122" t="str">
        <f>IF('Open 30M - Scoring'!B41&lt;&gt;"",'Open 30M - Scoring'!B41,"")</f>
        <v/>
      </c>
      <c r="J295" s="122"/>
      <c r="K295" s="122"/>
      <c r="L295" s="73" t="s">
        <v>219</v>
      </c>
      <c r="M295" s="74" t="str">
        <f>IF('Open 30M - Scoring'!B41&lt;&gt;"",'Open 30M - Scoring'!BB41,"")</f>
        <v/>
      </c>
    </row>
    <row r="296" spans="1:13" ht="15.75" customHeight="1" x14ac:dyDescent="0.35">
      <c r="A296" s="73" t="s">
        <v>220</v>
      </c>
      <c r="B296" s="123" t="str">
        <f>IF('Open 30M - Scoring'!B40&lt;&gt;"",'Open 30M - Scoring'!D40,"")</f>
        <v/>
      </c>
      <c r="C296" s="123"/>
      <c r="D296" s="123"/>
      <c r="E296" s="73" t="s">
        <v>8</v>
      </c>
      <c r="F296" s="75" t="str">
        <f>IF('Open 30M - Scoring'!B40&lt;&gt;"",'Open 30M - Scoring'!E40,"")</f>
        <v/>
      </c>
      <c r="H296" s="73" t="s">
        <v>220</v>
      </c>
      <c r="I296" s="123" t="str">
        <f>IF('Open 30M - Scoring'!B41&lt;&gt;"",'Open 30M - Scoring'!D41,"")</f>
        <v/>
      </c>
      <c r="J296" s="123"/>
      <c r="K296" s="123"/>
      <c r="L296" s="73" t="s">
        <v>8</v>
      </c>
      <c r="M296" s="75" t="str">
        <f>IF('Open 30M - Scoring'!B41&lt;&gt;"",'Open 30M - Scoring'!E41,"")</f>
        <v/>
      </c>
    </row>
    <row r="297" spans="1:13" ht="3.75" customHeight="1" x14ac:dyDescent="0.35"/>
    <row r="298" spans="1:13" ht="25.5" customHeight="1" x14ac:dyDescent="0.35">
      <c r="A298" s="76" t="s">
        <v>221</v>
      </c>
      <c r="B298" s="77" t="s">
        <v>222</v>
      </c>
      <c r="C298" s="77" t="s">
        <v>223</v>
      </c>
      <c r="D298" s="77" t="s">
        <v>224</v>
      </c>
      <c r="E298" s="76" t="s">
        <v>225</v>
      </c>
      <c r="F298" s="76" t="s">
        <v>226</v>
      </c>
      <c r="H298" s="76" t="s">
        <v>221</v>
      </c>
      <c r="I298" s="77" t="s">
        <v>222</v>
      </c>
      <c r="J298" s="77" t="s">
        <v>223</v>
      </c>
      <c r="K298" s="77" t="s">
        <v>224</v>
      </c>
      <c r="L298" s="76" t="s">
        <v>225</v>
      </c>
      <c r="M298" s="76" t="s">
        <v>226</v>
      </c>
    </row>
    <row r="299" spans="1:13" ht="19.5" customHeight="1" x14ac:dyDescent="0.35">
      <c r="A299" s="78" t="s">
        <v>222</v>
      </c>
      <c r="B299" s="79" t="str">
        <f>IF('Open 30M - Scoring'!B40&lt;&gt;"",IF('Open 30M - Scoring'!F40&lt;&gt;"",'Open 30M - Scoring'!F40,""),"")</f>
        <v/>
      </c>
      <c r="C299" s="79" t="str">
        <f>IF('Open 30M - Scoring'!B40&lt;&gt;"",IF('Open 30M - Scoring'!G40&lt;&gt;"",'Open 30M - Scoring'!G40,""),"")</f>
        <v/>
      </c>
      <c r="D299" s="79" t="str">
        <f>IF('Open 30M - Scoring'!B40&lt;&gt;"",IF('Open 30M - Scoring'!H40&lt;&gt;"",'Open 30M - Scoring'!H40,""),"")</f>
        <v/>
      </c>
      <c r="E299" s="80" t="str">
        <f>IF('Open 30M - Scoring'!B40&lt;&gt;"",'Open 30M - Scoring'!AP40,"")</f>
        <v/>
      </c>
      <c r="F299" s="81" t="str">
        <f>IFERROR(IF(ISNUMBER(E299),E299,""),"")</f>
        <v/>
      </c>
      <c r="H299" s="78" t="s">
        <v>222</v>
      </c>
      <c r="I299" s="79" t="str">
        <f>IF('Open 30M - Scoring'!B41&lt;&gt;"",IF('Open 30M - Scoring'!F41&lt;&gt;"",'Open 30M - Scoring'!F41,""),"")</f>
        <v/>
      </c>
      <c r="J299" s="79" t="str">
        <f>IF('Open 30M - Scoring'!B41&lt;&gt;"",IF('Open 30M - Scoring'!G41&lt;&gt;"",'Open 30M - Scoring'!G41,""),"")</f>
        <v/>
      </c>
      <c r="K299" s="79" t="str">
        <f>IF('Open 30M - Scoring'!B41&lt;&gt;"",IF('Open 30M - Scoring'!H41&lt;&gt;"",'Open 30M - Scoring'!H41,""),"")</f>
        <v/>
      </c>
      <c r="L299" s="80" t="str">
        <f>IF('Open 30M - Scoring'!B41&lt;&gt;"",'Open 30M - Scoring'!AP41,"")</f>
        <v/>
      </c>
      <c r="M299" s="81" t="str">
        <f>IFERROR(IF(ISNUMBER(L299),L299,""),"")</f>
        <v/>
      </c>
    </row>
    <row r="300" spans="1:13" ht="19.5" customHeight="1" x14ac:dyDescent="0.35">
      <c r="A300" s="78" t="s">
        <v>223</v>
      </c>
      <c r="B300" s="79" t="str">
        <f>IF('Open 30M - Scoring'!B40&lt;&gt;"",IF('Open 30M - Scoring'!L40&lt;&gt;"",'Open 30M - Scoring'!L40,""),"")</f>
        <v/>
      </c>
      <c r="C300" s="79" t="str">
        <f>IF('Open 30M - Scoring'!B40&lt;&gt;"",IF('Open 30M - Scoring'!M40&lt;&gt;"",'Open 30M - Scoring'!M40,""),"")</f>
        <v/>
      </c>
      <c r="D300" s="79" t="str">
        <f>IF('Open 30M - Scoring'!B40&lt;&gt;"",IF('Open 30M - Scoring'!N40&lt;&gt;"",'Open 30M - Scoring'!N40,""),"")</f>
        <v/>
      </c>
      <c r="E300" s="80" t="str">
        <f>IF('Open 30M - Scoring'!B40&lt;&gt;"",'Open 30M - Scoring'!AQ40,"")</f>
        <v/>
      </c>
      <c r="F300" s="81" t="str">
        <f>IF(E299&lt;&gt;"",IFERROR(IF(ISNUMBER(E299),E299,0),0)+IFERROR(IF(ISNUMBER(E300),E300,0),0),"")</f>
        <v/>
      </c>
      <c r="H300" s="78" t="s">
        <v>223</v>
      </c>
      <c r="I300" s="79" t="str">
        <f>IF('Open 30M - Scoring'!B41&lt;&gt;"",IF('Open 30M - Scoring'!L41&lt;&gt;"",'Open 30M - Scoring'!L41,""),"")</f>
        <v/>
      </c>
      <c r="J300" s="79" t="str">
        <f>IF('Open 30M - Scoring'!B41&lt;&gt;"",IF('Open 30M - Scoring'!M41&lt;&gt;"",'Open 30M - Scoring'!M41,""),"")</f>
        <v/>
      </c>
      <c r="K300" s="79" t="str">
        <f>IF('Open 30M - Scoring'!B41&lt;&gt;"",IF('Open 30M - Scoring'!N41&lt;&gt;"",'Open 30M - Scoring'!N41,""),"")</f>
        <v/>
      </c>
      <c r="L300" s="80" t="str">
        <f>IF('Open 30M - Scoring'!B41&lt;&gt;"",'Open 30M - Scoring'!AQ41,"")</f>
        <v/>
      </c>
      <c r="M300" s="81" t="str">
        <f>IF(L299&lt;&gt;"",IFERROR(IF(ISNUMBER(L299),L299,0),0)+IFERROR(IF(ISNUMBER(L300),L300,0),0),"")</f>
        <v/>
      </c>
    </row>
    <row r="301" spans="1:13" ht="19.5" customHeight="1" x14ac:dyDescent="0.35">
      <c r="A301" s="78" t="s">
        <v>224</v>
      </c>
      <c r="B301" s="79" t="str">
        <f>IF('Open 30M - Scoring'!B40&lt;&gt;"",IF('Open 30M - Scoring'!R40&lt;&gt;"",'Open 30M - Scoring'!R40,""),"")</f>
        <v/>
      </c>
      <c r="C301" s="79" t="str">
        <f>IF('Open 30M - Scoring'!B40&lt;&gt;"",IF('Open 30M - Scoring'!S40&lt;&gt;"",'Open 30M - Scoring'!S40,""),"")</f>
        <v/>
      </c>
      <c r="D301" s="79" t="str">
        <f>IF('Open 30M - Scoring'!B40&lt;&gt;"",IF('Open 30M - Scoring'!T40&lt;&gt;"",'Open 30M - Scoring'!T40,""),"")</f>
        <v/>
      </c>
      <c r="E301" s="80" t="str">
        <f>IF('Open 30M - Scoring'!B40&lt;&gt;"",'Open 30M - Scoring'!AR40,"")</f>
        <v/>
      </c>
      <c r="F301" s="81" t="str">
        <f>IF(E299&lt;&gt;"",IFERROR(IF(ISNUMBER(E299),E299,0),0)+IFERROR(IF(ISNUMBER(E300),E300,0),0)+IFERROR(IF(ISNUMBER(E301),E301,0),0),"")</f>
        <v/>
      </c>
      <c r="H301" s="78" t="s">
        <v>224</v>
      </c>
      <c r="I301" s="79" t="str">
        <f>IF('Open 30M - Scoring'!B41&lt;&gt;"",IF('Open 30M - Scoring'!R41&lt;&gt;"",'Open 30M - Scoring'!R41,""),"")</f>
        <v/>
      </c>
      <c r="J301" s="79" t="str">
        <f>IF('Open 30M - Scoring'!B41&lt;&gt;"",IF('Open 30M - Scoring'!S41&lt;&gt;"",'Open 30M - Scoring'!S41,""),"")</f>
        <v/>
      </c>
      <c r="K301" s="79" t="str">
        <f>IF('Open 30M - Scoring'!B41&lt;&gt;"",IF('Open 30M - Scoring'!T41&lt;&gt;"",'Open 30M - Scoring'!T41,""),"")</f>
        <v/>
      </c>
      <c r="L301" s="80" t="str">
        <f>IF('Open 30M - Scoring'!B41&lt;&gt;"",'Open 30M - Scoring'!AR41,"")</f>
        <v/>
      </c>
      <c r="M301" s="81" t="str">
        <f>IF(L299&lt;&gt;"",IFERROR(IF(ISNUMBER(L299),L299,0),0)+IFERROR(IF(ISNUMBER(L300),L300,0),0)+IFERROR(IF(ISNUMBER(L301),L301,0),0),"")</f>
        <v/>
      </c>
    </row>
    <row r="302" spans="1:13" ht="19.5" customHeight="1" x14ac:dyDescent="0.35">
      <c r="A302" s="78" t="s">
        <v>227</v>
      </c>
      <c r="B302" s="79" t="str">
        <f>IF('Open 30M - Scoring'!B40&lt;&gt;"",IF('Open 30M - Scoring'!X40&lt;&gt;"",'Open 30M - Scoring'!X40,""),"")</f>
        <v/>
      </c>
      <c r="C302" s="79" t="str">
        <f>IF('Open 30M - Scoring'!B40&lt;&gt;"",IF('Open 30M - Scoring'!Y40&lt;&gt;"",'Open 30M - Scoring'!Y40,""),"")</f>
        <v/>
      </c>
      <c r="D302" s="79" t="str">
        <f>IF('Open 30M - Scoring'!B40&lt;&gt;"",IF('Open 30M - Scoring'!Z40&lt;&gt;"",'Open 30M - Scoring'!Z40,""),"")</f>
        <v/>
      </c>
      <c r="E302" s="80" t="str">
        <f>IF('Open 30M - Scoring'!B40&lt;&gt;"",'Open 30M - Scoring'!AS40,"")</f>
        <v/>
      </c>
      <c r="F302" s="81" t="str">
        <f>IF(E299&lt;&gt;"",IFERROR(IF(ISNUMBER(E299),E299,0),0)+IFERROR(IF(ISNUMBER(E300),E300,0),0)+IFERROR(IF(ISNUMBER(E301),E301,0),0)+IFERROR(IF(ISNUMBER(E302),E302,0),0),"")</f>
        <v/>
      </c>
      <c r="H302" s="78" t="s">
        <v>227</v>
      </c>
      <c r="I302" s="79" t="str">
        <f>IF('Open 30M - Scoring'!B41&lt;&gt;"",IF('Open 30M - Scoring'!X41&lt;&gt;"",'Open 30M - Scoring'!X41,""),"")</f>
        <v/>
      </c>
      <c r="J302" s="79" t="str">
        <f>IF('Open 30M - Scoring'!B41&lt;&gt;"",IF('Open 30M - Scoring'!Y41&lt;&gt;"",'Open 30M - Scoring'!Y41,""),"")</f>
        <v/>
      </c>
      <c r="K302" s="79" t="str">
        <f>IF('Open 30M - Scoring'!B41&lt;&gt;"",IF('Open 30M - Scoring'!Z41&lt;&gt;"",'Open 30M - Scoring'!Z41,""),"")</f>
        <v/>
      </c>
      <c r="L302" s="80" t="str">
        <f>IF('Open 30M - Scoring'!B41&lt;&gt;"",'Open 30M - Scoring'!AS41,"")</f>
        <v/>
      </c>
      <c r="M302" s="81" t="str">
        <f>IF(L299&lt;&gt;"",IFERROR(IF(ISNUMBER(L299),L299,0),0)+IFERROR(IF(ISNUMBER(L300),L300,0),0)+IFERROR(IF(ISNUMBER(L301),L301,0),0)+IFERROR(IF(ISNUMBER(L302),L302,0),0),"")</f>
        <v/>
      </c>
    </row>
    <row r="303" spans="1:13" ht="19.5" customHeight="1" x14ac:dyDescent="0.35">
      <c r="A303" s="78" t="s">
        <v>228</v>
      </c>
      <c r="B303" s="79" t="str">
        <f>IF('Open 30M - Scoring'!B40&lt;&gt;"",IF('Open 30M - Scoring'!AD40&lt;&gt;"",'Open 30M - Scoring'!AD40,""),"")</f>
        <v/>
      </c>
      <c r="C303" s="79" t="str">
        <f>IF('Open 30M - Scoring'!B40&lt;&gt;"",IF('Open 30M - Scoring'!AE40&lt;&gt;"",'Open 30M - Scoring'!AE40,""),"")</f>
        <v/>
      </c>
      <c r="D303" s="79" t="str">
        <f>IF('Open 30M - Scoring'!B40&lt;&gt;"",IF('Open 30M - Scoring'!AF40&lt;&gt;"",'Open 30M - Scoring'!AF40,""),"")</f>
        <v/>
      </c>
      <c r="E303" s="80" t="str">
        <f>IF('Open 30M - Scoring'!B40&lt;&gt;"",'Open 30M - Scoring'!AT40,"")</f>
        <v/>
      </c>
      <c r="F303" s="81" t="str">
        <f>IF(E299&lt;&gt;"",IFERROR(IF(ISNUMBER(E299),E299,0),0)+IFERROR(IF(ISNUMBER(E300),E300,0),0)+IFERROR(IF(ISNUMBER(E301),E301,0),0)+IFERROR(IF(ISNUMBER(E302),E302,0),0)+IFERROR(IF(ISNUMBER(E303),E303,0),0),"")</f>
        <v/>
      </c>
      <c r="H303" s="78" t="s">
        <v>228</v>
      </c>
      <c r="I303" s="79" t="str">
        <f>IF('Open 30M - Scoring'!B41&lt;&gt;"",IF('Open 30M - Scoring'!AD41&lt;&gt;"",'Open 30M - Scoring'!AD41,""),"")</f>
        <v/>
      </c>
      <c r="J303" s="79" t="str">
        <f>IF('Open 30M - Scoring'!B41&lt;&gt;"",IF('Open 30M - Scoring'!AE41&lt;&gt;"",'Open 30M - Scoring'!AE41,""),"")</f>
        <v/>
      </c>
      <c r="K303" s="79" t="str">
        <f>IF('Open 30M - Scoring'!B41&lt;&gt;"",IF('Open 30M - Scoring'!AF41&lt;&gt;"",'Open 30M - Scoring'!AF41,""),"")</f>
        <v/>
      </c>
      <c r="L303" s="80" t="str">
        <f>IF('Open 30M - Scoring'!B41&lt;&gt;"",'Open 30M - Scoring'!AT41,"")</f>
        <v/>
      </c>
      <c r="M303" s="81" t="str">
        <f>IF(L299&lt;&gt;"",IFERROR(IF(ISNUMBER(L299),L299,0),0)+IFERROR(IF(ISNUMBER(L300),L300,0),0)+IFERROR(IF(ISNUMBER(L301),L301,0),0)+IFERROR(IF(ISNUMBER(L302),L302,0),0)+IFERROR(IF(ISNUMBER(L303),L303,0),0),"")</f>
        <v/>
      </c>
    </row>
    <row r="304" spans="1:13" ht="19.5" customHeight="1" x14ac:dyDescent="0.35">
      <c r="A304" s="78" t="s">
        <v>229</v>
      </c>
      <c r="B304" s="79" t="str">
        <f>IF('Open 30M - Scoring'!B40&lt;&gt;"",IF('Open 30M - Scoring'!AJ40&lt;&gt;"",'Open 30M - Scoring'!AJ40,""),"")</f>
        <v/>
      </c>
      <c r="C304" s="79" t="str">
        <f>IF('Open 30M - Scoring'!B40&lt;&gt;"",IF('Open 30M - Scoring'!AK40&lt;&gt;"",'Open 30M - Scoring'!AK40,""),"")</f>
        <v/>
      </c>
      <c r="D304" s="79" t="str">
        <f>IF('Open 30M - Scoring'!B40&lt;&gt;"",IF('Open 30M - Scoring'!AL40&lt;&gt;"",'Open 30M - Scoring'!AL40,""),"")</f>
        <v/>
      </c>
      <c r="E304" s="80" t="str">
        <f>IF('Open 30M - Scoring'!B40&lt;&gt;"",'Open 30M - Scoring'!AU40,"")</f>
        <v/>
      </c>
      <c r="F304" s="81" t="str">
        <f>IF(E299&lt;&gt;"",IFERROR(IF(ISNUMBER(E299),E299,0),0)+IFERROR(IF(ISNUMBER(E300),E300,0),0)+IFERROR(IF(ISNUMBER(E301),E301,0),0)+IFERROR(IF(ISNUMBER(E302),E302,0),0)+IFERROR(IF(ISNUMBER(E303),E303,0),0)+IFERROR(IF(ISNUMBER(E304),E304,0),0),"")</f>
        <v/>
      </c>
      <c r="H304" s="78" t="s">
        <v>229</v>
      </c>
      <c r="I304" s="79" t="str">
        <f>IF('Open 30M - Scoring'!B41&lt;&gt;"",IF('Open 30M - Scoring'!AJ41&lt;&gt;"",'Open 30M - Scoring'!AJ41,""),"")</f>
        <v/>
      </c>
      <c r="J304" s="79" t="str">
        <f>IF('Open 30M - Scoring'!B41&lt;&gt;"",IF('Open 30M - Scoring'!AK41&lt;&gt;"",'Open 30M - Scoring'!AK41,""),"")</f>
        <v/>
      </c>
      <c r="K304" s="79" t="str">
        <f>IF('Open 30M - Scoring'!B41&lt;&gt;"",IF('Open 30M - Scoring'!AL41&lt;&gt;"",'Open 30M - Scoring'!AL41,""),"")</f>
        <v/>
      </c>
      <c r="L304" s="80" t="str">
        <f>IF('Open 30M - Scoring'!B41&lt;&gt;"",'Open 30M - Scoring'!AU41,"")</f>
        <v/>
      </c>
      <c r="M304" s="81" t="str">
        <f>IF(L299&lt;&gt;"",IFERROR(IF(ISNUMBER(L299),L299,0),0)+IFERROR(IF(ISNUMBER(L300),L300,0),0)+IFERROR(IF(ISNUMBER(L301),L301,0),0)+IFERROR(IF(ISNUMBER(L302),L302,0),0)+IFERROR(IF(ISNUMBER(L303),L303,0),0)+IFERROR(IF(ISNUMBER(L304),L304,0),0),"")</f>
        <v/>
      </c>
    </row>
    <row r="305" spans="1:13" ht="3.75" customHeight="1" x14ac:dyDescent="0.35"/>
    <row r="306" spans="1:13" ht="24" customHeight="1" x14ac:dyDescent="0.35">
      <c r="A306" s="124" t="s">
        <v>230</v>
      </c>
      <c r="B306" s="124"/>
      <c r="C306" s="124"/>
      <c r="D306" s="124"/>
      <c r="E306" s="125" t="str">
        <f>IF('Open 30M - Scoring'!B40&lt;&gt;"",'Open 30M - Scoring'!AV40,"")</f>
        <v/>
      </c>
      <c r="F306" s="125"/>
      <c r="H306" s="124" t="s">
        <v>230</v>
      </c>
      <c r="I306" s="124"/>
      <c r="J306" s="124"/>
      <c r="K306" s="124"/>
      <c r="L306" s="125" t="str">
        <f>IF('Open 30M - Scoring'!B41&lt;&gt;"",'Open 30M - Scoring'!AV41,"")</f>
        <v/>
      </c>
      <c r="M306" s="125"/>
    </row>
    <row r="307" spans="1:13" ht="19.5" customHeight="1" x14ac:dyDescent="0.35">
      <c r="E307" s="125"/>
      <c r="F307" s="125"/>
      <c r="L307" s="125"/>
      <c r="M307" s="125"/>
    </row>
    <row r="308" spans="1:13" ht="3.75" customHeight="1" x14ac:dyDescent="0.35"/>
    <row r="309" spans="1:13" ht="18" customHeight="1" x14ac:dyDescent="0.35">
      <c r="A309" s="73" t="s">
        <v>126</v>
      </c>
      <c r="B309" s="82" t="str">
        <f>IF('Open 30M - Scoring'!B40&lt;&gt;"",'Open 30M - Scoring'!AW40,"")</f>
        <v/>
      </c>
      <c r="C309" s="73" t="s">
        <v>127</v>
      </c>
      <c r="D309" s="83" t="str">
        <f>IF('Open 30M - Scoring'!B40&lt;&gt;"",'Open 30M - Scoring'!AX40,"")</f>
        <v/>
      </c>
      <c r="E309" s="73" t="s">
        <v>128</v>
      </c>
      <c r="F309" s="83" t="str">
        <f>IF('Open 30M - Scoring'!B40&lt;&gt;"",'Open 30M - Scoring'!AY40,"")</f>
        <v/>
      </c>
      <c r="H309" s="73" t="s">
        <v>126</v>
      </c>
      <c r="I309" s="82" t="str">
        <f>IF('Open 30M - Scoring'!B41&lt;&gt;"",'Open 30M - Scoring'!AW41,"")</f>
        <v/>
      </c>
      <c r="J309" s="73" t="s">
        <v>127</v>
      </c>
      <c r="K309" s="83" t="str">
        <f>IF('Open 30M - Scoring'!B41&lt;&gt;"",'Open 30M - Scoring'!AX41,"")</f>
        <v/>
      </c>
      <c r="L309" s="73" t="s">
        <v>128</v>
      </c>
      <c r="M309" s="83" t="str">
        <f>IF('Open 30M - Scoring'!B41&lt;&gt;"",'Open 30M - Scoring'!AY41,"")</f>
        <v/>
      </c>
    </row>
    <row r="310" spans="1:13" ht="3.75" customHeight="1" x14ac:dyDescent="0.35"/>
    <row r="311" spans="1:13" ht="7.5" customHeight="1" x14ac:dyDescent="0.35">
      <c r="A311" s="126"/>
      <c r="B311" s="126"/>
      <c r="C311" s="126"/>
      <c r="D311" s="126"/>
      <c r="E311" s="126"/>
      <c r="F311" s="126"/>
      <c r="G311" s="126"/>
      <c r="H311" s="126"/>
      <c r="I311" s="126"/>
      <c r="J311" s="126"/>
      <c r="K311" s="126"/>
      <c r="L311" s="126"/>
      <c r="M311" s="126"/>
    </row>
    <row r="312" spans="1:13" ht="15.75" customHeight="1" x14ac:dyDescent="0.35">
      <c r="A312" s="73" t="s">
        <v>218</v>
      </c>
      <c r="B312" s="122" t="str">
        <f>IF('Open 30M - Scoring'!B42&lt;&gt;"",'Open 30M - Scoring'!B42,"")</f>
        <v/>
      </c>
      <c r="C312" s="122"/>
      <c r="D312" s="122"/>
      <c r="E312" s="73" t="s">
        <v>219</v>
      </c>
      <c r="F312" s="74" t="str">
        <f>IF('Open 30M - Scoring'!B42&lt;&gt;"",'Open 30M - Scoring'!BB42,"")</f>
        <v/>
      </c>
      <c r="H312" s="73" t="s">
        <v>218</v>
      </c>
      <c r="I312" s="122" t="str">
        <f>IF('Open 30M - Scoring'!B43&lt;&gt;"",'Open 30M - Scoring'!B43,"")</f>
        <v/>
      </c>
      <c r="J312" s="122"/>
      <c r="K312" s="122"/>
      <c r="L312" s="73" t="s">
        <v>219</v>
      </c>
      <c r="M312" s="74" t="str">
        <f>IF('Open 30M - Scoring'!B43&lt;&gt;"",'Open 30M - Scoring'!BB43,"")</f>
        <v/>
      </c>
    </row>
    <row r="313" spans="1:13" ht="15.75" customHeight="1" x14ac:dyDescent="0.35">
      <c r="A313" s="73" t="s">
        <v>220</v>
      </c>
      <c r="B313" s="123" t="str">
        <f>IF('Open 30M - Scoring'!B42&lt;&gt;"",'Open 30M - Scoring'!D42,"")</f>
        <v/>
      </c>
      <c r="C313" s="123"/>
      <c r="D313" s="123"/>
      <c r="E313" s="73" t="s">
        <v>8</v>
      </c>
      <c r="F313" s="75" t="str">
        <f>IF('Open 30M - Scoring'!B42&lt;&gt;"",'Open 30M - Scoring'!E42,"")</f>
        <v/>
      </c>
      <c r="H313" s="73" t="s">
        <v>220</v>
      </c>
      <c r="I313" s="123" t="str">
        <f>IF('Open 30M - Scoring'!B43&lt;&gt;"",'Open 30M - Scoring'!D43,"")</f>
        <v/>
      </c>
      <c r="J313" s="123"/>
      <c r="K313" s="123"/>
      <c r="L313" s="73" t="s">
        <v>8</v>
      </c>
      <c r="M313" s="75" t="str">
        <f>IF('Open 30M - Scoring'!B43&lt;&gt;"",'Open 30M - Scoring'!E43,"")</f>
        <v/>
      </c>
    </row>
    <row r="314" spans="1:13" ht="3.75" customHeight="1" x14ac:dyDescent="0.35"/>
    <row r="315" spans="1:13" ht="25.5" customHeight="1" x14ac:dyDescent="0.35">
      <c r="A315" s="76" t="s">
        <v>221</v>
      </c>
      <c r="B315" s="77" t="s">
        <v>222</v>
      </c>
      <c r="C315" s="77" t="s">
        <v>223</v>
      </c>
      <c r="D315" s="77" t="s">
        <v>224</v>
      </c>
      <c r="E315" s="76" t="s">
        <v>225</v>
      </c>
      <c r="F315" s="76" t="s">
        <v>226</v>
      </c>
      <c r="H315" s="76" t="s">
        <v>221</v>
      </c>
      <c r="I315" s="77" t="s">
        <v>222</v>
      </c>
      <c r="J315" s="77" t="s">
        <v>223</v>
      </c>
      <c r="K315" s="77" t="s">
        <v>224</v>
      </c>
      <c r="L315" s="76" t="s">
        <v>225</v>
      </c>
      <c r="M315" s="76" t="s">
        <v>226</v>
      </c>
    </row>
    <row r="316" spans="1:13" ht="19.5" customHeight="1" x14ac:dyDescent="0.35">
      <c r="A316" s="78" t="s">
        <v>222</v>
      </c>
      <c r="B316" s="79" t="str">
        <f>IF('Open 30M - Scoring'!B42&lt;&gt;"",IF('Open 30M - Scoring'!F42&lt;&gt;"",'Open 30M - Scoring'!F42,""),"")</f>
        <v/>
      </c>
      <c r="C316" s="79" t="str">
        <f>IF('Open 30M - Scoring'!B42&lt;&gt;"",IF('Open 30M - Scoring'!G42&lt;&gt;"",'Open 30M - Scoring'!G42,""),"")</f>
        <v/>
      </c>
      <c r="D316" s="79" t="str">
        <f>IF('Open 30M - Scoring'!B42&lt;&gt;"",IF('Open 30M - Scoring'!H42&lt;&gt;"",'Open 30M - Scoring'!H42,""),"")</f>
        <v/>
      </c>
      <c r="E316" s="80" t="str">
        <f>IF('Open 30M - Scoring'!B42&lt;&gt;"",'Open 30M - Scoring'!AP42,"")</f>
        <v/>
      </c>
      <c r="F316" s="81" t="str">
        <f>IFERROR(IF(ISNUMBER(E316),E316,""),"")</f>
        <v/>
      </c>
      <c r="H316" s="78" t="s">
        <v>222</v>
      </c>
      <c r="I316" s="79" t="str">
        <f>IF('Open 30M - Scoring'!B43&lt;&gt;"",IF('Open 30M - Scoring'!F43&lt;&gt;"",'Open 30M - Scoring'!F43,""),"")</f>
        <v/>
      </c>
      <c r="J316" s="79" t="str">
        <f>IF('Open 30M - Scoring'!B43&lt;&gt;"",IF('Open 30M - Scoring'!G43&lt;&gt;"",'Open 30M - Scoring'!G43,""),"")</f>
        <v/>
      </c>
      <c r="K316" s="79" t="str">
        <f>IF('Open 30M - Scoring'!B43&lt;&gt;"",IF('Open 30M - Scoring'!H43&lt;&gt;"",'Open 30M - Scoring'!H43,""),"")</f>
        <v/>
      </c>
      <c r="L316" s="80" t="str">
        <f>IF('Open 30M - Scoring'!B43&lt;&gt;"",'Open 30M - Scoring'!AP43,"")</f>
        <v/>
      </c>
      <c r="M316" s="81" t="str">
        <f>IFERROR(IF(ISNUMBER(L316),L316,""),"")</f>
        <v/>
      </c>
    </row>
    <row r="317" spans="1:13" ht="19.5" customHeight="1" x14ac:dyDescent="0.35">
      <c r="A317" s="78" t="s">
        <v>223</v>
      </c>
      <c r="B317" s="79" t="str">
        <f>IF('Open 30M - Scoring'!B42&lt;&gt;"",IF('Open 30M - Scoring'!L42&lt;&gt;"",'Open 30M - Scoring'!L42,""),"")</f>
        <v/>
      </c>
      <c r="C317" s="79" t="str">
        <f>IF('Open 30M - Scoring'!B42&lt;&gt;"",IF('Open 30M - Scoring'!M42&lt;&gt;"",'Open 30M - Scoring'!M42,""),"")</f>
        <v/>
      </c>
      <c r="D317" s="79" t="str">
        <f>IF('Open 30M - Scoring'!B42&lt;&gt;"",IF('Open 30M - Scoring'!N42&lt;&gt;"",'Open 30M - Scoring'!N42,""),"")</f>
        <v/>
      </c>
      <c r="E317" s="80" t="str">
        <f>IF('Open 30M - Scoring'!B42&lt;&gt;"",'Open 30M - Scoring'!AQ42,"")</f>
        <v/>
      </c>
      <c r="F317" s="81" t="str">
        <f>IF(E316&lt;&gt;"",IFERROR(IF(ISNUMBER(E316),E316,0),0)+IFERROR(IF(ISNUMBER(E317),E317,0),0),"")</f>
        <v/>
      </c>
      <c r="H317" s="78" t="s">
        <v>223</v>
      </c>
      <c r="I317" s="79" t="str">
        <f>IF('Open 30M - Scoring'!B43&lt;&gt;"",IF('Open 30M - Scoring'!L43&lt;&gt;"",'Open 30M - Scoring'!L43,""),"")</f>
        <v/>
      </c>
      <c r="J317" s="79" t="str">
        <f>IF('Open 30M - Scoring'!B43&lt;&gt;"",IF('Open 30M - Scoring'!M43&lt;&gt;"",'Open 30M - Scoring'!M43,""),"")</f>
        <v/>
      </c>
      <c r="K317" s="79" t="str">
        <f>IF('Open 30M - Scoring'!B43&lt;&gt;"",IF('Open 30M - Scoring'!N43&lt;&gt;"",'Open 30M - Scoring'!N43,""),"")</f>
        <v/>
      </c>
      <c r="L317" s="80" t="str">
        <f>IF('Open 30M - Scoring'!B43&lt;&gt;"",'Open 30M - Scoring'!AQ43,"")</f>
        <v/>
      </c>
      <c r="M317" s="81" t="str">
        <f>IF(L316&lt;&gt;"",IFERROR(IF(ISNUMBER(L316),L316,0),0)+IFERROR(IF(ISNUMBER(L317),L317,0),0),"")</f>
        <v/>
      </c>
    </row>
    <row r="318" spans="1:13" ht="19.5" customHeight="1" x14ac:dyDescent="0.35">
      <c r="A318" s="78" t="s">
        <v>224</v>
      </c>
      <c r="B318" s="79" t="str">
        <f>IF('Open 30M - Scoring'!B42&lt;&gt;"",IF('Open 30M - Scoring'!R42&lt;&gt;"",'Open 30M - Scoring'!R42,""),"")</f>
        <v/>
      </c>
      <c r="C318" s="79" t="str">
        <f>IF('Open 30M - Scoring'!B42&lt;&gt;"",IF('Open 30M - Scoring'!S42&lt;&gt;"",'Open 30M - Scoring'!S42,""),"")</f>
        <v/>
      </c>
      <c r="D318" s="79" t="str">
        <f>IF('Open 30M - Scoring'!B42&lt;&gt;"",IF('Open 30M - Scoring'!T42&lt;&gt;"",'Open 30M - Scoring'!T42,""),"")</f>
        <v/>
      </c>
      <c r="E318" s="80" t="str">
        <f>IF('Open 30M - Scoring'!B42&lt;&gt;"",'Open 30M - Scoring'!AR42,"")</f>
        <v/>
      </c>
      <c r="F318" s="81" t="str">
        <f>IF(E316&lt;&gt;"",IFERROR(IF(ISNUMBER(E316),E316,0),0)+IFERROR(IF(ISNUMBER(E317),E317,0),0)+IFERROR(IF(ISNUMBER(E318),E318,0),0),"")</f>
        <v/>
      </c>
      <c r="H318" s="78" t="s">
        <v>224</v>
      </c>
      <c r="I318" s="79" t="str">
        <f>IF('Open 30M - Scoring'!B43&lt;&gt;"",IF('Open 30M - Scoring'!R43&lt;&gt;"",'Open 30M - Scoring'!R43,""),"")</f>
        <v/>
      </c>
      <c r="J318" s="79" t="str">
        <f>IF('Open 30M - Scoring'!B43&lt;&gt;"",IF('Open 30M - Scoring'!S43&lt;&gt;"",'Open 30M - Scoring'!S43,""),"")</f>
        <v/>
      </c>
      <c r="K318" s="79" t="str">
        <f>IF('Open 30M - Scoring'!B43&lt;&gt;"",IF('Open 30M - Scoring'!T43&lt;&gt;"",'Open 30M - Scoring'!T43,""),"")</f>
        <v/>
      </c>
      <c r="L318" s="80" t="str">
        <f>IF('Open 30M - Scoring'!B43&lt;&gt;"",'Open 30M - Scoring'!AR43,"")</f>
        <v/>
      </c>
      <c r="M318" s="81" t="str">
        <f>IF(L316&lt;&gt;"",IFERROR(IF(ISNUMBER(L316),L316,0),0)+IFERROR(IF(ISNUMBER(L317),L317,0),0)+IFERROR(IF(ISNUMBER(L318),L318,0),0),"")</f>
        <v/>
      </c>
    </row>
    <row r="319" spans="1:13" ht="19.5" customHeight="1" x14ac:dyDescent="0.35">
      <c r="A319" s="78" t="s">
        <v>227</v>
      </c>
      <c r="B319" s="79" t="str">
        <f>IF('Open 30M - Scoring'!B42&lt;&gt;"",IF('Open 30M - Scoring'!X42&lt;&gt;"",'Open 30M - Scoring'!X42,""),"")</f>
        <v/>
      </c>
      <c r="C319" s="79" t="str">
        <f>IF('Open 30M - Scoring'!B42&lt;&gt;"",IF('Open 30M - Scoring'!Y42&lt;&gt;"",'Open 30M - Scoring'!Y42,""),"")</f>
        <v/>
      </c>
      <c r="D319" s="79" t="str">
        <f>IF('Open 30M - Scoring'!B42&lt;&gt;"",IF('Open 30M - Scoring'!Z42&lt;&gt;"",'Open 30M - Scoring'!Z42,""),"")</f>
        <v/>
      </c>
      <c r="E319" s="80" t="str">
        <f>IF('Open 30M - Scoring'!B42&lt;&gt;"",'Open 30M - Scoring'!AS42,"")</f>
        <v/>
      </c>
      <c r="F319" s="81" t="str">
        <f>IF(E316&lt;&gt;"",IFERROR(IF(ISNUMBER(E316),E316,0),0)+IFERROR(IF(ISNUMBER(E317),E317,0),0)+IFERROR(IF(ISNUMBER(E318),E318,0),0)+IFERROR(IF(ISNUMBER(E319),E319,0),0),"")</f>
        <v/>
      </c>
      <c r="H319" s="78" t="s">
        <v>227</v>
      </c>
      <c r="I319" s="79" t="str">
        <f>IF('Open 30M - Scoring'!B43&lt;&gt;"",IF('Open 30M - Scoring'!X43&lt;&gt;"",'Open 30M - Scoring'!X43,""),"")</f>
        <v/>
      </c>
      <c r="J319" s="79" t="str">
        <f>IF('Open 30M - Scoring'!B43&lt;&gt;"",IF('Open 30M - Scoring'!Y43&lt;&gt;"",'Open 30M - Scoring'!Y43,""),"")</f>
        <v/>
      </c>
      <c r="K319" s="79" t="str">
        <f>IF('Open 30M - Scoring'!B43&lt;&gt;"",IF('Open 30M - Scoring'!Z43&lt;&gt;"",'Open 30M - Scoring'!Z43,""),"")</f>
        <v/>
      </c>
      <c r="L319" s="80" t="str">
        <f>IF('Open 30M - Scoring'!B43&lt;&gt;"",'Open 30M - Scoring'!AS43,"")</f>
        <v/>
      </c>
      <c r="M319" s="81" t="str">
        <f>IF(L316&lt;&gt;"",IFERROR(IF(ISNUMBER(L316),L316,0),0)+IFERROR(IF(ISNUMBER(L317),L317,0),0)+IFERROR(IF(ISNUMBER(L318),L318,0),0)+IFERROR(IF(ISNUMBER(L319),L319,0),0),"")</f>
        <v/>
      </c>
    </row>
    <row r="320" spans="1:13" ht="19.5" customHeight="1" x14ac:dyDescent="0.35">
      <c r="A320" s="78" t="s">
        <v>228</v>
      </c>
      <c r="B320" s="79" t="str">
        <f>IF('Open 30M - Scoring'!B42&lt;&gt;"",IF('Open 30M - Scoring'!AD42&lt;&gt;"",'Open 30M - Scoring'!AD42,""),"")</f>
        <v/>
      </c>
      <c r="C320" s="79" t="str">
        <f>IF('Open 30M - Scoring'!B42&lt;&gt;"",IF('Open 30M - Scoring'!AE42&lt;&gt;"",'Open 30M - Scoring'!AE42,""),"")</f>
        <v/>
      </c>
      <c r="D320" s="79" t="str">
        <f>IF('Open 30M - Scoring'!B42&lt;&gt;"",IF('Open 30M - Scoring'!AF42&lt;&gt;"",'Open 30M - Scoring'!AF42,""),"")</f>
        <v/>
      </c>
      <c r="E320" s="80" t="str">
        <f>IF('Open 30M - Scoring'!B42&lt;&gt;"",'Open 30M - Scoring'!AT42,"")</f>
        <v/>
      </c>
      <c r="F320" s="81" t="str">
        <f>IF(E316&lt;&gt;"",IFERROR(IF(ISNUMBER(E316),E316,0),0)+IFERROR(IF(ISNUMBER(E317),E317,0),0)+IFERROR(IF(ISNUMBER(E318),E318,0),0)+IFERROR(IF(ISNUMBER(E319),E319,0),0)+IFERROR(IF(ISNUMBER(E320),E320,0),0),"")</f>
        <v/>
      </c>
      <c r="H320" s="78" t="s">
        <v>228</v>
      </c>
      <c r="I320" s="79" t="str">
        <f>IF('Open 30M - Scoring'!B43&lt;&gt;"",IF('Open 30M - Scoring'!AD43&lt;&gt;"",'Open 30M - Scoring'!AD43,""),"")</f>
        <v/>
      </c>
      <c r="J320" s="79" t="str">
        <f>IF('Open 30M - Scoring'!B43&lt;&gt;"",IF('Open 30M - Scoring'!AE43&lt;&gt;"",'Open 30M - Scoring'!AE43,""),"")</f>
        <v/>
      </c>
      <c r="K320" s="79" t="str">
        <f>IF('Open 30M - Scoring'!B43&lt;&gt;"",IF('Open 30M - Scoring'!AF43&lt;&gt;"",'Open 30M - Scoring'!AF43,""),"")</f>
        <v/>
      </c>
      <c r="L320" s="80" t="str">
        <f>IF('Open 30M - Scoring'!B43&lt;&gt;"",'Open 30M - Scoring'!AT43,"")</f>
        <v/>
      </c>
      <c r="M320" s="81" t="str">
        <f>IF(L316&lt;&gt;"",IFERROR(IF(ISNUMBER(L316),L316,0),0)+IFERROR(IF(ISNUMBER(L317),L317,0),0)+IFERROR(IF(ISNUMBER(L318),L318,0),0)+IFERROR(IF(ISNUMBER(L319),L319,0),0)+IFERROR(IF(ISNUMBER(L320),L320,0),0),"")</f>
        <v/>
      </c>
    </row>
    <row r="321" spans="1:13" ht="19.5" customHeight="1" x14ac:dyDescent="0.35">
      <c r="A321" s="78" t="s">
        <v>229</v>
      </c>
      <c r="B321" s="79" t="str">
        <f>IF('Open 30M - Scoring'!B42&lt;&gt;"",IF('Open 30M - Scoring'!AJ42&lt;&gt;"",'Open 30M - Scoring'!AJ42,""),"")</f>
        <v/>
      </c>
      <c r="C321" s="79" t="str">
        <f>IF('Open 30M - Scoring'!B42&lt;&gt;"",IF('Open 30M - Scoring'!AK42&lt;&gt;"",'Open 30M - Scoring'!AK42,""),"")</f>
        <v/>
      </c>
      <c r="D321" s="79" t="str">
        <f>IF('Open 30M - Scoring'!B42&lt;&gt;"",IF('Open 30M - Scoring'!AL42&lt;&gt;"",'Open 30M - Scoring'!AL42,""),"")</f>
        <v/>
      </c>
      <c r="E321" s="80" t="str">
        <f>IF('Open 30M - Scoring'!B42&lt;&gt;"",'Open 30M - Scoring'!AU42,"")</f>
        <v/>
      </c>
      <c r="F321" s="81" t="str">
        <f>IF(E316&lt;&gt;"",IFERROR(IF(ISNUMBER(E316),E316,0),0)+IFERROR(IF(ISNUMBER(E317),E317,0),0)+IFERROR(IF(ISNUMBER(E318),E318,0),0)+IFERROR(IF(ISNUMBER(E319),E319,0),0)+IFERROR(IF(ISNUMBER(E320),E320,0),0)+IFERROR(IF(ISNUMBER(E321),E321,0),0),"")</f>
        <v/>
      </c>
      <c r="H321" s="78" t="s">
        <v>229</v>
      </c>
      <c r="I321" s="79" t="str">
        <f>IF('Open 30M - Scoring'!B43&lt;&gt;"",IF('Open 30M - Scoring'!AJ43&lt;&gt;"",'Open 30M - Scoring'!AJ43,""),"")</f>
        <v/>
      </c>
      <c r="J321" s="79" t="str">
        <f>IF('Open 30M - Scoring'!B43&lt;&gt;"",IF('Open 30M - Scoring'!AK43&lt;&gt;"",'Open 30M - Scoring'!AK43,""),"")</f>
        <v/>
      </c>
      <c r="K321" s="79" t="str">
        <f>IF('Open 30M - Scoring'!B43&lt;&gt;"",IF('Open 30M - Scoring'!AL43&lt;&gt;"",'Open 30M - Scoring'!AL43,""),"")</f>
        <v/>
      </c>
      <c r="L321" s="80" t="str">
        <f>IF('Open 30M - Scoring'!B43&lt;&gt;"",'Open 30M - Scoring'!AU43,"")</f>
        <v/>
      </c>
      <c r="M321" s="81" t="str">
        <f>IF(L316&lt;&gt;"",IFERROR(IF(ISNUMBER(L316),L316,0),0)+IFERROR(IF(ISNUMBER(L317),L317,0),0)+IFERROR(IF(ISNUMBER(L318),L318,0),0)+IFERROR(IF(ISNUMBER(L319),L319,0),0)+IFERROR(IF(ISNUMBER(L320),L320,0),0)+IFERROR(IF(ISNUMBER(L321),L321,0),0),"")</f>
        <v/>
      </c>
    </row>
    <row r="322" spans="1:13" ht="3.75" customHeight="1" x14ac:dyDescent="0.35"/>
    <row r="323" spans="1:13" ht="24" customHeight="1" x14ac:dyDescent="0.35">
      <c r="A323" s="124" t="s">
        <v>230</v>
      </c>
      <c r="B323" s="124"/>
      <c r="C323" s="124"/>
      <c r="D323" s="124"/>
      <c r="E323" s="125" t="str">
        <f>IF('Open 30M - Scoring'!B42&lt;&gt;"",'Open 30M - Scoring'!AV42,"")</f>
        <v/>
      </c>
      <c r="F323" s="125"/>
      <c r="H323" s="124" t="s">
        <v>230</v>
      </c>
      <c r="I323" s="124"/>
      <c r="J323" s="124"/>
      <c r="K323" s="124"/>
      <c r="L323" s="125" t="str">
        <f>IF('Open 30M - Scoring'!B43&lt;&gt;"",'Open 30M - Scoring'!AV43,"")</f>
        <v/>
      </c>
      <c r="M323" s="125"/>
    </row>
    <row r="324" spans="1:13" ht="19.5" customHeight="1" x14ac:dyDescent="0.35">
      <c r="E324" s="125"/>
      <c r="F324" s="125"/>
      <c r="L324" s="125"/>
      <c r="M324" s="125"/>
    </row>
    <row r="325" spans="1:13" ht="3.75" customHeight="1" x14ac:dyDescent="0.35"/>
    <row r="326" spans="1:13" ht="18" customHeight="1" x14ac:dyDescent="0.35">
      <c r="A326" s="73" t="s">
        <v>126</v>
      </c>
      <c r="B326" s="82" t="str">
        <f>IF('Open 30M - Scoring'!B42&lt;&gt;"",'Open 30M - Scoring'!AW42,"")</f>
        <v/>
      </c>
      <c r="C326" s="73" t="s">
        <v>127</v>
      </c>
      <c r="D326" s="83" t="str">
        <f>IF('Open 30M - Scoring'!B42&lt;&gt;"",'Open 30M - Scoring'!AX42,"")</f>
        <v/>
      </c>
      <c r="E326" s="73" t="s">
        <v>128</v>
      </c>
      <c r="F326" s="83" t="str">
        <f>IF('Open 30M - Scoring'!B42&lt;&gt;"",'Open 30M - Scoring'!AY42,"")</f>
        <v/>
      </c>
      <c r="H326" s="73" t="s">
        <v>126</v>
      </c>
      <c r="I326" s="82" t="str">
        <f>IF('Open 30M - Scoring'!B43&lt;&gt;"",'Open 30M - Scoring'!AW43,"")</f>
        <v/>
      </c>
      <c r="J326" s="73" t="s">
        <v>127</v>
      </c>
      <c r="K326" s="83" t="str">
        <f>IF('Open 30M - Scoring'!B43&lt;&gt;"",'Open 30M - Scoring'!AX43,"")</f>
        <v/>
      </c>
      <c r="L326" s="73" t="s">
        <v>128</v>
      </c>
      <c r="M326" s="83" t="str">
        <f>IF('Open 30M - Scoring'!B43&lt;&gt;"",'Open 30M - Scoring'!AY43,"")</f>
        <v/>
      </c>
    </row>
    <row r="327" spans="1:13" ht="3.75" customHeight="1" x14ac:dyDescent="0.35"/>
    <row r="328" spans="1:13" ht="7.5" customHeight="1" x14ac:dyDescent="0.35">
      <c r="A328" s="126"/>
      <c r="B328" s="126"/>
      <c r="C328" s="126"/>
      <c r="D328" s="126"/>
      <c r="E328" s="126"/>
      <c r="F328" s="126"/>
      <c r="G328" s="126"/>
      <c r="H328" s="126"/>
      <c r="I328" s="126"/>
      <c r="J328" s="126"/>
      <c r="K328" s="126"/>
      <c r="L328" s="126"/>
      <c r="M328" s="126"/>
    </row>
    <row r="329" spans="1:13" ht="15.75" customHeight="1" x14ac:dyDescent="0.35">
      <c r="A329" s="73" t="s">
        <v>218</v>
      </c>
      <c r="B329" s="122" t="str">
        <f>IF('Open 30M - Scoring'!B44&lt;&gt;"",'Open 30M - Scoring'!B44,"")</f>
        <v/>
      </c>
      <c r="C329" s="122"/>
      <c r="D329" s="122"/>
      <c r="E329" s="73" t="s">
        <v>219</v>
      </c>
      <c r="F329" s="74" t="str">
        <f>IF('Open 30M - Scoring'!B44&lt;&gt;"",'Open 30M - Scoring'!BB44,"")</f>
        <v/>
      </c>
      <c r="H329" s="73" t="s">
        <v>218</v>
      </c>
      <c r="I329" s="122" t="str">
        <f>IF('Open 30M - Scoring'!B45&lt;&gt;"",'Open 30M - Scoring'!B45,"")</f>
        <v/>
      </c>
      <c r="J329" s="122"/>
      <c r="K329" s="122"/>
      <c r="L329" s="73" t="s">
        <v>219</v>
      </c>
      <c r="M329" s="74" t="str">
        <f>IF('Open 30M - Scoring'!B45&lt;&gt;"",'Open 30M - Scoring'!BB45,"")</f>
        <v/>
      </c>
    </row>
    <row r="330" spans="1:13" ht="15.75" customHeight="1" x14ac:dyDescent="0.35">
      <c r="A330" s="73" t="s">
        <v>220</v>
      </c>
      <c r="B330" s="123" t="str">
        <f>IF('Open 30M - Scoring'!B44&lt;&gt;"",'Open 30M - Scoring'!D44,"")</f>
        <v/>
      </c>
      <c r="C330" s="123"/>
      <c r="D330" s="123"/>
      <c r="E330" s="73" t="s">
        <v>8</v>
      </c>
      <c r="F330" s="75" t="str">
        <f>IF('Open 30M - Scoring'!B44&lt;&gt;"",'Open 30M - Scoring'!E44,"")</f>
        <v/>
      </c>
      <c r="H330" s="73" t="s">
        <v>220</v>
      </c>
      <c r="I330" s="123" t="str">
        <f>IF('Open 30M - Scoring'!B45&lt;&gt;"",'Open 30M - Scoring'!D45,"")</f>
        <v/>
      </c>
      <c r="J330" s="123"/>
      <c r="K330" s="123"/>
      <c r="L330" s="73" t="s">
        <v>8</v>
      </c>
      <c r="M330" s="75" t="str">
        <f>IF('Open 30M - Scoring'!B45&lt;&gt;"",'Open 30M - Scoring'!E45,"")</f>
        <v/>
      </c>
    </row>
    <row r="331" spans="1:13" ht="3.75" customHeight="1" x14ac:dyDescent="0.35"/>
    <row r="332" spans="1:13" ht="25.5" customHeight="1" x14ac:dyDescent="0.35">
      <c r="A332" s="76" t="s">
        <v>221</v>
      </c>
      <c r="B332" s="77" t="s">
        <v>222</v>
      </c>
      <c r="C332" s="77" t="s">
        <v>223</v>
      </c>
      <c r="D332" s="77" t="s">
        <v>224</v>
      </c>
      <c r="E332" s="76" t="s">
        <v>225</v>
      </c>
      <c r="F332" s="76" t="s">
        <v>226</v>
      </c>
      <c r="H332" s="76" t="s">
        <v>221</v>
      </c>
      <c r="I332" s="77" t="s">
        <v>222</v>
      </c>
      <c r="J332" s="77" t="s">
        <v>223</v>
      </c>
      <c r="K332" s="77" t="s">
        <v>224</v>
      </c>
      <c r="L332" s="76" t="s">
        <v>225</v>
      </c>
      <c r="M332" s="76" t="s">
        <v>226</v>
      </c>
    </row>
    <row r="333" spans="1:13" ht="19.5" customHeight="1" x14ac:dyDescent="0.35">
      <c r="A333" s="78" t="s">
        <v>222</v>
      </c>
      <c r="B333" s="79" t="str">
        <f>IF('Open 30M - Scoring'!B44&lt;&gt;"",IF('Open 30M - Scoring'!F44&lt;&gt;"",'Open 30M - Scoring'!F44,""),"")</f>
        <v/>
      </c>
      <c r="C333" s="79" t="str">
        <f>IF('Open 30M - Scoring'!B44&lt;&gt;"",IF('Open 30M - Scoring'!G44&lt;&gt;"",'Open 30M - Scoring'!G44,""),"")</f>
        <v/>
      </c>
      <c r="D333" s="79" t="str">
        <f>IF('Open 30M - Scoring'!B44&lt;&gt;"",IF('Open 30M - Scoring'!H44&lt;&gt;"",'Open 30M - Scoring'!H44,""),"")</f>
        <v/>
      </c>
      <c r="E333" s="80" t="str">
        <f>IF('Open 30M - Scoring'!B44&lt;&gt;"",'Open 30M - Scoring'!AP44,"")</f>
        <v/>
      </c>
      <c r="F333" s="81" t="str">
        <f>IFERROR(IF(ISNUMBER(E333),E333,""),"")</f>
        <v/>
      </c>
      <c r="H333" s="78" t="s">
        <v>222</v>
      </c>
      <c r="I333" s="79" t="str">
        <f>IF('Open 30M - Scoring'!B45&lt;&gt;"",IF('Open 30M - Scoring'!F45&lt;&gt;"",'Open 30M - Scoring'!F45,""),"")</f>
        <v/>
      </c>
      <c r="J333" s="79" t="str">
        <f>IF('Open 30M - Scoring'!B45&lt;&gt;"",IF('Open 30M - Scoring'!G45&lt;&gt;"",'Open 30M - Scoring'!G45,""),"")</f>
        <v/>
      </c>
      <c r="K333" s="79" t="str">
        <f>IF('Open 30M - Scoring'!B45&lt;&gt;"",IF('Open 30M - Scoring'!H45&lt;&gt;"",'Open 30M - Scoring'!H45,""),"")</f>
        <v/>
      </c>
      <c r="L333" s="80" t="str">
        <f>IF('Open 30M - Scoring'!B45&lt;&gt;"",'Open 30M - Scoring'!AP45,"")</f>
        <v/>
      </c>
      <c r="M333" s="81" t="str">
        <f>IFERROR(IF(ISNUMBER(L333),L333,""),"")</f>
        <v/>
      </c>
    </row>
    <row r="334" spans="1:13" ht="19.5" customHeight="1" x14ac:dyDescent="0.35">
      <c r="A334" s="78" t="s">
        <v>223</v>
      </c>
      <c r="B334" s="79" t="str">
        <f>IF('Open 30M - Scoring'!B44&lt;&gt;"",IF('Open 30M - Scoring'!L44&lt;&gt;"",'Open 30M - Scoring'!L44,""),"")</f>
        <v/>
      </c>
      <c r="C334" s="79" t="str">
        <f>IF('Open 30M - Scoring'!B44&lt;&gt;"",IF('Open 30M - Scoring'!M44&lt;&gt;"",'Open 30M - Scoring'!M44,""),"")</f>
        <v/>
      </c>
      <c r="D334" s="79" t="str">
        <f>IF('Open 30M - Scoring'!B44&lt;&gt;"",IF('Open 30M - Scoring'!N44&lt;&gt;"",'Open 30M - Scoring'!N44,""),"")</f>
        <v/>
      </c>
      <c r="E334" s="80" t="str">
        <f>IF('Open 30M - Scoring'!B44&lt;&gt;"",'Open 30M - Scoring'!AQ44,"")</f>
        <v/>
      </c>
      <c r="F334" s="81" t="str">
        <f>IF(E333&lt;&gt;"",IFERROR(IF(ISNUMBER(E333),E333,0),0)+IFERROR(IF(ISNUMBER(E334),E334,0),0),"")</f>
        <v/>
      </c>
      <c r="H334" s="78" t="s">
        <v>223</v>
      </c>
      <c r="I334" s="79" t="str">
        <f>IF('Open 30M - Scoring'!B45&lt;&gt;"",IF('Open 30M - Scoring'!L45&lt;&gt;"",'Open 30M - Scoring'!L45,""),"")</f>
        <v/>
      </c>
      <c r="J334" s="79" t="str">
        <f>IF('Open 30M - Scoring'!B45&lt;&gt;"",IF('Open 30M - Scoring'!M45&lt;&gt;"",'Open 30M - Scoring'!M45,""),"")</f>
        <v/>
      </c>
      <c r="K334" s="79" t="str">
        <f>IF('Open 30M - Scoring'!B45&lt;&gt;"",IF('Open 30M - Scoring'!N45&lt;&gt;"",'Open 30M - Scoring'!N45,""),"")</f>
        <v/>
      </c>
      <c r="L334" s="80" t="str">
        <f>IF('Open 30M - Scoring'!B45&lt;&gt;"",'Open 30M - Scoring'!AQ45,"")</f>
        <v/>
      </c>
      <c r="M334" s="81" t="str">
        <f>IF(L333&lt;&gt;"",IFERROR(IF(ISNUMBER(L333),L333,0),0)+IFERROR(IF(ISNUMBER(L334),L334,0),0),"")</f>
        <v/>
      </c>
    </row>
    <row r="335" spans="1:13" ht="19.5" customHeight="1" x14ac:dyDescent="0.35">
      <c r="A335" s="78" t="s">
        <v>224</v>
      </c>
      <c r="B335" s="79" t="str">
        <f>IF('Open 30M - Scoring'!B44&lt;&gt;"",IF('Open 30M - Scoring'!R44&lt;&gt;"",'Open 30M - Scoring'!R44,""),"")</f>
        <v/>
      </c>
      <c r="C335" s="79" t="str">
        <f>IF('Open 30M - Scoring'!B44&lt;&gt;"",IF('Open 30M - Scoring'!S44&lt;&gt;"",'Open 30M - Scoring'!S44,""),"")</f>
        <v/>
      </c>
      <c r="D335" s="79" t="str">
        <f>IF('Open 30M - Scoring'!B44&lt;&gt;"",IF('Open 30M - Scoring'!T44&lt;&gt;"",'Open 30M - Scoring'!T44,""),"")</f>
        <v/>
      </c>
      <c r="E335" s="80" t="str">
        <f>IF('Open 30M - Scoring'!B44&lt;&gt;"",'Open 30M - Scoring'!AR44,"")</f>
        <v/>
      </c>
      <c r="F335" s="81" t="str">
        <f>IF(E333&lt;&gt;"",IFERROR(IF(ISNUMBER(E333),E333,0),0)+IFERROR(IF(ISNUMBER(E334),E334,0),0)+IFERROR(IF(ISNUMBER(E335),E335,0),0),"")</f>
        <v/>
      </c>
      <c r="H335" s="78" t="s">
        <v>224</v>
      </c>
      <c r="I335" s="79" t="str">
        <f>IF('Open 30M - Scoring'!B45&lt;&gt;"",IF('Open 30M - Scoring'!R45&lt;&gt;"",'Open 30M - Scoring'!R45,""),"")</f>
        <v/>
      </c>
      <c r="J335" s="79" t="str">
        <f>IF('Open 30M - Scoring'!B45&lt;&gt;"",IF('Open 30M - Scoring'!S45&lt;&gt;"",'Open 30M - Scoring'!S45,""),"")</f>
        <v/>
      </c>
      <c r="K335" s="79" t="str">
        <f>IF('Open 30M - Scoring'!B45&lt;&gt;"",IF('Open 30M - Scoring'!T45&lt;&gt;"",'Open 30M - Scoring'!T45,""),"")</f>
        <v/>
      </c>
      <c r="L335" s="80" t="str">
        <f>IF('Open 30M - Scoring'!B45&lt;&gt;"",'Open 30M - Scoring'!AR45,"")</f>
        <v/>
      </c>
      <c r="M335" s="81" t="str">
        <f>IF(L333&lt;&gt;"",IFERROR(IF(ISNUMBER(L333),L333,0),0)+IFERROR(IF(ISNUMBER(L334),L334,0),0)+IFERROR(IF(ISNUMBER(L335),L335,0),0),"")</f>
        <v/>
      </c>
    </row>
    <row r="336" spans="1:13" ht="19.5" customHeight="1" x14ac:dyDescent="0.35">
      <c r="A336" s="78" t="s">
        <v>227</v>
      </c>
      <c r="B336" s="79" t="str">
        <f>IF('Open 30M - Scoring'!B44&lt;&gt;"",IF('Open 30M - Scoring'!X44&lt;&gt;"",'Open 30M - Scoring'!X44,""),"")</f>
        <v/>
      </c>
      <c r="C336" s="79" t="str">
        <f>IF('Open 30M - Scoring'!B44&lt;&gt;"",IF('Open 30M - Scoring'!Y44&lt;&gt;"",'Open 30M - Scoring'!Y44,""),"")</f>
        <v/>
      </c>
      <c r="D336" s="79" t="str">
        <f>IF('Open 30M - Scoring'!B44&lt;&gt;"",IF('Open 30M - Scoring'!Z44&lt;&gt;"",'Open 30M - Scoring'!Z44,""),"")</f>
        <v/>
      </c>
      <c r="E336" s="80" t="str">
        <f>IF('Open 30M - Scoring'!B44&lt;&gt;"",'Open 30M - Scoring'!AS44,"")</f>
        <v/>
      </c>
      <c r="F336" s="81" t="str">
        <f>IF(E333&lt;&gt;"",IFERROR(IF(ISNUMBER(E333),E333,0),0)+IFERROR(IF(ISNUMBER(E334),E334,0),0)+IFERROR(IF(ISNUMBER(E335),E335,0),0)+IFERROR(IF(ISNUMBER(E336),E336,0),0),"")</f>
        <v/>
      </c>
      <c r="H336" s="78" t="s">
        <v>227</v>
      </c>
      <c r="I336" s="79" t="str">
        <f>IF('Open 30M - Scoring'!B45&lt;&gt;"",IF('Open 30M - Scoring'!X45&lt;&gt;"",'Open 30M - Scoring'!X45,""),"")</f>
        <v/>
      </c>
      <c r="J336" s="79" t="str">
        <f>IF('Open 30M - Scoring'!B45&lt;&gt;"",IF('Open 30M - Scoring'!Y45&lt;&gt;"",'Open 30M - Scoring'!Y45,""),"")</f>
        <v/>
      </c>
      <c r="K336" s="79" t="str">
        <f>IF('Open 30M - Scoring'!B45&lt;&gt;"",IF('Open 30M - Scoring'!Z45&lt;&gt;"",'Open 30M - Scoring'!Z45,""),"")</f>
        <v/>
      </c>
      <c r="L336" s="80" t="str">
        <f>IF('Open 30M - Scoring'!B45&lt;&gt;"",'Open 30M - Scoring'!AS45,"")</f>
        <v/>
      </c>
      <c r="M336" s="81" t="str">
        <f>IF(L333&lt;&gt;"",IFERROR(IF(ISNUMBER(L333),L333,0),0)+IFERROR(IF(ISNUMBER(L334),L334,0),0)+IFERROR(IF(ISNUMBER(L335),L335,0),0)+IFERROR(IF(ISNUMBER(L336),L336,0),0),"")</f>
        <v/>
      </c>
    </row>
    <row r="337" spans="1:13" ht="19.5" customHeight="1" x14ac:dyDescent="0.35">
      <c r="A337" s="78" t="s">
        <v>228</v>
      </c>
      <c r="B337" s="79" t="str">
        <f>IF('Open 30M - Scoring'!B44&lt;&gt;"",IF('Open 30M - Scoring'!AD44&lt;&gt;"",'Open 30M - Scoring'!AD44,""),"")</f>
        <v/>
      </c>
      <c r="C337" s="79" t="str">
        <f>IF('Open 30M - Scoring'!B44&lt;&gt;"",IF('Open 30M - Scoring'!AE44&lt;&gt;"",'Open 30M - Scoring'!AE44,""),"")</f>
        <v/>
      </c>
      <c r="D337" s="79" t="str">
        <f>IF('Open 30M - Scoring'!B44&lt;&gt;"",IF('Open 30M - Scoring'!AF44&lt;&gt;"",'Open 30M - Scoring'!AF44,""),"")</f>
        <v/>
      </c>
      <c r="E337" s="80" t="str">
        <f>IF('Open 30M - Scoring'!B44&lt;&gt;"",'Open 30M - Scoring'!AT44,"")</f>
        <v/>
      </c>
      <c r="F337" s="81" t="str">
        <f>IF(E333&lt;&gt;"",IFERROR(IF(ISNUMBER(E333),E333,0),0)+IFERROR(IF(ISNUMBER(E334),E334,0),0)+IFERROR(IF(ISNUMBER(E335),E335,0),0)+IFERROR(IF(ISNUMBER(E336),E336,0),0)+IFERROR(IF(ISNUMBER(E337),E337,0),0),"")</f>
        <v/>
      </c>
      <c r="H337" s="78" t="s">
        <v>228</v>
      </c>
      <c r="I337" s="79" t="str">
        <f>IF('Open 30M - Scoring'!B45&lt;&gt;"",IF('Open 30M - Scoring'!AD45&lt;&gt;"",'Open 30M - Scoring'!AD45,""),"")</f>
        <v/>
      </c>
      <c r="J337" s="79" t="str">
        <f>IF('Open 30M - Scoring'!B45&lt;&gt;"",IF('Open 30M - Scoring'!AE45&lt;&gt;"",'Open 30M - Scoring'!AE45,""),"")</f>
        <v/>
      </c>
      <c r="K337" s="79" t="str">
        <f>IF('Open 30M - Scoring'!B45&lt;&gt;"",IF('Open 30M - Scoring'!AF45&lt;&gt;"",'Open 30M - Scoring'!AF45,""),"")</f>
        <v/>
      </c>
      <c r="L337" s="80" t="str">
        <f>IF('Open 30M - Scoring'!B45&lt;&gt;"",'Open 30M - Scoring'!AT45,"")</f>
        <v/>
      </c>
      <c r="M337" s="81" t="str">
        <f>IF(L333&lt;&gt;"",IFERROR(IF(ISNUMBER(L333),L333,0),0)+IFERROR(IF(ISNUMBER(L334),L334,0),0)+IFERROR(IF(ISNUMBER(L335),L335,0),0)+IFERROR(IF(ISNUMBER(L336),L336,0),0)+IFERROR(IF(ISNUMBER(L337),L337,0),0),"")</f>
        <v/>
      </c>
    </row>
    <row r="338" spans="1:13" ht="19.5" customHeight="1" x14ac:dyDescent="0.35">
      <c r="A338" s="78" t="s">
        <v>229</v>
      </c>
      <c r="B338" s="79" t="str">
        <f>IF('Open 30M - Scoring'!B44&lt;&gt;"",IF('Open 30M - Scoring'!AJ44&lt;&gt;"",'Open 30M - Scoring'!AJ44,""),"")</f>
        <v/>
      </c>
      <c r="C338" s="79" t="str">
        <f>IF('Open 30M - Scoring'!B44&lt;&gt;"",IF('Open 30M - Scoring'!AK44&lt;&gt;"",'Open 30M - Scoring'!AK44,""),"")</f>
        <v/>
      </c>
      <c r="D338" s="79" t="str">
        <f>IF('Open 30M - Scoring'!B44&lt;&gt;"",IF('Open 30M - Scoring'!AL44&lt;&gt;"",'Open 30M - Scoring'!AL44,""),"")</f>
        <v/>
      </c>
      <c r="E338" s="80" t="str">
        <f>IF('Open 30M - Scoring'!B44&lt;&gt;"",'Open 30M - Scoring'!AU44,"")</f>
        <v/>
      </c>
      <c r="F338" s="81" t="str">
        <f>IF(E333&lt;&gt;"",IFERROR(IF(ISNUMBER(E333),E333,0),0)+IFERROR(IF(ISNUMBER(E334),E334,0),0)+IFERROR(IF(ISNUMBER(E335),E335,0),0)+IFERROR(IF(ISNUMBER(E336),E336,0),0)+IFERROR(IF(ISNUMBER(E337),E337,0),0)+IFERROR(IF(ISNUMBER(E338),E338,0),0),"")</f>
        <v/>
      </c>
      <c r="H338" s="78" t="s">
        <v>229</v>
      </c>
      <c r="I338" s="79" t="str">
        <f>IF('Open 30M - Scoring'!B45&lt;&gt;"",IF('Open 30M - Scoring'!AJ45&lt;&gt;"",'Open 30M - Scoring'!AJ45,""),"")</f>
        <v/>
      </c>
      <c r="J338" s="79" t="str">
        <f>IF('Open 30M - Scoring'!B45&lt;&gt;"",IF('Open 30M - Scoring'!AK45&lt;&gt;"",'Open 30M - Scoring'!AK45,""),"")</f>
        <v/>
      </c>
      <c r="K338" s="79" t="str">
        <f>IF('Open 30M - Scoring'!B45&lt;&gt;"",IF('Open 30M - Scoring'!AL45&lt;&gt;"",'Open 30M - Scoring'!AL45,""),"")</f>
        <v/>
      </c>
      <c r="L338" s="80" t="str">
        <f>IF('Open 30M - Scoring'!B45&lt;&gt;"",'Open 30M - Scoring'!AU45,"")</f>
        <v/>
      </c>
      <c r="M338" s="81" t="str">
        <f>IF(L333&lt;&gt;"",IFERROR(IF(ISNUMBER(L333),L333,0),0)+IFERROR(IF(ISNUMBER(L334),L334,0),0)+IFERROR(IF(ISNUMBER(L335),L335,0),0)+IFERROR(IF(ISNUMBER(L336),L336,0),0)+IFERROR(IF(ISNUMBER(L337),L337,0),0)+IFERROR(IF(ISNUMBER(L338),L338,0),0),"")</f>
        <v/>
      </c>
    </row>
    <row r="339" spans="1:13" ht="3.75" customHeight="1" x14ac:dyDescent="0.35"/>
    <row r="340" spans="1:13" ht="24" customHeight="1" x14ac:dyDescent="0.35">
      <c r="A340" s="124" t="s">
        <v>230</v>
      </c>
      <c r="B340" s="124"/>
      <c r="C340" s="124"/>
      <c r="D340" s="124"/>
      <c r="E340" s="125" t="str">
        <f>IF('Open 30M - Scoring'!B44&lt;&gt;"",'Open 30M - Scoring'!AV44,"")</f>
        <v/>
      </c>
      <c r="F340" s="125"/>
      <c r="H340" s="124" t="s">
        <v>230</v>
      </c>
      <c r="I340" s="124"/>
      <c r="J340" s="124"/>
      <c r="K340" s="124"/>
      <c r="L340" s="125" t="str">
        <f>IF('Open 30M - Scoring'!B45&lt;&gt;"",'Open 30M - Scoring'!AV45,"")</f>
        <v/>
      </c>
      <c r="M340" s="125"/>
    </row>
    <row r="341" spans="1:13" ht="19.5" customHeight="1" x14ac:dyDescent="0.35">
      <c r="E341" s="125"/>
      <c r="F341" s="125"/>
      <c r="L341" s="125"/>
      <c r="M341" s="125"/>
    </row>
    <row r="342" spans="1:13" ht="3.75" customHeight="1" x14ac:dyDescent="0.35"/>
    <row r="343" spans="1:13" ht="18" customHeight="1" x14ac:dyDescent="0.35">
      <c r="A343" s="73" t="s">
        <v>126</v>
      </c>
      <c r="B343" s="82" t="str">
        <f>IF('Open 30M - Scoring'!B44&lt;&gt;"",'Open 30M - Scoring'!AW44,"")</f>
        <v/>
      </c>
      <c r="C343" s="73" t="s">
        <v>127</v>
      </c>
      <c r="D343" s="83" t="str">
        <f>IF('Open 30M - Scoring'!B44&lt;&gt;"",'Open 30M - Scoring'!AX44,"")</f>
        <v/>
      </c>
      <c r="E343" s="73" t="s">
        <v>128</v>
      </c>
      <c r="F343" s="83" t="str">
        <f>IF('Open 30M - Scoring'!B44&lt;&gt;"",'Open 30M - Scoring'!AY44,"")</f>
        <v/>
      </c>
      <c r="H343" s="73" t="s">
        <v>126</v>
      </c>
      <c r="I343" s="82" t="str">
        <f>IF('Open 30M - Scoring'!B45&lt;&gt;"",'Open 30M - Scoring'!AW45,"")</f>
        <v/>
      </c>
      <c r="J343" s="73" t="s">
        <v>127</v>
      </c>
      <c r="K343" s="83" t="str">
        <f>IF('Open 30M - Scoring'!B45&lt;&gt;"",'Open 30M - Scoring'!AX45,"")</f>
        <v/>
      </c>
      <c r="L343" s="73" t="s">
        <v>128</v>
      </c>
      <c r="M343" s="83" t="str">
        <f>IF('Open 30M - Scoring'!B45&lt;&gt;"",'Open 30M - Scoring'!AY45,"")</f>
        <v/>
      </c>
    </row>
    <row r="344" spans="1:13" ht="3.75" customHeight="1" x14ac:dyDescent="0.35"/>
    <row r="345" spans="1:13" ht="7.5" customHeight="1" x14ac:dyDescent="0.35">
      <c r="A345" s="126"/>
      <c r="B345" s="126"/>
      <c r="C345" s="126"/>
      <c r="D345" s="126"/>
      <c r="E345" s="126"/>
      <c r="F345" s="126"/>
      <c r="G345" s="126"/>
      <c r="H345" s="126"/>
      <c r="I345" s="126"/>
      <c r="J345" s="126"/>
      <c r="K345" s="126"/>
      <c r="L345" s="126"/>
      <c r="M345" s="126"/>
    </row>
    <row r="346" spans="1:13" ht="15.75" customHeight="1" x14ac:dyDescent="0.35">
      <c r="A346" s="73" t="s">
        <v>218</v>
      </c>
      <c r="B346" s="122" t="str">
        <f>IF('Open 30M - Scoring'!B46&lt;&gt;"",'Open 30M - Scoring'!B46,"")</f>
        <v/>
      </c>
      <c r="C346" s="122"/>
      <c r="D346" s="122"/>
      <c r="E346" s="73" t="s">
        <v>219</v>
      </c>
      <c r="F346" s="74" t="str">
        <f>IF('Open 30M - Scoring'!B46&lt;&gt;"",'Open 30M - Scoring'!BB46,"")</f>
        <v/>
      </c>
      <c r="H346" s="73" t="s">
        <v>218</v>
      </c>
      <c r="I346" s="122" t="str">
        <f>IF('Open 30M - Scoring'!B47&lt;&gt;"",'Open 30M - Scoring'!B47,"")</f>
        <v/>
      </c>
      <c r="J346" s="122"/>
      <c r="K346" s="122"/>
      <c r="L346" s="73" t="s">
        <v>219</v>
      </c>
      <c r="M346" s="74" t="str">
        <f>IF('Open 30M - Scoring'!B47&lt;&gt;"",'Open 30M - Scoring'!BB47,"")</f>
        <v/>
      </c>
    </row>
    <row r="347" spans="1:13" ht="15.75" customHeight="1" x14ac:dyDescent="0.35">
      <c r="A347" s="73" t="s">
        <v>220</v>
      </c>
      <c r="B347" s="123" t="str">
        <f>IF('Open 30M - Scoring'!B46&lt;&gt;"",'Open 30M - Scoring'!D46,"")</f>
        <v/>
      </c>
      <c r="C347" s="123"/>
      <c r="D347" s="123"/>
      <c r="E347" s="73" t="s">
        <v>8</v>
      </c>
      <c r="F347" s="75" t="str">
        <f>IF('Open 30M - Scoring'!B46&lt;&gt;"",'Open 30M - Scoring'!E46,"")</f>
        <v/>
      </c>
      <c r="H347" s="73" t="s">
        <v>220</v>
      </c>
      <c r="I347" s="123" t="str">
        <f>IF('Open 30M - Scoring'!B47&lt;&gt;"",'Open 30M - Scoring'!D47,"")</f>
        <v/>
      </c>
      <c r="J347" s="123"/>
      <c r="K347" s="123"/>
      <c r="L347" s="73" t="s">
        <v>8</v>
      </c>
      <c r="M347" s="75" t="str">
        <f>IF('Open 30M - Scoring'!B47&lt;&gt;"",'Open 30M - Scoring'!E47,"")</f>
        <v/>
      </c>
    </row>
    <row r="348" spans="1:13" ht="3.75" customHeight="1" x14ac:dyDescent="0.35"/>
    <row r="349" spans="1:13" ht="25.5" customHeight="1" x14ac:dyDescent="0.35">
      <c r="A349" s="76" t="s">
        <v>221</v>
      </c>
      <c r="B349" s="77" t="s">
        <v>222</v>
      </c>
      <c r="C349" s="77" t="s">
        <v>223</v>
      </c>
      <c r="D349" s="77" t="s">
        <v>224</v>
      </c>
      <c r="E349" s="76" t="s">
        <v>225</v>
      </c>
      <c r="F349" s="76" t="s">
        <v>226</v>
      </c>
      <c r="H349" s="76" t="s">
        <v>221</v>
      </c>
      <c r="I349" s="77" t="s">
        <v>222</v>
      </c>
      <c r="J349" s="77" t="s">
        <v>223</v>
      </c>
      <c r="K349" s="77" t="s">
        <v>224</v>
      </c>
      <c r="L349" s="76" t="s">
        <v>225</v>
      </c>
      <c r="M349" s="76" t="s">
        <v>226</v>
      </c>
    </row>
    <row r="350" spans="1:13" ht="19.5" customHeight="1" x14ac:dyDescent="0.35">
      <c r="A350" s="78" t="s">
        <v>222</v>
      </c>
      <c r="B350" s="79" t="str">
        <f>IF('Open 30M - Scoring'!B46&lt;&gt;"",IF('Open 30M - Scoring'!F46&lt;&gt;"",'Open 30M - Scoring'!F46,""),"")</f>
        <v/>
      </c>
      <c r="C350" s="79" t="str">
        <f>IF('Open 30M - Scoring'!B46&lt;&gt;"",IF('Open 30M - Scoring'!G46&lt;&gt;"",'Open 30M - Scoring'!G46,""),"")</f>
        <v/>
      </c>
      <c r="D350" s="79" t="str">
        <f>IF('Open 30M - Scoring'!B46&lt;&gt;"",IF('Open 30M - Scoring'!H46&lt;&gt;"",'Open 30M - Scoring'!H46,""),"")</f>
        <v/>
      </c>
      <c r="E350" s="80" t="str">
        <f>IF('Open 30M - Scoring'!B46&lt;&gt;"",'Open 30M - Scoring'!AP46,"")</f>
        <v/>
      </c>
      <c r="F350" s="81" t="str">
        <f>IFERROR(IF(ISNUMBER(E350),E350,""),"")</f>
        <v/>
      </c>
      <c r="H350" s="78" t="s">
        <v>222</v>
      </c>
      <c r="I350" s="79" t="str">
        <f>IF('Open 30M - Scoring'!B47&lt;&gt;"",IF('Open 30M - Scoring'!F47&lt;&gt;"",'Open 30M - Scoring'!F47,""),"")</f>
        <v/>
      </c>
      <c r="J350" s="79" t="str">
        <f>IF('Open 30M - Scoring'!B47&lt;&gt;"",IF('Open 30M - Scoring'!G47&lt;&gt;"",'Open 30M - Scoring'!G47,""),"")</f>
        <v/>
      </c>
      <c r="K350" s="79" t="str">
        <f>IF('Open 30M - Scoring'!B47&lt;&gt;"",IF('Open 30M - Scoring'!H47&lt;&gt;"",'Open 30M - Scoring'!H47,""),"")</f>
        <v/>
      </c>
      <c r="L350" s="80" t="str">
        <f>IF('Open 30M - Scoring'!B47&lt;&gt;"",'Open 30M - Scoring'!AP47,"")</f>
        <v/>
      </c>
      <c r="M350" s="81" t="str">
        <f>IFERROR(IF(ISNUMBER(L350),L350,""),"")</f>
        <v/>
      </c>
    </row>
    <row r="351" spans="1:13" ht="19.5" customHeight="1" x14ac:dyDescent="0.35">
      <c r="A351" s="78" t="s">
        <v>223</v>
      </c>
      <c r="B351" s="79" t="str">
        <f>IF('Open 30M - Scoring'!B46&lt;&gt;"",IF('Open 30M - Scoring'!L46&lt;&gt;"",'Open 30M - Scoring'!L46,""),"")</f>
        <v/>
      </c>
      <c r="C351" s="79" t="str">
        <f>IF('Open 30M - Scoring'!B46&lt;&gt;"",IF('Open 30M - Scoring'!M46&lt;&gt;"",'Open 30M - Scoring'!M46,""),"")</f>
        <v/>
      </c>
      <c r="D351" s="79" t="str">
        <f>IF('Open 30M - Scoring'!B46&lt;&gt;"",IF('Open 30M - Scoring'!N46&lt;&gt;"",'Open 30M - Scoring'!N46,""),"")</f>
        <v/>
      </c>
      <c r="E351" s="80" t="str">
        <f>IF('Open 30M - Scoring'!B46&lt;&gt;"",'Open 30M - Scoring'!AQ46,"")</f>
        <v/>
      </c>
      <c r="F351" s="81" t="str">
        <f>IF(E350&lt;&gt;"",IFERROR(IF(ISNUMBER(E350),E350,0),0)+IFERROR(IF(ISNUMBER(E351),E351,0),0),"")</f>
        <v/>
      </c>
      <c r="H351" s="78" t="s">
        <v>223</v>
      </c>
      <c r="I351" s="79" t="str">
        <f>IF('Open 30M - Scoring'!B47&lt;&gt;"",IF('Open 30M - Scoring'!L47&lt;&gt;"",'Open 30M - Scoring'!L47,""),"")</f>
        <v/>
      </c>
      <c r="J351" s="79" t="str">
        <f>IF('Open 30M - Scoring'!B47&lt;&gt;"",IF('Open 30M - Scoring'!M47&lt;&gt;"",'Open 30M - Scoring'!M47,""),"")</f>
        <v/>
      </c>
      <c r="K351" s="79" t="str">
        <f>IF('Open 30M - Scoring'!B47&lt;&gt;"",IF('Open 30M - Scoring'!N47&lt;&gt;"",'Open 30M - Scoring'!N47,""),"")</f>
        <v/>
      </c>
      <c r="L351" s="80" t="str">
        <f>IF('Open 30M - Scoring'!B47&lt;&gt;"",'Open 30M - Scoring'!AQ47,"")</f>
        <v/>
      </c>
      <c r="M351" s="81" t="str">
        <f>IF(L350&lt;&gt;"",IFERROR(IF(ISNUMBER(L350),L350,0),0)+IFERROR(IF(ISNUMBER(L351),L351,0),0),"")</f>
        <v/>
      </c>
    </row>
    <row r="352" spans="1:13" ht="19.5" customHeight="1" x14ac:dyDescent="0.35">
      <c r="A352" s="78" t="s">
        <v>224</v>
      </c>
      <c r="B352" s="79" t="str">
        <f>IF('Open 30M - Scoring'!B46&lt;&gt;"",IF('Open 30M - Scoring'!R46&lt;&gt;"",'Open 30M - Scoring'!R46,""),"")</f>
        <v/>
      </c>
      <c r="C352" s="79" t="str">
        <f>IF('Open 30M - Scoring'!B46&lt;&gt;"",IF('Open 30M - Scoring'!S46&lt;&gt;"",'Open 30M - Scoring'!S46,""),"")</f>
        <v/>
      </c>
      <c r="D352" s="79" t="str">
        <f>IF('Open 30M - Scoring'!B46&lt;&gt;"",IF('Open 30M - Scoring'!T46&lt;&gt;"",'Open 30M - Scoring'!T46,""),"")</f>
        <v/>
      </c>
      <c r="E352" s="80" t="str">
        <f>IF('Open 30M - Scoring'!B46&lt;&gt;"",'Open 30M - Scoring'!AR46,"")</f>
        <v/>
      </c>
      <c r="F352" s="81" t="str">
        <f>IF(E350&lt;&gt;"",IFERROR(IF(ISNUMBER(E350),E350,0),0)+IFERROR(IF(ISNUMBER(E351),E351,0),0)+IFERROR(IF(ISNUMBER(E352),E352,0),0),"")</f>
        <v/>
      </c>
      <c r="H352" s="78" t="s">
        <v>224</v>
      </c>
      <c r="I352" s="79" t="str">
        <f>IF('Open 30M - Scoring'!B47&lt;&gt;"",IF('Open 30M - Scoring'!R47&lt;&gt;"",'Open 30M - Scoring'!R47,""),"")</f>
        <v/>
      </c>
      <c r="J352" s="79" t="str">
        <f>IF('Open 30M - Scoring'!B47&lt;&gt;"",IF('Open 30M - Scoring'!S47&lt;&gt;"",'Open 30M - Scoring'!S47,""),"")</f>
        <v/>
      </c>
      <c r="K352" s="79" t="str">
        <f>IF('Open 30M - Scoring'!B47&lt;&gt;"",IF('Open 30M - Scoring'!T47&lt;&gt;"",'Open 30M - Scoring'!T47,""),"")</f>
        <v/>
      </c>
      <c r="L352" s="80" t="str">
        <f>IF('Open 30M - Scoring'!B47&lt;&gt;"",'Open 30M - Scoring'!AR47,"")</f>
        <v/>
      </c>
      <c r="M352" s="81" t="str">
        <f>IF(L350&lt;&gt;"",IFERROR(IF(ISNUMBER(L350),L350,0),0)+IFERROR(IF(ISNUMBER(L351),L351,0),0)+IFERROR(IF(ISNUMBER(L352),L352,0),0),"")</f>
        <v/>
      </c>
    </row>
    <row r="353" spans="1:13" ht="19.5" customHeight="1" x14ac:dyDescent="0.35">
      <c r="A353" s="78" t="s">
        <v>227</v>
      </c>
      <c r="B353" s="79" t="str">
        <f>IF('Open 30M - Scoring'!B46&lt;&gt;"",IF('Open 30M - Scoring'!X46&lt;&gt;"",'Open 30M - Scoring'!X46,""),"")</f>
        <v/>
      </c>
      <c r="C353" s="79" t="str">
        <f>IF('Open 30M - Scoring'!B46&lt;&gt;"",IF('Open 30M - Scoring'!Y46&lt;&gt;"",'Open 30M - Scoring'!Y46,""),"")</f>
        <v/>
      </c>
      <c r="D353" s="79" t="str">
        <f>IF('Open 30M - Scoring'!B46&lt;&gt;"",IF('Open 30M - Scoring'!Z46&lt;&gt;"",'Open 30M - Scoring'!Z46,""),"")</f>
        <v/>
      </c>
      <c r="E353" s="80" t="str">
        <f>IF('Open 30M - Scoring'!B46&lt;&gt;"",'Open 30M - Scoring'!AS46,"")</f>
        <v/>
      </c>
      <c r="F353" s="81" t="str">
        <f>IF(E350&lt;&gt;"",IFERROR(IF(ISNUMBER(E350),E350,0),0)+IFERROR(IF(ISNUMBER(E351),E351,0),0)+IFERROR(IF(ISNUMBER(E352),E352,0),0)+IFERROR(IF(ISNUMBER(E353),E353,0),0),"")</f>
        <v/>
      </c>
      <c r="H353" s="78" t="s">
        <v>227</v>
      </c>
      <c r="I353" s="79" t="str">
        <f>IF('Open 30M - Scoring'!B47&lt;&gt;"",IF('Open 30M - Scoring'!X47&lt;&gt;"",'Open 30M - Scoring'!X47,""),"")</f>
        <v/>
      </c>
      <c r="J353" s="79" t="str">
        <f>IF('Open 30M - Scoring'!B47&lt;&gt;"",IF('Open 30M - Scoring'!Y47&lt;&gt;"",'Open 30M - Scoring'!Y47,""),"")</f>
        <v/>
      </c>
      <c r="K353" s="79" t="str">
        <f>IF('Open 30M - Scoring'!B47&lt;&gt;"",IF('Open 30M - Scoring'!Z47&lt;&gt;"",'Open 30M - Scoring'!Z47,""),"")</f>
        <v/>
      </c>
      <c r="L353" s="80" t="str">
        <f>IF('Open 30M - Scoring'!B47&lt;&gt;"",'Open 30M - Scoring'!AS47,"")</f>
        <v/>
      </c>
      <c r="M353" s="81" t="str">
        <f>IF(L350&lt;&gt;"",IFERROR(IF(ISNUMBER(L350),L350,0),0)+IFERROR(IF(ISNUMBER(L351),L351,0),0)+IFERROR(IF(ISNUMBER(L352),L352,0),0)+IFERROR(IF(ISNUMBER(L353),L353,0),0),"")</f>
        <v/>
      </c>
    </row>
    <row r="354" spans="1:13" ht="19.5" customHeight="1" x14ac:dyDescent="0.35">
      <c r="A354" s="78" t="s">
        <v>228</v>
      </c>
      <c r="B354" s="79" t="str">
        <f>IF('Open 30M - Scoring'!B46&lt;&gt;"",IF('Open 30M - Scoring'!AD46&lt;&gt;"",'Open 30M - Scoring'!AD46,""),"")</f>
        <v/>
      </c>
      <c r="C354" s="79" t="str">
        <f>IF('Open 30M - Scoring'!B46&lt;&gt;"",IF('Open 30M - Scoring'!AE46&lt;&gt;"",'Open 30M - Scoring'!AE46,""),"")</f>
        <v/>
      </c>
      <c r="D354" s="79" t="str">
        <f>IF('Open 30M - Scoring'!B46&lt;&gt;"",IF('Open 30M - Scoring'!AF46&lt;&gt;"",'Open 30M - Scoring'!AF46,""),"")</f>
        <v/>
      </c>
      <c r="E354" s="80" t="str">
        <f>IF('Open 30M - Scoring'!B46&lt;&gt;"",'Open 30M - Scoring'!AT46,"")</f>
        <v/>
      </c>
      <c r="F354" s="81" t="str">
        <f>IF(E350&lt;&gt;"",IFERROR(IF(ISNUMBER(E350),E350,0),0)+IFERROR(IF(ISNUMBER(E351),E351,0),0)+IFERROR(IF(ISNUMBER(E352),E352,0),0)+IFERROR(IF(ISNUMBER(E353),E353,0),0)+IFERROR(IF(ISNUMBER(E354),E354,0),0),"")</f>
        <v/>
      </c>
      <c r="H354" s="78" t="s">
        <v>228</v>
      </c>
      <c r="I354" s="79" t="str">
        <f>IF('Open 30M - Scoring'!B47&lt;&gt;"",IF('Open 30M - Scoring'!AD47&lt;&gt;"",'Open 30M - Scoring'!AD47,""),"")</f>
        <v/>
      </c>
      <c r="J354" s="79" t="str">
        <f>IF('Open 30M - Scoring'!B47&lt;&gt;"",IF('Open 30M - Scoring'!AE47&lt;&gt;"",'Open 30M - Scoring'!AE47,""),"")</f>
        <v/>
      </c>
      <c r="K354" s="79" t="str">
        <f>IF('Open 30M - Scoring'!B47&lt;&gt;"",IF('Open 30M - Scoring'!AF47&lt;&gt;"",'Open 30M - Scoring'!AF47,""),"")</f>
        <v/>
      </c>
      <c r="L354" s="80" t="str">
        <f>IF('Open 30M - Scoring'!B47&lt;&gt;"",'Open 30M - Scoring'!AT47,"")</f>
        <v/>
      </c>
      <c r="M354" s="81" t="str">
        <f>IF(L350&lt;&gt;"",IFERROR(IF(ISNUMBER(L350),L350,0),0)+IFERROR(IF(ISNUMBER(L351),L351,0),0)+IFERROR(IF(ISNUMBER(L352),L352,0),0)+IFERROR(IF(ISNUMBER(L353),L353,0),0)+IFERROR(IF(ISNUMBER(L354),L354,0),0),"")</f>
        <v/>
      </c>
    </row>
    <row r="355" spans="1:13" ht="19.5" customHeight="1" x14ac:dyDescent="0.35">
      <c r="A355" s="78" t="s">
        <v>229</v>
      </c>
      <c r="B355" s="79" t="str">
        <f>IF('Open 30M - Scoring'!B46&lt;&gt;"",IF('Open 30M - Scoring'!AJ46&lt;&gt;"",'Open 30M - Scoring'!AJ46,""),"")</f>
        <v/>
      </c>
      <c r="C355" s="79" t="str">
        <f>IF('Open 30M - Scoring'!B46&lt;&gt;"",IF('Open 30M - Scoring'!AK46&lt;&gt;"",'Open 30M - Scoring'!AK46,""),"")</f>
        <v/>
      </c>
      <c r="D355" s="79" t="str">
        <f>IF('Open 30M - Scoring'!B46&lt;&gt;"",IF('Open 30M - Scoring'!AL46&lt;&gt;"",'Open 30M - Scoring'!AL46,""),"")</f>
        <v/>
      </c>
      <c r="E355" s="80" t="str">
        <f>IF('Open 30M - Scoring'!B46&lt;&gt;"",'Open 30M - Scoring'!AU46,"")</f>
        <v/>
      </c>
      <c r="F355" s="81" t="str">
        <f>IF(E350&lt;&gt;"",IFERROR(IF(ISNUMBER(E350),E350,0),0)+IFERROR(IF(ISNUMBER(E351),E351,0),0)+IFERROR(IF(ISNUMBER(E352),E352,0),0)+IFERROR(IF(ISNUMBER(E353),E353,0),0)+IFERROR(IF(ISNUMBER(E354),E354,0),0)+IFERROR(IF(ISNUMBER(E355),E355,0),0),"")</f>
        <v/>
      </c>
      <c r="H355" s="78" t="s">
        <v>229</v>
      </c>
      <c r="I355" s="79" t="str">
        <f>IF('Open 30M - Scoring'!B47&lt;&gt;"",IF('Open 30M - Scoring'!AJ47&lt;&gt;"",'Open 30M - Scoring'!AJ47,""),"")</f>
        <v/>
      </c>
      <c r="J355" s="79" t="str">
        <f>IF('Open 30M - Scoring'!B47&lt;&gt;"",IF('Open 30M - Scoring'!AK47&lt;&gt;"",'Open 30M - Scoring'!AK47,""),"")</f>
        <v/>
      </c>
      <c r="K355" s="79" t="str">
        <f>IF('Open 30M - Scoring'!B47&lt;&gt;"",IF('Open 30M - Scoring'!AL47&lt;&gt;"",'Open 30M - Scoring'!AL47,""),"")</f>
        <v/>
      </c>
      <c r="L355" s="80" t="str">
        <f>IF('Open 30M - Scoring'!B47&lt;&gt;"",'Open 30M - Scoring'!AU47,"")</f>
        <v/>
      </c>
      <c r="M355" s="81" t="str">
        <f>IF(L350&lt;&gt;"",IFERROR(IF(ISNUMBER(L350),L350,0),0)+IFERROR(IF(ISNUMBER(L351),L351,0),0)+IFERROR(IF(ISNUMBER(L352),L352,0),0)+IFERROR(IF(ISNUMBER(L353),L353,0),0)+IFERROR(IF(ISNUMBER(L354),L354,0),0)+IFERROR(IF(ISNUMBER(L355),L355,0),0),"")</f>
        <v/>
      </c>
    </row>
    <row r="356" spans="1:13" ht="3.75" customHeight="1" x14ac:dyDescent="0.35"/>
    <row r="357" spans="1:13" ht="24" customHeight="1" x14ac:dyDescent="0.35">
      <c r="A357" s="124" t="s">
        <v>230</v>
      </c>
      <c r="B357" s="124"/>
      <c r="C357" s="124"/>
      <c r="D357" s="124"/>
      <c r="E357" s="125" t="str">
        <f>IF('Open 30M - Scoring'!B46&lt;&gt;"",'Open 30M - Scoring'!AV46,"")</f>
        <v/>
      </c>
      <c r="F357" s="125"/>
      <c r="H357" s="124" t="s">
        <v>230</v>
      </c>
      <c r="I357" s="124"/>
      <c r="J357" s="124"/>
      <c r="K357" s="124"/>
      <c r="L357" s="125" t="str">
        <f>IF('Open 30M - Scoring'!B47&lt;&gt;"",'Open 30M - Scoring'!AV47,"")</f>
        <v/>
      </c>
      <c r="M357" s="125"/>
    </row>
    <row r="358" spans="1:13" ht="19.5" customHeight="1" x14ac:dyDescent="0.35">
      <c r="E358" s="125"/>
      <c r="F358" s="125"/>
      <c r="L358" s="125"/>
      <c r="M358" s="125"/>
    </row>
    <row r="359" spans="1:13" ht="3.75" customHeight="1" x14ac:dyDescent="0.35"/>
    <row r="360" spans="1:13" ht="18" customHeight="1" x14ac:dyDescent="0.35">
      <c r="A360" s="73" t="s">
        <v>126</v>
      </c>
      <c r="B360" s="82" t="str">
        <f>IF('Open 30M - Scoring'!B46&lt;&gt;"",'Open 30M - Scoring'!AW46,"")</f>
        <v/>
      </c>
      <c r="C360" s="73" t="s">
        <v>127</v>
      </c>
      <c r="D360" s="83" t="str">
        <f>IF('Open 30M - Scoring'!B46&lt;&gt;"",'Open 30M - Scoring'!AX46,"")</f>
        <v/>
      </c>
      <c r="E360" s="73" t="s">
        <v>128</v>
      </c>
      <c r="F360" s="83" t="str">
        <f>IF('Open 30M - Scoring'!B46&lt;&gt;"",'Open 30M - Scoring'!AY46,"")</f>
        <v/>
      </c>
      <c r="H360" s="73" t="s">
        <v>126</v>
      </c>
      <c r="I360" s="82" t="str">
        <f>IF('Open 30M - Scoring'!B47&lt;&gt;"",'Open 30M - Scoring'!AW47,"")</f>
        <v/>
      </c>
      <c r="J360" s="73" t="s">
        <v>127</v>
      </c>
      <c r="K360" s="83" t="str">
        <f>IF('Open 30M - Scoring'!B47&lt;&gt;"",'Open 30M - Scoring'!AX47,"")</f>
        <v/>
      </c>
      <c r="L360" s="73" t="s">
        <v>128</v>
      </c>
      <c r="M360" s="83" t="str">
        <f>IF('Open 30M - Scoring'!B47&lt;&gt;"",'Open 30M - Scoring'!AY47,"")</f>
        <v/>
      </c>
    </row>
    <row r="361" spans="1:13" ht="3.75" customHeight="1" x14ac:dyDescent="0.35"/>
    <row r="362" spans="1:13" ht="7.5" customHeight="1" x14ac:dyDescent="0.35">
      <c r="A362" s="126"/>
      <c r="B362" s="126"/>
      <c r="C362" s="126"/>
      <c r="D362" s="126"/>
      <c r="E362" s="126"/>
      <c r="F362" s="126"/>
      <c r="G362" s="126"/>
      <c r="H362" s="126"/>
      <c r="I362" s="126"/>
      <c r="J362" s="126"/>
      <c r="K362" s="126"/>
      <c r="L362" s="126"/>
      <c r="M362" s="126"/>
    </row>
    <row r="363" spans="1:13" ht="15.75" customHeight="1" x14ac:dyDescent="0.35">
      <c r="A363" s="73" t="s">
        <v>218</v>
      </c>
      <c r="B363" s="122" t="str">
        <f>IF('Open 30M - Scoring'!B48&lt;&gt;"",'Open 30M - Scoring'!B48,"")</f>
        <v/>
      </c>
      <c r="C363" s="122"/>
      <c r="D363" s="122"/>
      <c r="E363" s="73" t="s">
        <v>219</v>
      </c>
      <c r="F363" s="74" t="str">
        <f>IF('Open 30M - Scoring'!B48&lt;&gt;"",'Open 30M - Scoring'!BB48,"")</f>
        <v/>
      </c>
      <c r="H363" s="73" t="s">
        <v>218</v>
      </c>
      <c r="I363" s="122" t="str">
        <f>IF('Open 30M - Scoring'!B49&lt;&gt;"",'Open 30M - Scoring'!B49,"")</f>
        <v/>
      </c>
      <c r="J363" s="122"/>
      <c r="K363" s="122"/>
      <c r="L363" s="73" t="s">
        <v>219</v>
      </c>
      <c r="M363" s="74" t="str">
        <f>IF('Open 30M - Scoring'!B49&lt;&gt;"",'Open 30M - Scoring'!BB49,"")</f>
        <v/>
      </c>
    </row>
    <row r="364" spans="1:13" ht="15.75" customHeight="1" x14ac:dyDescent="0.35">
      <c r="A364" s="73" t="s">
        <v>220</v>
      </c>
      <c r="B364" s="123" t="str">
        <f>IF('Open 30M - Scoring'!B48&lt;&gt;"",'Open 30M - Scoring'!D48,"")</f>
        <v/>
      </c>
      <c r="C364" s="123"/>
      <c r="D364" s="123"/>
      <c r="E364" s="73" t="s">
        <v>8</v>
      </c>
      <c r="F364" s="75" t="str">
        <f>IF('Open 30M - Scoring'!B48&lt;&gt;"",'Open 30M - Scoring'!E48,"")</f>
        <v/>
      </c>
      <c r="H364" s="73" t="s">
        <v>220</v>
      </c>
      <c r="I364" s="123" t="str">
        <f>IF('Open 30M - Scoring'!B49&lt;&gt;"",'Open 30M - Scoring'!D49,"")</f>
        <v/>
      </c>
      <c r="J364" s="123"/>
      <c r="K364" s="123"/>
      <c r="L364" s="73" t="s">
        <v>8</v>
      </c>
      <c r="M364" s="75" t="str">
        <f>IF('Open 30M - Scoring'!B49&lt;&gt;"",'Open 30M - Scoring'!E49,"")</f>
        <v/>
      </c>
    </row>
    <row r="365" spans="1:13" ht="3.75" customHeight="1" x14ac:dyDescent="0.35"/>
    <row r="366" spans="1:13" ht="25.5" customHeight="1" x14ac:dyDescent="0.35">
      <c r="A366" s="76" t="s">
        <v>221</v>
      </c>
      <c r="B366" s="77" t="s">
        <v>222</v>
      </c>
      <c r="C366" s="77" t="s">
        <v>223</v>
      </c>
      <c r="D366" s="77" t="s">
        <v>224</v>
      </c>
      <c r="E366" s="76" t="s">
        <v>225</v>
      </c>
      <c r="F366" s="76" t="s">
        <v>226</v>
      </c>
      <c r="H366" s="76" t="s">
        <v>221</v>
      </c>
      <c r="I366" s="77" t="s">
        <v>222</v>
      </c>
      <c r="J366" s="77" t="s">
        <v>223</v>
      </c>
      <c r="K366" s="77" t="s">
        <v>224</v>
      </c>
      <c r="L366" s="76" t="s">
        <v>225</v>
      </c>
      <c r="M366" s="76" t="s">
        <v>226</v>
      </c>
    </row>
    <row r="367" spans="1:13" ht="19.5" customHeight="1" x14ac:dyDescent="0.35">
      <c r="A367" s="78" t="s">
        <v>222</v>
      </c>
      <c r="B367" s="79" t="str">
        <f>IF('Open 30M - Scoring'!B48&lt;&gt;"",IF('Open 30M - Scoring'!F48&lt;&gt;"",'Open 30M - Scoring'!F48,""),"")</f>
        <v/>
      </c>
      <c r="C367" s="79" t="str">
        <f>IF('Open 30M - Scoring'!B48&lt;&gt;"",IF('Open 30M - Scoring'!G48&lt;&gt;"",'Open 30M - Scoring'!G48,""),"")</f>
        <v/>
      </c>
      <c r="D367" s="79" t="str">
        <f>IF('Open 30M - Scoring'!B48&lt;&gt;"",IF('Open 30M - Scoring'!H48&lt;&gt;"",'Open 30M - Scoring'!H48,""),"")</f>
        <v/>
      </c>
      <c r="E367" s="80" t="str">
        <f>IF('Open 30M - Scoring'!B48&lt;&gt;"",'Open 30M - Scoring'!AP48,"")</f>
        <v/>
      </c>
      <c r="F367" s="81" t="str">
        <f>IFERROR(IF(ISNUMBER(E367),E367,""),"")</f>
        <v/>
      </c>
      <c r="H367" s="78" t="s">
        <v>222</v>
      </c>
      <c r="I367" s="79" t="str">
        <f>IF('Open 30M - Scoring'!B49&lt;&gt;"",IF('Open 30M - Scoring'!F49&lt;&gt;"",'Open 30M - Scoring'!F49,""),"")</f>
        <v/>
      </c>
      <c r="J367" s="79" t="str">
        <f>IF('Open 30M - Scoring'!B49&lt;&gt;"",IF('Open 30M - Scoring'!G49&lt;&gt;"",'Open 30M - Scoring'!G49,""),"")</f>
        <v/>
      </c>
      <c r="K367" s="79" t="str">
        <f>IF('Open 30M - Scoring'!B49&lt;&gt;"",IF('Open 30M - Scoring'!H49&lt;&gt;"",'Open 30M - Scoring'!H49,""),"")</f>
        <v/>
      </c>
      <c r="L367" s="80" t="str">
        <f>IF('Open 30M - Scoring'!B49&lt;&gt;"",'Open 30M - Scoring'!AP49,"")</f>
        <v/>
      </c>
      <c r="M367" s="81" t="str">
        <f>IFERROR(IF(ISNUMBER(L367),L367,""),"")</f>
        <v/>
      </c>
    </row>
    <row r="368" spans="1:13" ht="19.5" customHeight="1" x14ac:dyDescent="0.35">
      <c r="A368" s="78" t="s">
        <v>223</v>
      </c>
      <c r="B368" s="79" t="str">
        <f>IF('Open 30M - Scoring'!B48&lt;&gt;"",IF('Open 30M - Scoring'!L48&lt;&gt;"",'Open 30M - Scoring'!L48,""),"")</f>
        <v/>
      </c>
      <c r="C368" s="79" t="str">
        <f>IF('Open 30M - Scoring'!B48&lt;&gt;"",IF('Open 30M - Scoring'!M48&lt;&gt;"",'Open 30M - Scoring'!M48,""),"")</f>
        <v/>
      </c>
      <c r="D368" s="79" t="str">
        <f>IF('Open 30M - Scoring'!B48&lt;&gt;"",IF('Open 30M - Scoring'!N48&lt;&gt;"",'Open 30M - Scoring'!N48,""),"")</f>
        <v/>
      </c>
      <c r="E368" s="80" t="str">
        <f>IF('Open 30M - Scoring'!B48&lt;&gt;"",'Open 30M - Scoring'!AQ48,"")</f>
        <v/>
      </c>
      <c r="F368" s="81" t="str">
        <f>IF(E367&lt;&gt;"",IFERROR(IF(ISNUMBER(E367),E367,0),0)+IFERROR(IF(ISNUMBER(E368),E368,0),0),"")</f>
        <v/>
      </c>
      <c r="H368" s="78" t="s">
        <v>223</v>
      </c>
      <c r="I368" s="79" t="str">
        <f>IF('Open 30M - Scoring'!B49&lt;&gt;"",IF('Open 30M - Scoring'!L49&lt;&gt;"",'Open 30M - Scoring'!L49,""),"")</f>
        <v/>
      </c>
      <c r="J368" s="79" t="str">
        <f>IF('Open 30M - Scoring'!B49&lt;&gt;"",IF('Open 30M - Scoring'!M49&lt;&gt;"",'Open 30M - Scoring'!M49,""),"")</f>
        <v/>
      </c>
      <c r="K368" s="79" t="str">
        <f>IF('Open 30M - Scoring'!B49&lt;&gt;"",IF('Open 30M - Scoring'!N49&lt;&gt;"",'Open 30M - Scoring'!N49,""),"")</f>
        <v/>
      </c>
      <c r="L368" s="80" t="str">
        <f>IF('Open 30M - Scoring'!B49&lt;&gt;"",'Open 30M - Scoring'!AQ49,"")</f>
        <v/>
      </c>
      <c r="M368" s="81" t="str">
        <f>IF(L367&lt;&gt;"",IFERROR(IF(ISNUMBER(L367),L367,0),0)+IFERROR(IF(ISNUMBER(L368),L368,0),0),"")</f>
        <v/>
      </c>
    </row>
    <row r="369" spans="1:13" ht="19.5" customHeight="1" x14ac:dyDescent="0.35">
      <c r="A369" s="78" t="s">
        <v>224</v>
      </c>
      <c r="B369" s="79" t="str">
        <f>IF('Open 30M - Scoring'!B48&lt;&gt;"",IF('Open 30M - Scoring'!R48&lt;&gt;"",'Open 30M - Scoring'!R48,""),"")</f>
        <v/>
      </c>
      <c r="C369" s="79" t="str">
        <f>IF('Open 30M - Scoring'!B48&lt;&gt;"",IF('Open 30M - Scoring'!S48&lt;&gt;"",'Open 30M - Scoring'!S48,""),"")</f>
        <v/>
      </c>
      <c r="D369" s="79" t="str">
        <f>IF('Open 30M - Scoring'!B48&lt;&gt;"",IF('Open 30M - Scoring'!T48&lt;&gt;"",'Open 30M - Scoring'!T48,""),"")</f>
        <v/>
      </c>
      <c r="E369" s="80" t="str">
        <f>IF('Open 30M - Scoring'!B48&lt;&gt;"",'Open 30M - Scoring'!AR48,"")</f>
        <v/>
      </c>
      <c r="F369" s="81" t="str">
        <f>IF(E367&lt;&gt;"",IFERROR(IF(ISNUMBER(E367),E367,0),0)+IFERROR(IF(ISNUMBER(E368),E368,0),0)+IFERROR(IF(ISNUMBER(E369),E369,0),0),"")</f>
        <v/>
      </c>
      <c r="H369" s="78" t="s">
        <v>224</v>
      </c>
      <c r="I369" s="79" t="str">
        <f>IF('Open 30M - Scoring'!B49&lt;&gt;"",IF('Open 30M - Scoring'!R49&lt;&gt;"",'Open 30M - Scoring'!R49,""),"")</f>
        <v/>
      </c>
      <c r="J369" s="79" t="str">
        <f>IF('Open 30M - Scoring'!B49&lt;&gt;"",IF('Open 30M - Scoring'!S49&lt;&gt;"",'Open 30M - Scoring'!S49,""),"")</f>
        <v/>
      </c>
      <c r="K369" s="79" t="str">
        <f>IF('Open 30M - Scoring'!B49&lt;&gt;"",IF('Open 30M - Scoring'!T49&lt;&gt;"",'Open 30M - Scoring'!T49,""),"")</f>
        <v/>
      </c>
      <c r="L369" s="80" t="str">
        <f>IF('Open 30M - Scoring'!B49&lt;&gt;"",'Open 30M - Scoring'!AR49,"")</f>
        <v/>
      </c>
      <c r="M369" s="81" t="str">
        <f>IF(L367&lt;&gt;"",IFERROR(IF(ISNUMBER(L367),L367,0),0)+IFERROR(IF(ISNUMBER(L368),L368,0),0)+IFERROR(IF(ISNUMBER(L369),L369,0),0),"")</f>
        <v/>
      </c>
    </row>
    <row r="370" spans="1:13" ht="19.5" customHeight="1" x14ac:dyDescent="0.35">
      <c r="A370" s="78" t="s">
        <v>227</v>
      </c>
      <c r="B370" s="79" t="str">
        <f>IF('Open 30M - Scoring'!B48&lt;&gt;"",IF('Open 30M - Scoring'!X48&lt;&gt;"",'Open 30M - Scoring'!X48,""),"")</f>
        <v/>
      </c>
      <c r="C370" s="79" t="str">
        <f>IF('Open 30M - Scoring'!B48&lt;&gt;"",IF('Open 30M - Scoring'!Y48&lt;&gt;"",'Open 30M - Scoring'!Y48,""),"")</f>
        <v/>
      </c>
      <c r="D370" s="79" t="str">
        <f>IF('Open 30M - Scoring'!B48&lt;&gt;"",IF('Open 30M - Scoring'!Z48&lt;&gt;"",'Open 30M - Scoring'!Z48,""),"")</f>
        <v/>
      </c>
      <c r="E370" s="80" t="str">
        <f>IF('Open 30M - Scoring'!B48&lt;&gt;"",'Open 30M - Scoring'!AS48,"")</f>
        <v/>
      </c>
      <c r="F370" s="81" t="str">
        <f>IF(E367&lt;&gt;"",IFERROR(IF(ISNUMBER(E367),E367,0),0)+IFERROR(IF(ISNUMBER(E368),E368,0),0)+IFERROR(IF(ISNUMBER(E369),E369,0),0)+IFERROR(IF(ISNUMBER(E370),E370,0),0),"")</f>
        <v/>
      </c>
      <c r="H370" s="78" t="s">
        <v>227</v>
      </c>
      <c r="I370" s="79" t="str">
        <f>IF('Open 30M - Scoring'!B49&lt;&gt;"",IF('Open 30M - Scoring'!X49&lt;&gt;"",'Open 30M - Scoring'!X49,""),"")</f>
        <v/>
      </c>
      <c r="J370" s="79" t="str">
        <f>IF('Open 30M - Scoring'!B49&lt;&gt;"",IF('Open 30M - Scoring'!Y49&lt;&gt;"",'Open 30M - Scoring'!Y49,""),"")</f>
        <v/>
      </c>
      <c r="K370" s="79" t="str">
        <f>IF('Open 30M - Scoring'!B49&lt;&gt;"",IF('Open 30M - Scoring'!Z49&lt;&gt;"",'Open 30M - Scoring'!Z49,""),"")</f>
        <v/>
      </c>
      <c r="L370" s="80" t="str">
        <f>IF('Open 30M - Scoring'!B49&lt;&gt;"",'Open 30M - Scoring'!AS49,"")</f>
        <v/>
      </c>
      <c r="M370" s="81" t="str">
        <f>IF(L367&lt;&gt;"",IFERROR(IF(ISNUMBER(L367),L367,0),0)+IFERROR(IF(ISNUMBER(L368),L368,0),0)+IFERROR(IF(ISNUMBER(L369),L369,0),0)+IFERROR(IF(ISNUMBER(L370),L370,0),0),"")</f>
        <v/>
      </c>
    </row>
    <row r="371" spans="1:13" ht="19.5" customHeight="1" x14ac:dyDescent="0.35">
      <c r="A371" s="78" t="s">
        <v>228</v>
      </c>
      <c r="B371" s="79" t="str">
        <f>IF('Open 30M - Scoring'!B48&lt;&gt;"",IF('Open 30M - Scoring'!AD48&lt;&gt;"",'Open 30M - Scoring'!AD48,""),"")</f>
        <v/>
      </c>
      <c r="C371" s="79" t="str">
        <f>IF('Open 30M - Scoring'!B48&lt;&gt;"",IF('Open 30M - Scoring'!AE48&lt;&gt;"",'Open 30M - Scoring'!AE48,""),"")</f>
        <v/>
      </c>
      <c r="D371" s="79" t="str">
        <f>IF('Open 30M - Scoring'!B48&lt;&gt;"",IF('Open 30M - Scoring'!AF48&lt;&gt;"",'Open 30M - Scoring'!AF48,""),"")</f>
        <v/>
      </c>
      <c r="E371" s="80" t="str">
        <f>IF('Open 30M - Scoring'!B48&lt;&gt;"",'Open 30M - Scoring'!AT48,"")</f>
        <v/>
      </c>
      <c r="F371" s="81" t="str">
        <f>IF(E367&lt;&gt;"",IFERROR(IF(ISNUMBER(E367),E367,0),0)+IFERROR(IF(ISNUMBER(E368),E368,0),0)+IFERROR(IF(ISNUMBER(E369),E369,0),0)+IFERROR(IF(ISNUMBER(E370),E370,0),0)+IFERROR(IF(ISNUMBER(E371),E371,0),0),"")</f>
        <v/>
      </c>
      <c r="H371" s="78" t="s">
        <v>228</v>
      </c>
      <c r="I371" s="79" t="str">
        <f>IF('Open 30M - Scoring'!B49&lt;&gt;"",IF('Open 30M - Scoring'!AD49&lt;&gt;"",'Open 30M - Scoring'!AD49,""),"")</f>
        <v/>
      </c>
      <c r="J371" s="79" t="str">
        <f>IF('Open 30M - Scoring'!B49&lt;&gt;"",IF('Open 30M - Scoring'!AE49&lt;&gt;"",'Open 30M - Scoring'!AE49,""),"")</f>
        <v/>
      </c>
      <c r="K371" s="79" t="str">
        <f>IF('Open 30M - Scoring'!B49&lt;&gt;"",IF('Open 30M - Scoring'!AF49&lt;&gt;"",'Open 30M - Scoring'!AF49,""),"")</f>
        <v/>
      </c>
      <c r="L371" s="80" t="str">
        <f>IF('Open 30M - Scoring'!B49&lt;&gt;"",'Open 30M - Scoring'!AT49,"")</f>
        <v/>
      </c>
      <c r="M371" s="81" t="str">
        <f>IF(L367&lt;&gt;"",IFERROR(IF(ISNUMBER(L367),L367,0),0)+IFERROR(IF(ISNUMBER(L368),L368,0),0)+IFERROR(IF(ISNUMBER(L369),L369,0),0)+IFERROR(IF(ISNUMBER(L370),L370,0),0)+IFERROR(IF(ISNUMBER(L371),L371,0),0),"")</f>
        <v/>
      </c>
    </row>
    <row r="372" spans="1:13" ht="19.5" customHeight="1" x14ac:dyDescent="0.35">
      <c r="A372" s="78" t="s">
        <v>229</v>
      </c>
      <c r="B372" s="79" t="str">
        <f>IF('Open 30M - Scoring'!B48&lt;&gt;"",IF('Open 30M - Scoring'!AJ48&lt;&gt;"",'Open 30M - Scoring'!AJ48,""),"")</f>
        <v/>
      </c>
      <c r="C372" s="79" t="str">
        <f>IF('Open 30M - Scoring'!B48&lt;&gt;"",IF('Open 30M - Scoring'!AK48&lt;&gt;"",'Open 30M - Scoring'!AK48,""),"")</f>
        <v/>
      </c>
      <c r="D372" s="79" t="str">
        <f>IF('Open 30M - Scoring'!B48&lt;&gt;"",IF('Open 30M - Scoring'!AL48&lt;&gt;"",'Open 30M - Scoring'!AL48,""),"")</f>
        <v/>
      </c>
      <c r="E372" s="80" t="str">
        <f>IF('Open 30M - Scoring'!B48&lt;&gt;"",'Open 30M - Scoring'!AU48,"")</f>
        <v/>
      </c>
      <c r="F372" s="81" t="str">
        <f>IF(E367&lt;&gt;"",IFERROR(IF(ISNUMBER(E367),E367,0),0)+IFERROR(IF(ISNUMBER(E368),E368,0),0)+IFERROR(IF(ISNUMBER(E369),E369,0),0)+IFERROR(IF(ISNUMBER(E370),E370,0),0)+IFERROR(IF(ISNUMBER(E371),E371,0),0)+IFERROR(IF(ISNUMBER(E372),E372,0),0),"")</f>
        <v/>
      </c>
      <c r="H372" s="78" t="s">
        <v>229</v>
      </c>
      <c r="I372" s="79" t="str">
        <f>IF('Open 30M - Scoring'!B49&lt;&gt;"",IF('Open 30M - Scoring'!AJ49&lt;&gt;"",'Open 30M - Scoring'!AJ49,""),"")</f>
        <v/>
      </c>
      <c r="J372" s="79" t="str">
        <f>IF('Open 30M - Scoring'!B49&lt;&gt;"",IF('Open 30M - Scoring'!AK49&lt;&gt;"",'Open 30M - Scoring'!AK49,""),"")</f>
        <v/>
      </c>
      <c r="K372" s="79" t="str">
        <f>IF('Open 30M - Scoring'!B49&lt;&gt;"",IF('Open 30M - Scoring'!AL49&lt;&gt;"",'Open 30M - Scoring'!AL49,""),"")</f>
        <v/>
      </c>
      <c r="L372" s="80" t="str">
        <f>IF('Open 30M - Scoring'!B49&lt;&gt;"",'Open 30M - Scoring'!AU49,"")</f>
        <v/>
      </c>
      <c r="M372" s="81" t="str">
        <f>IF(L367&lt;&gt;"",IFERROR(IF(ISNUMBER(L367),L367,0),0)+IFERROR(IF(ISNUMBER(L368),L368,0),0)+IFERROR(IF(ISNUMBER(L369),L369,0),0)+IFERROR(IF(ISNUMBER(L370),L370,0),0)+IFERROR(IF(ISNUMBER(L371),L371,0),0)+IFERROR(IF(ISNUMBER(L372),L372,0),0),"")</f>
        <v/>
      </c>
    </row>
    <row r="373" spans="1:13" ht="3.75" customHeight="1" x14ac:dyDescent="0.35"/>
    <row r="374" spans="1:13" ht="24" customHeight="1" x14ac:dyDescent="0.35">
      <c r="A374" s="124" t="s">
        <v>230</v>
      </c>
      <c r="B374" s="124"/>
      <c r="C374" s="124"/>
      <c r="D374" s="124"/>
      <c r="E374" s="125" t="str">
        <f>IF('Open 30M - Scoring'!B48&lt;&gt;"",'Open 30M - Scoring'!AV48,"")</f>
        <v/>
      </c>
      <c r="F374" s="125"/>
      <c r="H374" s="124" t="s">
        <v>230</v>
      </c>
      <c r="I374" s="124"/>
      <c r="J374" s="124"/>
      <c r="K374" s="124"/>
      <c r="L374" s="125" t="str">
        <f>IF('Open 30M - Scoring'!B49&lt;&gt;"",'Open 30M - Scoring'!AV49,"")</f>
        <v/>
      </c>
      <c r="M374" s="125"/>
    </row>
    <row r="375" spans="1:13" ht="19.5" customHeight="1" x14ac:dyDescent="0.35">
      <c r="E375" s="125"/>
      <c r="F375" s="125"/>
      <c r="L375" s="125"/>
      <c r="M375" s="125"/>
    </row>
    <row r="376" spans="1:13" ht="3.75" customHeight="1" x14ac:dyDescent="0.35"/>
    <row r="377" spans="1:13" ht="18" customHeight="1" x14ac:dyDescent="0.35">
      <c r="A377" s="73" t="s">
        <v>126</v>
      </c>
      <c r="B377" s="82" t="str">
        <f>IF('Open 30M - Scoring'!B48&lt;&gt;"",'Open 30M - Scoring'!AW48,"")</f>
        <v/>
      </c>
      <c r="C377" s="73" t="s">
        <v>127</v>
      </c>
      <c r="D377" s="83" t="str">
        <f>IF('Open 30M - Scoring'!B48&lt;&gt;"",'Open 30M - Scoring'!AX48,"")</f>
        <v/>
      </c>
      <c r="E377" s="73" t="s">
        <v>128</v>
      </c>
      <c r="F377" s="83" t="str">
        <f>IF('Open 30M - Scoring'!B48&lt;&gt;"",'Open 30M - Scoring'!AY48,"")</f>
        <v/>
      </c>
      <c r="H377" s="73" t="s">
        <v>126</v>
      </c>
      <c r="I377" s="82" t="str">
        <f>IF('Open 30M - Scoring'!B49&lt;&gt;"",'Open 30M - Scoring'!AW49,"")</f>
        <v/>
      </c>
      <c r="J377" s="73" t="s">
        <v>127</v>
      </c>
      <c r="K377" s="83" t="str">
        <f>IF('Open 30M - Scoring'!B49&lt;&gt;"",'Open 30M - Scoring'!AX49,"")</f>
        <v/>
      </c>
      <c r="L377" s="73" t="s">
        <v>128</v>
      </c>
      <c r="M377" s="83" t="str">
        <f>IF('Open 30M - Scoring'!B49&lt;&gt;"",'Open 30M - Scoring'!AY49,"")</f>
        <v/>
      </c>
    </row>
    <row r="378" spans="1:13" ht="3.75" customHeight="1" x14ac:dyDescent="0.35"/>
    <row r="379" spans="1:13" ht="7.5" customHeight="1" x14ac:dyDescent="0.35">
      <c r="A379" s="126"/>
      <c r="B379" s="126"/>
      <c r="C379" s="126"/>
      <c r="D379" s="126"/>
      <c r="E379" s="126"/>
      <c r="F379" s="126"/>
      <c r="G379" s="126"/>
      <c r="H379" s="126"/>
      <c r="I379" s="126"/>
      <c r="J379" s="126"/>
      <c r="K379" s="126"/>
      <c r="L379" s="126"/>
      <c r="M379" s="126"/>
    </row>
    <row r="380" spans="1:13" ht="15.75" customHeight="1" x14ac:dyDescent="0.35">
      <c r="A380" s="73" t="s">
        <v>218</v>
      </c>
      <c r="B380" s="122" t="str">
        <f>IF('Open 30M - Scoring'!B50&lt;&gt;"",'Open 30M - Scoring'!B50,"")</f>
        <v/>
      </c>
      <c r="C380" s="122"/>
      <c r="D380" s="122"/>
      <c r="E380" s="73" t="s">
        <v>219</v>
      </c>
      <c r="F380" s="74" t="str">
        <f>IF('Open 30M - Scoring'!B50&lt;&gt;"",'Open 30M - Scoring'!BB50,"")</f>
        <v/>
      </c>
      <c r="H380" s="73" t="s">
        <v>218</v>
      </c>
      <c r="I380" s="122" t="str">
        <f>IF('Open 30M - Scoring'!B51&lt;&gt;"",'Open 30M - Scoring'!B51,"")</f>
        <v/>
      </c>
      <c r="J380" s="122"/>
      <c r="K380" s="122"/>
      <c r="L380" s="73" t="s">
        <v>219</v>
      </c>
      <c r="M380" s="74" t="str">
        <f>IF('Open 30M - Scoring'!B51&lt;&gt;"",'Open 30M - Scoring'!BB51,"")</f>
        <v/>
      </c>
    </row>
    <row r="381" spans="1:13" ht="15.75" customHeight="1" x14ac:dyDescent="0.35">
      <c r="A381" s="73" t="s">
        <v>220</v>
      </c>
      <c r="B381" s="123" t="str">
        <f>IF('Open 30M - Scoring'!B50&lt;&gt;"",'Open 30M - Scoring'!D50,"")</f>
        <v/>
      </c>
      <c r="C381" s="123"/>
      <c r="D381" s="123"/>
      <c r="E381" s="73" t="s">
        <v>8</v>
      </c>
      <c r="F381" s="75" t="str">
        <f>IF('Open 30M - Scoring'!B50&lt;&gt;"",'Open 30M - Scoring'!E50,"")</f>
        <v/>
      </c>
      <c r="H381" s="73" t="s">
        <v>220</v>
      </c>
      <c r="I381" s="123" t="str">
        <f>IF('Open 30M - Scoring'!B51&lt;&gt;"",'Open 30M - Scoring'!D51,"")</f>
        <v/>
      </c>
      <c r="J381" s="123"/>
      <c r="K381" s="123"/>
      <c r="L381" s="73" t="s">
        <v>8</v>
      </c>
      <c r="M381" s="75" t="str">
        <f>IF('Open 30M - Scoring'!B51&lt;&gt;"",'Open 30M - Scoring'!E51,"")</f>
        <v/>
      </c>
    </row>
    <row r="382" spans="1:13" ht="3.75" customHeight="1" x14ac:dyDescent="0.35"/>
    <row r="383" spans="1:13" ht="25.5" customHeight="1" x14ac:dyDescent="0.35">
      <c r="A383" s="76" t="s">
        <v>221</v>
      </c>
      <c r="B383" s="77" t="s">
        <v>222</v>
      </c>
      <c r="C383" s="77" t="s">
        <v>223</v>
      </c>
      <c r="D383" s="77" t="s">
        <v>224</v>
      </c>
      <c r="E383" s="76" t="s">
        <v>225</v>
      </c>
      <c r="F383" s="76" t="s">
        <v>226</v>
      </c>
      <c r="H383" s="76" t="s">
        <v>221</v>
      </c>
      <c r="I383" s="77" t="s">
        <v>222</v>
      </c>
      <c r="J383" s="77" t="s">
        <v>223</v>
      </c>
      <c r="K383" s="77" t="s">
        <v>224</v>
      </c>
      <c r="L383" s="76" t="s">
        <v>225</v>
      </c>
      <c r="M383" s="76" t="s">
        <v>226</v>
      </c>
    </row>
    <row r="384" spans="1:13" ht="19.5" customHeight="1" x14ac:dyDescent="0.35">
      <c r="A384" s="78" t="s">
        <v>222</v>
      </c>
      <c r="B384" s="79" t="str">
        <f>IF('Open 30M - Scoring'!B50&lt;&gt;"",IF('Open 30M - Scoring'!F50&lt;&gt;"",'Open 30M - Scoring'!F50,""),"")</f>
        <v/>
      </c>
      <c r="C384" s="79" t="str">
        <f>IF('Open 30M - Scoring'!B50&lt;&gt;"",IF('Open 30M - Scoring'!G50&lt;&gt;"",'Open 30M - Scoring'!G50,""),"")</f>
        <v/>
      </c>
      <c r="D384" s="79" t="str">
        <f>IF('Open 30M - Scoring'!B50&lt;&gt;"",IF('Open 30M - Scoring'!H50&lt;&gt;"",'Open 30M - Scoring'!H50,""),"")</f>
        <v/>
      </c>
      <c r="E384" s="80" t="str">
        <f>IF('Open 30M - Scoring'!B50&lt;&gt;"",'Open 30M - Scoring'!AP50,"")</f>
        <v/>
      </c>
      <c r="F384" s="81" t="str">
        <f>IFERROR(IF(ISNUMBER(E384),E384,""),"")</f>
        <v/>
      </c>
      <c r="H384" s="78" t="s">
        <v>222</v>
      </c>
      <c r="I384" s="79" t="str">
        <f>IF('Open 30M - Scoring'!B51&lt;&gt;"",IF('Open 30M - Scoring'!F51&lt;&gt;"",'Open 30M - Scoring'!F51,""),"")</f>
        <v/>
      </c>
      <c r="J384" s="79" t="str">
        <f>IF('Open 30M - Scoring'!B51&lt;&gt;"",IF('Open 30M - Scoring'!G51&lt;&gt;"",'Open 30M - Scoring'!G51,""),"")</f>
        <v/>
      </c>
      <c r="K384" s="79" t="str">
        <f>IF('Open 30M - Scoring'!B51&lt;&gt;"",IF('Open 30M - Scoring'!H51&lt;&gt;"",'Open 30M - Scoring'!H51,""),"")</f>
        <v/>
      </c>
      <c r="L384" s="80" t="str">
        <f>IF('Open 30M - Scoring'!B51&lt;&gt;"",'Open 30M - Scoring'!AP51,"")</f>
        <v/>
      </c>
      <c r="M384" s="81" t="str">
        <f>IFERROR(IF(ISNUMBER(L384),L384,""),"")</f>
        <v/>
      </c>
    </row>
    <row r="385" spans="1:13" ht="19.5" customHeight="1" x14ac:dyDescent="0.35">
      <c r="A385" s="78" t="s">
        <v>223</v>
      </c>
      <c r="B385" s="79" t="str">
        <f>IF('Open 30M - Scoring'!B50&lt;&gt;"",IF('Open 30M - Scoring'!L50&lt;&gt;"",'Open 30M - Scoring'!L50,""),"")</f>
        <v/>
      </c>
      <c r="C385" s="79" t="str">
        <f>IF('Open 30M - Scoring'!B50&lt;&gt;"",IF('Open 30M - Scoring'!M50&lt;&gt;"",'Open 30M - Scoring'!M50,""),"")</f>
        <v/>
      </c>
      <c r="D385" s="79" t="str">
        <f>IF('Open 30M - Scoring'!B50&lt;&gt;"",IF('Open 30M - Scoring'!N50&lt;&gt;"",'Open 30M - Scoring'!N50,""),"")</f>
        <v/>
      </c>
      <c r="E385" s="80" t="str">
        <f>IF('Open 30M - Scoring'!B50&lt;&gt;"",'Open 30M - Scoring'!AQ50,"")</f>
        <v/>
      </c>
      <c r="F385" s="81" t="str">
        <f>IF(E384&lt;&gt;"",IFERROR(IF(ISNUMBER(E384),E384,0),0)+IFERROR(IF(ISNUMBER(E385),E385,0),0),"")</f>
        <v/>
      </c>
      <c r="H385" s="78" t="s">
        <v>223</v>
      </c>
      <c r="I385" s="79" t="str">
        <f>IF('Open 30M - Scoring'!B51&lt;&gt;"",IF('Open 30M - Scoring'!L51&lt;&gt;"",'Open 30M - Scoring'!L51,""),"")</f>
        <v/>
      </c>
      <c r="J385" s="79" t="str">
        <f>IF('Open 30M - Scoring'!B51&lt;&gt;"",IF('Open 30M - Scoring'!M51&lt;&gt;"",'Open 30M - Scoring'!M51,""),"")</f>
        <v/>
      </c>
      <c r="K385" s="79" t="str">
        <f>IF('Open 30M - Scoring'!B51&lt;&gt;"",IF('Open 30M - Scoring'!N51&lt;&gt;"",'Open 30M - Scoring'!N51,""),"")</f>
        <v/>
      </c>
      <c r="L385" s="80" t="str">
        <f>IF('Open 30M - Scoring'!B51&lt;&gt;"",'Open 30M - Scoring'!AQ51,"")</f>
        <v/>
      </c>
      <c r="M385" s="81" t="str">
        <f>IF(L384&lt;&gt;"",IFERROR(IF(ISNUMBER(L384),L384,0),0)+IFERROR(IF(ISNUMBER(L385),L385,0),0),"")</f>
        <v/>
      </c>
    </row>
    <row r="386" spans="1:13" ht="19.5" customHeight="1" x14ac:dyDescent="0.35">
      <c r="A386" s="78" t="s">
        <v>224</v>
      </c>
      <c r="B386" s="79" t="str">
        <f>IF('Open 30M - Scoring'!B50&lt;&gt;"",IF('Open 30M - Scoring'!R50&lt;&gt;"",'Open 30M - Scoring'!R50,""),"")</f>
        <v/>
      </c>
      <c r="C386" s="79" t="str">
        <f>IF('Open 30M - Scoring'!B50&lt;&gt;"",IF('Open 30M - Scoring'!S50&lt;&gt;"",'Open 30M - Scoring'!S50,""),"")</f>
        <v/>
      </c>
      <c r="D386" s="79" t="str">
        <f>IF('Open 30M - Scoring'!B50&lt;&gt;"",IF('Open 30M - Scoring'!T50&lt;&gt;"",'Open 30M - Scoring'!T50,""),"")</f>
        <v/>
      </c>
      <c r="E386" s="80" t="str">
        <f>IF('Open 30M - Scoring'!B50&lt;&gt;"",'Open 30M - Scoring'!AR50,"")</f>
        <v/>
      </c>
      <c r="F386" s="81" t="str">
        <f>IF(E384&lt;&gt;"",IFERROR(IF(ISNUMBER(E384),E384,0),0)+IFERROR(IF(ISNUMBER(E385),E385,0),0)+IFERROR(IF(ISNUMBER(E386),E386,0),0),"")</f>
        <v/>
      </c>
      <c r="H386" s="78" t="s">
        <v>224</v>
      </c>
      <c r="I386" s="79" t="str">
        <f>IF('Open 30M - Scoring'!B51&lt;&gt;"",IF('Open 30M - Scoring'!R51&lt;&gt;"",'Open 30M - Scoring'!R51,""),"")</f>
        <v/>
      </c>
      <c r="J386" s="79" t="str">
        <f>IF('Open 30M - Scoring'!B51&lt;&gt;"",IF('Open 30M - Scoring'!S51&lt;&gt;"",'Open 30M - Scoring'!S51,""),"")</f>
        <v/>
      </c>
      <c r="K386" s="79" t="str">
        <f>IF('Open 30M - Scoring'!B51&lt;&gt;"",IF('Open 30M - Scoring'!T51&lt;&gt;"",'Open 30M - Scoring'!T51,""),"")</f>
        <v/>
      </c>
      <c r="L386" s="80" t="str">
        <f>IF('Open 30M - Scoring'!B51&lt;&gt;"",'Open 30M - Scoring'!AR51,"")</f>
        <v/>
      </c>
      <c r="M386" s="81" t="str">
        <f>IF(L384&lt;&gt;"",IFERROR(IF(ISNUMBER(L384),L384,0),0)+IFERROR(IF(ISNUMBER(L385),L385,0),0)+IFERROR(IF(ISNUMBER(L386),L386,0),0),"")</f>
        <v/>
      </c>
    </row>
    <row r="387" spans="1:13" ht="19.5" customHeight="1" x14ac:dyDescent="0.35">
      <c r="A387" s="78" t="s">
        <v>227</v>
      </c>
      <c r="B387" s="79" t="str">
        <f>IF('Open 30M - Scoring'!B50&lt;&gt;"",IF('Open 30M - Scoring'!X50&lt;&gt;"",'Open 30M - Scoring'!X50,""),"")</f>
        <v/>
      </c>
      <c r="C387" s="79" t="str">
        <f>IF('Open 30M - Scoring'!B50&lt;&gt;"",IF('Open 30M - Scoring'!Y50&lt;&gt;"",'Open 30M - Scoring'!Y50,""),"")</f>
        <v/>
      </c>
      <c r="D387" s="79" t="str">
        <f>IF('Open 30M - Scoring'!B50&lt;&gt;"",IF('Open 30M - Scoring'!Z50&lt;&gt;"",'Open 30M - Scoring'!Z50,""),"")</f>
        <v/>
      </c>
      <c r="E387" s="80" t="str">
        <f>IF('Open 30M - Scoring'!B50&lt;&gt;"",'Open 30M - Scoring'!AS50,"")</f>
        <v/>
      </c>
      <c r="F387" s="81" t="str">
        <f>IF(E384&lt;&gt;"",IFERROR(IF(ISNUMBER(E384),E384,0),0)+IFERROR(IF(ISNUMBER(E385),E385,0),0)+IFERROR(IF(ISNUMBER(E386),E386,0),0)+IFERROR(IF(ISNUMBER(E387),E387,0),0),"")</f>
        <v/>
      </c>
      <c r="H387" s="78" t="s">
        <v>227</v>
      </c>
      <c r="I387" s="79" t="str">
        <f>IF('Open 30M - Scoring'!B51&lt;&gt;"",IF('Open 30M - Scoring'!X51&lt;&gt;"",'Open 30M - Scoring'!X51,""),"")</f>
        <v/>
      </c>
      <c r="J387" s="79" t="str">
        <f>IF('Open 30M - Scoring'!B51&lt;&gt;"",IF('Open 30M - Scoring'!Y51&lt;&gt;"",'Open 30M - Scoring'!Y51,""),"")</f>
        <v/>
      </c>
      <c r="K387" s="79" t="str">
        <f>IF('Open 30M - Scoring'!B51&lt;&gt;"",IF('Open 30M - Scoring'!Z51&lt;&gt;"",'Open 30M - Scoring'!Z51,""),"")</f>
        <v/>
      </c>
      <c r="L387" s="80" t="str">
        <f>IF('Open 30M - Scoring'!B51&lt;&gt;"",'Open 30M - Scoring'!AS51,"")</f>
        <v/>
      </c>
      <c r="M387" s="81" t="str">
        <f>IF(L384&lt;&gt;"",IFERROR(IF(ISNUMBER(L384),L384,0),0)+IFERROR(IF(ISNUMBER(L385),L385,0),0)+IFERROR(IF(ISNUMBER(L386),L386,0),0)+IFERROR(IF(ISNUMBER(L387),L387,0),0),"")</f>
        <v/>
      </c>
    </row>
    <row r="388" spans="1:13" ht="19.5" customHeight="1" x14ac:dyDescent="0.35">
      <c r="A388" s="78" t="s">
        <v>228</v>
      </c>
      <c r="B388" s="79" t="str">
        <f>IF('Open 30M - Scoring'!B50&lt;&gt;"",IF('Open 30M - Scoring'!AD50&lt;&gt;"",'Open 30M - Scoring'!AD50,""),"")</f>
        <v/>
      </c>
      <c r="C388" s="79" t="str">
        <f>IF('Open 30M - Scoring'!B50&lt;&gt;"",IF('Open 30M - Scoring'!AE50&lt;&gt;"",'Open 30M - Scoring'!AE50,""),"")</f>
        <v/>
      </c>
      <c r="D388" s="79" t="str">
        <f>IF('Open 30M - Scoring'!B50&lt;&gt;"",IF('Open 30M - Scoring'!AF50&lt;&gt;"",'Open 30M - Scoring'!AF50,""),"")</f>
        <v/>
      </c>
      <c r="E388" s="80" t="str">
        <f>IF('Open 30M - Scoring'!B50&lt;&gt;"",'Open 30M - Scoring'!AT50,"")</f>
        <v/>
      </c>
      <c r="F388" s="81" t="str">
        <f>IF(E384&lt;&gt;"",IFERROR(IF(ISNUMBER(E384),E384,0),0)+IFERROR(IF(ISNUMBER(E385),E385,0),0)+IFERROR(IF(ISNUMBER(E386),E386,0),0)+IFERROR(IF(ISNUMBER(E387),E387,0),0)+IFERROR(IF(ISNUMBER(E388),E388,0),0),"")</f>
        <v/>
      </c>
      <c r="H388" s="78" t="s">
        <v>228</v>
      </c>
      <c r="I388" s="79" t="str">
        <f>IF('Open 30M - Scoring'!B51&lt;&gt;"",IF('Open 30M - Scoring'!AD51&lt;&gt;"",'Open 30M - Scoring'!AD51,""),"")</f>
        <v/>
      </c>
      <c r="J388" s="79" t="str">
        <f>IF('Open 30M - Scoring'!B51&lt;&gt;"",IF('Open 30M - Scoring'!AE51&lt;&gt;"",'Open 30M - Scoring'!AE51,""),"")</f>
        <v/>
      </c>
      <c r="K388" s="79" t="str">
        <f>IF('Open 30M - Scoring'!B51&lt;&gt;"",IF('Open 30M - Scoring'!AF51&lt;&gt;"",'Open 30M - Scoring'!AF51,""),"")</f>
        <v/>
      </c>
      <c r="L388" s="80" t="str">
        <f>IF('Open 30M - Scoring'!B51&lt;&gt;"",'Open 30M - Scoring'!AT51,"")</f>
        <v/>
      </c>
      <c r="M388" s="81" t="str">
        <f>IF(L384&lt;&gt;"",IFERROR(IF(ISNUMBER(L384),L384,0),0)+IFERROR(IF(ISNUMBER(L385),L385,0),0)+IFERROR(IF(ISNUMBER(L386),L386,0),0)+IFERROR(IF(ISNUMBER(L387),L387,0),0)+IFERROR(IF(ISNUMBER(L388),L388,0),0),"")</f>
        <v/>
      </c>
    </row>
    <row r="389" spans="1:13" ht="19.5" customHeight="1" x14ac:dyDescent="0.35">
      <c r="A389" s="78" t="s">
        <v>229</v>
      </c>
      <c r="B389" s="79" t="str">
        <f>IF('Open 30M - Scoring'!B50&lt;&gt;"",IF('Open 30M - Scoring'!AJ50&lt;&gt;"",'Open 30M - Scoring'!AJ50,""),"")</f>
        <v/>
      </c>
      <c r="C389" s="79" t="str">
        <f>IF('Open 30M - Scoring'!B50&lt;&gt;"",IF('Open 30M - Scoring'!AK50&lt;&gt;"",'Open 30M - Scoring'!AK50,""),"")</f>
        <v/>
      </c>
      <c r="D389" s="79" t="str">
        <f>IF('Open 30M - Scoring'!B50&lt;&gt;"",IF('Open 30M - Scoring'!AL50&lt;&gt;"",'Open 30M - Scoring'!AL50,""),"")</f>
        <v/>
      </c>
      <c r="E389" s="80" t="str">
        <f>IF('Open 30M - Scoring'!B50&lt;&gt;"",'Open 30M - Scoring'!AU50,"")</f>
        <v/>
      </c>
      <c r="F389" s="81" t="str">
        <f>IF(E384&lt;&gt;"",IFERROR(IF(ISNUMBER(E384),E384,0),0)+IFERROR(IF(ISNUMBER(E385),E385,0),0)+IFERROR(IF(ISNUMBER(E386),E386,0),0)+IFERROR(IF(ISNUMBER(E387),E387,0),0)+IFERROR(IF(ISNUMBER(E388),E388,0),0)+IFERROR(IF(ISNUMBER(E389),E389,0),0),"")</f>
        <v/>
      </c>
      <c r="H389" s="78" t="s">
        <v>229</v>
      </c>
      <c r="I389" s="79" t="str">
        <f>IF('Open 30M - Scoring'!B51&lt;&gt;"",IF('Open 30M - Scoring'!AJ51&lt;&gt;"",'Open 30M - Scoring'!AJ51,""),"")</f>
        <v/>
      </c>
      <c r="J389" s="79" t="str">
        <f>IF('Open 30M - Scoring'!B51&lt;&gt;"",IF('Open 30M - Scoring'!AK51&lt;&gt;"",'Open 30M - Scoring'!AK51,""),"")</f>
        <v/>
      </c>
      <c r="K389" s="79" t="str">
        <f>IF('Open 30M - Scoring'!B51&lt;&gt;"",IF('Open 30M - Scoring'!AL51&lt;&gt;"",'Open 30M - Scoring'!AL51,""),"")</f>
        <v/>
      </c>
      <c r="L389" s="80" t="str">
        <f>IF('Open 30M - Scoring'!B51&lt;&gt;"",'Open 30M - Scoring'!AU51,"")</f>
        <v/>
      </c>
      <c r="M389" s="81" t="str">
        <f>IF(L384&lt;&gt;"",IFERROR(IF(ISNUMBER(L384),L384,0),0)+IFERROR(IF(ISNUMBER(L385),L385,0),0)+IFERROR(IF(ISNUMBER(L386),L386,0),0)+IFERROR(IF(ISNUMBER(L387),L387,0),0)+IFERROR(IF(ISNUMBER(L388),L388,0),0)+IFERROR(IF(ISNUMBER(L389),L389,0),0),"")</f>
        <v/>
      </c>
    </row>
    <row r="390" spans="1:13" ht="3.75" customHeight="1" x14ac:dyDescent="0.35"/>
    <row r="391" spans="1:13" ht="24" customHeight="1" x14ac:dyDescent="0.35">
      <c r="A391" s="124" t="s">
        <v>230</v>
      </c>
      <c r="B391" s="124"/>
      <c r="C391" s="124"/>
      <c r="D391" s="124"/>
      <c r="E391" s="125" t="str">
        <f>IF('Open 30M - Scoring'!B50&lt;&gt;"",'Open 30M - Scoring'!AV50,"")</f>
        <v/>
      </c>
      <c r="F391" s="125"/>
      <c r="H391" s="124" t="s">
        <v>230</v>
      </c>
      <c r="I391" s="124"/>
      <c r="J391" s="124"/>
      <c r="K391" s="124"/>
      <c r="L391" s="125" t="str">
        <f>IF('Open 30M - Scoring'!B51&lt;&gt;"",'Open 30M - Scoring'!AV51,"")</f>
        <v/>
      </c>
      <c r="M391" s="125"/>
    </row>
    <row r="392" spans="1:13" ht="19.5" customHeight="1" x14ac:dyDescent="0.35">
      <c r="E392" s="125"/>
      <c r="F392" s="125"/>
      <c r="L392" s="125"/>
      <c r="M392" s="125"/>
    </row>
    <row r="393" spans="1:13" ht="3.75" customHeight="1" x14ac:dyDescent="0.35"/>
    <row r="394" spans="1:13" ht="18" customHeight="1" x14ac:dyDescent="0.35">
      <c r="A394" s="73" t="s">
        <v>126</v>
      </c>
      <c r="B394" s="82" t="str">
        <f>IF('Open 30M - Scoring'!B50&lt;&gt;"",'Open 30M - Scoring'!AW50,"")</f>
        <v/>
      </c>
      <c r="C394" s="73" t="s">
        <v>127</v>
      </c>
      <c r="D394" s="83" t="str">
        <f>IF('Open 30M - Scoring'!B50&lt;&gt;"",'Open 30M - Scoring'!AX50,"")</f>
        <v/>
      </c>
      <c r="E394" s="73" t="s">
        <v>128</v>
      </c>
      <c r="F394" s="83" t="str">
        <f>IF('Open 30M - Scoring'!B50&lt;&gt;"",'Open 30M - Scoring'!AY50,"")</f>
        <v/>
      </c>
      <c r="H394" s="73" t="s">
        <v>126</v>
      </c>
      <c r="I394" s="82" t="str">
        <f>IF('Open 30M - Scoring'!B51&lt;&gt;"",'Open 30M - Scoring'!AW51,"")</f>
        <v/>
      </c>
      <c r="J394" s="73" t="s">
        <v>127</v>
      </c>
      <c r="K394" s="83" t="str">
        <f>IF('Open 30M - Scoring'!B51&lt;&gt;"",'Open 30M - Scoring'!AX51,"")</f>
        <v/>
      </c>
      <c r="L394" s="73" t="s">
        <v>128</v>
      </c>
      <c r="M394" s="83" t="str">
        <f>IF('Open 30M - Scoring'!B51&lt;&gt;"",'Open 30M - Scoring'!AY51,"")</f>
        <v/>
      </c>
    </row>
    <row r="395" spans="1:13" ht="3.75" customHeight="1" x14ac:dyDescent="0.35"/>
    <row r="396" spans="1:13" ht="7.5" customHeight="1" x14ac:dyDescent="0.35">
      <c r="A396" s="126"/>
      <c r="B396" s="126"/>
      <c r="C396" s="126"/>
      <c r="D396" s="126"/>
      <c r="E396" s="126"/>
      <c r="F396" s="126"/>
      <c r="G396" s="126"/>
      <c r="H396" s="126"/>
      <c r="I396" s="126"/>
      <c r="J396" s="126"/>
      <c r="K396" s="126"/>
      <c r="L396" s="126"/>
      <c r="M396" s="126"/>
    </row>
    <row r="397" spans="1:13" ht="15.75" customHeight="1" x14ac:dyDescent="0.35">
      <c r="A397" s="73" t="s">
        <v>218</v>
      </c>
      <c r="B397" s="122" t="str">
        <f>IF('Open 30M - Scoring'!B52&lt;&gt;"",'Open 30M - Scoring'!B52,"")</f>
        <v/>
      </c>
      <c r="C397" s="122"/>
      <c r="D397" s="122"/>
      <c r="E397" s="73" t="s">
        <v>219</v>
      </c>
      <c r="F397" s="74" t="str">
        <f>IF('Open 30M - Scoring'!B52&lt;&gt;"",'Open 30M - Scoring'!BB52,"")</f>
        <v/>
      </c>
      <c r="H397" s="73" t="s">
        <v>218</v>
      </c>
      <c r="I397" s="122" t="str">
        <f>IF('Open 30M - Scoring'!B53&lt;&gt;"",'Open 30M - Scoring'!B53,"")</f>
        <v/>
      </c>
      <c r="J397" s="122"/>
      <c r="K397" s="122"/>
      <c r="L397" s="73" t="s">
        <v>219</v>
      </c>
      <c r="M397" s="74" t="str">
        <f>IF('Open 30M - Scoring'!B53&lt;&gt;"",'Open 30M - Scoring'!BB53,"")</f>
        <v/>
      </c>
    </row>
    <row r="398" spans="1:13" ht="15.75" customHeight="1" x14ac:dyDescent="0.35">
      <c r="A398" s="73" t="s">
        <v>220</v>
      </c>
      <c r="B398" s="123" t="str">
        <f>IF('Open 30M - Scoring'!B52&lt;&gt;"",'Open 30M - Scoring'!D52,"")</f>
        <v/>
      </c>
      <c r="C398" s="123"/>
      <c r="D398" s="123"/>
      <c r="E398" s="73" t="s">
        <v>8</v>
      </c>
      <c r="F398" s="75" t="str">
        <f>IF('Open 30M - Scoring'!B52&lt;&gt;"",'Open 30M - Scoring'!E52,"")</f>
        <v/>
      </c>
      <c r="H398" s="73" t="s">
        <v>220</v>
      </c>
      <c r="I398" s="123" t="str">
        <f>IF('Open 30M - Scoring'!B53&lt;&gt;"",'Open 30M - Scoring'!D53,"")</f>
        <v/>
      </c>
      <c r="J398" s="123"/>
      <c r="K398" s="123"/>
      <c r="L398" s="73" t="s">
        <v>8</v>
      </c>
      <c r="M398" s="75" t="str">
        <f>IF('Open 30M - Scoring'!B53&lt;&gt;"",'Open 30M - Scoring'!E53,"")</f>
        <v/>
      </c>
    </row>
    <row r="399" spans="1:13" ht="3.75" customHeight="1" x14ac:dyDescent="0.35"/>
    <row r="400" spans="1:13" ht="25.5" customHeight="1" x14ac:dyDescent="0.35">
      <c r="A400" s="76" t="s">
        <v>221</v>
      </c>
      <c r="B400" s="77" t="s">
        <v>222</v>
      </c>
      <c r="C400" s="77" t="s">
        <v>223</v>
      </c>
      <c r="D400" s="77" t="s">
        <v>224</v>
      </c>
      <c r="E400" s="76" t="s">
        <v>225</v>
      </c>
      <c r="F400" s="76" t="s">
        <v>226</v>
      </c>
      <c r="H400" s="76" t="s">
        <v>221</v>
      </c>
      <c r="I400" s="77" t="s">
        <v>222</v>
      </c>
      <c r="J400" s="77" t="s">
        <v>223</v>
      </c>
      <c r="K400" s="77" t="s">
        <v>224</v>
      </c>
      <c r="L400" s="76" t="s">
        <v>225</v>
      </c>
      <c r="M400" s="76" t="s">
        <v>226</v>
      </c>
    </row>
    <row r="401" spans="1:13" ht="19.5" customHeight="1" x14ac:dyDescent="0.35">
      <c r="A401" s="78" t="s">
        <v>222</v>
      </c>
      <c r="B401" s="79" t="str">
        <f>IF('Open 30M - Scoring'!B52&lt;&gt;"",IF('Open 30M - Scoring'!F52&lt;&gt;"",'Open 30M - Scoring'!F52,""),"")</f>
        <v/>
      </c>
      <c r="C401" s="79" t="str">
        <f>IF('Open 30M - Scoring'!B52&lt;&gt;"",IF('Open 30M - Scoring'!G52&lt;&gt;"",'Open 30M - Scoring'!G52,""),"")</f>
        <v/>
      </c>
      <c r="D401" s="79" t="str">
        <f>IF('Open 30M - Scoring'!B52&lt;&gt;"",IF('Open 30M - Scoring'!H52&lt;&gt;"",'Open 30M - Scoring'!H52,""),"")</f>
        <v/>
      </c>
      <c r="E401" s="80" t="str">
        <f>IF('Open 30M - Scoring'!B52&lt;&gt;"",'Open 30M - Scoring'!AP52,"")</f>
        <v/>
      </c>
      <c r="F401" s="81" t="str">
        <f>IFERROR(IF(ISNUMBER(E401),E401,""),"")</f>
        <v/>
      </c>
      <c r="H401" s="78" t="s">
        <v>222</v>
      </c>
      <c r="I401" s="79" t="str">
        <f>IF('Open 30M - Scoring'!B53&lt;&gt;"",IF('Open 30M - Scoring'!F53&lt;&gt;"",'Open 30M - Scoring'!F53,""),"")</f>
        <v/>
      </c>
      <c r="J401" s="79" t="str">
        <f>IF('Open 30M - Scoring'!B53&lt;&gt;"",IF('Open 30M - Scoring'!G53&lt;&gt;"",'Open 30M - Scoring'!G53,""),"")</f>
        <v/>
      </c>
      <c r="K401" s="79" t="str">
        <f>IF('Open 30M - Scoring'!B53&lt;&gt;"",IF('Open 30M - Scoring'!H53&lt;&gt;"",'Open 30M - Scoring'!H53,""),"")</f>
        <v/>
      </c>
      <c r="L401" s="80" t="str">
        <f>IF('Open 30M - Scoring'!B53&lt;&gt;"",'Open 30M - Scoring'!AP53,"")</f>
        <v/>
      </c>
      <c r="M401" s="81" t="str">
        <f>IFERROR(IF(ISNUMBER(L401),L401,""),"")</f>
        <v/>
      </c>
    </row>
    <row r="402" spans="1:13" ht="19.5" customHeight="1" x14ac:dyDescent="0.35">
      <c r="A402" s="78" t="s">
        <v>223</v>
      </c>
      <c r="B402" s="79" t="str">
        <f>IF('Open 30M - Scoring'!B52&lt;&gt;"",IF('Open 30M - Scoring'!L52&lt;&gt;"",'Open 30M - Scoring'!L52,""),"")</f>
        <v/>
      </c>
      <c r="C402" s="79" t="str">
        <f>IF('Open 30M - Scoring'!B52&lt;&gt;"",IF('Open 30M - Scoring'!M52&lt;&gt;"",'Open 30M - Scoring'!M52,""),"")</f>
        <v/>
      </c>
      <c r="D402" s="79" t="str">
        <f>IF('Open 30M - Scoring'!B52&lt;&gt;"",IF('Open 30M - Scoring'!N52&lt;&gt;"",'Open 30M - Scoring'!N52,""),"")</f>
        <v/>
      </c>
      <c r="E402" s="80" t="str">
        <f>IF('Open 30M - Scoring'!B52&lt;&gt;"",'Open 30M - Scoring'!AQ52,"")</f>
        <v/>
      </c>
      <c r="F402" s="81" t="str">
        <f>IF(E401&lt;&gt;"",IFERROR(IF(ISNUMBER(E401),E401,0),0)+IFERROR(IF(ISNUMBER(E402),E402,0),0),"")</f>
        <v/>
      </c>
      <c r="H402" s="78" t="s">
        <v>223</v>
      </c>
      <c r="I402" s="79" t="str">
        <f>IF('Open 30M - Scoring'!B53&lt;&gt;"",IF('Open 30M - Scoring'!L53&lt;&gt;"",'Open 30M - Scoring'!L53,""),"")</f>
        <v/>
      </c>
      <c r="J402" s="79" t="str">
        <f>IF('Open 30M - Scoring'!B53&lt;&gt;"",IF('Open 30M - Scoring'!M53&lt;&gt;"",'Open 30M - Scoring'!M53,""),"")</f>
        <v/>
      </c>
      <c r="K402" s="79" t="str">
        <f>IF('Open 30M - Scoring'!B53&lt;&gt;"",IF('Open 30M - Scoring'!N53&lt;&gt;"",'Open 30M - Scoring'!N53,""),"")</f>
        <v/>
      </c>
      <c r="L402" s="80" t="str">
        <f>IF('Open 30M - Scoring'!B53&lt;&gt;"",'Open 30M - Scoring'!AQ53,"")</f>
        <v/>
      </c>
      <c r="M402" s="81" t="str">
        <f>IF(L401&lt;&gt;"",IFERROR(IF(ISNUMBER(L401),L401,0),0)+IFERROR(IF(ISNUMBER(L402),L402,0),0),"")</f>
        <v/>
      </c>
    </row>
    <row r="403" spans="1:13" ht="19.5" customHeight="1" x14ac:dyDescent="0.35">
      <c r="A403" s="78" t="s">
        <v>224</v>
      </c>
      <c r="B403" s="79" t="str">
        <f>IF('Open 30M - Scoring'!B52&lt;&gt;"",IF('Open 30M - Scoring'!R52&lt;&gt;"",'Open 30M - Scoring'!R52,""),"")</f>
        <v/>
      </c>
      <c r="C403" s="79" t="str">
        <f>IF('Open 30M - Scoring'!B52&lt;&gt;"",IF('Open 30M - Scoring'!S52&lt;&gt;"",'Open 30M - Scoring'!S52,""),"")</f>
        <v/>
      </c>
      <c r="D403" s="79" t="str">
        <f>IF('Open 30M - Scoring'!B52&lt;&gt;"",IF('Open 30M - Scoring'!T52&lt;&gt;"",'Open 30M - Scoring'!T52,""),"")</f>
        <v/>
      </c>
      <c r="E403" s="80" t="str">
        <f>IF('Open 30M - Scoring'!B52&lt;&gt;"",'Open 30M - Scoring'!AR52,"")</f>
        <v/>
      </c>
      <c r="F403" s="81" t="str">
        <f>IF(E401&lt;&gt;"",IFERROR(IF(ISNUMBER(E401),E401,0),0)+IFERROR(IF(ISNUMBER(E402),E402,0),0)+IFERROR(IF(ISNUMBER(E403),E403,0),0),"")</f>
        <v/>
      </c>
      <c r="H403" s="78" t="s">
        <v>224</v>
      </c>
      <c r="I403" s="79" t="str">
        <f>IF('Open 30M - Scoring'!B53&lt;&gt;"",IF('Open 30M - Scoring'!R53&lt;&gt;"",'Open 30M - Scoring'!R53,""),"")</f>
        <v/>
      </c>
      <c r="J403" s="79" t="str">
        <f>IF('Open 30M - Scoring'!B53&lt;&gt;"",IF('Open 30M - Scoring'!S53&lt;&gt;"",'Open 30M - Scoring'!S53,""),"")</f>
        <v/>
      </c>
      <c r="K403" s="79" t="str">
        <f>IF('Open 30M - Scoring'!B53&lt;&gt;"",IF('Open 30M - Scoring'!T53&lt;&gt;"",'Open 30M - Scoring'!T53,""),"")</f>
        <v/>
      </c>
      <c r="L403" s="80" t="str">
        <f>IF('Open 30M - Scoring'!B53&lt;&gt;"",'Open 30M - Scoring'!AR53,"")</f>
        <v/>
      </c>
      <c r="M403" s="81" t="str">
        <f>IF(L401&lt;&gt;"",IFERROR(IF(ISNUMBER(L401),L401,0),0)+IFERROR(IF(ISNUMBER(L402),L402,0),0)+IFERROR(IF(ISNUMBER(L403),L403,0),0),"")</f>
        <v/>
      </c>
    </row>
    <row r="404" spans="1:13" ht="19.5" customHeight="1" x14ac:dyDescent="0.35">
      <c r="A404" s="78" t="s">
        <v>227</v>
      </c>
      <c r="B404" s="79" t="str">
        <f>IF('Open 30M - Scoring'!B52&lt;&gt;"",IF('Open 30M - Scoring'!X52&lt;&gt;"",'Open 30M - Scoring'!X52,""),"")</f>
        <v/>
      </c>
      <c r="C404" s="79" t="str">
        <f>IF('Open 30M - Scoring'!B52&lt;&gt;"",IF('Open 30M - Scoring'!Y52&lt;&gt;"",'Open 30M - Scoring'!Y52,""),"")</f>
        <v/>
      </c>
      <c r="D404" s="79" t="str">
        <f>IF('Open 30M - Scoring'!B52&lt;&gt;"",IF('Open 30M - Scoring'!Z52&lt;&gt;"",'Open 30M - Scoring'!Z52,""),"")</f>
        <v/>
      </c>
      <c r="E404" s="80" t="str">
        <f>IF('Open 30M - Scoring'!B52&lt;&gt;"",'Open 30M - Scoring'!AS52,"")</f>
        <v/>
      </c>
      <c r="F404" s="81" t="str">
        <f>IF(E401&lt;&gt;"",IFERROR(IF(ISNUMBER(E401),E401,0),0)+IFERROR(IF(ISNUMBER(E402),E402,0),0)+IFERROR(IF(ISNUMBER(E403),E403,0),0)+IFERROR(IF(ISNUMBER(E404),E404,0),0),"")</f>
        <v/>
      </c>
      <c r="H404" s="78" t="s">
        <v>227</v>
      </c>
      <c r="I404" s="79" t="str">
        <f>IF('Open 30M - Scoring'!B53&lt;&gt;"",IF('Open 30M - Scoring'!X53&lt;&gt;"",'Open 30M - Scoring'!X53,""),"")</f>
        <v/>
      </c>
      <c r="J404" s="79" t="str">
        <f>IF('Open 30M - Scoring'!B53&lt;&gt;"",IF('Open 30M - Scoring'!Y53&lt;&gt;"",'Open 30M - Scoring'!Y53,""),"")</f>
        <v/>
      </c>
      <c r="K404" s="79" t="str">
        <f>IF('Open 30M - Scoring'!B53&lt;&gt;"",IF('Open 30M - Scoring'!Z53&lt;&gt;"",'Open 30M - Scoring'!Z53,""),"")</f>
        <v/>
      </c>
      <c r="L404" s="80" t="str">
        <f>IF('Open 30M - Scoring'!B53&lt;&gt;"",'Open 30M - Scoring'!AS53,"")</f>
        <v/>
      </c>
      <c r="M404" s="81" t="str">
        <f>IF(L401&lt;&gt;"",IFERROR(IF(ISNUMBER(L401),L401,0),0)+IFERROR(IF(ISNUMBER(L402),L402,0),0)+IFERROR(IF(ISNUMBER(L403),L403,0),0)+IFERROR(IF(ISNUMBER(L404),L404,0),0),"")</f>
        <v/>
      </c>
    </row>
    <row r="405" spans="1:13" ht="19.5" customHeight="1" x14ac:dyDescent="0.35">
      <c r="A405" s="78" t="s">
        <v>228</v>
      </c>
      <c r="B405" s="79" t="str">
        <f>IF('Open 30M - Scoring'!B52&lt;&gt;"",IF('Open 30M - Scoring'!AD52&lt;&gt;"",'Open 30M - Scoring'!AD52,""),"")</f>
        <v/>
      </c>
      <c r="C405" s="79" t="str">
        <f>IF('Open 30M - Scoring'!B52&lt;&gt;"",IF('Open 30M - Scoring'!AE52&lt;&gt;"",'Open 30M - Scoring'!AE52,""),"")</f>
        <v/>
      </c>
      <c r="D405" s="79" t="str">
        <f>IF('Open 30M - Scoring'!B52&lt;&gt;"",IF('Open 30M - Scoring'!AF52&lt;&gt;"",'Open 30M - Scoring'!AF52,""),"")</f>
        <v/>
      </c>
      <c r="E405" s="80" t="str">
        <f>IF('Open 30M - Scoring'!B52&lt;&gt;"",'Open 30M - Scoring'!AT52,"")</f>
        <v/>
      </c>
      <c r="F405" s="81" t="str">
        <f>IF(E401&lt;&gt;"",IFERROR(IF(ISNUMBER(E401),E401,0),0)+IFERROR(IF(ISNUMBER(E402),E402,0),0)+IFERROR(IF(ISNUMBER(E403),E403,0),0)+IFERROR(IF(ISNUMBER(E404),E404,0),0)+IFERROR(IF(ISNUMBER(E405),E405,0),0),"")</f>
        <v/>
      </c>
      <c r="H405" s="78" t="s">
        <v>228</v>
      </c>
      <c r="I405" s="79" t="str">
        <f>IF('Open 30M - Scoring'!B53&lt;&gt;"",IF('Open 30M - Scoring'!AD53&lt;&gt;"",'Open 30M - Scoring'!AD53,""),"")</f>
        <v/>
      </c>
      <c r="J405" s="79" t="str">
        <f>IF('Open 30M - Scoring'!B53&lt;&gt;"",IF('Open 30M - Scoring'!AE53&lt;&gt;"",'Open 30M - Scoring'!AE53,""),"")</f>
        <v/>
      </c>
      <c r="K405" s="79" t="str">
        <f>IF('Open 30M - Scoring'!B53&lt;&gt;"",IF('Open 30M - Scoring'!AF53&lt;&gt;"",'Open 30M - Scoring'!AF53,""),"")</f>
        <v/>
      </c>
      <c r="L405" s="80" t="str">
        <f>IF('Open 30M - Scoring'!B53&lt;&gt;"",'Open 30M - Scoring'!AT53,"")</f>
        <v/>
      </c>
      <c r="M405" s="81" t="str">
        <f>IF(L401&lt;&gt;"",IFERROR(IF(ISNUMBER(L401),L401,0),0)+IFERROR(IF(ISNUMBER(L402),L402,0),0)+IFERROR(IF(ISNUMBER(L403),L403,0),0)+IFERROR(IF(ISNUMBER(L404),L404,0),0)+IFERROR(IF(ISNUMBER(L405),L405,0),0),"")</f>
        <v/>
      </c>
    </row>
    <row r="406" spans="1:13" ht="19.5" customHeight="1" x14ac:dyDescent="0.35">
      <c r="A406" s="78" t="s">
        <v>229</v>
      </c>
      <c r="B406" s="79" t="str">
        <f>IF('Open 30M - Scoring'!B52&lt;&gt;"",IF('Open 30M - Scoring'!AJ52&lt;&gt;"",'Open 30M - Scoring'!AJ52,""),"")</f>
        <v/>
      </c>
      <c r="C406" s="79" t="str">
        <f>IF('Open 30M - Scoring'!B52&lt;&gt;"",IF('Open 30M - Scoring'!AK52&lt;&gt;"",'Open 30M - Scoring'!AK52,""),"")</f>
        <v/>
      </c>
      <c r="D406" s="79" t="str">
        <f>IF('Open 30M - Scoring'!B52&lt;&gt;"",IF('Open 30M - Scoring'!AL52&lt;&gt;"",'Open 30M - Scoring'!AL52,""),"")</f>
        <v/>
      </c>
      <c r="E406" s="80" t="str">
        <f>IF('Open 30M - Scoring'!B52&lt;&gt;"",'Open 30M - Scoring'!AU52,"")</f>
        <v/>
      </c>
      <c r="F406" s="81" t="str">
        <f>IF(E401&lt;&gt;"",IFERROR(IF(ISNUMBER(E401),E401,0),0)+IFERROR(IF(ISNUMBER(E402),E402,0),0)+IFERROR(IF(ISNUMBER(E403),E403,0),0)+IFERROR(IF(ISNUMBER(E404),E404,0),0)+IFERROR(IF(ISNUMBER(E405),E405,0),0)+IFERROR(IF(ISNUMBER(E406),E406,0),0),"")</f>
        <v/>
      </c>
      <c r="H406" s="78" t="s">
        <v>229</v>
      </c>
      <c r="I406" s="79" t="str">
        <f>IF('Open 30M - Scoring'!B53&lt;&gt;"",IF('Open 30M - Scoring'!AJ53&lt;&gt;"",'Open 30M - Scoring'!AJ53,""),"")</f>
        <v/>
      </c>
      <c r="J406" s="79" t="str">
        <f>IF('Open 30M - Scoring'!B53&lt;&gt;"",IF('Open 30M - Scoring'!AK53&lt;&gt;"",'Open 30M - Scoring'!AK53,""),"")</f>
        <v/>
      </c>
      <c r="K406" s="79" t="str">
        <f>IF('Open 30M - Scoring'!B53&lt;&gt;"",IF('Open 30M - Scoring'!AL53&lt;&gt;"",'Open 30M - Scoring'!AL53,""),"")</f>
        <v/>
      </c>
      <c r="L406" s="80" t="str">
        <f>IF('Open 30M - Scoring'!B53&lt;&gt;"",'Open 30M - Scoring'!AU53,"")</f>
        <v/>
      </c>
      <c r="M406" s="81" t="str">
        <f>IF(L401&lt;&gt;"",IFERROR(IF(ISNUMBER(L401),L401,0),0)+IFERROR(IF(ISNUMBER(L402),L402,0),0)+IFERROR(IF(ISNUMBER(L403),L403,0),0)+IFERROR(IF(ISNUMBER(L404),L404,0),0)+IFERROR(IF(ISNUMBER(L405),L405,0),0)+IFERROR(IF(ISNUMBER(L406),L406,0),0),"")</f>
        <v/>
      </c>
    </row>
    <row r="407" spans="1:13" ht="3.75" customHeight="1" x14ac:dyDescent="0.35"/>
    <row r="408" spans="1:13" ht="24" customHeight="1" x14ac:dyDescent="0.35">
      <c r="A408" s="124" t="s">
        <v>230</v>
      </c>
      <c r="B408" s="124"/>
      <c r="C408" s="124"/>
      <c r="D408" s="124"/>
      <c r="E408" s="125" t="str">
        <f>IF('Open 30M - Scoring'!B52&lt;&gt;"",'Open 30M - Scoring'!AV52,"")</f>
        <v/>
      </c>
      <c r="F408" s="125"/>
      <c r="H408" s="124" t="s">
        <v>230</v>
      </c>
      <c r="I408" s="124"/>
      <c r="J408" s="124"/>
      <c r="K408" s="124"/>
      <c r="L408" s="125" t="str">
        <f>IF('Open 30M - Scoring'!B53&lt;&gt;"",'Open 30M - Scoring'!AV53,"")</f>
        <v/>
      </c>
      <c r="M408" s="125"/>
    </row>
    <row r="409" spans="1:13" ht="19.5" customHeight="1" x14ac:dyDescent="0.35">
      <c r="E409" s="125"/>
      <c r="F409" s="125"/>
      <c r="L409" s="125"/>
      <c r="M409" s="125"/>
    </row>
    <row r="410" spans="1:13" ht="3.75" customHeight="1" x14ac:dyDescent="0.35"/>
    <row r="411" spans="1:13" ht="18" customHeight="1" x14ac:dyDescent="0.35">
      <c r="A411" s="73" t="s">
        <v>126</v>
      </c>
      <c r="B411" s="82" t="str">
        <f>IF('Open 30M - Scoring'!B52&lt;&gt;"",'Open 30M - Scoring'!AW52,"")</f>
        <v/>
      </c>
      <c r="C411" s="73" t="s">
        <v>127</v>
      </c>
      <c r="D411" s="83" t="str">
        <f>IF('Open 30M - Scoring'!B52&lt;&gt;"",'Open 30M - Scoring'!AX52,"")</f>
        <v/>
      </c>
      <c r="E411" s="73" t="s">
        <v>128</v>
      </c>
      <c r="F411" s="83" t="str">
        <f>IF('Open 30M - Scoring'!B52&lt;&gt;"",'Open 30M - Scoring'!AY52,"")</f>
        <v/>
      </c>
      <c r="H411" s="73" t="s">
        <v>126</v>
      </c>
      <c r="I411" s="82" t="str">
        <f>IF('Open 30M - Scoring'!B53&lt;&gt;"",'Open 30M - Scoring'!AW53,"")</f>
        <v/>
      </c>
      <c r="J411" s="73" t="s">
        <v>127</v>
      </c>
      <c r="K411" s="83" t="str">
        <f>IF('Open 30M - Scoring'!B53&lt;&gt;"",'Open 30M - Scoring'!AX53,"")</f>
        <v/>
      </c>
      <c r="L411" s="73" t="s">
        <v>128</v>
      </c>
      <c r="M411" s="83" t="str">
        <f>IF('Open 30M - Scoring'!B53&lt;&gt;"",'Open 30M - Scoring'!AY53,"")</f>
        <v/>
      </c>
    </row>
    <row r="412" spans="1:13" ht="3.75" customHeight="1" x14ac:dyDescent="0.35"/>
    <row r="413" spans="1:13" ht="7.5" customHeight="1" x14ac:dyDescent="0.35">
      <c r="A413" s="126"/>
      <c r="B413" s="126"/>
      <c r="C413" s="126"/>
      <c r="D413" s="126"/>
      <c r="E413" s="126"/>
      <c r="F413" s="126"/>
      <c r="G413" s="126"/>
      <c r="H413" s="126"/>
      <c r="I413" s="126"/>
      <c r="J413" s="126"/>
      <c r="K413" s="126"/>
      <c r="L413" s="126"/>
      <c r="M413" s="126"/>
    </row>
    <row r="414" spans="1:13" ht="15.75" customHeight="1" x14ac:dyDescent="0.35">
      <c r="A414" s="73" t="s">
        <v>218</v>
      </c>
      <c r="B414" s="122" t="str">
        <f>IF('Open 30M - Scoring'!B54&lt;&gt;"",'Open 30M - Scoring'!B54,"")</f>
        <v/>
      </c>
      <c r="C414" s="122"/>
      <c r="D414" s="122"/>
      <c r="E414" s="73" t="s">
        <v>219</v>
      </c>
      <c r="F414" s="74" t="str">
        <f>IF('Open 30M - Scoring'!B54&lt;&gt;"",'Open 30M - Scoring'!BB54,"")</f>
        <v/>
      </c>
      <c r="H414" s="73" t="s">
        <v>218</v>
      </c>
      <c r="I414" s="122" t="str">
        <f>IF('Open 30M - Scoring'!B55&lt;&gt;"",'Open 30M - Scoring'!B55,"")</f>
        <v/>
      </c>
      <c r="J414" s="122"/>
      <c r="K414" s="122"/>
      <c r="L414" s="73" t="s">
        <v>219</v>
      </c>
      <c r="M414" s="74" t="str">
        <f>IF('Open 30M - Scoring'!B55&lt;&gt;"",'Open 30M - Scoring'!BB55,"")</f>
        <v/>
      </c>
    </row>
    <row r="415" spans="1:13" ht="15.75" customHeight="1" x14ac:dyDescent="0.35">
      <c r="A415" s="73" t="s">
        <v>220</v>
      </c>
      <c r="B415" s="123" t="str">
        <f>IF('Open 30M - Scoring'!B54&lt;&gt;"",'Open 30M - Scoring'!D54,"")</f>
        <v/>
      </c>
      <c r="C415" s="123"/>
      <c r="D415" s="123"/>
      <c r="E415" s="73" t="s">
        <v>8</v>
      </c>
      <c r="F415" s="75" t="str">
        <f>IF('Open 30M - Scoring'!B54&lt;&gt;"",'Open 30M - Scoring'!E54,"")</f>
        <v/>
      </c>
      <c r="H415" s="73" t="s">
        <v>220</v>
      </c>
      <c r="I415" s="123" t="str">
        <f>IF('Open 30M - Scoring'!B55&lt;&gt;"",'Open 30M - Scoring'!D55,"")</f>
        <v/>
      </c>
      <c r="J415" s="123"/>
      <c r="K415" s="123"/>
      <c r="L415" s="73" t="s">
        <v>8</v>
      </c>
      <c r="M415" s="75" t="str">
        <f>IF('Open 30M - Scoring'!B55&lt;&gt;"",'Open 30M - Scoring'!E55,"")</f>
        <v/>
      </c>
    </row>
    <row r="416" spans="1:13" ht="3.75" customHeight="1" x14ac:dyDescent="0.35"/>
    <row r="417" spans="1:13" ht="25.5" customHeight="1" x14ac:dyDescent="0.35">
      <c r="A417" s="76" t="s">
        <v>221</v>
      </c>
      <c r="B417" s="77" t="s">
        <v>222</v>
      </c>
      <c r="C417" s="77" t="s">
        <v>223</v>
      </c>
      <c r="D417" s="77" t="s">
        <v>224</v>
      </c>
      <c r="E417" s="76" t="s">
        <v>225</v>
      </c>
      <c r="F417" s="76" t="s">
        <v>226</v>
      </c>
      <c r="H417" s="76" t="s">
        <v>221</v>
      </c>
      <c r="I417" s="77" t="s">
        <v>222</v>
      </c>
      <c r="J417" s="77" t="s">
        <v>223</v>
      </c>
      <c r="K417" s="77" t="s">
        <v>224</v>
      </c>
      <c r="L417" s="76" t="s">
        <v>225</v>
      </c>
      <c r="M417" s="76" t="s">
        <v>226</v>
      </c>
    </row>
    <row r="418" spans="1:13" ht="19.5" customHeight="1" x14ac:dyDescent="0.35">
      <c r="A418" s="78" t="s">
        <v>222</v>
      </c>
      <c r="B418" s="79" t="str">
        <f>IF('Open 30M - Scoring'!B54&lt;&gt;"",IF('Open 30M - Scoring'!F54&lt;&gt;"",'Open 30M - Scoring'!F54,""),"")</f>
        <v/>
      </c>
      <c r="C418" s="79" t="str">
        <f>IF('Open 30M - Scoring'!B54&lt;&gt;"",IF('Open 30M - Scoring'!G54&lt;&gt;"",'Open 30M - Scoring'!G54,""),"")</f>
        <v/>
      </c>
      <c r="D418" s="79" t="str">
        <f>IF('Open 30M - Scoring'!B54&lt;&gt;"",IF('Open 30M - Scoring'!H54&lt;&gt;"",'Open 30M - Scoring'!H54,""),"")</f>
        <v/>
      </c>
      <c r="E418" s="80" t="str">
        <f>IF('Open 30M - Scoring'!B54&lt;&gt;"",'Open 30M - Scoring'!AP54,"")</f>
        <v/>
      </c>
      <c r="F418" s="81" t="str">
        <f>IFERROR(IF(ISNUMBER(E418),E418,""),"")</f>
        <v/>
      </c>
      <c r="H418" s="78" t="s">
        <v>222</v>
      </c>
      <c r="I418" s="79" t="str">
        <f>IF('Open 30M - Scoring'!B55&lt;&gt;"",IF('Open 30M - Scoring'!F55&lt;&gt;"",'Open 30M - Scoring'!F55,""),"")</f>
        <v/>
      </c>
      <c r="J418" s="79" t="str">
        <f>IF('Open 30M - Scoring'!B55&lt;&gt;"",IF('Open 30M - Scoring'!G55&lt;&gt;"",'Open 30M - Scoring'!G55,""),"")</f>
        <v/>
      </c>
      <c r="K418" s="79" t="str">
        <f>IF('Open 30M - Scoring'!B55&lt;&gt;"",IF('Open 30M - Scoring'!H55&lt;&gt;"",'Open 30M - Scoring'!H55,""),"")</f>
        <v/>
      </c>
      <c r="L418" s="80" t="str">
        <f>IF('Open 30M - Scoring'!B55&lt;&gt;"",'Open 30M - Scoring'!AP55,"")</f>
        <v/>
      </c>
      <c r="M418" s="81" t="str">
        <f>IFERROR(IF(ISNUMBER(L418),L418,""),"")</f>
        <v/>
      </c>
    </row>
    <row r="419" spans="1:13" ht="19.5" customHeight="1" x14ac:dyDescent="0.35">
      <c r="A419" s="78" t="s">
        <v>223</v>
      </c>
      <c r="B419" s="79" t="str">
        <f>IF('Open 30M - Scoring'!B54&lt;&gt;"",IF('Open 30M - Scoring'!L54&lt;&gt;"",'Open 30M - Scoring'!L54,""),"")</f>
        <v/>
      </c>
      <c r="C419" s="79" t="str">
        <f>IF('Open 30M - Scoring'!B54&lt;&gt;"",IF('Open 30M - Scoring'!M54&lt;&gt;"",'Open 30M - Scoring'!M54,""),"")</f>
        <v/>
      </c>
      <c r="D419" s="79" t="str">
        <f>IF('Open 30M - Scoring'!B54&lt;&gt;"",IF('Open 30M - Scoring'!N54&lt;&gt;"",'Open 30M - Scoring'!N54,""),"")</f>
        <v/>
      </c>
      <c r="E419" s="80" t="str">
        <f>IF('Open 30M - Scoring'!B54&lt;&gt;"",'Open 30M - Scoring'!AQ54,"")</f>
        <v/>
      </c>
      <c r="F419" s="81" t="str">
        <f>IF(E418&lt;&gt;"",IFERROR(IF(ISNUMBER(E418),E418,0),0)+IFERROR(IF(ISNUMBER(E419),E419,0),0),"")</f>
        <v/>
      </c>
      <c r="H419" s="78" t="s">
        <v>223</v>
      </c>
      <c r="I419" s="79" t="str">
        <f>IF('Open 30M - Scoring'!B55&lt;&gt;"",IF('Open 30M - Scoring'!L55&lt;&gt;"",'Open 30M - Scoring'!L55,""),"")</f>
        <v/>
      </c>
      <c r="J419" s="79" t="str">
        <f>IF('Open 30M - Scoring'!B55&lt;&gt;"",IF('Open 30M - Scoring'!M55&lt;&gt;"",'Open 30M - Scoring'!M55,""),"")</f>
        <v/>
      </c>
      <c r="K419" s="79" t="str">
        <f>IF('Open 30M - Scoring'!B55&lt;&gt;"",IF('Open 30M - Scoring'!N55&lt;&gt;"",'Open 30M - Scoring'!N55,""),"")</f>
        <v/>
      </c>
      <c r="L419" s="80" t="str">
        <f>IF('Open 30M - Scoring'!B55&lt;&gt;"",'Open 30M - Scoring'!AQ55,"")</f>
        <v/>
      </c>
      <c r="M419" s="81" t="str">
        <f>IF(L418&lt;&gt;"",IFERROR(IF(ISNUMBER(L418),L418,0),0)+IFERROR(IF(ISNUMBER(L419),L419,0),0),"")</f>
        <v/>
      </c>
    </row>
    <row r="420" spans="1:13" ht="19.5" customHeight="1" x14ac:dyDescent="0.35">
      <c r="A420" s="78" t="s">
        <v>224</v>
      </c>
      <c r="B420" s="79" t="str">
        <f>IF('Open 30M - Scoring'!B54&lt;&gt;"",IF('Open 30M - Scoring'!R54&lt;&gt;"",'Open 30M - Scoring'!R54,""),"")</f>
        <v/>
      </c>
      <c r="C420" s="79" t="str">
        <f>IF('Open 30M - Scoring'!B54&lt;&gt;"",IF('Open 30M - Scoring'!S54&lt;&gt;"",'Open 30M - Scoring'!S54,""),"")</f>
        <v/>
      </c>
      <c r="D420" s="79" t="str">
        <f>IF('Open 30M - Scoring'!B54&lt;&gt;"",IF('Open 30M - Scoring'!T54&lt;&gt;"",'Open 30M - Scoring'!T54,""),"")</f>
        <v/>
      </c>
      <c r="E420" s="80" t="str">
        <f>IF('Open 30M - Scoring'!B54&lt;&gt;"",'Open 30M - Scoring'!AR54,"")</f>
        <v/>
      </c>
      <c r="F420" s="81" t="str">
        <f>IF(E418&lt;&gt;"",IFERROR(IF(ISNUMBER(E418),E418,0),0)+IFERROR(IF(ISNUMBER(E419),E419,0),0)+IFERROR(IF(ISNUMBER(E420),E420,0),0),"")</f>
        <v/>
      </c>
      <c r="H420" s="78" t="s">
        <v>224</v>
      </c>
      <c r="I420" s="79" t="str">
        <f>IF('Open 30M - Scoring'!B55&lt;&gt;"",IF('Open 30M - Scoring'!R55&lt;&gt;"",'Open 30M - Scoring'!R55,""),"")</f>
        <v/>
      </c>
      <c r="J420" s="79" t="str">
        <f>IF('Open 30M - Scoring'!B55&lt;&gt;"",IF('Open 30M - Scoring'!S55&lt;&gt;"",'Open 30M - Scoring'!S55,""),"")</f>
        <v/>
      </c>
      <c r="K420" s="79" t="str">
        <f>IF('Open 30M - Scoring'!B55&lt;&gt;"",IF('Open 30M - Scoring'!T55&lt;&gt;"",'Open 30M - Scoring'!T55,""),"")</f>
        <v/>
      </c>
      <c r="L420" s="80" t="str">
        <f>IF('Open 30M - Scoring'!B55&lt;&gt;"",'Open 30M - Scoring'!AR55,"")</f>
        <v/>
      </c>
      <c r="M420" s="81" t="str">
        <f>IF(L418&lt;&gt;"",IFERROR(IF(ISNUMBER(L418),L418,0),0)+IFERROR(IF(ISNUMBER(L419),L419,0),0)+IFERROR(IF(ISNUMBER(L420),L420,0),0),"")</f>
        <v/>
      </c>
    </row>
    <row r="421" spans="1:13" ht="19.5" customHeight="1" x14ac:dyDescent="0.35">
      <c r="A421" s="78" t="s">
        <v>227</v>
      </c>
      <c r="B421" s="79" t="str">
        <f>IF('Open 30M - Scoring'!B54&lt;&gt;"",IF('Open 30M - Scoring'!X54&lt;&gt;"",'Open 30M - Scoring'!X54,""),"")</f>
        <v/>
      </c>
      <c r="C421" s="79" t="str">
        <f>IF('Open 30M - Scoring'!B54&lt;&gt;"",IF('Open 30M - Scoring'!Y54&lt;&gt;"",'Open 30M - Scoring'!Y54,""),"")</f>
        <v/>
      </c>
      <c r="D421" s="79" t="str">
        <f>IF('Open 30M - Scoring'!B54&lt;&gt;"",IF('Open 30M - Scoring'!Z54&lt;&gt;"",'Open 30M - Scoring'!Z54,""),"")</f>
        <v/>
      </c>
      <c r="E421" s="80" t="str">
        <f>IF('Open 30M - Scoring'!B54&lt;&gt;"",'Open 30M - Scoring'!AS54,"")</f>
        <v/>
      </c>
      <c r="F421" s="81" t="str">
        <f>IF(E418&lt;&gt;"",IFERROR(IF(ISNUMBER(E418),E418,0),0)+IFERROR(IF(ISNUMBER(E419),E419,0),0)+IFERROR(IF(ISNUMBER(E420),E420,0),0)+IFERROR(IF(ISNUMBER(E421),E421,0),0),"")</f>
        <v/>
      </c>
      <c r="H421" s="78" t="s">
        <v>227</v>
      </c>
      <c r="I421" s="79" t="str">
        <f>IF('Open 30M - Scoring'!B55&lt;&gt;"",IF('Open 30M - Scoring'!X55&lt;&gt;"",'Open 30M - Scoring'!X55,""),"")</f>
        <v/>
      </c>
      <c r="J421" s="79" t="str">
        <f>IF('Open 30M - Scoring'!B55&lt;&gt;"",IF('Open 30M - Scoring'!Y55&lt;&gt;"",'Open 30M - Scoring'!Y55,""),"")</f>
        <v/>
      </c>
      <c r="K421" s="79" t="str">
        <f>IF('Open 30M - Scoring'!B55&lt;&gt;"",IF('Open 30M - Scoring'!Z55&lt;&gt;"",'Open 30M - Scoring'!Z55,""),"")</f>
        <v/>
      </c>
      <c r="L421" s="80" t="str">
        <f>IF('Open 30M - Scoring'!B55&lt;&gt;"",'Open 30M - Scoring'!AS55,"")</f>
        <v/>
      </c>
      <c r="M421" s="81" t="str">
        <f>IF(L418&lt;&gt;"",IFERROR(IF(ISNUMBER(L418),L418,0),0)+IFERROR(IF(ISNUMBER(L419),L419,0),0)+IFERROR(IF(ISNUMBER(L420),L420,0),0)+IFERROR(IF(ISNUMBER(L421),L421,0),0),"")</f>
        <v/>
      </c>
    </row>
    <row r="422" spans="1:13" ht="19.5" customHeight="1" x14ac:dyDescent="0.35">
      <c r="A422" s="78" t="s">
        <v>228</v>
      </c>
      <c r="B422" s="79" t="str">
        <f>IF('Open 30M - Scoring'!B54&lt;&gt;"",IF('Open 30M - Scoring'!AD54&lt;&gt;"",'Open 30M - Scoring'!AD54,""),"")</f>
        <v/>
      </c>
      <c r="C422" s="79" t="str">
        <f>IF('Open 30M - Scoring'!B54&lt;&gt;"",IF('Open 30M - Scoring'!AE54&lt;&gt;"",'Open 30M - Scoring'!AE54,""),"")</f>
        <v/>
      </c>
      <c r="D422" s="79" t="str">
        <f>IF('Open 30M - Scoring'!B54&lt;&gt;"",IF('Open 30M - Scoring'!AF54&lt;&gt;"",'Open 30M - Scoring'!AF54,""),"")</f>
        <v/>
      </c>
      <c r="E422" s="80" t="str">
        <f>IF('Open 30M - Scoring'!B54&lt;&gt;"",'Open 30M - Scoring'!AT54,"")</f>
        <v/>
      </c>
      <c r="F422" s="81" t="str">
        <f>IF(E418&lt;&gt;"",IFERROR(IF(ISNUMBER(E418),E418,0),0)+IFERROR(IF(ISNUMBER(E419),E419,0),0)+IFERROR(IF(ISNUMBER(E420),E420,0),0)+IFERROR(IF(ISNUMBER(E421),E421,0),0)+IFERROR(IF(ISNUMBER(E422),E422,0),0),"")</f>
        <v/>
      </c>
      <c r="H422" s="78" t="s">
        <v>228</v>
      </c>
      <c r="I422" s="79" t="str">
        <f>IF('Open 30M - Scoring'!B55&lt;&gt;"",IF('Open 30M - Scoring'!AD55&lt;&gt;"",'Open 30M - Scoring'!AD55,""),"")</f>
        <v/>
      </c>
      <c r="J422" s="79" t="str">
        <f>IF('Open 30M - Scoring'!B55&lt;&gt;"",IF('Open 30M - Scoring'!AE55&lt;&gt;"",'Open 30M - Scoring'!AE55,""),"")</f>
        <v/>
      </c>
      <c r="K422" s="79" t="str">
        <f>IF('Open 30M - Scoring'!B55&lt;&gt;"",IF('Open 30M - Scoring'!AF55&lt;&gt;"",'Open 30M - Scoring'!AF55,""),"")</f>
        <v/>
      </c>
      <c r="L422" s="80" t="str">
        <f>IF('Open 30M - Scoring'!B55&lt;&gt;"",'Open 30M - Scoring'!AT55,"")</f>
        <v/>
      </c>
      <c r="M422" s="81" t="str">
        <f>IF(L418&lt;&gt;"",IFERROR(IF(ISNUMBER(L418),L418,0),0)+IFERROR(IF(ISNUMBER(L419),L419,0),0)+IFERROR(IF(ISNUMBER(L420),L420,0),0)+IFERROR(IF(ISNUMBER(L421),L421,0),0)+IFERROR(IF(ISNUMBER(L422),L422,0),0),"")</f>
        <v/>
      </c>
    </row>
    <row r="423" spans="1:13" ht="19.5" customHeight="1" x14ac:dyDescent="0.35">
      <c r="A423" s="78" t="s">
        <v>229</v>
      </c>
      <c r="B423" s="79" t="str">
        <f>IF('Open 30M - Scoring'!B54&lt;&gt;"",IF('Open 30M - Scoring'!AJ54&lt;&gt;"",'Open 30M - Scoring'!AJ54,""),"")</f>
        <v/>
      </c>
      <c r="C423" s="79" t="str">
        <f>IF('Open 30M - Scoring'!B54&lt;&gt;"",IF('Open 30M - Scoring'!AK54&lt;&gt;"",'Open 30M - Scoring'!AK54,""),"")</f>
        <v/>
      </c>
      <c r="D423" s="79" t="str">
        <f>IF('Open 30M - Scoring'!B54&lt;&gt;"",IF('Open 30M - Scoring'!AL54&lt;&gt;"",'Open 30M - Scoring'!AL54,""),"")</f>
        <v/>
      </c>
      <c r="E423" s="80" t="str">
        <f>IF('Open 30M - Scoring'!B54&lt;&gt;"",'Open 30M - Scoring'!AU54,"")</f>
        <v/>
      </c>
      <c r="F423" s="81" t="str">
        <f>IF(E418&lt;&gt;"",IFERROR(IF(ISNUMBER(E418),E418,0),0)+IFERROR(IF(ISNUMBER(E419),E419,0),0)+IFERROR(IF(ISNUMBER(E420),E420,0),0)+IFERROR(IF(ISNUMBER(E421),E421,0),0)+IFERROR(IF(ISNUMBER(E422),E422,0),0)+IFERROR(IF(ISNUMBER(E423),E423,0),0),"")</f>
        <v/>
      </c>
      <c r="H423" s="78" t="s">
        <v>229</v>
      </c>
      <c r="I423" s="79" t="str">
        <f>IF('Open 30M - Scoring'!B55&lt;&gt;"",IF('Open 30M - Scoring'!AJ55&lt;&gt;"",'Open 30M - Scoring'!AJ55,""),"")</f>
        <v/>
      </c>
      <c r="J423" s="79" t="str">
        <f>IF('Open 30M - Scoring'!B55&lt;&gt;"",IF('Open 30M - Scoring'!AK55&lt;&gt;"",'Open 30M - Scoring'!AK55,""),"")</f>
        <v/>
      </c>
      <c r="K423" s="79" t="str">
        <f>IF('Open 30M - Scoring'!B55&lt;&gt;"",IF('Open 30M - Scoring'!AL55&lt;&gt;"",'Open 30M - Scoring'!AL55,""),"")</f>
        <v/>
      </c>
      <c r="L423" s="80" t="str">
        <f>IF('Open 30M - Scoring'!B55&lt;&gt;"",'Open 30M - Scoring'!AU55,"")</f>
        <v/>
      </c>
      <c r="M423" s="81" t="str">
        <f>IF(L418&lt;&gt;"",IFERROR(IF(ISNUMBER(L418),L418,0),0)+IFERROR(IF(ISNUMBER(L419),L419,0),0)+IFERROR(IF(ISNUMBER(L420),L420,0),0)+IFERROR(IF(ISNUMBER(L421),L421,0),0)+IFERROR(IF(ISNUMBER(L422),L422,0),0)+IFERROR(IF(ISNUMBER(L423),L423,0),0),"")</f>
        <v/>
      </c>
    </row>
    <row r="424" spans="1:13" ht="3.75" customHeight="1" x14ac:dyDescent="0.35"/>
    <row r="425" spans="1:13" ht="24" customHeight="1" x14ac:dyDescent="0.35">
      <c r="A425" s="124" t="s">
        <v>230</v>
      </c>
      <c r="B425" s="124"/>
      <c r="C425" s="124"/>
      <c r="D425" s="124"/>
      <c r="E425" s="125" t="str">
        <f>IF('Open 30M - Scoring'!B54&lt;&gt;"",'Open 30M - Scoring'!AV54,"")</f>
        <v/>
      </c>
      <c r="F425" s="125"/>
      <c r="H425" s="124" t="s">
        <v>230</v>
      </c>
      <c r="I425" s="124"/>
      <c r="J425" s="124"/>
      <c r="K425" s="124"/>
      <c r="L425" s="125" t="str">
        <f>IF('Open 30M - Scoring'!B55&lt;&gt;"",'Open 30M - Scoring'!AV55,"")</f>
        <v/>
      </c>
      <c r="M425" s="125"/>
    </row>
    <row r="426" spans="1:13" ht="19.5" customHeight="1" x14ac:dyDescent="0.35">
      <c r="E426" s="125"/>
      <c r="F426" s="125"/>
      <c r="L426" s="125"/>
      <c r="M426" s="125"/>
    </row>
    <row r="427" spans="1:13" ht="3.75" customHeight="1" x14ac:dyDescent="0.35"/>
    <row r="428" spans="1:13" ht="18" customHeight="1" x14ac:dyDescent="0.35">
      <c r="A428" s="73" t="s">
        <v>126</v>
      </c>
      <c r="B428" s="82" t="str">
        <f>IF('Open 30M - Scoring'!B54&lt;&gt;"",'Open 30M - Scoring'!AW54,"")</f>
        <v/>
      </c>
      <c r="C428" s="73" t="s">
        <v>127</v>
      </c>
      <c r="D428" s="83" t="str">
        <f>IF('Open 30M - Scoring'!B54&lt;&gt;"",'Open 30M - Scoring'!AX54,"")</f>
        <v/>
      </c>
      <c r="E428" s="73" t="s">
        <v>128</v>
      </c>
      <c r="F428" s="83" t="str">
        <f>IF('Open 30M - Scoring'!B54&lt;&gt;"",'Open 30M - Scoring'!AY54,"")</f>
        <v/>
      </c>
      <c r="H428" s="73" t="s">
        <v>126</v>
      </c>
      <c r="I428" s="82" t="str">
        <f>IF('Open 30M - Scoring'!B55&lt;&gt;"",'Open 30M - Scoring'!AW55,"")</f>
        <v/>
      </c>
      <c r="J428" s="73" t="s">
        <v>127</v>
      </c>
      <c r="K428" s="83" t="str">
        <f>IF('Open 30M - Scoring'!B55&lt;&gt;"",'Open 30M - Scoring'!AX55,"")</f>
        <v/>
      </c>
      <c r="L428" s="73" t="s">
        <v>128</v>
      </c>
      <c r="M428" s="83" t="str">
        <f>IF('Open 30M - Scoring'!B55&lt;&gt;"",'Open 30M - Scoring'!AY55,"")</f>
        <v/>
      </c>
    </row>
    <row r="429" spans="1:13" ht="3.75" customHeight="1" x14ac:dyDescent="0.35"/>
    <row r="430" spans="1:13" ht="7.5" customHeight="1" x14ac:dyDescent="0.35">
      <c r="A430" s="126"/>
      <c r="B430" s="126"/>
      <c r="C430" s="126"/>
      <c r="D430" s="126"/>
      <c r="E430" s="126"/>
      <c r="F430" s="126"/>
      <c r="G430" s="126"/>
      <c r="H430" s="126"/>
      <c r="I430" s="126"/>
      <c r="J430" s="126"/>
      <c r="K430" s="126"/>
      <c r="L430" s="126"/>
      <c r="M430" s="126"/>
    </row>
    <row r="431" spans="1:13" ht="15.75" customHeight="1" x14ac:dyDescent="0.35">
      <c r="A431" s="73" t="s">
        <v>218</v>
      </c>
      <c r="B431" s="122" t="str">
        <f>IF('Open 30M - Scoring'!B56&lt;&gt;"",'Open 30M - Scoring'!B56,"")</f>
        <v/>
      </c>
      <c r="C431" s="122"/>
      <c r="D431" s="122"/>
      <c r="E431" s="73" t="s">
        <v>219</v>
      </c>
      <c r="F431" s="74" t="str">
        <f>IF('Open 30M - Scoring'!B56&lt;&gt;"",'Open 30M - Scoring'!BB56,"")</f>
        <v/>
      </c>
      <c r="H431" s="73" t="s">
        <v>218</v>
      </c>
      <c r="I431" s="122" t="str">
        <f>IF('Open 30M - Scoring'!B57&lt;&gt;"",'Open 30M - Scoring'!B57,"")</f>
        <v/>
      </c>
      <c r="J431" s="122"/>
      <c r="K431" s="122"/>
      <c r="L431" s="73" t="s">
        <v>219</v>
      </c>
      <c r="M431" s="74" t="str">
        <f>IF('Open 30M - Scoring'!B57&lt;&gt;"",'Open 30M - Scoring'!BB57,"")</f>
        <v/>
      </c>
    </row>
    <row r="432" spans="1:13" ht="15.75" customHeight="1" x14ac:dyDescent="0.35">
      <c r="A432" s="73" t="s">
        <v>220</v>
      </c>
      <c r="B432" s="123" t="str">
        <f>IF('Open 30M - Scoring'!B56&lt;&gt;"",'Open 30M - Scoring'!D56,"")</f>
        <v/>
      </c>
      <c r="C432" s="123"/>
      <c r="D432" s="123"/>
      <c r="E432" s="73" t="s">
        <v>8</v>
      </c>
      <c r="F432" s="75" t="str">
        <f>IF('Open 30M - Scoring'!B56&lt;&gt;"",'Open 30M - Scoring'!E56,"")</f>
        <v/>
      </c>
      <c r="H432" s="73" t="s">
        <v>220</v>
      </c>
      <c r="I432" s="123" t="str">
        <f>IF('Open 30M - Scoring'!B57&lt;&gt;"",'Open 30M - Scoring'!D57,"")</f>
        <v/>
      </c>
      <c r="J432" s="123"/>
      <c r="K432" s="123"/>
      <c r="L432" s="73" t="s">
        <v>8</v>
      </c>
      <c r="M432" s="75" t="str">
        <f>IF('Open 30M - Scoring'!B57&lt;&gt;"",'Open 30M - Scoring'!E57,"")</f>
        <v/>
      </c>
    </row>
    <row r="433" spans="1:13" ht="3.75" customHeight="1" x14ac:dyDescent="0.35"/>
    <row r="434" spans="1:13" ht="25.5" customHeight="1" x14ac:dyDescent="0.35">
      <c r="A434" s="76" t="s">
        <v>221</v>
      </c>
      <c r="B434" s="77" t="s">
        <v>222</v>
      </c>
      <c r="C434" s="77" t="s">
        <v>223</v>
      </c>
      <c r="D434" s="77" t="s">
        <v>224</v>
      </c>
      <c r="E434" s="76" t="s">
        <v>225</v>
      </c>
      <c r="F434" s="76" t="s">
        <v>226</v>
      </c>
      <c r="H434" s="76" t="s">
        <v>221</v>
      </c>
      <c r="I434" s="77" t="s">
        <v>222</v>
      </c>
      <c r="J434" s="77" t="s">
        <v>223</v>
      </c>
      <c r="K434" s="77" t="s">
        <v>224</v>
      </c>
      <c r="L434" s="76" t="s">
        <v>225</v>
      </c>
      <c r="M434" s="76" t="s">
        <v>226</v>
      </c>
    </row>
    <row r="435" spans="1:13" ht="19.5" customHeight="1" x14ac:dyDescent="0.35">
      <c r="A435" s="78" t="s">
        <v>222</v>
      </c>
      <c r="B435" s="79" t="str">
        <f>IF('Open 30M - Scoring'!B56&lt;&gt;"",IF('Open 30M - Scoring'!F56&lt;&gt;"",'Open 30M - Scoring'!F56,""),"")</f>
        <v/>
      </c>
      <c r="C435" s="79" t="str">
        <f>IF('Open 30M - Scoring'!B56&lt;&gt;"",IF('Open 30M - Scoring'!G56&lt;&gt;"",'Open 30M - Scoring'!G56,""),"")</f>
        <v/>
      </c>
      <c r="D435" s="79" t="str">
        <f>IF('Open 30M - Scoring'!B56&lt;&gt;"",IF('Open 30M - Scoring'!H56&lt;&gt;"",'Open 30M - Scoring'!H56,""),"")</f>
        <v/>
      </c>
      <c r="E435" s="80" t="str">
        <f>IF('Open 30M - Scoring'!B56&lt;&gt;"",'Open 30M - Scoring'!AP56,"")</f>
        <v/>
      </c>
      <c r="F435" s="81" t="str">
        <f>IFERROR(IF(ISNUMBER(E435),E435,""),"")</f>
        <v/>
      </c>
      <c r="H435" s="78" t="s">
        <v>222</v>
      </c>
      <c r="I435" s="79" t="str">
        <f>IF('Open 30M - Scoring'!B57&lt;&gt;"",IF('Open 30M - Scoring'!F57&lt;&gt;"",'Open 30M - Scoring'!F57,""),"")</f>
        <v/>
      </c>
      <c r="J435" s="79" t="str">
        <f>IF('Open 30M - Scoring'!B57&lt;&gt;"",IF('Open 30M - Scoring'!G57&lt;&gt;"",'Open 30M - Scoring'!G57,""),"")</f>
        <v/>
      </c>
      <c r="K435" s="79" t="str">
        <f>IF('Open 30M - Scoring'!B57&lt;&gt;"",IF('Open 30M - Scoring'!H57&lt;&gt;"",'Open 30M - Scoring'!H57,""),"")</f>
        <v/>
      </c>
      <c r="L435" s="80" t="str">
        <f>IF('Open 30M - Scoring'!B57&lt;&gt;"",'Open 30M - Scoring'!AP57,"")</f>
        <v/>
      </c>
      <c r="M435" s="81" t="str">
        <f>IFERROR(IF(ISNUMBER(L435),L435,""),"")</f>
        <v/>
      </c>
    </row>
    <row r="436" spans="1:13" ht="19.5" customHeight="1" x14ac:dyDescent="0.35">
      <c r="A436" s="78" t="s">
        <v>223</v>
      </c>
      <c r="B436" s="79" t="str">
        <f>IF('Open 30M - Scoring'!B56&lt;&gt;"",IF('Open 30M - Scoring'!L56&lt;&gt;"",'Open 30M - Scoring'!L56,""),"")</f>
        <v/>
      </c>
      <c r="C436" s="79" t="str">
        <f>IF('Open 30M - Scoring'!B56&lt;&gt;"",IF('Open 30M - Scoring'!M56&lt;&gt;"",'Open 30M - Scoring'!M56,""),"")</f>
        <v/>
      </c>
      <c r="D436" s="79" t="str">
        <f>IF('Open 30M - Scoring'!B56&lt;&gt;"",IF('Open 30M - Scoring'!N56&lt;&gt;"",'Open 30M - Scoring'!N56,""),"")</f>
        <v/>
      </c>
      <c r="E436" s="80" t="str">
        <f>IF('Open 30M - Scoring'!B56&lt;&gt;"",'Open 30M - Scoring'!AQ56,"")</f>
        <v/>
      </c>
      <c r="F436" s="81" t="str">
        <f>IF(E435&lt;&gt;"",IFERROR(IF(ISNUMBER(E435),E435,0),0)+IFERROR(IF(ISNUMBER(E436),E436,0),0),"")</f>
        <v/>
      </c>
      <c r="H436" s="78" t="s">
        <v>223</v>
      </c>
      <c r="I436" s="79" t="str">
        <f>IF('Open 30M - Scoring'!B57&lt;&gt;"",IF('Open 30M - Scoring'!L57&lt;&gt;"",'Open 30M - Scoring'!L57,""),"")</f>
        <v/>
      </c>
      <c r="J436" s="79" t="str">
        <f>IF('Open 30M - Scoring'!B57&lt;&gt;"",IF('Open 30M - Scoring'!M57&lt;&gt;"",'Open 30M - Scoring'!M57,""),"")</f>
        <v/>
      </c>
      <c r="K436" s="79" t="str">
        <f>IF('Open 30M - Scoring'!B57&lt;&gt;"",IF('Open 30M - Scoring'!N57&lt;&gt;"",'Open 30M - Scoring'!N57,""),"")</f>
        <v/>
      </c>
      <c r="L436" s="80" t="str">
        <f>IF('Open 30M - Scoring'!B57&lt;&gt;"",'Open 30M - Scoring'!AQ57,"")</f>
        <v/>
      </c>
      <c r="M436" s="81" t="str">
        <f>IF(L435&lt;&gt;"",IFERROR(IF(ISNUMBER(L435),L435,0),0)+IFERROR(IF(ISNUMBER(L436),L436,0),0),"")</f>
        <v/>
      </c>
    </row>
    <row r="437" spans="1:13" ht="19.5" customHeight="1" x14ac:dyDescent="0.35">
      <c r="A437" s="78" t="s">
        <v>224</v>
      </c>
      <c r="B437" s="79" t="str">
        <f>IF('Open 30M - Scoring'!B56&lt;&gt;"",IF('Open 30M - Scoring'!R56&lt;&gt;"",'Open 30M - Scoring'!R56,""),"")</f>
        <v/>
      </c>
      <c r="C437" s="79" t="str">
        <f>IF('Open 30M - Scoring'!B56&lt;&gt;"",IF('Open 30M - Scoring'!S56&lt;&gt;"",'Open 30M - Scoring'!S56,""),"")</f>
        <v/>
      </c>
      <c r="D437" s="79" t="str">
        <f>IF('Open 30M - Scoring'!B56&lt;&gt;"",IF('Open 30M - Scoring'!T56&lt;&gt;"",'Open 30M - Scoring'!T56,""),"")</f>
        <v/>
      </c>
      <c r="E437" s="80" t="str">
        <f>IF('Open 30M - Scoring'!B56&lt;&gt;"",'Open 30M - Scoring'!AR56,"")</f>
        <v/>
      </c>
      <c r="F437" s="81" t="str">
        <f>IF(E435&lt;&gt;"",IFERROR(IF(ISNUMBER(E435),E435,0),0)+IFERROR(IF(ISNUMBER(E436),E436,0),0)+IFERROR(IF(ISNUMBER(E437),E437,0),0),"")</f>
        <v/>
      </c>
      <c r="H437" s="78" t="s">
        <v>224</v>
      </c>
      <c r="I437" s="79" t="str">
        <f>IF('Open 30M - Scoring'!B57&lt;&gt;"",IF('Open 30M - Scoring'!R57&lt;&gt;"",'Open 30M - Scoring'!R57,""),"")</f>
        <v/>
      </c>
      <c r="J437" s="79" t="str">
        <f>IF('Open 30M - Scoring'!B57&lt;&gt;"",IF('Open 30M - Scoring'!S57&lt;&gt;"",'Open 30M - Scoring'!S57,""),"")</f>
        <v/>
      </c>
      <c r="K437" s="79" t="str">
        <f>IF('Open 30M - Scoring'!B57&lt;&gt;"",IF('Open 30M - Scoring'!T57&lt;&gt;"",'Open 30M - Scoring'!T57,""),"")</f>
        <v/>
      </c>
      <c r="L437" s="80" t="str">
        <f>IF('Open 30M - Scoring'!B57&lt;&gt;"",'Open 30M - Scoring'!AR57,"")</f>
        <v/>
      </c>
      <c r="M437" s="81" t="str">
        <f>IF(L435&lt;&gt;"",IFERROR(IF(ISNUMBER(L435),L435,0),0)+IFERROR(IF(ISNUMBER(L436),L436,0),0)+IFERROR(IF(ISNUMBER(L437),L437,0),0),"")</f>
        <v/>
      </c>
    </row>
    <row r="438" spans="1:13" ht="19.5" customHeight="1" x14ac:dyDescent="0.35">
      <c r="A438" s="78" t="s">
        <v>227</v>
      </c>
      <c r="B438" s="79" t="str">
        <f>IF('Open 30M - Scoring'!B56&lt;&gt;"",IF('Open 30M - Scoring'!X56&lt;&gt;"",'Open 30M - Scoring'!X56,""),"")</f>
        <v/>
      </c>
      <c r="C438" s="79" t="str">
        <f>IF('Open 30M - Scoring'!B56&lt;&gt;"",IF('Open 30M - Scoring'!Y56&lt;&gt;"",'Open 30M - Scoring'!Y56,""),"")</f>
        <v/>
      </c>
      <c r="D438" s="79" t="str">
        <f>IF('Open 30M - Scoring'!B56&lt;&gt;"",IF('Open 30M - Scoring'!Z56&lt;&gt;"",'Open 30M - Scoring'!Z56,""),"")</f>
        <v/>
      </c>
      <c r="E438" s="80" t="str">
        <f>IF('Open 30M - Scoring'!B56&lt;&gt;"",'Open 30M - Scoring'!AS56,"")</f>
        <v/>
      </c>
      <c r="F438" s="81" t="str">
        <f>IF(E435&lt;&gt;"",IFERROR(IF(ISNUMBER(E435),E435,0),0)+IFERROR(IF(ISNUMBER(E436),E436,0),0)+IFERROR(IF(ISNUMBER(E437),E437,0),0)+IFERROR(IF(ISNUMBER(E438),E438,0),0),"")</f>
        <v/>
      </c>
      <c r="H438" s="78" t="s">
        <v>227</v>
      </c>
      <c r="I438" s="79" t="str">
        <f>IF('Open 30M - Scoring'!B57&lt;&gt;"",IF('Open 30M - Scoring'!X57&lt;&gt;"",'Open 30M - Scoring'!X57,""),"")</f>
        <v/>
      </c>
      <c r="J438" s="79" t="str">
        <f>IF('Open 30M - Scoring'!B57&lt;&gt;"",IF('Open 30M - Scoring'!Y57&lt;&gt;"",'Open 30M - Scoring'!Y57,""),"")</f>
        <v/>
      </c>
      <c r="K438" s="79" t="str">
        <f>IF('Open 30M - Scoring'!B57&lt;&gt;"",IF('Open 30M - Scoring'!Z57&lt;&gt;"",'Open 30M - Scoring'!Z57,""),"")</f>
        <v/>
      </c>
      <c r="L438" s="80" t="str">
        <f>IF('Open 30M - Scoring'!B57&lt;&gt;"",'Open 30M - Scoring'!AS57,"")</f>
        <v/>
      </c>
      <c r="M438" s="81" t="str">
        <f>IF(L435&lt;&gt;"",IFERROR(IF(ISNUMBER(L435),L435,0),0)+IFERROR(IF(ISNUMBER(L436),L436,0),0)+IFERROR(IF(ISNUMBER(L437),L437,0),0)+IFERROR(IF(ISNUMBER(L438),L438,0),0),"")</f>
        <v/>
      </c>
    </row>
    <row r="439" spans="1:13" ht="19.5" customHeight="1" x14ac:dyDescent="0.35">
      <c r="A439" s="78" t="s">
        <v>228</v>
      </c>
      <c r="B439" s="79" t="str">
        <f>IF('Open 30M - Scoring'!B56&lt;&gt;"",IF('Open 30M - Scoring'!AD56&lt;&gt;"",'Open 30M - Scoring'!AD56,""),"")</f>
        <v/>
      </c>
      <c r="C439" s="79" t="str">
        <f>IF('Open 30M - Scoring'!B56&lt;&gt;"",IF('Open 30M - Scoring'!AE56&lt;&gt;"",'Open 30M - Scoring'!AE56,""),"")</f>
        <v/>
      </c>
      <c r="D439" s="79" t="str">
        <f>IF('Open 30M - Scoring'!B56&lt;&gt;"",IF('Open 30M - Scoring'!AF56&lt;&gt;"",'Open 30M - Scoring'!AF56,""),"")</f>
        <v/>
      </c>
      <c r="E439" s="80" t="str">
        <f>IF('Open 30M - Scoring'!B56&lt;&gt;"",'Open 30M - Scoring'!AT56,"")</f>
        <v/>
      </c>
      <c r="F439" s="81" t="str">
        <f>IF(E435&lt;&gt;"",IFERROR(IF(ISNUMBER(E435),E435,0),0)+IFERROR(IF(ISNUMBER(E436),E436,0),0)+IFERROR(IF(ISNUMBER(E437),E437,0),0)+IFERROR(IF(ISNUMBER(E438),E438,0),0)+IFERROR(IF(ISNUMBER(E439),E439,0),0),"")</f>
        <v/>
      </c>
      <c r="H439" s="78" t="s">
        <v>228</v>
      </c>
      <c r="I439" s="79" t="str">
        <f>IF('Open 30M - Scoring'!B57&lt;&gt;"",IF('Open 30M - Scoring'!AD57&lt;&gt;"",'Open 30M - Scoring'!AD57,""),"")</f>
        <v/>
      </c>
      <c r="J439" s="79" t="str">
        <f>IF('Open 30M - Scoring'!B57&lt;&gt;"",IF('Open 30M - Scoring'!AE57&lt;&gt;"",'Open 30M - Scoring'!AE57,""),"")</f>
        <v/>
      </c>
      <c r="K439" s="79" t="str">
        <f>IF('Open 30M - Scoring'!B57&lt;&gt;"",IF('Open 30M - Scoring'!AF57&lt;&gt;"",'Open 30M - Scoring'!AF57,""),"")</f>
        <v/>
      </c>
      <c r="L439" s="80" t="str">
        <f>IF('Open 30M - Scoring'!B57&lt;&gt;"",'Open 30M - Scoring'!AT57,"")</f>
        <v/>
      </c>
      <c r="M439" s="81" t="str">
        <f>IF(L435&lt;&gt;"",IFERROR(IF(ISNUMBER(L435),L435,0),0)+IFERROR(IF(ISNUMBER(L436),L436,0),0)+IFERROR(IF(ISNUMBER(L437),L437,0),0)+IFERROR(IF(ISNUMBER(L438),L438,0),0)+IFERROR(IF(ISNUMBER(L439),L439,0),0),"")</f>
        <v/>
      </c>
    </row>
    <row r="440" spans="1:13" ht="19.5" customHeight="1" x14ac:dyDescent="0.35">
      <c r="A440" s="78" t="s">
        <v>229</v>
      </c>
      <c r="B440" s="79" t="str">
        <f>IF('Open 30M - Scoring'!B56&lt;&gt;"",IF('Open 30M - Scoring'!AJ56&lt;&gt;"",'Open 30M - Scoring'!AJ56,""),"")</f>
        <v/>
      </c>
      <c r="C440" s="79" t="str">
        <f>IF('Open 30M - Scoring'!B56&lt;&gt;"",IF('Open 30M - Scoring'!AK56&lt;&gt;"",'Open 30M - Scoring'!AK56,""),"")</f>
        <v/>
      </c>
      <c r="D440" s="79" t="str">
        <f>IF('Open 30M - Scoring'!B56&lt;&gt;"",IF('Open 30M - Scoring'!AL56&lt;&gt;"",'Open 30M - Scoring'!AL56,""),"")</f>
        <v/>
      </c>
      <c r="E440" s="80" t="str">
        <f>IF('Open 30M - Scoring'!B56&lt;&gt;"",'Open 30M - Scoring'!AU56,"")</f>
        <v/>
      </c>
      <c r="F440" s="81" t="str">
        <f>IF(E435&lt;&gt;"",IFERROR(IF(ISNUMBER(E435),E435,0),0)+IFERROR(IF(ISNUMBER(E436),E436,0),0)+IFERROR(IF(ISNUMBER(E437),E437,0),0)+IFERROR(IF(ISNUMBER(E438),E438,0),0)+IFERROR(IF(ISNUMBER(E439),E439,0),0)+IFERROR(IF(ISNUMBER(E440),E440,0),0),"")</f>
        <v/>
      </c>
      <c r="H440" s="78" t="s">
        <v>229</v>
      </c>
      <c r="I440" s="79" t="str">
        <f>IF('Open 30M - Scoring'!B57&lt;&gt;"",IF('Open 30M - Scoring'!AJ57&lt;&gt;"",'Open 30M - Scoring'!AJ57,""),"")</f>
        <v/>
      </c>
      <c r="J440" s="79" t="str">
        <f>IF('Open 30M - Scoring'!B57&lt;&gt;"",IF('Open 30M - Scoring'!AK57&lt;&gt;"",'Open 30M - Scoring'!AK57,""),"")</f>
        <v/>
      </c>
      <c r="K440" s="79" t="str">
        <f>IF('Open 30M - Scoring'!B57&lt;&gt;"",IF('Open 30M - Scoring'!AL57&lt;&gt;"",'Open 30M - Scoring'!AL57,""),"")</f>
        <v/>
      </c>
      <c r="L440" s="80" t="str">
        <f>IF('Open 30M - Scoring'!B57&lt;&gt;"",'Open 30M - Scoring'!AU57,"")</f>
        <v/>
      </c>
      <c r="M440" s="81" t="str">
        <f>IF(L435&lt;&gt;"",IFERROR(IF(ISNUMBER(L435),L435,0),0)+IFERROR(IF(ISNUMBER(L436),L436,0),0)+IFERROR(IF(ISNUMBER(L437),L437,0),0)+IFERROR(IF(ISNUMBER(L438),L438,0),0)+IFERROR(IF(ISNUMBER(L439),L439,0),0)+IFERROR(IF(ISNUMBER(L440),L440,0),0),"")</f>
        <v/>
      </c>
    </row>
    <row r="441" spans="1:13" ht="3.75" customHeight="1" x14ac:dyDescent="0.35"/>
    <row r="442" spans="1:13" ht="24" customHeight="1" x14ac:dyDescent="0.35">
      <c r="A442" s="124" t="s">
        <v>230</v>
      </c>
      <c r="B442" s="124"/>
      <c r="C442" s="124"/>
      <c r="D442" s="124"/>
      <c r="E442" s="125" t="str">
        <f>IF('Open 30M - Scoring'!B56&lt;&gt;"",'Open 30M - Scoring'!AV56,"")</f>
        <v/>
      </c>
      <c r="F442" s="125"/>
      <c r="H442" s="124" t="s">
        <v>230</v>
      </c>
      <c r="I442" s="124"/>
      <c r="J442" s="124"/>
      <c r="K442" s="124"/>
      <c r="L442" s="125" t="str">
        <f>IF('Open 30M - Scoring'!B57&lt;&gt;"",'Open 30M - Scoring'!AV57,"")</f>
        <v/>
      </c>
      <c r="M442" s="125"/>
    </row>
    <row r="443" spans="1:13" ht="19.5" customHeight="1" x14ac:dyDescent="0.35">
      <c r="E443" s="125"/>
      <c r="F443" s="125"/>
      <c r="L443" s="125"/>
      <c r="M443" s="125"/>
    </row>
    <row r="444" spans="1:13" ht="3.75" customHeight="1" x14ac:dyDescent="0.35"/>
    <row r="445" spans="1:13" ht="18" customHeight="1" x14ac:dyDescent="0.35">
      <c r="A445" s="73" t="s">
        <v>126</v>
      </c>
      <c r="B445" s="82" t="str">
        <f>IF('Open 30M - Scoring'!B56&lt;&gt;"",'Open 30M - Scoring'!AW56,"")</f>
        <v/>
      </c>
      <c r="C445" s="73" t="s">
        <v>127</v>
      </c>
      <c r="D445" s="83" t="str">
        <f>IF('Open 30M - Scoring'!B56&lt;&gt;"",'Open 30M - Scoring'!AX56,"")</f>
        <v/>
      </c>
      <c r="E445" s="73" t="s">
        <v>128</v>
      </c>
      <c r="F445" s="83" t="str">
        <f>IF('Open 30M - Scoring'!B56&lt;&gt;"",'Open 30M - Scoring'!AY56,"")</f>
        <v/>
      </c>
      <c r="H445" s="73" t="s">
        <v>126</v>
      </c>
      <c r="I445" s="82" t="str">
        <f>IF('Open 30M - Scoring'!B57&lt;&gt;"",'Open 30M - Scoring'!AW57,"")</f>
        <v/>
      </c>
      <c r="J445" s="73" t="s">
        <v>127</v>
      </c>
      <c r="K445" s="83" t="str">
        <f>IF('Open 30M - Scoring'!B57&lt;&gt;"",'Open 30M - Scoring'!AX57,"")</f>
        <v/>
      </c>
      <c r="L445" s="73" t="s">
        <v>128</v>
      </c>
      <c r="M445" s="83" t="str">
        <f>IF('Open 30M - Scoring'!B57&lt;&gt;"",'Open 30M - Scoring'!AY57,"")</f>
        <v/>
      </c>
    </row>
    <row r="446" spans="1:13" ht="3.75" customHeight="1" x14ac:dyDescent="0.35"/>
    <row r="447" spans="1:13" ht="7.5" customHeight="1" x14ac:dyDescent="0.35">
      <c r="A447" s="126"/>
      <c r="B447" s="126"/>
      <c r="C447" s="126"/>
      <c r="D447" s="126"/>
      <c r="E447" s="126"/>
      <c r="F447" s="126"/>
      <c r="G447" s="126"/>
      <c r="H447" s="126"/>
      <c r="I447" s="126"/>
      <c r="J447" s="126"/>
      <c r="K447" s="126"/>
      <c r="L447" s="126"/>
      <c r="M447" s="126"/>
    </row>
    <row r="448" spans="1:13" ht="15.75" customHeight="1" x14ac:dyDescent="0.35">
      <c r="A448" s="73" t="s">
        <v>218</v>
      </c>
      <c r="B448" s="122" t="str">
        <f>IF('Open 30M - Scoring'!B58&lt;&gt;"",'Open 30M - Scoring'!B58,"")</f>
        <v/>
      </c>
      <c r="C448" s="122"/>
      <c r="D448" s="122"/>
      <c r="E448" s="73" t="s">
        <v>219</v>
      </c>
      <c r="F448" s="74" t="str">
        <f>IF('Open 30M - Scoring'!B58&lt;&gt;"",'Open 30M - Scoring'!BB58,"")</f>
        <v/>
      </c>
      <c r="H448" s="73" t="s">
        <v>218</v>
      </c>
      <c r="I448" s="122" t="str">
        <f>IF('Open 30M - Scoring'!B59&lt;&gt;"",'Open 30M - Scoring'!B59,"")</f>
        <v/>
      </c>
      <c r="J448" s="122"/>
      <c r="K448" s="122"/>
      <c r="L448" s="73" t="s">
        <v>219</v>
      </c>
      <c r="M448" s="74" t="str">
        <f>IF('Open 30M - Scoring'!B59&lt;&gt;"",'Open 30M - Scoring'!BB59,"")</f>
        <v/>
      </c>
    </row>
    <row r="449" spans="1:13" ht="15.75" customHeight="1" x14ac:dyDescent="0.35">
      <c r="A449" s="73" t="s">
        <v>220</v>
      </c>
      <c r="B449" s="123" t="str">
        <f>IF('Open 30M - Scoring'!B58&lt;&gt;"",'Open 30M - Scoring'!D58,"")</f>
        <v/>
      </c>
      <c r="C449" s="123"/>
      <c r="D449" s="123"/>
      <c r="E449" s="73" t="s">
        <v>8</v>
      </c>
      <c r="F449" s="75" t="str">
        <f>IF('Open 30M - Scoring'!B58&lt;&gt;"",'Open 30M - Scoring'!E58,"")</f>
        <v/>
      </c>
      <c r="H449" s="73" t="s">
        <v>220</v>
      </c>
      <c r="I449" s="123" t="str">
        <f>IF('Open 30M - Scoring'!B59&lt;&gt;"",'Open 30M - Scoring'!D59,"")</f>
        <v/>
      </c>
      <c r="J449" s="123"/>
      <c r="K449" s="123"/>
      <c r="L449" s="73" t="s">
        <v>8</v>
      </c>
      <c r="M449" s="75" t="str">
        <f>IF('Open 30M - Scoring'!B59&lt;&gt;"",'Open 30M - Scoring'!E59,"")</f>
        <v/>
      </c>
    </row>
    <row r="450" spans="1:13" ht="3.75" customHeight="1" x14ac:dyDescent="0.35"/>
    <row r="451" spans="1:13" ht="25.5" customHeight="1" x14ac:dyDescent="0.35">
      <c r="A451" s="76" t="s">
        <v>221</v>
      </c>
      <c r="B451" s="77" t="s">
        <v>222</v>
      </c>
      <c r="C451" s="77" t="s">
        <v>223</v>
      </c>
      <c r="D451" s="77" t="s">
        <v>224</v>
      </c>
      <c r="E451" s="76" t="s">
        <v>225</v>
      </c>
      <c r="F451" s="76" t="s">
        <v>226</v>
      </c>
      <c r="H451" s="76" t="s">
        <v>221</v>
      </c>
      <c r="I451" s="77" t="s">
        <v>222</v>
      </c>
      <c r="J451" s="77" t="s">
        <v>223</v>
      </c>
      <c r="K451" s="77" t="s">
        <v>224</v>
      </c>
      <c r="L451" s="76" t="s">
        <v>225</v>
      </c>
      <c r="M451" s="76" t="s">
        <v>226</v>
      </c>
    </row>
    <row r="452" spans="1:13" ht="19.5" customHeight="1" x14ac:dyDescent="0.35">
      <c r="A452" s="78" t="s">
        <v>222</v>
      </c>
      <c r="B452" s="79" t="str">
        <f>IF('Open 30M - Scoring'!B58&lt;&gt;"",IF('Open 30M - Scoring'!F58&lt;&gt;"",'Open 30M - Scoring'!F58,""),"")</f>
        <v/>
      </c>
      <c r="C452" s="79" t="str">
        <f>IF('Open 30M - Scoring'!B58&lt;&gt;"",IF('Open 30M - Scoring'!G58&lt;&gt;"",'Open 30M - Scoring'!G58,""),"")</f>
        <v/>
      </c>
      <c r="D452" s="79" t="str">
        <f>IF('Open 30M - Scoring'!B58&lt;&gt;"",IF('Open 30M - Scoring'!H58&lt;&gt;"",'Open 30M - Scoring'!H58,""),"")</f>
        <v/>
      </c>
      <c r="E452" s="80" t="str">
        <f>IF('Open 30M - Scoring'!B58&lt;&gt;"",'Open 30M - Scoring'!AP58,"")</f>
        <v/>
      </c>
      <c r="F452" s="81" t="str">
        <f>IFERROR(IF(ISNUMBER(E452),E452,""),"")</f>
        <v/>
      </c>
      <c r="H452" s="78" t="s">
        <v>222</v>
      </c>
      <c r="I452" s="79" t="str">
        <f>IF('Open 30M - Scoring'!B59&lt;&gt;"",IF('Open 30M - Scoring'!F59&lt;&gt;"",'Open 30M - Scoring'!F59,""),"")</f>
        <v/>
      </c>
      <c r="J452" s="79" t="str">
        <f>IF('Open 30M - Scoring'!B59&lt;&gt;"",IF('Open 30M - Scoring'!G59&lt;&gt;"",'Open 30M - Scoring'!G59,""),"")</f>
        <v/>
      </c>
      <c r="K452" s="79" t="str">
        <f>IF('Open 30M - Scoring'!B59&lt;&gt;"",IF('Open 30M - Scoring'!H59&lt;&gt;"",'Open 30M - Scoring'!H59,""),"")</f>
        <v/>
      </c>
      <c r="L452" s="80" t="str">
        <f>IF('Open 30M - Scoring'!B59&lt;&gt;"",'Open 30M - Scoring'!AP59,"")</f>
        <v/>
      </c>
      <c r="M452" s="81" t="str">
        <f>IFERROR(IF(ISNUMBER(L452),L452,""),"")</f>
        <v/>
      </c>
    </row>
    <row r="453" spans="1:13" ht="19.5" customHeight="1" x14ac:dyDescent="0.35">
      <c r="A453" s="78" t="s">
        <v>223</v>
      </c>
      <c r="B453" s="79" t="str">
        <f>IF('Open 30M - Scoring'!B58&lt;&gt;"",IF('Open 30M - Scoring'!L58&lt;&gt;"",'Open 30M - Scoring'!L58,""),"")</f>
        <v/>
      </c>
      <c r="C453" s="79" t="str">
        <f>IF('Open 30M - Scoring'!B58&lt;&gt;"",IF('Open 30M - Scoring'!M58&lt;&gt;"",'Open 30M - Scoring'!M58,""),"")</f>
        <v/>
      </c>
      <c r="D453" s="79" t="str">
        <f>IF('Open 30M - Scoring'!B58&lt;&gt;"",IF('Open 30M - Scoring'!N58&lt;&gt;"",'Open 30M - Scoring'!N58,""),"")</f>
        <v/>
      </c>
      <c r="E453" s="80" t="str">
        <f>IF('Open 30M - Scoring'!B58&lt;&gt;"",'Open 30M - Scoring'!AQ58,"")</f>
        <v/>
      </c>
      <c r="F453" s="81" t="str">
        <f>IF(E452&lt;&gt;"",IFERROR(IF(ISNUMBER(E452),E452,0),0)+IFERROR(IF(ISNUMBER(E453),E453,0),0),"")</f>
        <v/>
      </c>
      <c r="H453" s="78" t="s">
        <v>223</v>
      </c>
      <c r="I453" s="79" t="str">
        <f>IF('Open 30M - Scoring'!B59&lt;&gt;"",IF('Open 30M - Scoring'!L59&lt;&gt;"",'Open 30M - Scoring'!L59,""),"")</f>
        <v/>
      </c>
      <c r="J453" s="79" t="str">
        <f>IF('Open 30M - Scoring'!B59&lt;&gt;"",IF('Open 30M - Scoring'!M59&lt;&gt;"",'Open 30M - Scoring'!M59,""),"")</f>
        <v/>
      </c>
      <c r="K453" s="79" t="str">
        <f>IF('Open 30M - Scoring'!B59&lt;&gt;"",IF('Open 30M - Scoring'!N59&lt;&gt;"",'Open 30M - Scoring'!N59,""),"")</f>
        <v/>
      </c>
      <c r="L453" s="80" t="str">
        <f>IF('Open 30M - Scoring'!B59&lt;&gt;"",'Open 30M - Scoring'!AQ59,"")</f>
        <v/>
      </c>
      <c r="M453" s="81" t="str">
        <f>IF(L452&lt;&gt;"",IFERROR(IF(ISNUMBER(L452),L452,0),0)+IFERROR(IF(ISNUMBER(L453),L453,0),0),"")</f>
        <v/>
      </c>
    </row>
    <row r="454" spans="1:13" ht="19.5" customHeight="1" x14ac:dyDescent="0.35">
      <c r="A454" s="78" t="s">
        <v>224</v>
      </c>
      <c r="B454" s="79" t="str">
        <f>IF('Open 30M - Scoring'!B58&lt;&gt;"",IF('Open 30M - Scoring'!R58&lt;&gt;"",'Open 30M - Scoring'!R58,""),"")</f>
        <v/>
      </c>
      <c r="C454" s="79" t="str">
        <f>IF('Open 30M - Scoring'!B58&lt;&gt;"",IF('Open 30M - Scoring'!S58&lt;&gt;"",'Open 30M - Scoring'!S58,""),"")</f>
        <v/>
      </c>
      <c r="D454" s="79" t="str">
        <f>IF('Open 30M - Scoring'!B58&lt;&gt;"",IF('Open 30M - Scoring'!T58&lt;&gt;"",'Open 30M - Scoring'!T58,""),"")</f>
        <v/>
      </c>
      <c r="E454" s="80" t="str">
        <f>IF('Open 30M - Scoring'!B58&lt;&gt;"",'Open 30M - Scoring'!AR58,"")</f>
        <v/>
      </c>
      <c r="F454" s="81" t="str">
        <f>IF(E452&lt;&gt;"",IFERROR(IF(ISNUMBER(E452),E452,0),0)+IFERROR(IF(ISNUMBER(E453),E453,0),0)+IFERROR(IF(ISNUMBER(E454),E454,0),0),"")</f>
        <v/>
      </c>
      <c r="H454" s="78" t="s">
        <v>224</v>
      </c>
      <c r="I454" s="79" t="str">
        <f>IF('Open 30M - Scoring'!B59&lt;&gt;"",IF('Open 30M - Scoring'!R59&lt;&gt;"",'Open 30M - Scoring'!R59,""),"")</f>
        <v/>
      </c>
      <c r="J454" s="79" t="str">
        <f>IF('Open 30M - Scoring'!B59&lt;&gt;"",IF('Open 30M - Scoring'!S59&lt;&gt;"",'Open 30M - Scoring'!S59,""),"")</f>
        <v/>
      </c>
      <c r="K454" s="79" t="str">
        <f>IF('Open 30M - Scoring'!B59&lt;&gt;"",IF('Open 30M - Scoring'!T59&lt;&gt;"",'Open 30M - Scoring'!T59,""),"")</f>
        <v/>
      </c>
      <c r="L454" s="80" t="str">
        <f>IF('Open 30M - Scoring'!B59&lt;&gt;"",'Open 30M - Scoring'!AR59,"")</f>
        <v/>
      </c>
      <c r="M454" s="81" t="str">
        <f>IF(L452&lt;&gt;"",IFERROR(IF(ISNUMBER(L452),L452,0),0)+IFERROR(IF(ISNUMBER(L453),L453,0),0)+IFERROR(IF(ISNUMBER(L454),L454,0),0),"")</f>
        <v/>
      </c>
    </row>
    <row r="455" spans="1:13" ht="19.5" customHeight="1" x14ac:dyDescent="0.35">
      <c r="A455" s="78" t="s">
        <v>227</v>
      </c>
      <c r="B455" s="79" t="str">
        <f>IF('Open 30M - Scoring'!B58&lt;&gt;"",IF('Open 30M - Scoring'!X58&lt;&gt;"",'Open 30M - Scoring'!X58,""),"")</f>
        <v/>
      </c>
      <c r="C455" s="79" t="str">
        <f>IF('Open 30M - Scoring'!B58&lt;&gt;"",IF('Open 30M - Scoring'!Y58&lt;&gt;"",'Open 30M - Scoring'!Y58,""),"")</f>
        <v/>
      </c>
      <c r="D455" s="79" t="str">
        <f>IF('Open 30M - Scoring'!B58&lt;&gt;"",IF('Open 30M - Scoring'!Z58&lt;&gt;"",'Open 30M - Scoring'!Z58,""),"")</f>
        <v/>
      </c>
      <c r="E455" s="80" t="str">
        <f>IF('Open 30M - Scoring'!B58&lt;&gt;"",'Open 30M - Scoring'!AS58,"")</f>
        <v/>
      </c>
      <c r="F455" s="81" t="str">
        <f>IF(E452&lt;&gt;"",IFERROR(IF(ISNUMBER(E452),E452,0),0)+IFERROR(IF(ISNUMBER(E453),E453,0),0)+IFERROR(IF(ISNUMBER(E454),E454,0),0)+IFERROR(IF(ISNUMBER(E455),E455,0),0),"")</f>
        <v/>
      </c>
      <c r="H455" s="78" t="s">
        <v>227</v>
      </c>
      <c r="I455" s="79" t="str">
        <f>IF('Open 30M - Scoring'!B59&lt;&gt;"",IF('Open 30M - Scoring'!X59&lt;&gt;"",'Open 30M - Scoring'!X59,""),"")</f>
        <v/>
      </c>
      <c r="J455" s="79" t="str">
        <f>IF('Open 30M - Scoring'!B59&lt;&gt;"",IF('Open 30M - Scoring'!Y59&lt;&gt;"",'Open 30M - Scoring'!Y59,""),"")</f>
        <v/>
      </c>
      <c r="K455" s="79" t="str">
        <f>IF('Open 30M - Scoring'!B59&lt;&gt;"",IF('Open 30M - Scoring'!Z59&lt;&gt;"",'Open 30M - Scoring'!Z59,""),"")</f>
        <v/>
      </c>
      <c r="L455" s="80" t="str">
        <f>IF('Open 30M - Scoring'!B59&lt;&gt;"",'Open 30M - Scoring'!AS59,"")</f>
        <v/>
      </c>
      <c r="M455" s="81" t="str">
        <f>IF(L452&lt;&gt;"",IFERROR(IF(ISNUMBER(L452),L452,0),0)+IFERROR(IF(ISNUMBER(L453),L453,0),0)+IFERROR(IF(ISNUMBER(L454),L454,0),0)+IFERROR(IF(ISNUMBER(L455),L455,0),0),"")</f>
        <v/>
      </c>
    </row>
    <row r="456" spans="1:13" ht="19.5" customHeight="1" x14ac:dyDescent="0.35">
      <c r="A456" s="78" t="s">
        <v>228</v>
      </c>
      <c r="B456" s="79" t="str">
        <f>IF('Open 30M - Scoring'!B58&lt;&gt;"",IF('Open 30M - Scoring'!AD58&lt;&gt;"",'Open 30M - Scoring'!AD58,""),"")</f>
        <v/>
      </c>
      <c r="C456" s="79" t="str">
        <f>IF('Open 30M - Scoring'!B58&lt;&gt;"",IF('Open 30M - Scoring'!AE58&lt;&gt;"",'Open 30M - Scoring'!AE58,""),"")</f>
        <v/>
      </c>
      <c r="D456" s="79" t="str">
        <f>IF('Open 30M - Scoring'!B58&lt;&gt;"",IF('Open 30M - Scoring'!AF58&lt;&gt;"",'Open 30M - Scoring'!AF58,""),"")</f>
        <v/>
      </c>
      <c r="E456" s="80" t="str">
        <f>IF('Open 30M - Scoring'!B58&lt;&gt;"",'Open 30M - Scoring'!AT58,"")</f>
        <v/>
      </c>
      <c r="F456" s="81" t="str">
        <f>IF(E452&lt;&gt;"",IFERROR(IF(ISNUMBER(E452),E452,0),0)+IFERROR(IF(ISNUMBER(E453),E453,0),0)+IFERROR(IF(ISNUMBER(E454),E454,0),0)+IFERROR(IF(ISNUMBER(E455),E455,0),0)+IFERROR(IF(ISNUMBER(E456),E456,0),0),"")</f>
        <v/>
      </c>
      <c r="H456" s="78" t="s">
        <v>228</v>
      </c>
      <c r="I456" s="79" t="str">
        <f>IF('Open 30M - Scoring'!B59&lt;&gt;"",IF('Open 30M - Scoring'!AD59&lt;&gt;"",'Open 30M - Scoring'!AD59,""),"")</f>
        <v/>
      </c>
      <c r="J456" s="79" t="str">
        <f>IF('Open 30M - Scoring'!B59&lt;&gt;"",IF('Open 30M - Scoring'!AE59&lt;&gt;"",'Open 30M - Scoring'!AE59,""),"")</f>
        <v/>
      </c>
      <c r="K456" s="79" t="str">
        <f>IF('Open 30M - Scoring'!B59&lt;&gt;"",IF('Open 30M - Scoring'!AF59&lt;&gt;"",'Open 30M - Scoring'!AF59,""),"")</f>
        <v/>
      </c>
      <c r="L456" s="80" t="str">
        <f>IF('Open 30M - Scoring'!B59&lt;&gt;"",'Open 30M - Scoring'!AT59,"")</f>
        <v/>
      </c>
      <c r="M456" s="81" t="str">
        <f>IF(L452&lt;&gt;"",IFERROR(IF(ISNUMBER(L452),L452,0),0)+IFERROR(IF(ISNUMBER(L453),L453,0),0)+IFERROR(IF(ISNUMBER(L454),L454,0),0)+IFERROR(IF(ISNUMBER(L455),L455,0),0)+IFERROR(IF(ISNUMBER(L456),L456,0),0),"")</f>
        <v/>
      </c>
    </row>
    <row r="457" spans="1:13" ht="19.5" customHeight="1" x14ac:dyDescent="0.35">
      <c r="A457" s="78" t="s">
        <v>229</v>
      </c>
      <c r="B457" s="79" t="str">
        <f>IF('Open 30M - Scoring'!B58&lt;&gt;"",IF('Open 30M - Scoring'!AJ58&lt;&gt;"",'Open 30M - Scoring'!AJ58,""),"")</f>
        <v/>
      </c>
      <c r="C457" s="79" t="str">
        <f>IF('Open 30M - Scoring'!B58&lt;&gt;"",IF('Open 30M - Scoring'!AK58&lt;&gt;"",'Open 30M - Scoring'!AK58,""),"")</f>
        <v/>
      </c>
      <c r="D457" s="79" t="str">
        <f>IF('Open 30M - Scoring'!B58&lt;&gt;"",IF('Open 30M - Scoring'!AL58&lt;&gt;"",'Open 30M - Scoring'!AL58,""),"")</f>
        <v/>
      </c>
      <c r="E457" s="80" t="str">
        <f>IF('Open 30M - Scoring'!B58&lt;&gt;"",'Open 30M - Scoring'!AU58,"")</f>
        <v/>
      </c>
      <c r="F457" s="81" t="str">
        <f>IF(E452&lt;&gt;"",IFERROR(IF(ISNUMBER(E452),E452,0),0)+IFERROR(IF(ISNUMBER(E453),E453,0),0)+IFERROR(IF(ISNUMBER(E454),E454,0),0)+IFERROR(IF(ISNUMBER(E455),E455,0),0)+IFERROR(IF(ISNUMBER(E456),E456,0),0)+IFERROR(IF(ISNUMBER(E457),E457,0),0),"")</f>
        <v/>
      </c>
      <c r="H457" s="78" t="s">
        <v>229</v>
      </c>
      <c r="I457" s="79" t="str">
        <f>IF('Open 30M - Scoring'!B59&lt;&gt;"",IF('Open 30M - Scoring'!AJ59&lt;&gt;"",'Open 30M - Scoring'!AJ59,""),"")</f>
        <v/>
      </c>
      <c r="J457" s="79" t="str">
        <f>IF('Open 30M - Scoring'!B59&lt;&gt;"",IF('Open 30M - Scoring'!AK59&lt;&gt;"",'Open 30M - Scoring'!AK59,""),"")</f>
        <v/>
      </c>
      <c r="K457" s="79" t="str">
        <f>IF('Open 30M - Scoring'!B59&lt;&gt;"",IF('Open 30M - Scoring'!AL59&lt;&gt;"",'Open 30M - Scoring'!AL59,""),"")</f>
        <v/>
      </c>
      <c r="L457" s="80" t="str">
        <f>IF('Open 30M - Scoring'!B59&lt;&gt;"",'Open 30M - Scoring'!AU59,"")</f>
        <v/>
      </c>
      <c r="M457" s="81" t="str">
        <f>IF(L452&lt;&gt;"",IFERROR(IF(ISNUMBER(L452),L452,0),0)+IFERROR(IF(ISNUMBER(L453),L453,0),0)+IFERROR(IF(ISNUMBER(L454),L454,0),0)+IFERROR(IF(ISNUMBER(L455),L455,0),0)+IFERROR(IF(ISNUMBER(L456),L456,0),0)+IFERROR(IF(ISNUMBER(L457),L457,0),0),"")</f>
        <v/>
      </c>
    </row>
    <row r="458" spans="1:13" ht="3.75" customHeight="1" x14ac:dyDescent="0.35"/>
    <row r="459" spans="1:13" ht="24" customHeight="1" x14ac:dyDescent="0.35">
      <c r="A459" s="124" t="s">
        <v>230</v>
      </c>
      <c r="B459" s="124"/>
      <c r="C459" s="124"/>
      <c r="D459" s="124"/>
      <c r="E459" s="125" t="str">
        <f>IF('Open 30M - Scoring'!B58&lt;&gt;"",'Open 30M - Scoring'!AV58,"")</f>
        <v/>
      </c>
      <c r="F459" s="125"/>
      <c r="H459" s="124" t="s">
        <v>230</v>
      </c>
      <c r="I459" s="124"/>
      <c r="J459" s="124"/>
      <c r="K459" s="124"/>
      <c r="L459" s="125" t="str">
        <f>IF('Open 30M - Scoring'!B59&lt;&gt;"",'Open 30M - Scoring'!AV59,"")</f>
        <v/>
      </c>
      <c r="M459" s="125"/>
    </row>
    <row r="460" spans="1:13" ht="19.5" customHeight="1" x14ac:dyDescent="0.35">
      <c r="E460" s="125"/>
      <c r="F460" s="125"/>
      <c r="L460" s="125"/>
      <c r="M460" s="125"/>
    </row>
    <row r="461" spans="1:13" ht="3.75" customHeight="1" x14ac:dyDescent="0.35"/>
    <row r="462" spans="1:13" ht="18" customHeight="1" x14ac:dyDescent="0.35">
      <c r="A462" s="73" t="s">
        <v>126</v>
      </c>
      <c r="B462" s="82" t="str">
        <f>IF('Open 30M - Scoring'!B58&lt;&gt;"",'Open 30M - Scoring'!AW58,"")</f>
        <v/>
      </c>
      <c r="C462" s="73" t="s">
        <v>127</v>
      </c>
      <c r="D462" s="83" t="str">
        <f>IF('Open 30M - Scoring'!B58&lt;&gt;"",'Open 30M - Scoring'!AX58,"")</f>
        <v/>
      </c>
      <c r="E462" s="73" t="s">
        <v>128</v>
      </c>
      <c r="F462" s="83" t="str">
        <f>IF('Open 30M - Scoring'!B58&lt;&gt;"",'Open 30M - Scoring'!AY58,"")</f>
        <v/>
      </c>
      <c r="H462" s="73" t="s">
        <v>126</v>
      </c>
      <c r="I462" s="82" t="str">
        <f>IF('Open 30M - Scoring'!B59&lt;&gt;"",'Open 30M - Scoring'!AW59,"")</f>
        <v/>
      </c>
      <c r="J462" s="73" t="s">
        <v>127</v>
      </c>
      <c r="K462" s="83" t="str">
        <f>IF('Open 30M - Scoring'!B59&lt;&gt;"",'Open 30M - Scoring'!AX59,"")</f>
        <v/>
      </c>
      <c r="L462" s="73" t="s">
        <v>128</v>
      </c>
      <c r="M462" s="83" t="str">
        <f>IF('Open 30M - Scoring'!B59&lt;&gt;"",'Open 30M - Scoring'!AY59,"")</f>
        <v/>
      </c>
    </row>
    <row r="463" spans="1:13" ht="3.75" customHeight="1" x14ac:dyDescent="0.35"/>
    <row r="464" spans="1:13" ht="7.5" customHeight="1" x14ac:dyDescent="0.35">
      <c r="A464" s="126"/>
      <c r="B464" s="126"/>
      <c r="C464" s="126"/>
      <c r="D464" s="126"/>
      <c r="E464" s="126"/>
      <c r="F464" s="126"/>
      <c r="G464" s="126"/>
      <c r="H464" s="126"/>
      <c r="I464" s="126"/>
      <c r="J464" s="126"/>
      <c r="K464" s="126"/>
      <c r="L464" s="126"/>
      <c r="M464" s="126"/>
    </row>
    <row r="465" spans="1:13" ht="15.75" customHeight="1" x14ac:dyDescent="0.35">
      <c r="A465" s="73" t="s">
        <v>218</v>
      </c>
      <c r="B465" s="122" t="str">
        <f>IF('Open 30M - Scoring'!B60&lt;&gt;"",'Open 30M - Scoring'!B60,"")</f>
        <v/>
      </c>
      <c r="C465" s="122"/>
      <c r="D465" s="122"/>
      <c r="E465" s="73" t="s">
        <v>219</v>
      </c>
      <c r="F465" s="74" t="str">
        <f>IF('Open 30M - Scoring'!B60&lt;&gt;"",'Open 30M - Scoring'!BB60,"")</f>
        <v/>
      </c>
      <c r="H465" s="73" t="s">
        <v>218</v>
      </c>
      <c r="I465" s="122" t="str">
        <f>IF('Open 30M - Scoring'!B61&lt;&gt;"",'Open 30M - Scoring'!B61,"")</f>
        <v/>
      </c>
      <c r="J465" s="122"/>
      <c r="K465" s="122"/>
      <c r="L465" s="73" t="s">
        <v>219</v>
      </c>
      <c r="M465" s="74" t="str">
        <f>IF('Open 30M - Scoring'!B61&lt;&gt;"",'Open 30M - Scoring'!BB61,"")</f>
        <v/>
      </c>
    </row>
    <row r="466" spans="1:13" ht="15.75" customHeight="1" x14ac:dyDescent="0.35">
      <c r="A466" s="73" t="s">
        <v>220</v>
      </c>
      <c r="B466" s="123" t="str">
        <f>IF('Open 30M - Scoring'!B60&lt;&gt;"",'Open 30M - Scoring'!D60,"")</f>
        <v/>
      </c>
      <c r="C466" s="123"/>
      <c r="D466" s="123"/>
      <c r="E466" s="73" t="s">
        <v>8</v>
      </c>
      <c r="F466" s="75" t="str">
        <f>IF('Open 30M - Scoring'!B60&lt;&gt;"",'Open 30M - Scoring'!E60,"")</f>
        <v/>
      </c>
      <c r="H466" s="73" t="s">
        <v>220</v>
      </c>
      <c r="I466" s="123" t="str">
        <f>IF('Open 30M - Scoring'!B61&lt;&gt;"",'Open 30M - Scoring'!D61,"")</f>
        <v/>
      </c>
      <c r="J466" s="123"/>
      <c r="K466" s="123"/>
      <c r="L466" s="73" t="s">
        <v>8</v>
      </c>
      <c r="M466" s="75" t="str">
        <f>IF('Open 30M - Scoring'!B61&lt;&gt;"",'Open 30M - Scoring'!E61,"")</f>
        <v/>
      </c>
    </row>
    <row r="467" spans="1:13" ht="3.75" customHeight="1" x14ac:dyDescent="0.35"/>
    <row r="468" spans="1:13" ht="25.5" customHeight="1" x14ac:dyDescent="0.35">
      <c r="A468" s="76" t="s">
        <v>221</v>
      </c>
      <c r="B468" s="77" t="s">
        <v>222</v>
      </c>
      <c r="C468" s="77" t="s">
        <v>223</v>
      </c>
      <c r="D468" s="77" t="s">
        <v>224</v>
      </c>
      <c r="E468" s="76" t="s">
        <v>225</v>
      </c>
      <c r="F468" s="76" t="s">
        <v>226</v>
      </c>
      <c r="H468" s="76" t="s">
        <v>221</v>
      </c>
      <c r="I468" s="77" t="s">
        <v>222</v>
      </c>
      <c r="J468" s="77" t="s">
        <v>223</v>
      </c>
      <c r="K468" s="77" t="s">
        <v>224</v>
      </c>
      <c r="L468" s="76" t="s">
        <v>225</v>
      </c>
      <c r="M468" s="76" t="s">
        <v>226</v>
      </c>
    </row>
    <row r="469" spans="1:13" ht="19.5" customHeight="1" x14ac:dyDescent="0.35">
      <c r="A469" s="78" t="s">
        <v>222</v>
      </c>
      <c r="B469" s="79" t="str">
        <f>IF('Open 30M - Scoring'!B60&lt;&gt;"",IF('Open 30M - Scoring'!F60&lt;&gt;"",'Open 30M - Scoring'!F60,""),"")</f>
        <v/>
      </c>
      <c r="C469" s="79" t="str">
        <f>IF('Open 30M - Scoring'!B60&lt;&gt;"",IF('Open 30M - Scoring'!G60&lt;&gt;"",'Open 30M - Scoring'!G60,""),"")</f>
        <v/>
      </c>
      <c r="D469" s="79" t="str">
        <f>IF('Open 30M - Scoring'!B60&lt;&gt;"",IF('Open 30M - Scoring'!H60&lt;&gt;"",'Open 30M - Scoring'!H60,""),"")</f>
        <v/>
      </c>
      <c r="E469" s="80" t="str">
        <f>IF('Open 30M - Scoring'!B60&lt;&gt;"",'Open 30M - Scoring'!AP60,"")</f>
        <v/>
      </c>
      <c r="F469" s="81" t="str">
        <f>IFERROR(IF(ISNUMBER(E469),E469,""),"")</f>
        <v/>
      </c>
      <c r="H469" s="78" t="s">
        <v>222</v>
      </c>
      <c r="I469" s="79" t="str">
        <f>IF('Open 30M - Scoring'!B61&lt;&gt;"",IF('Open 30M - Scoring'!F61&lt;&gt;"",'Open 30M - Scoring'!F61,""),"")</f>
        <v/>
      </c>
      <c r="J469" s="79" t="str">
        <f>IF('Open 30M - Scoring'!B61&lt;&gt;"",IF('Open 30M - Scoring'!G61&lt;&gt;"",'Open 30M - Scoring'!G61,""),"")</f>
        <v/>
      </c>
      <c r="K469" s="79" t="str">
        <f>IF('Open 30M - Scoring'!B61&lt;&gt;"",IF('Open 30M - Scoring'!H61&lt;&gt;"",'Open 30M - Scoring'!H61,""),"")</f>
        <v/>
      </c>
      <c r="L469" s="80" t="str">
        <f>IF('Open 30M - Scoring'!B61&lt;&gt;"",'Open 30M - Scoring'!AP61,"")</f>
        <v/>
      </c>
      <c r="M469" s="81" t="str">
        <f>IFERROR(IF(ISNUMBER(L469),L469,""),"")</f>
        <v/>
      </c>
    </row>
    <row r="470" spans="1:13" ht="19.5" customHeight="1" x14ac:dyDescent="0.35">
      <c r="A470" s="78" t="s">
        <v>223</v>
      </c>
      <c r="B470" s="79" t="str">
        <f>IF('Open 30M - Scoring'!B60&lt;&gt;"",IF('Open 30M - Scoring'!L60&lt;&gt;"",'Open 30M - Scoring'!L60,""),"")</f>
        <v/>
      </c>
      <c r="C470" s="79" t="str">
        <f>IF('Open 30M - Scoring'!B60&lt;&gt;"",IF('Open 30M - Scoring'!M60&lt;&gt;"",'Open 30M - Scoring'!M60,""),"")</f>
        <v/>
      </c>
      <c r="D470" s="79" t="str">
        <f>IF('Open 30M - Scoring'!B60&lt;&gt;"",IF('Open 30M - Scoring'!N60&lt;&gt;"",'Open 30M - Scoring'!N60,""),"")</f>
        <v/>
      </c>
      <c r="E470" s="80" t="str">
        <f>IF('Open 30M - Scoring'!B60&lt;&gt;"",'Open 30M - Scoring'!AQ60,"")</f>
        <v/>
      </c>
      <c r="F470" s="81" t="str">
        <f>IF(E469&lt;&gt;"",IFERROR(IF(ISNUMBER(E469),E469,0),0)+IFERROR(IF(ISNUMBER(E470),E470,0),0),"")</f>
        <v/>
      </c>
      <c r="H470" s="78" t="s">
        <v>223</v>
      </c>
      <c r="I470" s="79" t="str">
        <f>IF('Open 30M - Scoring'!B61&lt;&gt;"",IF('Open 30M - Scoring'!L61&lt;&gt;"",'Open 30M - Scoring'!L61,""),"")</f>
        <v/>
      </c>
      <c r="J470" s="79" t="str">
        <f>IF('Open 30M - Scoring'!B61&lt;&gt;"",IF('Open 30M - Scoring'!M61&lt;&gt;"",'Open 30M - Scoring'!M61,""),"")</f>
        <v/>
      </c>
      <c r="K470" s="79" t="str">
        <f>IF('Open 30M - Scoring'!B61&lt;&gt;"",IF('Open 30M - Scoring'!N61&lt;&gt;"",'Open 30M - Scoring'!N61,""),"")</f>
        <v/>
      </c>
      <c r="L470" s="80" t="str">
        <f>IF('Open 30M - Scoring'!B61&lt;&gt;"",'Open 30M - Scoring'!AQ61,"")</f>
        <v/>
      </c>
      <c r="M470" s="81" t="str">
        <f>IF(L469&lt;&gt;"",IFERROR(IF(ISNUMBER(L469),L469,0),0)+IFERROR(IF(ISNUMBER(L470),L470,0),0),"")</f>
        <v/>
      </c>
    </row>
    <row r="471" spans="1:13" ht="19.5" customHeight="1" x14ac:dyDescent="0.35">
      <c r="A471" s="78" t="s">
        <v>224</v>
      </c>
      <c r="B471" s="79" t="str">
        <f>IF('Open 30M - Scoring'!B60&lt;&gt;"",IF('Open 30M - Scoring'!R60&lt;&gt;"",'Open 30M - Scoring'!R60,""),"")</f>
        <v/>
      </c>
      <c r="C471" s="79" t="str">
        <f>IF('Open 30M - Scoring'!B60&lt;&gt;"",IF('Open 30M - Scoring'!S60&lt;&gt;"",'Open 30M - Scoring'!S60,""),"")</f>
        <v/>
      </c>
      <c r="D471" s="79" t="str">
        <f>IF('Open 30M - Scoring'!B60&lt;&gt;"",IF('Open 30M - Scoring'!T60&lt;&gt;"",'Open 30M - Scoring'!T60,""),"")</f>
        <v/>
      </c>
      <c r="E471" s="80" t="str">
        <f>IF('Open 30M - Scoring'!B60&lt;&gt;"",'Open 30M - Scoring'!AR60,"")</f>
        <v/>
      </c>
      <c r="F471" s="81" t="str">
        <f>IF(E469&lt;&gt;"",IFERROR(IF(ISNUMBER(E469),E469,0),0)+IFERROR(IF(ISNUMBER(E470),E470,0),0)+IFERROR(IF(ISNUMBER(E471),E471,0),0),"")</f>
        <v/>
      </c>
      <c r="H471" s="78" t="s">
        <v>224</v>
      </c>
      <c r="I471" s="79" t="str">
        <f>IF('Open 30M - Scoring'!B61&lt;&gt;"",IF('Open 30M - Scoring'!R61&lt;&gt;"",'Open 30M - Scoring'!R61,""),"")</f>
        <v/>
      </c>
      <c r="J471" s="79" t="str">
        <f>IF('Open 30M - Scoring'!B61&lt;&gt;"",IF('Open 30M - Scoring'!S61&lt;&gt;"",'Open 30M - Scoring'!S61,""),"")</f>
        <v/>
      </c>
      <c r="K471" s="79" t="str">
        <f>IF('Open 30M - Scoring'!B61&lt;&gt;"",IF('Open 30M - Scoring'!T61&lt;&gt;"",'Open 30M - Scoring'!T61,""),"")</f>
        <v/>
      </c>
      <c r="L471" s="80" t="str">
        <f>IF('Open 30M - Scoring'!B61&lt;&gt;"",'Open 30M - Scoring'!AR61,"")</f>
        <v/>
      </c>
      <c r="M471" s="81" t="str">
        <f>IF(L469&lt;&gt;"",IFERROR(IF(ISNUMBER(L469),L469,0),0)+IFERROR(IF(ISNUMBER(L470),L470,0),0)+IFERROR(IF(ISNUMBER(L471),L471,0),0),"")</f>
        <v/>
      </c>
    </row>
    <row r="472" spans="1:13" ht="19.5" customHeight="1" x14ac:dyDescent="0.35">
      <c r="A472" s="78" t="s">
        <v>227</v>
      </c>
      <c r="B472" s="79" t="str">
        <f>IF('Open 30M - Scoring'!B60&lt;&gt;"",IF('Open 30M - Scoring'!X60&lt;&gt;"",'Open 30M - Scoring'!X60,""),"")</f>
        <v/>
      </c>
      <c r="C472" s="79" t="str">
        <f>IF('Open 30M - Scoring'!B60&lt;&gt;"",IF('Open 30M - Scoring'!Y60&lt;&gt;"",'Open 30M - Scoring'!Y60,""),"")</f>
        <v/>
      </c>
      <c r="D472" s="79" t="str">
        <f>IF('Open 30M - Scoring'!B60&lt;&gt;"",IF('Open 30M - Scoring'!Z60&lt;&gt;"",'Open 30M - Scoring'!Z60,""),"")</f>
        <v/>
      </c>
      <c r="E472" s="80" t="str">
        <f>IF('Open 30M - Scoring'!B60&lt;&gt;"",'Open 30M - Scoring'!AS60,"")</f>
        <v/>
      </c>
      <c r="F472" s="81" t="str">
        <f>IF(E469&lt;&gt;"",IFERROR(IF(ISNUMBER(E469),E469,0),0)+IFERROR(IF(ISNUMBER(E470),E470,0),0)+IFERROR(IF(ISNUMBER(E471),E471,0),0)+IFERROR(IF(ISNUMBER(E472),E472,0),0),"")</f>
        <v/>
      </c>
      <c r="H472" s="78" t="s">
        <v>227</v>
      </c>
      <c r="I472" s="79" t="str">
        <f>IF('Open 30M - Scoring'!B61&lt;&gt;"",IF('Open 30M - Scoring'!X61&lt;&gt;"",'Open 30M - Scoring'!X61,""),"")</f>
        <v/>
      </c>
      <c r="J472" s="79" t="str">
        <f>IF('Open 30M - Scoring'!B61&lt;&gt;"",IF('Open 30M - Scoring'!Y61&lt;&gt;"",'Open 30M - Scoring'!Y61,""),"")</f>
        <v/>
      </c>
      <c r="K472" s="79" t="str">
        <f>IF('Open 30M - Scoring'!B61&lt;&gt;"",IF('Open 30M - Scoring'!Z61&lt;&gt;"",'Open 30M - Scoring'!Z61,""),"")</f>
        <v/>
      </c>
      <c r="L472" s="80" t="str">
        <f>IF('Open 30M - Scoring'!B61&lt;&gt;"",'Open 30M - Scoring'!AS61,"")</f>
        <v/>
      </c>
      <c r="M472" s="81" t="str">
        <f>IF(L469&lt;&gt;"",IFERROR(IF(ISNUMBER(L469),L469,0),0)+IFERROR(IF(ISNUMBER(L470),L470,0),0)+IFERROR(IF(ISNUMBER(L471),L471,0),0)+IFERROR(IF(ISNUMBER(L472),L472,0),0),"")</f>
        <v/>
      </c>
    </row>
    <row r="473" spans="1:13" ht="19.5" customHeight="1" x14ac:dyDescent="0.35">
      <c r="A473" s="78" t="s">
        <v>228</v>
      </c>
      <c r="B473" s="79" t="str">
        <f>IF('Open 30M - Scoring'!B60&lt;&gt;"",IF('Open 30M - Scoring'!AD60&lt;&gt;"",'Open 30M - Scoring'!AD60,""),"")</f>
        <v/>
      </c>
      <c r="C473" s="79" t="str">
        <f>IF('Open 30M - Scoring'!B60&lt;&gt;"",IF('Open 30M - Scoring'!AE60&lt;&gt;"",'Open 30M - Scoring'!AE60,""),"")</f>
        <v/>
      </c>
      <c r="D473" s="79" t="str">
        <f>IF('Open 30M - Scoring'!B60&lt;&gt;"",IF('Open 30M - Scoring'!AF60&lt;&gt;"",'Open 30M - Scoring'!AF60,""),"")</f>
        <v/>
      </c>
      <c r="E473" s="80" t="str">
        <f>IF('Open 30M - Scoring'!B60&lt;&gt;"",'Open 30M - Scoring'!AT60,"")</f>
        <v/>
      </c>
      <c r="F473" s="81" t="str">
        <f>IF(E469&lt;&gt;"",IFERROR(IF(ISNUMBER(E469),E469,0),0)+IFERROR(IF(ISNUMBER(E470),E470,0),0)+IFERROR(IF(ISNUMBER(E471),E471,0),0)+IFERROR(IF(ISNUMBER(E472),E472,0),0)+IFERROR(IF(ISNUMBER(E473),E473,0),0),"")</f>
        <v/>
      </c>
      <c r="H473" s="78" t="s">
        <v>228</v>
      </c>
      <c r="I473" s="79" t="str">
        <f>IF('Open 30M - Scoring'!B61&lt;&gt;"",IF('Open 30M - Scoring'!AD61&lt;&gt;"",'Open 30M - Scoring'!AD61,""),"")</f>
        <v/>
      </c>
      <c r="J473" s="79" t="str">
        <f>IF('Open 30M - Scoring'!B61&lt;&gt;"",IF('Open 30M - Scoring'!AE61&lt;&gt;"",'Open 30M - Scoring'!AE61,""),"")</f>
        <v/>
      </c>
      <c r="K473" s="79" t="str">
        <f>IF('Open 30M - Scoring'!B61&lt;&gt;"",IF('Open 30M - Scoring'!AF61&lt;&gt;"",'Open 30M - Scoring'!AF61,""),"")</f>
        <v/>
      </c>
      <c r="L473" s="80" t="str">
        <f>IF('Open 30M - Scoring'!B61&lt;&gt;"",'Open 30M - Scoring'!AT61,"")</f>
        <v/>
      </c>
      <c r="M473" s="81" t="str">
        <f>IF(L469&lt;&gt;"",IFERROR(IF(ISNUMBER(L469),L469,0),0)+IFERROR(IF(ISNUMBER(L470),L470,0),0)+IFERROR(IF(ISNUMBER(L471),L471,0),0)+IFERROR(IF(ISNUMBER(L472),L472,0),0)+IFERROR(IF(ISNUMBER(L473),L473,0),0),"")</f>
        <v/>
      </c>
    </row>
    <row r="474" spans="1:13" ht="19.5" customHeight="1" x14ac:dyDescent="0.35">
      <c r="A474" s="78" t="s">
        <v>229</v>
      </c>
      <c r="B474" s="79" t="str">
        <f>IF('Open 30M - Scoring'!B60&lt;&gt;"",IF('Open 30M - Scoring'!AJ60&lt;&gt;"",'Open 30M - Scoring'!AJ60,""),"")</f>
        <v/>
      </c>
      <c r="C474" s="79" t="str">
        <f>IF('Open 30M - Scoring'!B60&lt;&gt;"",IF('Open 30M - Scoring'!AK60&lt;&gt;"",'Open 30M - Scoring'!AK60,""),"")</f>
        <v/>
      </c>
      <c r="D474" s="79" t="str">
        <f>IF('Open 30M - Scoring'!B60&lt;&gt;"",IF('Open 30M - Scoring'!AL60&lt;&gt;"",'Open 30M - Scoring'!AL60,""),"")</f>
        <v/>
      </c>
      <c r="E474" s="80" t="str">
        <f>IF('Open 30M - Scoring'!B60&lt;&gt;"",'Open 30M - Scoring'!AU60,"")</f>
        <v/>
      </c>
      <c r="F474" s="81" t="str">
        <f>IF(E469&lt;&gt;"",IFERROR(IF(ISNUMBER(E469),E469,0),0)+IFERROR(IF(ISNUMBER(E470),E470,0),0)+IFERROR(IF(ISNUMBER(E471),E471,0),0)+IFERROR(IF(ISNUMBER(E472),E472,0),0)+IFERROR(IF(ISNUMBER(E473),E473,0),0)+IFERROR(IF(ISNUMBER(E474),E474,0),0),"")</f>
        <v/>
      </c>
      <c r="H474" s="78" t="s">
        <v>229</v>
      </c>
      <c r="I474" s="79" t="str">
        <f>IF('Open 30M - Scoring'!B61&lt;&gt;"",IF('Open 30M - Scoring'!AJ61&lt;&gt;"",'Open 30M - Scoring'!AJ61,""),"")</f>
        <v/>
      </c>
      <c r="J474" s="79" t="str">
        <f>IF('Open 30M - Scoring'!B61&lt;&gt;"",IF('Open 30M - Scoring'!AK61&lt;&gt;"",'Open 30M - Scoring'!AK61,""),"")</f>
        <v/>
      </c>
      <c r="K474" s="79" t="str">
        <f>IF('Open 30M - Scoring'!B61&lt;&gt;"",IF('Open 30M - Scoring'!AL61&lt;&gt;"",'Open 30M - Scoring'!AL61,""),"")</f>
        <v/>
      </c>
      <c r="L474" s="80" t="str">
        <f>IF('Open 30M - Scoring'!B61&lt;&gt;"",'Open 30M - Scoring'!AU61,"")</f>
        <v/>
      </c>
      <c r="M474" s="81" t="str">
        <f>IF(L469&lt;&gt;"",IFERROR(IF(ISNUMBER(L469),L469,0),0)+IFERROR(IF(ISNUMBER(L470),L470,0),0)+IFERROR(IF(ISNUMBER(L471),L471,0),0)+IFERROR(IF(ISNUMBER(L472),L472,0),0)+IFERROR(IF(ISNUMBER(L473),L473,0),0)+IFERROR(IF(ISNUMBER(L474),L474,0),0),"")</f>
        <v/>
      </c>
    </row>
    <row r="475" spans="1:13" ht="3.75" customHeight="1" x14ac:dyDescent="0.35"/>
    <row r="476" spans="1:13" ht="24" customHeight="1" x14ac:dyDescent="0.35">
      <c r="A476" s="124" t="s">
        <v>230</v>
      </c>
      <c r="B476" s="124"/>
      <c r="C476" s="124"/>
      <c r="D476" s="124"/>
      <c r="E476" s="125" t="str">
        <f>IF('Open 30M - Scoring'!B60&lt;&gt;"",'Open 30M - Scoring'!AV60,"")</f>
        <v/>
      </c>
      <c r="F476" s="125"/>
      <c r="H476" s="124" t="s">
        <v>230</v>
      </c>
      <c r="I476" s="124"/>
      <c r="J476" s="124"/>
      <c r="K476" s="124"/>
      <c r="L476" s="125" t="str">
        <f>IF('Open 30M - Scoring'!B61&lt;&gt;"",'Open 30M - Scoring'!AV61,"")</f>
        <v/>
      </c>
      <c r="M476" s="125"/>
    </row>
    <row r="477" spans="1:13" ht="19.5" customHeight="1" x14ac:dyDescent="0.35">
      <c r="E477" s="125"/>
      <c r="F477" s="125"/>
      <c r="L477" s="125"/>
      <c r="M477" s="125"/>
    </row>
    <row r="478" spans="1:13" ht="3.75" customHeight="1" x14ac:dyDescent="0.35"/>
    <row r="479" spans="1:13" ht="18" customHeight="1" x14ac:dyDescent="0.35">
      <c r="A479" s="73" t="s">
        <v>126</v>
      </c>
      <c r="B479" s="82" t="str">
        <f>IF('Open 30M - Scoring'!B60&lt;&gt;"",'Open 30M - Scoring'!AW60,"")</f>
        <v/>
      </c>
      <c r="C479" s="73" t="s">
        <v>127</v>
      </c>
      <c r="D479" s="83" t="str">
        <f>IF('Open 30M - Scoring'!B60&lt;&gt;"",'Open 30M - Scoring'!AX60,"")</f>
        <v/>
      </c>
      <c r="E479" s="73" t="s">
        <v>128</v>
      </c>
      <c r="F479" s="83" t="str">
        <f>IF('Open 30M - Scoring'!B60&lt;&gt;"",'Open 30M - Scoring'!AY60,"")</f>
        <v/>
      </c>
      <c r="H479" s="73" t="s">
        <v>126</v>
      </c>
      <c r="I479" s="82" t="str">
        <f>IF('Open 30M - Scoring'!B61&lt;&gt;"",'Open 30M - Scoring'!AW61,"")</f>
        <v/>
      </c>
      <c r="J479" s="73" t="s">
        <v>127</v>
      </c>
      <c r="K479" s="83" t="str">
        <f>IF('Open 30M - Scoring'!B61&lt;&gt;"",'Open 30M - Scoring'!AX61,"")</f>
        <v/>
      </c>
      <c r="L479" s="73" t="s">
        <v>128</v>
      </c>
      <c r="M479" s="83" t="str">
        <f>IF('Open 30M - Scoring'!B61&lt;&gt;"",'Open 30M - Scoring'!AY61,"")</f>
        <v/>
      </c>
    </row>
    <row r="480" spans="1:13" ht="3.75" customHeight="1" x14ac:dyDescent="0.35"/>
    <row r="481" spans="1:13" ht="7.5" customHeight="1" x14ac:dyDescent="0.35">
      <c r="A481" s="126"/>
      <c r="B481" s="126"/>
      <c r="C481" s="126"/>
      <c r="D481" s="126"/>
      <c r="E481" s="126"/>
      <c r="F481" s="126"/>
      <c r="G481" s="126"/>
      <c r="H481" s="126"/>
      <c r="I481" s="126"/>
      <c r="J481" s="126"/>
      <c r="K481" s="126"/>
      <c r="L481" s="126"/>
      <c r="M481" s="126"/>
    </row>
    <row r="482" spans="1:13" ht="15.75" customHeight="1" x14ac:dyDescent="0.35">
      <c r="A482" s="73" t="s">
        <v>218</v>
      </c>
      <c r="B482" s="122" t="str">
        <f>IF('Open 30M - Scoring'!B62&lt;&gt;"",'Open 30M - Scoring'!B62,"")</f>
        <v/>
      </c>
      <c r="C482" s="122"/>
      <c r="D482" s="122"/>
      <c r="E482" s="73" t="s">
        <v>219</v>
      </c>
      <c r="F482" s="74" t="str">
        <f>IF('Open 30M - Scoring'!B62&lt;&gt;"",'Open 30M - Scoring'!BB62,"")</f>
        <v/>
      </c>
      <c r="H482" s="73" t="s">
        <v>218</v>
      </c>
      <c r="I482" s="122" t="str">
        <f>IF('Open 30M - Scoring'!B63&lt;&gt;"",'Open 30M - Scoring'!B63,"")</f>
        <v/>
      </c>
      <c r="J482" s="122"/>
      <c r="K482" s="122"/>
      <c r="L482" s="73" t="s">
        <v>219</v>
      </c>
      <c r="M482" s="74" t="str">
        <f>IF('Open 30M - Scoring'!B63&lt;&gt;"",'Open 30M - Scoring'!BB63,"")</f>
        <v/>
      </c>
    </row>
    <row r="483" spans="1:13" ht="15.75" customHeight="1" x14ac:dyDescent="0.35">
      <c r="A483" s="73" t="s">
        <v>220</v>
      </c>
      <c r="B483" s="123" t="str">
        <f>IF('Open 30M - Scoring'!B62&lt;&gt;"",'Open 30M - Scoring'!D62,"")</f>
        <v/>
      </c>
      <c r="C483" s="123"/>
      <c r="D483" s="123"/>
      <c r="E483" s="73" t="s">
        <v>8</v>
      </c>
      <c r="F483" s="75" t="str">
        <f>IF('Open 30M - Scoring'!B62&lt;&gt;"",'Open 30M - Scoring'!E62,"")</f>
        <v/>
      </c>
      <c r="H483" s="73" t="s">
        <v>220</v>
      </c>
      <c r="I483" s="123" t="str">
        <f>IF('Open 30M - Scoring'!B63&lt;&gt;"",'Open 30M - Scoring'!D63,"")</f>
        <v/>
      </c>
      <c r="J483" s="123"/>
      <c r="K483" s="123"/>
      <c r="L483" s="73" t="s">
        <v>8</v>
      </c>
      <c r="M483" s="75" t="str">
        <f>IF('Open 30M - Scoring'!B63&lt;&gt;"",'Open 30M - Scoring'!E63,"")</f>
        <v/>
      </c>
    </row>
    <row r="484" spans="1:13" ht="3.75" customHeight="1" x14ac:dyDescent="0.35"/>
    <row r="485" spans="1:13" ht="25.5" customHeight="1" x14ac:dyDescent="0.35">
      <c r="A485" s="76" t="s">
        <v>221</v>
      </c>
      <c r="B485" s="77" t="s">
        <v>222</v>
      </c>
      <c r="C485" s="77" t="s">
        <v>223</v>
      </c>
      <c r="D485" s="77" t="s">
        <v>224</v>
      </c>
      <c r="E485" s="76" t="s">
        <v>225</v>
      </c>
      <c r="F485" s="76" t="s">
        <v>226</v>
      </c>
      <c r="H485" s="76" t="s">
        <v>221</v>
      </c>
      <c r="I485" s="77" t="s">
        <v>222</v>
      </c>
      <c r="J485" s="77" t="s">
        <v>223</v>
      </c>
      <c r="K485" s="77" t="s">
        <v>224</v>
      </c>
      <c r="L485" s="76" t="s">
        <v>225</v>
      </c>
      <c r="M485" s="76" t="s">
        <v>226</v>
      </c>
    </row>
    <row r="486" spans="1:13" ht="19.5" customHeight="1" x14ac:dyDescent="0.35">
      <c r="A486" s="78" t="s">
        <v>222</v>
      </c>
      <c r="B486" s="79" t="str">
        <f>IF('Open 30M - Scoring'!B62&lt;&gt;"",IF('Open 30M - Scoring'!F62&lt;&gt;"",'Open 30M - Scoring'!F62,""),"")</f>
        <v/>
      </c>
      <c r="C486" s="79" t="str">
        <f>IF('Open 30M - Scoring'!B62&lt;&gt;"",IF('Open 30M - Scoring'!G62&lt;&gt;"",'Open 30M - Scoring'!G62,""),"")</f>
        <v/>
      </c>
      <c r="D486" s="79" t="str">
        <f>IF('Open 30M - Scoring'!B62&lt;&gt;"",IF('Open 30M - Scoring'!H62&lt;&gt;"",'Open 30M - Scoring'!H62,""),"")</f>
        <v/>
      </c>
      <c r="E486" s="80" t="str">
        <f>IF('Open 30M - Scoring'!B62&lt;&gt;"",'Open 30M - Scoring'!AP62,"")</f>
        <v/>
      </c>
      <c r="F486" s="81" t="str">
        <f>IFERROR(IF(ISNUMBER(E486),E486,""),"")</f>
        <v/>
      </c>
      <c r="H486" s="78" t="s">
        <v>222</v>
      </c>
      <c r="I486" s="79" t="str">
        <f>IF('Open 30M - Scoring'!B63&lt;&gt;"",IF('Open 30M - Scoring'!F63&lt;&gt;"",'Open 30M - Scoring'!F63,""),"")</f>
        <v/>
      </c>
      <c r="J486" s="79" t="str">
        <f>IF('Open 30M - Scoring'!B63&lt;&gt;"",IF('Open 30M - Scoring'!G63&lt;&gt;"",'Open 30M - Scoring'!G63,""),"")</f>
        <v/>
      </c>
      <c r="K486" s="79" t="str">
        <f>IF('Open 30M - Scoring'!B63&lt;&gt;"",IF('Open 30M - Scoring'!H63&lt;&gt;"",'Open 30M - Scoring'!H63,""),"")</f>
        <v/>
      </c>
      <c r="L486" s="80" t="str">
        <f>IF('Open 30M - Scoring'!B63&lt;&gt;"",'Open 30M - Scoring'!AP63,"")</f>
        <v/>
      </c>
      <c r="M486" s="81" t="str">
        <f>IFERROR(IF(ISNUMBER(L486),L486,""),"")</f>
        <v/>
      </c>
    </row>
    <row r="487" spans="1:13" ht="19.5" customHeight="1" x14ac:dyDescent="0.35">
      <c r="A487" s="78" t="s">
        <v>223</v>
      </c>
      <c r="B487" s="79" t="str">
        <f>IF('Open 30M - Scoring'!B62&lt;&gt;"",IF('Open 30M - Scoring'!L62&lt;&gt;"",'Open 30M - Scoring'!L62,""),"")</f>
        <v/>
      </c>
      <c r="C487" s="79" t="str">
        <f>IF('Open 30M - Scoring'!B62&lt;&gt;"",IF('Open 30M - Scoring'!M62&lt;&gt;"",'Open 30M - Scoring'!M62,""),"")</f>
        <v/>
      </c>
      <c r="D487" s="79" t="str">
        <f>IF('Open 30M - Scoring'!B62&lt;&gt;"",IF('Open 30M - Scoring'!N62&lt;&gt;"",'Open 30M - Scoring'!N62,""),"")</f>
        <v/>
      </c>
      <c r="E487" s="80" t="str">
        <f>IF('Open 30M - Scoring'!B62&lt;&gt;"",'Open 30M - Scoring'!AQ62,"")</f>
        <v/>
      </c>
      <c r="F487" s="81" t="str">
        <f>IF(E486&lt;&gt;"",IFERROR(IF(ISNUMBER(E486),E486,0),0)+IFERROR(IF(ISNUMBER(E487),E487,0),0),"")</f>
        <v/>
      </c>
      <c r="H487" s="78" t="s">
        <v>223</v>
      </c>
      <c r="I487" s="79" t="str">
        <f>IF('Open 30M - Scoring'!B63&lt;&gt;"",IF('Open 30M - Scoring'!L63&lt;&gt;"",'Open 30M - Scoring'!L63,""),"")</f>
        <v/>
      </c>
      <c r="J487" s="79" t="str">
        <f>IF('Open 30M - Scoring'!B63&lt;&gt;"",IF('Open 30M - Scoring'!M63&lt;&gt;"",'Open 30M - Scoring'!M63,""),"")</f>
        <v/>
      </c>
      <c r="K487" s="79" t="str">
        <f>IF('Open 30M - Scoring'!B63&lt;&gt;"",IF('Open 30M - Scoring'!N63&lt;&gt;"",'Open 30M - Scoring'!N63,""),"")</f>
        <v/>
      </c>
      <c r="L487" s="80" t="str">
        <f>IF('Open 30M - Scoring'!B63&lt;&gt;"",'Open 30M - Scoring'!AQ63,"")</f>
        <v/>
      </c>
      <c r="M487" s="81" t="str">
        <f>IF(L486&lt;&gt;"",IFERROR(IF(ISNUMBER(L486),L486,0),0)+IFERROR(IF(ISNUMBER(L487),L487,0),0),"")</f>
        <v/>
      </c>
    </row>
    <row r="488" spans="1:13" ht="19.5" customHeight="1" x14ac:dyDescent="0.35">
      <c r="A488" s="78" t="s">
        <v>224</v>
      </c>
      <c r="B488" s="79" t="str">
        <f>IF('Open 30M - Scoring'!B62&lt;&gt;"",IF('Open 30M - Scoring'!R62&lt;&gt;"",'Open 30M - Scoring'!R62,""),"")</f>
        <v/>
      </c>
      <c r="C488" s="79" t="str">
        <f>IF('Open 30M - Scoring'!B62&lt;&gt;"",IF('Open 30M - Scoring'!S62&lt;&gt;"",'Open 30M - Scoring'!S62,""),"")</f>
        <v/>
      </c>
      <c r="D488" s="79" t="str">
        <f>IF('Open 30M - Scoring'!B62&lt;&gt;"",IF('Open 30M - Scoring'!T62&lt;&gt;"",'Open 30M - Scoring'!T62,""),"")</f>
        <v/>
      </c>
      <c r="E488" s="80" t="str">
        <f>IF('Open 30M - Scoring'!B62&lt;&gt;"",'Open 30M - Scoring'!AR62,"")</f>
        <v/>
      </c>
      <c r="F488" s="81" t="str">
        <f>IF(E486&lt;&gt;"",IFERROR(IF(ISNUMBER(E486),E486,0),0)+IFERROR(IF(ISNUMBER(E487),E487,0),0)+IFERROR(IF(ISNUMBER(E488),E488,0),0),"")</f>
        <v/>
      </c>
      <c r="H488" s="78" t="s">
        <v>224</v>
      </c>
      <c r="I488" s="79" t="str">
        <f>IF('Open 30M - Scoring'!B63&lt;&gt;"",IF('Open 30M - Scoring'!R63&lt;&gt;"",'Open 30M - Scoring'!R63,""),"")</f>
        <v/>
      </c>
      <c r="J488" s="79" t="str">
        <f>IF('Open 30M - Scoring'!B63&lt;&gt;"",IF('Open 30M - Scoring'!S63&lt;&gt;"",'Open 30M - Scoring'!S63,""),"")</f>
        <v/>
      </c>
      <c r="K488" s="79" t="str">
        <f>IF('Open 30M - Scoring'!B63&lt;&gt;"",IF('Open 30M - Scoring'!T63&lt;&gt;"",'Open 30M - Scoring'!T63,""),"")</f>
        <v/>
      </c>
      <c r="L488" s="80" t="str">
        <f>IF('Open 30M - Scoring'!B63&lt;&gt;"",'Open 30M - Scoring'!AR63,"")</f>
        <v/>
      </c>
      <c r="M488" s="81" t="str">
        <f>IF(L486&lt;&gt;"",IFERROR(IF(ISNUMBER(L486),L486,0),0)+IFERROR(IF(ISNUMBER(L487),L487,0),0)+IFERROR(IF(ISNUMBER(L488),L488,0),0),"")</f>
        <v/>
      </c>
    </row>
    <row r="489" spans="1:13" ht="19.5" customHeight="1" x14ac:dyDescent="0.35">
      <c r="A489" s="78" t="s">
        <v>227</v>
      </c>
      <c r="B489" s="79" t="str">
        <f>IF('Open 30M - Scoring'!B62&lt;&gt;"",IF('Open 30M - Scoring'!X62&lt;&gt;"",'Open 30M - Scoring'!X62,""),"")</f>
        <v/>
      </c>
      <c r="C489" s="79" t="str">
        <f>IF('Open 30M - Scoring'!B62&lt;&gt;"",IF('Open 30M - Scoring'!Y62&lt;&gt;"",'Open 30M - Scoring'!Y62,""),"")</f>
        <v/>
      </c>
      <c r="D489" s="79" t="str">
        <f>IF('Open 30M - Scoring'!B62&lt;&gt;"",IF('Open 30M - Scoring'!Z62&lt;&gt;"",'Open 30M - Scoring'!Z62,""),"")</f>
        <v/>
      </c>
      <c r="E489" s="80" t="str">
        <f>IF('Open 30M - Scoring'!B62&lt;&gt;"",'Open 30M - Scoring'!AS62,"")</f>
        <v/>
      </c>
      <c r="F489" s="81" t="str">
        <f>IF(E486&lt;&gt;"",IFERROR(IF(ISNUMBER(E486),E486,0),0)+IFERROR(IF(ISNUMBER(E487),E487,0),0)+IFERROR(IF(ISNUMBER(E488),E488,0),0)+IFERROR(IF(ISNUMBER(E489),E489,0),0),"")</f>
        <v/>
      </c>
      <c r="H489" s="78" t="s">
        <v>227</v>
      </c>
      <c r="I489" s="79" t="str">
        <f>IF('Open 30M - Scoring'!B63&lt;&gt;"",IF('Open 30M - Scoring'!X63&lt;&gt;"",'Open 30M - Scoring'!X63,""),"")</f>
        <v/>
      </c>
      <c r="J489" s="79" t="str">
        <f>IF('Open 30M - Scoring'!B63&lt;&gt;"",IF('Open 30M - Scoring'!Y63&lt;&gt;"",'Open 30M - Scoring'!Y63,""),"")</f>
        <v/>
      </c>
      <c r="K489" s="79" t="str">
        <f>IF('Open 30M - Scoring'!B63&lt;&gt;"",IF('Open 30M - Scoring'!Z63&lt;&gt;"",'Open 30M - Scoring'!Z63,""),"")</f>
        <v/>
      </c>
      <c r="L489" s="80" t="str">
        <f>IF('Open 30M - Scoring'!B63&lt;&gt;"",'Open 30M - Scoring'!AS63,"")</f>
        <v/>
      </c>
      <c r="M489" s="81" t="str">
        <f>IF(L486&lt;&gt;"",IFERROR(IF(ISNUMBER(L486),L486,0),0)+IFERROR(IF(ISNUMBER(L487),L487,0),0)+IFERROR(IF(ISNUMBER(L488),L488,0),0)+IFERROR(IF(ISNUMBER(L489),L489,0),0),"")</f>
        <v/>
      </c>
    </row>
    <row r="490" spans="1:13" ht="19.5" customHeight="1" x14ac:dyDescent="0.35">
      <c r="A490" s="78" t="s">
        <v>228</v>
      </c>
      <c r="B490" s="79" t="str">
        <f>IF('Open 30M - Scoring'!B62&lt;&gt;"",IF('Open 30M - Scoring'!AD62&lt;&gt;"",'Open 30M - Scoring'!AD62,""),"")</f>
        <v/>
      </c>
      <c r="C490" s="79" t="str">
        <f>IF('Open 30M - Scoring'!B62&lt;&gt;"",IF('Open 30M - Scoring'!AE62&lt;&gt;"",'Open 30M - Scoring'!AE62,""),"")</f>
        <v/>
      </c>
      <c r="D490" s="79" t="str">
        <f>IF('Open 30M - Scoring'!B62&lt;&gt;"",IF('Open 30M - Scoring'!AF62&lt;&gt;"",'Open 30M - Scoring'!AF62,""),"")</f>
        <v/>
      </c>
      <c r="E490" s="80" t="str">
        <f>IF('Open 30M - Scoring'!B62&lt;&gt;"",'Open 30M - Scoring'!AT62,"")</f>
        <v/>
      </c>
      <c r="F490" s="81" t="str">
        <f>IF(E486&lt;&gt;"",IFERROR(IF(ISNUMBER(E486),E486,0),0)+IFERROR(IF(ISNUMBER(E487),E487,0),0)+IFERROR(IF(ISNUMBER(E488),E488,0),0)+IFERROR(IF(ISNUMBER(E489),E489,0),0)+IFERROR(IF(ISNUMBER(E490),E490,0),0),"")</f>
        <v/>
      </c>
      <c r="H490" s="78" t="s">
        <v>228</v>
      </c>
      <c r="I490" s="79" t="str">
        <f>IF('Open 30M - Scoring'!B63&lt;&gt;"",IF('Open 30M - Scoring'!AD63&lt;&gt;"",'Open 30M - Scoring'!AD63,""),"")</f>
        <v/>
      </c>
      <c r="J490" s="79" t="str">
        <f>IF('Open 30M - Scoring'!B63&lt;&gt;"",IF('Open 30M - Scoring'!AE63&lt;&gt;"",'Open 30M - Scoring'!AE63,""),"")</f>
        <v/>
      </c>
      <c r="K490" s="79" t="str">
        <f>IF('Open 30M - Scoring'!B63&lt;&gt;"",IF('Open 30M - Scoring'!AF63&lt;&gt;"",'Open 30M - Scoring'!AF63,""),"")</f>
        <v/>
      </c>
      <c r="L490" s="80" t="str">
        <f>IF('Open 30M - Scoring'!B63&lt;&gt;"",'Open 30M - Scoring'!AT63,"")</f>
        <v/>
      </c>
      <c r="M490" s="81" t="str">
        <f>IF(L486&lt;&gt;"",IFERROR(IF(ISNUMBER(L486),L486,0),0)+IFERROR(IF(ISNUMBER(L487),L487,0),0)+IFERROR(IF(ISNUMBER(L488),L488,0),0)+IFERROR(IF(ISNUMBER(L489),L489,0),0)+IFERROR(IF(ISNUMBER(L490),L490,0),0),"")</f>
        <v/>
      </c>
    </row>
    <row r="491" spans="1:13" ht="19.5" customHeight="1" x14ac:dyDescent="0.35">
      <c r="A491" s="78" t="s">
        <v>229</v>
      </c>
      <c r="B491" s="79" t="str">
        <f>IF('Open 30M - Scoring'!B62&lt;&gt;"",IF('Open 30M - Scoring'!AJ62&lt;&gt;"",'Open 30M - Scoring'!AJ62,""),"")</f>
        <v/>
      </c>
      <c r="C491" s="79" t="str">
        <f>IF('Open 30M - Scoring'!B62&lt;&gt;"",IF('Open 30M - Scoring'!AK62&lt;&gt;"",'Open 30M - Scoring'!AK62,""),"")</f>
        <v/>
      </c>
      <c r="D491" s="79" t="str">
        <f>IF('Open 30M - Scoring'!B62&lt;&gt;"",IF('Open 30M - Scoring'!AL62&lt;&gt;"",'Open 30M - Scoring'!AL62,""),"")</f>
        <v/>
      </c>
      <c r="E491" s="80" t="str">
        <f>IF('Open 30M - Scoring'!B62&lt;&gt;"",'Open 30M - Scoring'!AU62,"")</f>
        <v/>
      </c>
      <c r="F491" s="81" t="str">
        <f>IF(E486&lt;&gt;"",IFERROR(IF(ISNUMBER(E486),E486,0),0)+IFERROR(IF(ISNUMBER(E487),E487,0),0)+IFERROR(IF(ISNUMBER(E488),E488,0),0)+IFERROR(IF(ISNUMBER(E489),E489,0),0)+IFERROR(IF(ISNUMBER(E490),E490,0),0)+IFERROR(IF(ISNUMBER(E491),E491,0),0),"")</f>
        <v/>
      </c>
      <c r="H491" s="78" t="s">
        <v>229</v>
      </c>
      <c r="I491" s="79" t="str">
        <f>IF('Open 30M - Scoring'!B63&lt;&gt;"",IF('Open 30M - Scoring'!AJ63&lt;&gt;"",'Open 30M - Scoring'!AJ63,""),"")</f>
        <v/>
      </c>
      <c r="J491" s="79" t="str">
        <f>IF('Open 30M - Scoring'!B63&lt;&gt;"",IF('Open 30M - Scoring'!AK63&lt;&gt;"",'Open 30M - Scoring'!AK63,""),"")</f>
        <v/>
      </c>
      <c r="K491" s="79" t="str">
        <f>IF('Open 30M - Scoring'!B63&lt;&gt;"",IF('Open 30M - Scoring'!AL63&lt;&gt;"",'Open 30M - Scoring'!AL63,""),"")</f>
        <v/>
      </c>
      <c r="L491" s="80" t="str">
        <f>IF('Open 30M - Scoring'!B63&lt;&gt;"",'Open 30M - Scoring'!AU63,"")</f>
        <v/>
      </c>
      <c r="M491" s="81" t="str">
        <f>IF(L486&lt;&gt;"",IFERROR(IF(ISNUMBER(L486),L486,0),0)+IFERROR(IF(ISNUMBER(L487),L487,0),0)+IFERROR(IF(ISNUMBER(L488),L488,0),0)+IFERROR(IF(ISNUMBER(L489),L489,0),0)+IFERROR(IF(ISNUMBER(L490),L490,0),0)+IFERROR(IF(ISNUMBER(L491),L491,0),0),"")</f>
        <v/>
      </c>
    </row>
    <row r="492" spans="1:13" ht="3.75" customHeight="1" x14ac:dyDescent="0.35"/>
    <row r="493" spans="1:13" ht="24" customHeight="1" x14ac:dyDescent="0.35">
      <c r="A493" s="124" t="s">
        <v>230</v>
      </c>
      <c r="B493" s="124"/>
      <c r="C493" s="124"/>
      <c r="D493" s="124"/>
      <c r="E493" s="125" t="str">
        <f>IF('Open 30M - Scoring'!B62&lt;&gt;"",'Open 30M - Scoring'!AV62,"")</f>
        <v/>
      </c>
      <c r="F493" s="125"/>
      <c r="H493" s="124" t="s">
        <v>230</v>
      </c>
      <c r="I493" s="124"/>
      <c r="J493" s="124"/>
      <c r="K493" s="124"/>
      <c r="L493" s="125" t="str">
        <f>IF('Open 30M - Scoring'!B63&lt;&gt;"",'Open 30M - Scoring'!AV63,"")</f>
        <v/>
      </c>
      <c r="M493" s="125"/>
    </row>
    <row r="494" spans="1:13" ht="19.5" customHeight="1" x14ac:dyDescent="0.35">
      <c r="E494" s="125"/>
      <c r="F494" s="125"/>
      <c r="L494" s="125"/>
      <c r="M494" s="125"/>
    </row>
    <row r="495" spans="1:13" ht="3.75" customHeight="1" x14ac:dyDescent="0.35"/>
    <row r="496" spans="1:13" ht="18" customHeight="1" x14ac:dyDescent="0.35">
      <c r="A496" s="73" t="s">
        <v>126</v>
      </c>
      <c r="B496" s="82" t="str">
        <f>IF('Open 30M - Scoring'!B62&lt;&gt;"",'Open 30M - Scoring'!AW62,"")</f>
        <v/>
      </c>
      <c r="C496" s="73" t="s">
        <v>127</v>
      </c>
      <c r="D496" s="83" t="str">
        <f>IF('Open 30M - Scoring'!B62&lt;&gt;"",'Open 30M - Scoring'!AX62,"")</f>
        <v/>
      </c>
      <c r="E496" s="73" t="s">
        <v>128</v>
      </c>
      <c r="F496" s="83" t="str">
        <f>IF('Open 30M - Scoring'!B62&lt;&gt;"",'Open 30M - Scoring'!AY62,"")</f>
        <v/>
      </c>
      <c r="H496" s="73" t="s">
        <v>126</v>
      </c>
      <c r="I496" s="82" t="str">
        <f>IF('Open 30M - Scoring'!B63&lt;&gt;"",'Open 30M - Scoring'!AW63,"")</f>
        <v/>
      </c>
      <c r="J496" s="73" t="s">
        <v>127</v>
      </c>
      <c r="K496" s="83" t="str">
        <f>IF('Open 30M - Scoring'!B63&lt;&gt;"",'Open 30M - Scoring'!AX63,"")</f>
        <v/>
      </c>
      <c r="L496" s="73" t="s">
        <v>128</v>
      </c>
      <c r="M496" s="83" t="str">
        <f>IF('Open 30M - Scoring'!B63&lt;&gt;"",'Open 30M - Scoring'!AY63,"")</f>
        <v/>
      </c>
    </row>
    <row r="497" spans="1:13" ht="3.75" customHeight="1" x14ac:dyDescent="0.35"/>
    <row r="498" spans="1:13" ht="7.5" customHeight="1" x14ac:dyDescent="0.35">
      <c r="A498" s="126"/>
      <c r="B498" s="126"/>
      <c r="C498" s="126"/>
      <c r="D498" s="126"/>
      <c r="E498" s="126"/>
      <c r="F498" s="126"/>
      <c r="G498" s="126"/>
      <c r="H498" s="126"/>
      <c r="I498" s="126"/>
      <c r="J498" s="126"/>
      <c r="K498" s="126"/>
      <c r="L498" s="126"/>
      <c r="M498" s="126"/>
    </row>
    <row r="499" spans="1:13" ht="15.75" customHeight="1" x14ac:dyDescent="0.35">
      <c r="A499" s="73" t="s">
        <v>218</v>
      </c>
      <c r="B499" s="122" t="str">
        <f>IF('Open 30M - Scoring'!B64&lt;&gt;"",'Open 30M - Scoring'!B64,"")</f>
        <v/>
      </c>
      <c r="C499" s="122"/>
      <c r="D499" s="122"/>
      <c r="E499" s="73" t="s">
        <v>219</v>
      </c>
      <c r="F499" s="74" t="str">
        <f>IF('Open 30M - Scoring'!B64&lt;&gt;"",'Open 30M - Scoring'!BB64,"")</f>
        <v/>
      </c>
      <c r="H499" s="73" t="s">
        <v>218</v>
      </c>
      <c r="I499" s="122" t="str">
        <f>IF('Open 30M - Scoring'!B65&lt;&gt;"",'Open 30M - Scoring'!B65,"")</f>
        <v/>
      </c>
      <c r="J499" s="122"/>
      <c r="K499" s="122"/>
      <c r="L499" s="73" t="s">
        <v>219</v>
      </c>
      <c r="M499" s="74" t="str">
        <f>IF('Open 30M - Scoring'!B65&lt;&gt;"",'Open 30M - Scoring'!BB65,"")</f>
        <v/>
      </c>
    </row>
    <row r="500" spans="1:13" ht="15.75" customHeight="1" x14ac:dyDescent="0.35">
      <c r="A500" s="73" t="s">
        <v>220</v>
      </c>
      <c r="B500" s="123" t="str">
        <f>IF('Open 30M - Scoring'!B64&lt;&gt;"",'Open 30M - Scoring'!D64,"")</f>
        <v/>
      </c>
      <c r="C500" s="123"/>
      <c r="D500" s="123"/>
      <c r="E500" s="73" t="s">
        <v>8</v>
      </c>
      <c r="F500" s="75" t="str">
        <f>IF('Open 30M - Scoring'!B64&lt;&gt;"",'Open 30M - Scoring'!E64,"")</f>
        <v/>
      </c>
      <c r="H500" s="73" t="s">
        <v>220</v>
      </c>
      <c r="I500" s="123" t="str">
        <f>IF('Open 30M - Scoring'!B65&lt;&gt;"",'Open 30M - Scoring'!D65,"")</f>
        <v/>
      </c>
      <c r="J500" s="123"/>
      <c r="K500" s="123"/>
      <c r="L500" s="73" t="s">
        <v>8</v>
      </c>
      <c r="M500" s="75" t="str">
        <f>IF('Open 30M - Scoring'!B65&lt;&gt;"",'Open 30M - Scoring'!E65,"")</f>
        <v/>
      </c>
    </row>
    <row r="501" spans="1:13" ht="3.75" customHeight="1" x14ac:dyDescent="0.35"/>
    <row r="502" spans="1:13" ht="25.5" customHeight="1" x14ac:dyDescent="0.35">
      <c r="A502" s="76" t="s">
        <v>221</v>
      </c>
      <c r="B502" s="77" t="s">
        <v>222</v>
      </c>
      <c r="C502" s="77" t="s">
        <v>223</v>
      </c>
      <c r="D502" s="77" t="s">
        <v>224</v>
      </c>
      <c r="E502" s="76" t="s">
        <v>225</v>
      </c>
      <c r="F502" s="76" t="s">
        <v>226</v>
      </c>
      <c r="H502" s="76" t="s">
        <v>221</v>
      </c>
      <c r="I502" s="77" t="s">
        <v>222</v>
      </c>
      <c r="J502" s="77" t="s">
        <v>223</v>
      </c>
      <c r="K502" s="77" t="s">
        <v>224</v>
      </c>
      <c r="L502" s="76" t="s">
        <v>225</v>
      </c>
      <c r="M502" s="76" t="s">
        <v>226</v>
      </c>
    </row>
    <row r="503" spans="1:13" ht="19.5" customHeight="1" x14ac:dyDescent="0.35">
      <c r="A503" s="78" t="s">
        <v>222</v>
      </c>
      <c r="B503" s="79" t="str">
        <f>IF('Open 30M - Scoring'!B64&lt;&gt;"",IF('Open 30M - Scoring'!F64&lt;&gt;"",'Open 30M - Scoring'!F64,""),"")</f>
        <v/>
      </c>
      <c r="C503" s="79" t="str">
        <f>IF('Open 30M - Scoring'!B64&lt;&gt;"",IF('Open 30M - Scoring'!G64&lt;&gt;"",'Open 30M - Scoring'!G64,""),"")</f>
        <v/>
      </c>
      <c r="D503" s="79" t="str">
        <f>IF('Open 30M - Scoring'!B64&lt;&gt;"",IF('Open 30M - Scoring'!H64&lt;&gt;"",'Open 30M - Scoring'!H64,""),"")</f>
        <v/>
      </c>
      <c r="E503" s="80" t="str">
        <f>IF('Open 30M - Scoring'!B64&lt;&gt;"",'Open 30M - Scoring'!AP64,"")</f>
        <v/>
      </c>
      <c r="F503" s="81" t="str">
        <f>IFERROR(IF(ISNUMBER(E503),E503,""),"")</f>
        <v/>
      </c>
      <c r="H503" s="78" t="s">
        <v>222</v>
      </c>
      <c r="I503" s="79" t="str">
        <f>IF('Open 30M - Scoring'!B65&lt;&gt;"",IF('Open 30M - Scoring'!F65&lt;&gt;"",'Open 30M - Scoring'!F65,""),"")</f>
        <v/>
      </c>
      <c r="J503" s="79" t="str">
        <f>IF('Open 30M - Scoring'!B65&lt;&gt;"",IF('Open 30M - Scoring'!G65&lt;&gt;"",'Open 30M - Scoring'!G65,""),"")</f>
        <v/>
      </c>
      <c r="K503" s="79" t="str">
        <f>IF('Open 30M - Scoring'!B65&lt;&gt;"",IF('Open 30M - Scoring'!H65&lt;&gt;"",'Open 30M - Scoring'!H65,""),"")</f>
        <v/>
      </c>
      <c r="L503" s="80" t="str">
        <f>IF('Open 30M - Scoring'!B65&lt;&gt;"",'Open 30M - Scoring'!AP65,"")</f>
        <v/>
      </c>
      <c r="M503" s="81" t="str">
        <f>IFERROR(IF(ISNUMBER(L503),L503,""),"")</f>
        <v/>
      </c>
    </row>
    <row r="504" spans="1:13" ht="19.5" customHeight="1" x14ac:dyDescent="0.35">
      <c r="A504" s="78" t="s">
        <v>223</v>
      </c>
      <c r="B504" s="79" t="str">
        <f>IF('Open 30M - Scoring'!B64&lt;&gt;"",IF('Open 30M - Scoring'!L64&lt;&gt;"",'Open 30M - Scoring'!L64,""),"")</f>
        <v/>
      </c>
      <c r="C504" s="79" t="str">
        <f>IF('Open 30M - Scoring'!B64&lt;&gt;"",IF('Open 30M - Scoring'!M64&lt;&gt;"",'Open 30M - Scoring'!M64,""),"")</f>
        <v/>
      </c>
      <c r="D504" s="79" t="str">
        <f>IF('Open 30M - Scoring'!B64&lt;&gt;"",IF('Open 30M - Scoring'!N64&lt;&gt;"",'Open 30M - Scoring'!N64,""),"")</f>
        <v/>
      </c>
      <c r="E504" s="80" t="str">
        <f>IF('Open 30M - Scoring'!B64&lt;&gt;"",'Open 30M - Scoring'!AQ64,"")</f>
        <v/>
      </c>
      <c r="F504" s="81" t="str">
        <f>IF(E503&lt;&gt;"",IFERROR(IF(ISNUMBER(E503),E503,0),0)+IFERROR(IF(ISNUMBER(E504),E504,0),0),"")</f>
        <v/>
      </c>
      <c r="H504" s="78" t="s">
        <v>223</v>
      </c>
      <c r="I504" s="79" t="str">
        <f>IF('Open 30M - Scoring'!B65&lt;&gt;"",IF('Open 30M - Scoring'!L65&lt;&gt;"",'Open 30M - Scoring'!L65,""),"")</f>
        <v/>
      </c>
      <c r="J504" s="79" t="str">
        <f>IF('Open 30M - Scoring'!B65&lt;&gt;"",IF('Open 30M - Scoring'!M65&lt;&gt;"",'Open 30M - Scoring'!M65,""),"")</f>
        <v/>
      </c>
      <c r="K504" s="79" t="str">
        <f>IF('Open 30M - Scoring'!B65&lt;&gt;"",IF('Open 30M - Scoring'!N65&lt;&gt;"",'Open 30M - Scoring'!N65,""),"")</f>
        <v/>
      </c>
      <c r="L504" s="80" t="str">
        <f>IF('Open 30M - Scoring'!B65&lt;&gt;"",'Open 30M - Scoring'!AQ65,"")</f>
        <v/>
      </c>
      <c r="M504" s="81" t="str">
        <f>IF(L503&lt;&gt;"",IFERROR(IF(ISNUMBER(L503),L503,0),0)+IFERROR(IF(ISNUMBER(L504),L504,0),0),"")</f>
        <v/>
      </c>
    </row>
    <row r="505" spans="1:13" ht="19.5" customHeight="1" x14ac:dyDescent="0.35">
      <c r="A505" s="78" t="s">
        <v>224</v>
      </c>
      <c r="B505" s="79" t="str">
        <f>IF('Open 30M - Scoring'!B64&lt;&gt;"",IF('Open 30M - Scoring'!R64&lt;&gt;"",'Open 30M - Scoring'!R64,""),"")</f>
        <v/>
      </c>
      <c r="C505" s="79" t="str">
        <f>IF('Open 30M - Scoring'!B64&lt;&gt;"",IF('Open 30M - Scoring'!S64&lt;&gt;"",'Open 30M - Scoring'!S64,""),"")</f>
        <v/>
      </c>
      <c r="D505" s="79" t="str">
        <f>IF('Open 30M - Scoring'!B64&lt;&gt;"",IF('Open 30M - Scoring'!T64&lt;&gt;"",'Open 30M - Scoring'!T64,""),"")</f>
        <v/>
      </c>
      <c r="E505" s="80" t="str">
        <f>IF('Open 30M - Scoring'!B64&lt;&gt;"",'Open 30M - Scoring'!AR64,"")</f>
        <v/>
      </c>
      <c r="F505" s="81" t="str">
        <f>IF(E503&lt;&gt;"",IFERROR(IF(ISNUMBER(E503),E503,0),0)+IFERROR(IF(ISNUMBER(E504),E504,0),0)+IFERROR(IF(ISNUMBER(E505),E505,0),0),"")</f>
        <v/>
      </c>
      <c r="H505" s="78" t="s">
        <v>224</v>
      </c>
      <c r="I505" s="79" t="str">
        <f>IF('Open 30M - Scoring'!B65&lt;&gt;"",IF('Open 30M - Scoring'!R65&lt;&gt;"",'Open 30M - Scoring'!R65,""),"")</f>
        <v/>
      </c>
      <c r="J505" s="79" t="str">
        <f>IF('Open 30M - Scoring'!B65&lt;&gt;"",IF('Open 30M - Scoring'!S65&lt;&gt;"",'Open 30M - Scoring'!S65,""),"")</f>
        <v/>
      </c>
      <c r="K505" s="79" t="str">
        <f>IF('Open 30M - Scoring'!B65&lt;&gt;"",IF('Open 30M - Scoring'!T65&lt;&gt;"",'Open 30M - Scoring'!T65,""),"")</f>
        <v/>
      </c>
      <c r="L505" s="80" t="str">
        <f>IF('Open 30M - Scoring'!B65&lt;&gt;"",'Open 30M - Scoring'!AR65,"")</f>
        <v/>
      </c>
      <c r="M505" s="81" t="str">
        <f>IF(L503&lt;&gt;"",IFERROR(IF(ISNUMBER(L503),L503,0),0)+IFERROR(IF(ISNUMBER(L504),L504,0),0)+IFERROR(IF(ISNUMBER(L505),L505,0),0),"")</f>
        <v/>
      </c>
    </row>
    <row r="506" spans="1:13" ht="19.5" customHeight="1" x14ac:dyDescent="0.35">
      <c r="A506" s="78" t="s">
        <v>227</v>
      </c>
      <c r="B506" s="79" t="str">
        <f>IF('Open 30M - Scoring'!B64&lt;&gt;"",IF('Open 30M - Scoring'!X64&lt;&gt;"",'Open 30M - Scoring'!X64,""),"")</f>
        <v/>
      </c>
      <c r="C506" s="79" t="str">
        <f>IF('Open 30M - Scoring'!B64&lt;&gt;"",IF('Open 30M - Scoring'!Y64&lt;&gt;"",'Open 30M - Scoring'!Y64,""),"")</f>
        <v/>
      </c>
      <c r="D506" s="79" t="str">
        <f>IF('Open 30M - Scoring'!B64&lt;&gt;"",IF('Open 30M - Scoring'!Z64&lt;&gt;"",'Open 30M - Scoring'!Z64,""),"")</f>
        <v/>
      </c>
      <c r="E506" s="80" t="str">
        <f>IF('Open 30M - Scoring'!B64&lt;&gt;"",'Open 30M - Scoring'!AS64,"")</f>
        <v/>
      </c>
      <c r="F506" s="81" t="str">
        <f>IF(E503&lt;&gt;"",IFERROR(IF(ISNUMBER(E503),E503,0),0)+IFERROR(IF(ISNUMBER(E504),E504,0),0)+IFERROR(IF(ISNUMBER(E505),E505,0),0)+IFERROR(IF(ISNUMBER(E506),E506,0),0),"")</f>
        <v/>
      </c>
      <c r="H506" s="78" t="s">
        <v>227</v>
      </c>
      <c r="I506" s="79" t="str">
        <f>IF('Open 30M - Scoring'!B65&lt;&gt;"",IF('Open 30M - Scoring'!X65&lt;&gt;"",'Open 30M - Scoring'!X65,""),"")</f>
        <v/>
      </c>
      <c r="J506" s="79" t="str">
        <f>IF('Open 30M - Scoring'!B65&lt;&gt;"",IF('Open 30M - Scoring'!Y65&lt;&gt;"",'Open 30M - Scoring'!Y65,""),"")</f>
        <v/>
      </c>
      <c r="K506" s="79" t="str">
        <f>IF('Open 30M - Scoring'!B65&lt;&gt;"",IF('Open 30M - Scoring'!Z65&lt;&gt;"",'Open 30M - Scoring'!Z65,""),"")</f>
        <v/>
      </c>
      <c r="L506" s="80" t="str">
        <f>IF('Open 30M - Scoring'!B65&lt;&gt;"",'Open 30M - Scoring'!AS65,"")</f>
        <v/>
      </c>
      <c r="M506" s="81" t="str">
        <f>IF(L503&lt;&gt;"",IFERROR(IF(ISNUMBER(L503),L503,0),0)+IFERROR(IF(ISNUMBER(L504),L504,0),0)+IFERROR(IF(ISNUMBER(L505),L505,0),0)+IFERROR(IF(ISNUMBER(L506),L506,0),0),"")</f>
        <v/>
      </c>
    </row>
    <row r="507" spans="1:13" ht="19.5" customHeight="1" x14ac:dyDescent="0.35">
      <c r="A507" s="78" t="s">
        <v>228</v>
      </c>
      <c r="B507" s="79" t="str">
        <f>IF('Open 30M - Scoring'!B64&lt;&gt;"",IF('Open 30M - Scoring'!AD64&lt;&gt;"",'Open 30M - Scoring'!AD64,""),"")</f>
        <v/>
      </c>
      <c r="C507" s="79" t="str">
        <f>IF('Open 30M - Scoring'!B64&lt;&gt;"",IF('Open 30M - Scoring'!AE64&lt;&gt;"",'Open 30M - Scoring'!AE64,""),"")</f>
        <v/>
      </c>
      <c r="D507" s="79" t="str">
        <f>IF('Open 30M - Scoring'!B64&lt;&gt;"",IF('Open 30M - Scoring'!AF64&lt;&gt;"",'Open 30M - Scoring'!AF64,""),"")</f>
        <v/>
      </c>
      <c r="E507" s="80" t="str">
        <f>IF('Open 30M - Scoring'!B64&lt;&gt;"",'Open 30M - Scoring'!AT64,"")</f>
        <v/>
      </c>
      <c r="F507" s="81" t="str">
        <f>IF(E503&lt;&gt;"",IFERROR(IF(ISNUMBER(E503),E503,0),0)+IFERROR(IF(ISNUMBER(E504),E504,0),0)+IFERROR(IF(ISNUMBER(E505),E505,0),0)+IFERROR(IF(ISNUMBER(E506),E506,0),0)+IFERROR(IF(ISNUMBER(E507),E507,0),0),"")</f>
        <v/>
      </c>
      <c r="H507" s="78" t="s">
        <v>228</v>
      </c>
      <c r="I507" s="79" t="str">
        <f>IF('Open 30M - Scoring'!B65&lt;&gt;"",IF('Open 30M - Scoring'!AD65&lt;&gt;"",'Open 30M - Scoring'!AD65,""),"")</f>
        <v/>
      </c>
      <c r="J507" s="79" t="str">
        <f>IF('Open 30M - Scoring'!B65&lt;&gt;"",IF('Open 30M - Scoring'!AE65&lt;&gt;"",'Open 30M - Scoring'!AE65,""),"")</f>
        <v/>
      </c>
      <c r="K507" s="79" t="str">
        <f>IF('Open 30M - Scoring'!B65&lt;&gt;"",IF('Open 30M - Scoring'!AF65&lt;&gt;"",'Open 30M - Scoring'!AF65,""),"")</f>
        <v/>
      </c>
      <c r="L507" s="80" t="str">
        <f>IF('Open 30M - Scoring'!B65&lt;&gt;"",'Open 30M - Scoring'!AT65,"")</f>
        <v/>
      </c>
      <c r="M507" s="81" t="str">
        <f>IF(L503&lt;&gt;"",IFERROR(IF(ISNUMBER(L503),L503,0),0)+IFERROR(IF(ISNUMBER(L504),L504,0),0)+IFERROR(IF(ISNUMBER(L505),L505,0),0)+IFERROR(IF(ISNUMBER(L506),L506,0),0)+IFERROR(IF(ISNUMBER(L507),L507,0),0),"")</f>
        <v/>
      </c>
    </row>
    <row r="508" spans="1:13" ht="19.5" customHeight="1" x14ac:dyDescent="0.35">
      <c r="A508" s="78" t="s">
        <v>229</v>
      </c>
      <c r="B508" s="79" t="str">
        <f>IF('Open 30M - Scoring'!B64&lt;&gt;"",IF('Open 30M - Scoring'!AJ64&lt;&gt;"",'Open 30M - Scoring'!AJ64,""),"")</f>
        <v/>
      </c>
      <c r="C508" s="79" t="str">
        <f>IF('Open 30M - Scoring'!B64&lt;&gt;"",IF('Open 30M - Scoring'!AK64&lt;&gt;"",'Open 30M - Scoring'!AK64,""),"")</f>
        <v/>
      </c>
      <c r="D508" s="79" t="str">
        <f>IF('Open 30M - Scoring'!B64&lt;&gt;"",IF('Open 30M - Scoring'!AL64&lt;&gt;"",'Open 30M - Scoring'!AL64,""),"")</f>
        <v/>
      </c>
      <c r="E508" s="80" t="str">
        <f>IF('Open 30M - Scoring'!B64&lt;&gt;"",'Open 30M - Scoring'!AU64,"")</f>
        <v/>
      </c>
      <c r="F508" s="81" t="str">
        <f>IF(E503&lt;&gt;"",IFERROR(IF(ISNUMBER(E503),E503,0),0)+IFERROR(IF(ISNUMBER(E504),E504,0),0)+IFERROR(IF(ISNUMBER(E505),E505,0),0)+IFERROR(IF(ISNUMBER(E506),E506,0),0)+IFERROR(IF(ISNUMBER(E507),E507,0),0)+IFERROR(IF(ISNUMBER(E508),E508,0),0),"")</f>
        <v/>
      </c>
      <c r="H508" s="78" t="s">
        <v>229</v>
      </c>
      <c r="I508" s="79" t="str">
        <f>IF('Open 30M - Scoring'!B65&lt;&gt;"",IF('Open 30M - Scoring'!AJ65&lt;&gt;"",'Open 30M - Scoring'!AJ65,""),"")</f>
        <v/>
      </c>
      <c r="J508" s="79" t="str">
        <f>IF('Open 30M - Scoring'!B65&lt;&gt;"",IF('Open 30M - Scoring'!AK65&lt;&gt;"",'Open 30M - Scoring'!AK65,""),"")</f>
        <v/>
      </c>
      <c r="K508" s="79" t="str">
        <f>IF('Open 30M - Scoring'!B65&lt;&gt;"",IF('Open 30M - Scoring'!AL65&lt;&gt;"",'Open 30M - Scoring'!AL65,""),"")</f>
        <v/>
      </c>
      <c r="L508" s="80" t="str">
        <f>IF('Open 30M - Scoring'!B65&lt;&gt;"",'Open 30M - Scoring'!AU65,"")</f>
        <v/>
      </c>
      <c r="M508" s="81" t="str">
        <f>IF(L503&lt;&gt;"",IFERROR(IF(ISNUMBER(L503),L503,0),0)+IFERROR(IF(ISNUMBER(L504),L504,0),0)+IFERROR(IF(ISNUMBER(L505),L505,0),0)+IFERROR(IF(ISNUMBER(L506),L506,0),0)+IFERROR(IF(ISNUMBER(L507),L507,0),0)+IFERROR(IF(ISNUMBER(L508),L508,0),0),"")</f>
        <v/>
      </c>
    </row>
    <row r="509" spans="1:13" ht="3.75" customHeight="1" x14ac:dyDescent="0.35"/>
    <row r="510" spans="1:13" ht="24" customHeight="1" x14ac:dyDescent="0.35">
      <c r="A510" s="124" t="s">
        <v>230</v>
      </c>
      <c r="B510" s="124"/>
      <c r="C510" s="124"/>
      <c r="D510" s="124"/>
      <c r="E510" s="125" t="str">
        <f>IF('Open 30M - Scoring'!B64&lt;&gt;"",'Open 30M - Scoring'!AV64,"")</f>
        <v/>
      </c>
      <c r="F510" s="125"/>
      <c r="H510" s="124" t="s">
        <v>230</v>
      </c>
      <c r="I510" s="124"/>
      <c r="J510" s="124"/>
      <c r="K510" s="124"/>
      <c r="L510" s="125" t="str">
        <f>IF('Open 30M - Scoring'!B65&lt;&gt;"",'Open 30M - Scoring'!AV65,"")</f>
        <v/>
      </c>
      <c r="M510" s="125"/>
    </row>
    <row r="511" spans="1:13" ht="19.5" customHeight="1" x14ac:dyDescent="0.35">
      <c r="E511" s="125"/>
      <c r="F511" s="125"/>
      <c r="L511" s="125"/>
      <c r="M511" s="125"/>
    </row>
    <row r="512" spans="1:13" ht="3.75" customHeight="1" x14ac:dyDescent="0.35"/>
    <row r="513" spans="1:13" ht="18" customHeight="1" x14ac:dyDescent="0.35">
      <c r="A513" s="73" t="s">
        <v>126</v>
      </c>
      <c r="B513" s="82" t="str">
        <f>IF('Open 30M - Scoring'!B64&lt;&gt;"",'Open 30M - Scoring'!AW64,"")</f>
        <v/>
      </c>
      <c r="C513" s="73" t="s">
        <v>127</v>
      </c>
      <c r="D513" s="83" t="str">
        <f>IF('Open 30M - Scoring'!B64&lt;&gt;"",'Open 30M - Scoring'!AX64,"")</f>
        <v/>
      </c>
      <c r="E513" s="73" t="s">
        <v>128</v>
      </c>
      <c r="F513" s="83" t="str">
        <f>IF('Open 30M - Scoring'!B64&lt;&gt;"",'Open 30M - Scoring'!AY64,"")</f>
        <v/>
      </c>
      <c r="H513" s="73" t="s">
        <v>126</v>
      </c>
      <c r="I513" s="82" t="str">
        <f>IF('Open 30M - Scoring'!B65&lt;&gt;"",'Open 30M - Scoring'!AW65,"")</f>
        <v/>
      </c>
      <c r="J513" s="73" t="s">
        <v>127</v>
      </c>
      <c r="K513" s="83" t="str">
        <f>IF('Open 30M - Scoring'!B65&lt;&gt;"",'Open 30M - Scoring'!AX65,"")</f>
        <v/>
      </c>
      <c r="L513" s="73" t="s">
        <v>128</v>
      </c>
      <c r="M513" s="83" t="str">
        <f>IF('Open 30M - Scoring'!B65&lt;&gt;"",'Open 30M - Scoring'!AY65,"")</f>
        <v/>
      </c>
    </row>
    <row r="514" spans="1:13" ht="3.75" customHeight="1" x14ac:dyDescent="0.35"/>
    <row r="515" spans="1:13" ht="7.5" customHeight="1" x14ac:dyDescent="0.35">
      <c r="A515" s="126"/>
      <c r="B515" s="126"/>
      <c r="C515" s="126"/>
      <c r="D515" s="126"/>
      <c r="E515" s="126"/>
      <c r="F515" s="126"/>
      <c r="G515" s="126"/>
      <c r="H515" s="126"/>
      <c r="I515" s="126"/>
      <c r="J515" s="126"/>
      <c r="K515" s="126"/>
      <c r="L515" s="126"/>
      <c r="M515" s="126"/>
    </row>
    <row r="516" spans="1:13" ht="15.75" customHeight="1" x14ac:dyDescent="0.35">
      <c r="A516" s="73" t="s">
        <v>218</v>
      </c>
      <c r="B516" s="122" t="str">
        <f>IF('Open 30M - Scoring'!B66&lt;&gt;"",'Open 30M - Scoring'!B66,"")</f>
        <v/>
      </c>
      <c r="C516" s="122"/>
      <c r="D516" s="122"/>
      <c r="E516" s="73" t="s">
        <v>219</v>
      </c>
      <c r="F516" s="74" t="str">
        <f>IF('Open 30M - Scoring'!B66&lt;&gt;"",'Open 30M - Scoring'!BB66,"")</f>
        <v/>
      </c>
      <c r="H516" s="73" t="s">
        <v>218</v>
      </c>
      <c r="I516" s="122" t="str">
        <f>IF('Open 30M - Scoring'!B67&lt;&gt;"",'Open 30M - Scoring'!B67,"")</f>
        <v/>
      </c>
      <c r="J516" s="122"/>
      <c r="K516" s="122"/>
      <c r="L516" s="73" t="s">
        <v>219</v>
      </c>
      <c r="M516" s="74" t="str">
        <f>IF('Open 30M - Scoring'!B67&lt;&gt;"",'Open 30M - Scoring'!BB67,"")</f>
        <v/>
      </c>
    </row>
    <row r="517" spans="1:13" ht="15.75" customHeight="1" x14ac:dyDescent="0.35">
      <c r="A517" s="73" t="s">
        <v>220</v>
      </c>
      <c r="B517" s="123" t="str">
        <f>IF('Open 30M - Scoring'!B66&lt;&gt;"",'Open 30M - Scoring'!D66,"")</f>
        <v/>
      </c>
      <c r="C517" s="123"/>
      <c r="D517" s="123"/>
      <c r="E517" s="73" t="s">
        <v>8</v>
      </c>
      <c r="F517" s="75" t="str">
        <f>IF('Open 30M - Scoring'!B66&lt;&gt;"",'Open 30M - Scoring'!E66,"")</f>
        <v/>
      </c>
      <c r="H517" s="73" t="s">
        <v>220</v>
      </c>
      <c r="I517" s="123" t="str">
        <f>IF('Open 30M - Scoring'!B67&lt;&gt;"",'Open 30M - Scoring'!D67,"")</f>
        <v/>
      </c>
      <c r="J517" s="123"/>
      <c r="K517" s="123"/>
      <c r="L517" s="73" t="s">
        <v>8</v>
      </c>
      <c r="M517" s="75" t="str">
        <f>IF('Open 30M - Scoring'!B67&lt;&gt;"",'Open 30M - Scoring'!E67,"")</f>
        <v/>
      </c>
    </row>
    <row r="518" spans="1:13" ht="3.75" customHeight="1" x14ac:dyDescent="0.35"/>
    <row r="519" spans="1:13" ht="25.5" customHeight="1" x14ac:dyDescent="0.35">
      <c r="A519" s="76" t="s">
        <v>221</v>
      </c>
      <c r="B519" s="77" t="s">
        <v>222</v>
      </c>
      <c r="C519" s="77" t="s">
        <v>223</v>
      </c>
      <c r="D519" s="77" t="s">
        <v>224</v>
      </c>
      <c r="E519" s="76" t="s">
        <v>225</v>
      </c>
      <c r="F519" s="76" t="s">
        <v>226</v>
      </c>
      <c r="H519" s="76" t="s">
        <v>221</v>
      </c>
      <c r="I519" s="77" t="s">
        <v>222</v>
      </c>
      <c r="J519" s="77" t="s">
        <v>223</v>
      </c>
      <c r="K519" s="77" t="s">
        <v>224</v>
      </c>
      <c r="L519" s="76" t="s">
        <v>225</v>
      </c>
      <c r="M519" s="76" t="s">
        <v>226</v>
      </c>
    </row>
    <row r="520" spans="1:13" ht="19.5" customHeight="1" x14ac:dyDescent="0.35">
      <c r="A520" s="78" t="s">
        <v>222</v>
      </c>
      <c r="B520" s="79" t="str">
        <f>IF('Open 30M - Scoring'!B66&lt;&gt;"",IF('Open 30M - Scoring'!F66&lt;&gt;"",'Open 30M - Scoring'!F66,""),"")</f>
        <v/>
      </c>
      <c r="C520" s="79" t="str">
        <f>IF('Open 30M - Scoring'!B66&lt;&gt;"",IF('Open 30M - Scoring'!G66&lt;&gt;"",'Open 30M - Scoring'!G66,""),"")</f>
        <v/>
      </c>
      <c r="D520" s="79" t="str">
        <f>IF('Open 30M - Scoring'!B66&lt;&gt;"",IF('Open 30M - Scoring'!H66&lt;&gt;"",'Open 30M - Scoring'!H66,""),"")</f>
        <v/>
      </c>
      <c r="E520" s="80" t="str">
        <f>IF('Open 30M - Scoring'!B66&lt;&gt;"",'Open 30M - Scoring'!AP66,"")</f>
        <v/>
      </c>
      <c r="F520" s="81" t="str">
        <f>IFERROR(IF(ISNUMBER(E520),E520,""),"")</f>
        <v/>
      </c>
      <c r="H520" s="78" t="s">
        <v>222</v>
      </c>
      <c r="I520" s="79" t="str">
        <f>IF('Open 30M - Scoring'!B67&lt;&gt;"",IF('Open 30M - Scoring'!F67&lt;&gt;"",'Open 30M - Scoring'!F67,""),"")</f>
        <v/>
      </c>
      <c r="J520" s="79" t="str">
        <f>IF('Open 30M - Scoring'!B67&lt;&gt;"",IF('Open 30M - Scoring'!G67&lt;&gt;"",'Open 30M - Scoring'!G67,""),"")</f>
        <v/>
      </c>
      <c r="K520" s="79" t="str">
        <f>IF('Open 30M - Scoring'!B67&lt;&gt;"",IF('Open 30M - Scoring'!H67&lt;&gt;"",'Open 30M - Scoring'!H67,""),"")</f>
        <v/>
      </c>
      <c r="L520" s="80" t="str">
        <f>IF('Open 30M - Scoring'!B67&lt;&gt;"",'Open 30M - Scoring'!AP67,"")</f>
        <v/>
      </c>
      <c r="M520" s="81" t="str">
        <f>IFERROR(IF(ISNUMBER(L520),L520,""),"")</f>
        <v/>
      </c>
    </row>
    <row r="521" spans="1:13" ht="19.5" customHeight="1" x14ac:dyDescent="0.35">
      <c r="A521" s="78" t="s">
        <v>223</v>
      </c>
      <c r="B521" s="79" t="str">
        <f>IF('Open 30M - Scoring'!B66&lt;&gt;"",IF('Open 30M - Scoring'!L66&lt;&gt;"",'Open 30M - Scoring'!L66,""),"")</f>
        <v/>
      </c>
      <c r="C521" s="79" t="str">
        <f>IF('Open 30M - Scoring'!B66&lt;&gt;"",IF('Open 30M - Scoring'!M66&lt;&gt;"",'Open 30M - Scoring'!M66,""),"")</f>
        <v/>
      </c>
      <c r="D521" s="79" t="str">
        <f>IF('Open 30M - Scoring'!B66&lt;&gt;"",IF('Open 30M - Scoring'!N66&lt;&gt;"",'Open 30M - Scoring'!N66,""),"")</f>
        <v/>
      </c>
      <c r="E521" s="80" t="str">
        <f>IF('Open 30M - Scoring'!B66&lt;&gt;"",'Open 30M - Scoring'!AQ66,"")</f>
        <v/>
      </c>
      <c r="F521" s="81" t="str">
        <f>IF(E520&lt;&gt;"",IFERROR(IF(ISNUMBER(E520),E520,0),0)+IFERROR(IF(ISNUMBER(E521),E521,0),0),"")</f>
        <v/>
      </c>
      <c r="H521" s="78" t="s">
        <v>223</v>
      </c>
      <c r="I521" s="79" t="str">
        <f>IF('Open 30M - Scoring'!B67&lt;&gt;"",IF('Open 30M - Scoring'!L67&lt;&gt;"",'Open 30M - Scoring'!L67,""),"")</f>
        <v/>
      </c>
      <c r="J521" s="79" t="str">
        <f>IF('Open 30M - Scoring'!B67&lt;&gt;"",IF('Open 30M - Scoring'!M67&lt;&gt;"",'Open 30M - Scoring'!M67,""),"")</f>
        <v/>
      </c>
      <c r="K521" s="79" t="str">
        <f>IF('Open 30M - Scoring'!B67&lt;&gt;"",IF('Open 30M - Scoring'!N67&lt;&gt;"",'Open 30M - Scoring'!N67,""),"")</f>
        <v/>
      </c>
      <c r="L521" s="80" t="str">
        <f>IF('Open 30M - Scoring'!B67&lt;&gt;"",'Open 30M - Scoring'!AQ67,"")</f>
        <v/>
      </c>
      <c r="M521" s="81" t="str">
        <f>IF(L520&lt;&gt;"",IFERROR(IF(ISNUMBER(L520),L520,0),0)+IFERROR(IF(ISNUMBER(L521),L521,0),0),"")</f>
        <v/>
      </c>
    </row>
    <row r="522" spans="1:13" ht="19.5" customHeight="1" x14ac:dyDescent="0.35">
      <c r="A522" s="78" t="s">
        <v>224</v>
      </c>
      <c r="B522" s="79" t="str">
        <f>IF('Open 30M - Scoring'!B66&lt;&gt;"",IF('Open 30M - Scoring'!R66&lt;&gt;"",'Open 30M - Scoring'!R66,""),"")</f>
        <v/>
      </c>
      <c r="C522" s="79" t="str">
        <f>IF('Open 30M - Scoring'!B66&lt;&gt;"",IF('Open 30M - Scoring'!S66&lt;&gt;"",'Open 30M - Scoring'!S66,""),"")</f>
        <v/>
      </c>
      <c r="D522" s="79" t="str">
        <f>IF('Open 30M - Scoring'!B66&lt;&gt;"",IF('Open 30M - Scoring'!T66&lt;&gt;"",'Open 30M - Scoring'!T66,""),"")</f>
        <v/>
      </c>
      <c r="E522" s="80" t="str">
        <f>IF('Open 30M - Scoring'!B66&lt;&gt;"",'Open 30M - Scoring'!AR66,"")</f>
        <v/>
      </c>
      <c r="F522" s="81" t="str">
        <f>IF(E520&lt;&gt;"",IFERROR(IF(ISNUMBER(E520),E520,0),0)+IFERROR(IF(ISNUMBER(E521),E521,0),0)+IFERROR(IF(ISNUMBER(E522),E522,0),0),"")</f>
        <v/>
      </c>
      <c r="H522" s="78" t="s">
        <v>224</v>
      </c>
      <c r="I522" s="79" t="str">
        <f>IF('Open 30M - Scoring'!B67&lt;&gt;"",IF('Open 30M - Scoring'!R67&lt;&gt;"",'Open 30M - Scoring'!R67,""),"")</f>
        <v/>
      </c>
      <c r="J522" s="79" t="str">
        <f>IF('Open 30M - Scoring'!B67&lt;&gt;"",IF('Open 30M - Scoring'!S67&lt;&gt;"",'Open 30M - Scoring'!S67,""),"")</f>
        <v/>
      </c>
      <c r="K522" s="79" t="str">
        <f>IF('Open 30M - Scoring'!B67&lt;&gt;"",IF('Open 30M - Scoring'!T67&lt;&gt;"",'Open 30M - Scoring'!T67,""),"")</f>
        <v/>
      </c>
      <c r="L522" s="80" t="str">
        <f>IF('Open 30M - Scoring'!B67&lt;&gt;"",'Open 30M - Scoring'!AR67,"")</f>
        <v/>
      </c>
      <c r="M522" s="81" t="str">
        <f>IF(L520&lt;&gt;"",IFERROR(IF(ISNUMBER(L520),L520,0),0)+IFERROR(IF(ISNUMBER(L521),L521,0),0)+IFERROR(IF(ISNUMBER(L522),L522,0),0),"")</f>
        <v/>
      </c>
    </row>
    <row r="523" spans="1:13" ht="19.5" customHeight="1" x14ac:dyDescent="0.35">
      <c r="A523" s="78" t="s">
        <v>227</v>
      </c>
      <c r="B523" s="79" t="str">
        <f>IF('Open 30M - Scoring'!B66&lt;&gt;"",IF('Open 30M - Scoring'!X66&lt;&gt;"",'Open 30M - Scoring'!X66,""),"")</f>
        <v/>
      </c>
      <c r="C523" s="79" t="str">
        <f>IF('Open 30M - Scoring'!B66&lt;&gt;"",IF('Open 30M - Scoring'!Y66&lt;&gt;"",'Open 30M - Scoring'!Y66,""),"")</f>
        <v/>
      </c>
      <c r="D523" s="79" t="str">
        <f>IF('Open 30M - Scoring'!B66&lt;&gt;"",IF('Open 30M - Scoring'!Z66&lt;&gt;"",'Open 30M - Scoring'!Z66,""),"")</f>
        <v/>
      </c>
      <c r="E523" s="80" t="str">
        <f>IF('Open 30M - Scoring'!B66&lt;&gt;"",'Open 30M - Scoring'!AS66,"")</f>
        <v/>
      </c>
      <c r="F523" s="81" t="str">
        <f>IF(E520&lt;&gt;"",IFERROR(IF(ISNUMBER(E520),E520,0),0)+IFERROR(IF(ISNUMBER(E521),E521,0),0)+IFERROR(IF(ISNUMBER(E522),E522,0),0)+IFERROR(IF(ISNUMBER(E523),E523,0),0),"")</f>
        <v/>
      </c>
      <c r="H523" s="78" t="s">
        <v>227</v>
      </c>
      <c r="I523" s="79" t="str">
        <f>IF('Open 30M - Scoring'!B67&lt;&gt;"",IF('Open 30M - Scoring'!X67&lt;&gt;"",'Open 30M - Scoring'!X67,""),"")</f>
        <v/>
      </c>
      <c r="J523" s="79" t="str">
        <f>IF('Open 30M - Scoring'!B67&lt;&gt;"",IF('Open 30M - Scoring'!Y67&lt;&gt;"",'Open 30M - Scoring'!Y67,""),"")</f>
        <v/>
      </c>
      <c r="K523" s="79" t="str">
        <f>IF('Open 30M - Scoring'!B67&lt;&gt;"",IF('Open 30M - Scoring'!Z67&lt;&gt;"",'Open 30M - Scoring'!Z67,""),"")</f>
        <v/>
      </c>
      <c r="L523" s="80" t="str">
        <f>IF('Open 30M - Scoring'!B67&lt;&gt;"",'Open 30M - Scoring'!AS67,"")</f>
        <v/>
      </c>
      <c r="M523" s="81" t="str">
        <f>IF(L520&lt;&gt;"",IFERROR(IF(ISNUMBER(L520),L520,0),0)+IFERROR(IF(ISNUMBER(L521),L521,0),0)+IFERROR(IF(ISNUMBER(L522),L522,0),0)+IFERROR(IF(ISNUMBER(L523),L523,0),0),"")</f>
        <v/>
      </c>
    </row>
    <row r="524" spans="1:13" ht="19.5" customHeight="1" x14ac:dyDescent="0.35">
      <c r="A524" s="78" t="s">
        <v>228</v>
      </c>
      <c r="B524" s="79" t="str">
        <f>IF('Open 30M - Scoring'!B66&lt;&gt;"",IF('Open 30M - Scoring'!AD66&lt;&gt;"",'Open 30M - Scoring'!AD66,""),"")</f>
        <v/>
      </c>
      <c r="C524" s="79" t="str">
        <f>IF('Open 30M - Scoring'!B66&lt;&gt;"",IF('Open 30M - Scoring'!AE66&lt;&gt;"",'Open 30M - Scoring'!AE66,""),"")</f>
        <v/>
      </c>
      <c r="D524" s="79" t="str">
        <f>IF('Open 30M - Scoring'!B66&lt;&gt;"",IF('Open 30M - Scoring'!AF66&lt;&gt;"",'Open 30M - Scoring'!AF66,""),"")</f>
        <v/>
      </c>
      <c r="E524" s="80" t="str">
        <f>IF('Open 30M - Scoring'!B66&lt;&gt;"",'Open 30M - Scoring'!AT66,"")</f>
        <v/>
      </c>
      <c r="F524" s="81" t="str">
        <f>IF(E520&lt;&gt;"",IFERROR(IF(ISNUMBER(E520),E520,0),0)+IFERROR(IF(ISNUMBER(E521),E521,0),0)+IFERROR(IF(ISNUMBER(E522),E522,0),0)+IFERROR(IF(ISNUMBER(E523),E523,0),0)+IFERROR(IF(ISNUMBER(E524),E524,0),0),"")</f>
        <v/>
      </c>
      <c r="H524" s="78" t="s">
        <v>228</v>
      </c>
      <c r="I524" s="79" t="str">
        <f>IF('Open 30M - Scoring'!B67&lt;&gt;"",IF('Open 30M - Scoring'!AD67&lt;&gt;"",'Open 30M - Scoring'!AD67,""),"")</f>
        <v/>
      </c>
      <c r="J524" s="79" t="str">
        <f>IF('Open 30M - Scoring'!B67&lt;&gt;"",IF('Open 30M - Scoring'!AE67&lt;&gt;"",'Open 30M - Scoring'!AE67,""),"")</f>
        <v/>
      </c>
      <c r="K524" s="79" t="str">
        <f>IF('Open 30M - Scoring'!B67&lt;&gt;"",IF('Open 30M - Scoring'!AF67&lt;&gt;"",'Open 30M - Scoring'!AF67,""),"")</f>
        <v/>
      </c>
      <c r="L524" s="80" t="str">
        <f>IF('Open 30M - Scoring'!B67&lt;&gt;"",'Open 30M - Scoring'!AT67,"")</f>
        <v/>
      </c>
      <c r="M524" s="81" t="str">
        <f>IF(L520&lt;&gt;"",IFERROR(IF(ISNUMBER(L520),L520,0),0)+IFERROR(IF(ISNUMBER(L521),L521,0),0)+IFERROR(IF(ISNUMBER(L522),L522,0),0)+IFERROR(IF(ISNUMBER(L523),L523,0),0)+IFERROR(IF(ISNUMBER(L524),L524,0),0),"")</f>
        <v/>
      </c>
    </row>
    <row r="525" spans="1:13" ht="19.5" customHeight="1" x14ac:dyDescent="0.35">
      <c r="A525" s="78" t="s">
        <v>229</v>
      </c>
      <c r="B525" s="79" t="str">
        <f>IF('Open 30M - Scoring'!B66&lt;&gt;"",IF('Open 30M - Scoring'!AJ66&lt;&gt;"",'Open 30M - Scoring'!AJ66,""),"")</f>
        <v/>
      </c>
      <c r="C525" s="79" t="str">
        <f>IF('Open 30M - Scoring'!B66&lt;&gt;"",IF('Open 30M - Scoring'!AK66&lt;&gt;"",'Open 30M - Scoring'!AK66,""),"")</f>
        <v/>
      </c>
      <c r="D525" s="79" t="str">
        <f>IF('Open 30M - Scoring'!B66&lt;&gt;"",IF('Open 30M - Scoring'!AL66&lt;&gt;"",'Open 30M - Scoring'!AL66,""),"")</f>
        <v/>
      </c>
      <c r="E525" s="80" t="str">
        <f>IF('Open 30M - Scoring'!B66&lt;&gt;"",'Open 30M - Scoring'!AU66,"")</f>
        <v/>
      </c>
      <c r="F525" s="81" t="str">
        <f>IF(E520&lt;&gt;"",IFERROR(IF(ISNUMBER(E520),E520,0),0)+IFERROR(IF(ISNUMBER(E521),E521,0),0)+IFERROR(IF(ISNUMBER(E522),E522,0),0)+IFERROR(IF(ISNUMBER(E523),E523,0),0)+IFERROR(IF(ISNUMBER(E524),E524,0),0)+IFERROR(IF(ISNUMBER(E525),E525,0),0),"")</f>
        <v/>
      </c>
      <c r="H525" s="78" t="s">
        <v>229</v>
      </c>
      <c r="I525" s="79" t="str">
        <f>IF('Open 30M - Scoring'!B67&lt;&gt;"",IF('Open 30M - Scoring'!AJ67&lt;&gt;"",'Open 30M - Scoring'!AJ67,""),"")</f>
        <v/>
      </c>
      <c r="J525" s="79" t="str">
        <f>IF('Open 30M - Scoring'!B67&lt;&gt;"",IF('Open 30M - Scoring'!AK67&lt;&gt;"",'Open 30M - Scoring'!AK67,""),"")</f>
        <v/>
      </c>
      <c r="K525" s="79" t="str">
        <f>IF('Open 30M - Scoring'!B67&lt;&gt;"",IF('Open 30M - Scoring'!AL67&lt;&gt;"",'Open 30M - Scoring'!AL67,""),"")</f>
        <v/>
      </c>
      <c r="L525" s="80" t="str">
        <f>IF('Open 30M - Scoring'!B67&lt;&gt;"",'Open 30M - Scoring'!AU67,"")</f>
        <v/>
      </c>
      <c r="M525" s="81" t="str">
        <f>IF(L520&lt;&gt;"",IFERROR(IF(ISNUMBER(L520),L520,0),0)+IFERROR(IF(ISNUMBER(L521),L521,0),0)+IFERROR(IF(ISNUMBER(L522),L522,0),0)+IFERROR(IF(ISNUMBER(L523),L523,0),0)+IFERROR(IF(ISNUMBER(L524),L524,0),0)+IFERROR(IF(ISNUMBER(L525),L525,0),0),"")</f>
        <v/>
      </c>
    </row>
    <row r="526" spans="1:13" ht="3.75" customHeight="1" x14ac:dyDescent="0.35"/>
    <row r="527" spans="1:13" ht="24" customHeight="1" x14ac:dyDescent="0.35">
      <c r="A527" s="124" t="s">
        <v>230</v>
      </c>
      <c r="B527" s="124"/>
      <c r="C527" s="124"/>
      <c r="D527" s="124"/>
      <c r="E527" s="125" t="str">
        <f>IF('Open 30M - Scoring'!B66&lt;&gt;"",'Open 30M - Scoring'!AV66,"")</f>
        <v/>
      </c>
      <c r="F527" s="125"/>
      <c r="H527" s="124" t="s">
        <v>230</v>
      </c>
      <c r="I527" s="124"/>
      <c r="J527" s="124"/>
      <c r="K527" s="124"/>
      <c r="L527" s="125" t="str">
        <f>IF('Open 30M - Scoring'!B67&lt;&gt;"",'Open 30M - Scoring'!AV67,"")</f>
        <v/>
      </c>
      <c r="M527" s="125"/>
    </row>
    <row r="528" spans="1:13" ht="19.5" customHeight="1" x14ac:dyDescent="0.35">
      <c r="E528" s="125"/>
      <c r="F528" s="125"/>
      <c r="L528" s="125"/>
      <c r="M528" s="125"/>
    </row>
    <row r="529" spans="1:13" ht="3.75" customHeight="1" x14ac:dyDescent="0.35"/>
    <row r="530" spans="1:13" ht="18" customHeight="1" x14ac:dyDescent="0.35">
      <c r="A530" s="73" t="s">
        <v>126</v>
      </c>
      <c r="B530" s="82" t="str">
        <f>IF('Open 30M - Scoring'!B66&lt;&gt;"",'Open 30M - Scoring'!AW66,"")</f>
        <v/>
      </c>
      <c r="C530" s="73" t="s">
        <v>127</v>
      </c>
      <c r="D530" s="83" t="str">
        <f>IF('Open 30M - Scoring'!B66&lt;&gt;"",'Open 30M - Scoring'!AX66,"")</f>
        <v/>
      </c>
      <c r="E530" s="73" t="s">
        <v>128</v>
      </c>
      <c r="F530" s="83" t="str">
        <f>IF('Open 30M - Scoring'!B66&lt;&gt;"",'Open 30M - Scoring'!AY66,"")</f>
        <v/>
      </c>
      <c r="H530" s="73" t="s">
        <v>126</v>
      </c>
      <c r="I530" s="82" t="str">
        <f>IF('Open 30M - Scoring'!B67&lt;&gt;"",'Open 30M - Scoring'!AW67,"")</f>
        <v/>
      </c>
      <c r="J530" s="73" t="s">
        <v>127</v>
      </c>
      <c r="K530" s="83" t="str">
        <f>IF('Open 30M - Scoring'!B67&lt;&gt;"",'Open 30M - Scoring'!AX67,"")</f>
        <v/>
      </c>
      <c r="L530" s="73" t="s">
        <v>128</v>
      </c>
      <c r="M530" s="83" t="str">
        <f>IF('Open 30M - Scoring'!B67&lt;&gt;"",'Open 30M - Scoring'!AY67,"")</f>
        <v/>
      </c>
    </row>
    <row r="531" spans="1:13" ht="3.75" customHeight="1" x14ac:dyDescent="0.35"/>
    <row r="532" spans="1:13" ht="7.5" customHeight="1" x14ac:dyDescent="0.35">
      <c r="A532" s="126"/>
      <c r="B532" s="126"/>
      <c r="C532" s="126"/>
      <c r="D532" s="126"/>
      <c r="E532" s="126"/>
      <c r="F532" s="126"/>
      <c r="G532" s="126"/>
      <c r="H532" s="126"/>
      <c r="I532" s="126"/>
      <c r="J532" s="126"/>
      <c r="K532" s="126"/>
      <c r="L532" s="126"/>
      <c r="M532" s="126"/>
    </row>
    <row r="533" spans="1:13" ht="15.75" customHeight="1" x14ac:dyDescent="0.35">
      <c r="A533" s="73" t="s">
        <v>218</v>
      </c>
      <c r="B533" s="122" t="str">
        <f>IF('Open 30M - Scoring'!B68&lt;&gt;"",'Open 30M - Scoring'!B68,"")</f>
        <v/>
      </c>
      <c r="C533" s="122"/>
      <c r="D533" s="122"/>
      <c r="E533" s="73" t="s">
        <v>219</v>
      </c>
      <c r="F533" s="74" t="str">
        <f>IF('Open 30M - Scoring'!B68&lt;&gt;"",'Open 30M - Scoring'!BB68,"")</f>
        <v/>
      </c>
      <c r="H533" s="73" t="s">
        <v>218</v>
      </c>
      <c r="I533" s="122" t="str">
        <f>IF('Open 30M - Scoring'!B69&lt;&gt;"",'Open 30M - Scoring'!B69,"")</f>
        <v/>
      </c>
      <c r="J533" s="122"/>
      <c r="K533" s="122"/>
      <c r="L533" s="73" t="s">
        <v>219</v>
      </c>
      <c r="M533" s="74" t="str">
        <f>IF('Open 30M - Scoring'!B69&lt;&gt;"",'Open 30M - Scoring'!BB69,"")</f>
        <v/>
      </c>
    </row>
    <row r="534" spans="1:13" ht="15.75" customHeight="1" x14ac:dyDescent="0.35">
      <c r="A534" s="73" t="s">
        <v>220</v>
      </c>
      <c r="B534" s="123" t="str">
        <f>IF('Open 30M - Scoring'!B68&lt;&gt;"",'Open 30M - Scoring'!D68,"")</f>
        <v/>
      </c>
      <c r="C534" s="123"/>
      <c r="D534" s="123"/>
      <c r="E534" s="73" t="s">
        <v>8</v>
      </c>
      <c r="F534" s="75" t="str">
        <f>IF('Open 30M - Scoring'!B68&lt;&gt;"",'Open 30M - Scoring'!E68,"")</f>
        <v/>
      </c>
      <c r="H534" s="73" t="s">
        <v>220</v>
      </c>
      <c r="I534" s="123" t="str">
        <f>IF('Open 30M - Scoring'!B69&lt;&gt;"",'Open 30M - Scoring'!D69,"")</f>
        <v/>
      </c>
      <c r="J534" s="123"/>
      <c r="K534" s="123"/>
      <c r="L534" s="73" t="s">
        <v>8</v>
      </c>
      <c r="M534" s="75" t="str">
        <f>IF('Open 30M - Scoring'!B69&lt;&gt;"",'Open 30M - Scoring'!E69,"")</f>
        <v/>
      </c>
    </row>
    <row r="535" spans="1:13" ht="3.75" customHeight="1" x14ac:dyDescent="0.35"/>
    <row r="536" spans="1:13" ht="25.5" customHeight="1" x14ac:dyDescent="0.35">
      <c r="A536" s="76" t="s">
        <v>221</v>
      </c>
      <c r="B536" s="77" t="s">
        <v>222</v>
      </c>
      <c r="C536" s="77" t="s">
        <v>223</v>
      </c>
      <c r="D536" s="77" t="s">
        <v>224</v>
      </c>
      <c r="E536" s="76" t="s">
        <v>225</v>
      </c>
      <c r="F536" s="76" t="s">
        <v>226</v>
      </c>
      <c r="H536" s="76" t="s">
        <v>221</v>
      </c>
      <c r="I536" s="77" t="s">
        <v>222</v>
      </c>
      <c r="J536" s="77" t="s">
        <v>223</v>
      </c>
      <c r="K536" s="77" t="s">
        <v>224</v>
      </c>
      <c r="L536" s="76" t="s">
        <v>225</v>
      </c>
      <c r="M536" s="76" t="s">
        <v>226</v>
      </c>
    </row>
    <row r="537" spans="1:13" ht="19.5" customHeight="1" x14ac:dyDescent="0.35">
      <c r="A537" s="78" t="s">
        <v>222</v>
      </c>
      <c r="B537" s="79" t="str">
        <f>IF('Open 30M - Scoring'!B68&lt;&gt;"",IF('Open 30M - Scoring'!F68&lt;&gt;"",'Open 30M - Scoring'!F68,""),"")</f>
        <v/>
      </c>
      <c r="C537" s="79" t="str">
        <f>IF('Open 30M - Scoring'!B68&lt;&gt;"",IF('Open 30M - Scoring'!G68&lt;&gt;"",'Open 30M - Scoring'!G68,""),"")</f>
        <v/>
      </c>
      <c r="D537" s="79" t="str">
        <f>IF('Open 30M - Scoring'!B68&lt;&gt;"",IF('Open 30M - Scoring'!H68&lt;&gt;"",'Open 30M - Scoring'!H68,""),"")</f>
        <v/>
      </c>
      <c r="E537" s="80" t="str">
        <f>IF('Open 30M - Scoring'!B68&lt;&gt;"",'Open 30M - Scoring'!AP68,"")</f>
        <v/>
      </c>
      <c r="F537" s="81" t="str">
        <f>IFERROR(IF(ISNUMBER(E537),E537,""),"")</f>
        <v/>
      </c>
      <c r="H537" s="78" t="s">
        <v>222</v>
      </c>
      <c r="I537" s="79" t="str">
        <f>IF('Open 30M - Scoring'!B69&lt;&gt;"",IF('Open 30M - Scoring'!F69&lt;&gt;"",'Open 30M - Scoring'!F69,""),"")</f>
        <v/>
      </c>
      <c r="J537" s="79" t="str">
        <f>IF('Open 30M - Scoring'!B69&lt;&gt;"",IF('Open 30M - Scoring'!G69&lt;&gt;"",'Open 30M - Scoring'!G69,""),"")</f>
        <v/>
      </c>
      <c r="K537" s="79" t="str">
        <f>IF('Open 30M - Scoring'!B69&lt;&gt;"",IF('Open 30M - Scoring'!H69&lt;&gt;"",'Open 30M - Scoring'!H69,""),"")</f>
        <v/>
      </c>
      <c r="L537" s="80" t="str">
        <f>IF('Open 30M - Scoring'!B69&lt;&gt;"",'Open 30M - Scoring'!AP69,"")</f>
        <v/>
      </c>
      <c r="M537" s="81" t="str">
        <f>IFERROR(IF(ISNUMBER(L537),L537,""),"")</f>
        <v/>
      </c>
    </row>
    <row r="538" spans="1:13" ht="19.5" customHeight="1" x14ac:dyDescent="0.35">
      <c r="A538" s="78" t="s">
        <v>223</v>
      </c>
      <c r="B538" s="79" t="str">
        <f>IF('Open 30M - Scoring'!B68&lt;&gt;"",IF('Open 30M - Scoring'!L68&lt;&gt;"",'Open 30M - Scoring'!L68,""),"")</f>
        <v/>
      </c>
      <c r="C538" s="79" t="str">
        <f>IF('Open 30M - Scoring'!B68&lt;&gt;"",IF('Open 30M - Scoring'!M68&lt;&gt;"",'Open 30M - Scoring'!M68,""),"")</f>
        <v/>
      </c>
      <c r="D538" s="79" t="str">
        <f>IF('Open 30M - Scoring'!B68&lt;&gt;"",IF('Open 30M - Scoring'!N68&lt;&gt;"",'Open 30M - Scoring'!N68,""),"")</f>
        <v/>
      </c>
      <c r="E538" s="80" t="str">
        <f>IF('Open 30M - Scoring'!B68&lt;&gt;"",'Open 30M - Scoring'!AQ68,"")</f>
        <v/>
      </c>
      <c r="F538" s="81" t="str">
        <f>IF(E537&lt;&gt;"",IFERROR(IF(ISNUMBER(E537),E537,0),0)+IFERROR(IF(ISNUMBER(E538),E538,0),0),"")</f>
        <v/>
      </c>
      <c r="H538" s="78" t="s">
        <v>223</v>
      </c>
      <c r="I538" s="79" t="str">
        <f>IF('Open 30M - Scoring'!B69&lt;&gt;"",IF('Open 30M - Scoring'!L69&lt;&gt;"",'Open 30M - Scoring'!L69,""),"")</f>
        <v/>
      </c>
      <c r="J538" s="79" t="str">
        <f>IF('Open 30M - Scoring'!B69&lt;&gt;"",IF('Open 30M - Scoring'!M69&lt;&gt;"",'Open 30M - Scoring'!M69,""),"")</f>
        <v/>
      </c>
      <c r="K538" s="79" t="str">
        <f>IF('Open 30M - Scoring'!B69&lt;&gt;"",IF('Open 30M - Scoring'!N69&lt;&gt;"",'Open 30M - Scoring'!N69,""),"")</f>
        <v/>
      </c>
      <c r="L538" s="80" t="str">
        <f>IF('Open 30M - Scoring'!B69&lt;&gt;"",'Open 30M - Scoring'!AQ69,"")</f>
        <v/>
      </c>
      <c r="M538" s="81" t="str">
        <f>IF(L537&lt;&gt;"",IFERROR(IF(ISNUMBER(L537),L537,0),0)+IFERROR(IF(ISNUMBER(L538),L538,0),0),"")</f>
        <v/>
      </c>
    </row>
    <row r="539" spans="1:13" ht="19.5" customHeight="1" x14ac:dyDescent="0.35">
      <c r="A539" s="78" t="s">
        <v>224</v>
      </c>
      <c r="B539" s="79" t="str">
        <f>IF('Open 30M - Scoring'!B68&lt;&gt;"",IF('Open 30M - Scoring'!R68&lt;&gt;"",'Open 30M - Scoring'!R68,""),"")</f>
        <v/>
      </c>
      <c r="C539" s="79" t="str">
        <f>IF('Open 30M - Scoring'!B68&lt;&gt;"",IF('Open 30M - Scoring'!S68&lt;&gt;"",'Open 30M - Scoring'!S68,""),"")</f>
        <v/>
      </c>
      <c r="D539" s="79" t="str">
        <f>IF('Open 30M - Scoring'!B68&lt;&gt;"",IF('Open 30M - Scoring'!T68&lt;&gt;"",'Open 30M - Scoring'!T68,""),"")</f>
        <v/>
      </c>
      <c r="E539" s="80" t="str">
        <f>IF('Open 30M - Scoring'!B68&lt;&gt;"",'Open 30M - Scoring'!AR68,"")</f>
        <v/>
      </c>
      <c r="F539" s="81" t="str">
        <f>IF(E537&lt;&gt;"",IFERROR(IF(ISNUMBER(E537),E537,0),0)+IFERROR(IF(ISNUMBER(E538),E538,0),0)+IFERROR(IF(ISNUMBER(E539),E539,0),0),"")</f>
        <v/>
      </c>
      <c r="H539" s="78" t="s">
        <v>224</v>
      </c>
      <c r="I539" s="79" t="str">
        <f>IF('Open 30M - Scoring'!B69&lt;&gt;"",IF('Open 30M - Scoring'!R69&lt;&gt;"",'Open 30M - Scoring'!R69,""),"")</f>
        <v/>
      </c>
      <c r="J539" s="79" t="str">
        <f>IF('Open 30M - Scoring'!B69&lt;&gt;"",IF('Open 30M - Scoring'!S69&lt;&gt;"",'Open 30M - Scoring'!S69,""),"")</f>
        <v/>
      </c>
      <c r="K539" s="79" t="str">
        <f>IF('Open 30M - Scoring'!B69&lt;&gt;"",IF('Open 30M - Scoring'!T69&lt;&gt;"",'Open 30M - Scoring'!T69,""),"")</f>
        <v/>
      </c>
      <c r="L539" s="80" t="str">
        <f>IF('Open 30M - Scoring'!B69&lt;&gt;"",'Open 30M - Scoring'!AR69,"")</f>
        <v/>
      </c>
      <c r="M539" s="81" t="str">
        <f>IF(L537&lt;&gt;"",IFERROR(IF(ISNUMBER(L537),L537,0),0)+IFERROR(IF(ISNUMBER(L538),L538,0),0)+IFERROR(IF(ISNUMBER(L539),L539,0),0),"")</f>
        <v/>
      </c>
    </row>
    <row r="540" spans="1:13" ht="19.5" customHeight="1" x14ac:dyDescent="0.35">
      <c r="A540" s="78" t="s">
        <v>227</v>
      </c>
      <c r="B540" s="79" t="str">
        <f>IF('Open 30M - Scoring'!B68&lt;&gt;"",IF('Open 30M - Scoring'!X68&lt;&gt;"",'Open 30M - Scoring'!X68,""),"")</f>
        <v/>
      </c>
      <c r="C540" s="79" t="str">
        <f>IF('Open 30M - Scoring'!B68&lt;&gt;"",IF('Open 30M - Scoring'!Y68&lt;&gt;"",'Open 30M - Scoring'!Y68,""),"")</f>
        <v/>
      </c>
      <c r="D540" s="79" t="str">
        <f>IF('Open 30M - Scoring'!B68&lt;&gt;"",IF('Open 30M - Scoring'!Z68&lt;&gt;"",'Open 30M - Scoring'!Z68,""),"")</f>
        <v/>
      </c>
      <c r="E540" s="80" t="str">
        <f>IF('Open 30M - Scoring'!B68&lt;&gt;"",'Open 30M - Scoring'!AS68,"")</f>
        <v/>
      </c>
      <c r="F540" s="81" t="str">
        <f>IF(E537&lt;&gt;"",IFERROR(IF(ISNUMBER(E537),E537,0),0)+IFERROR(IF(ISNUMBER(E538),E538,0),0)+IFERROR(IF(ISNUMBER(E539),E539,0),0)+IFERROR(IF(ISNUMBER(E540),E540,0),0),"")</f>
        <v/>
      </c>
      <c r="H540" s="78" t="s">
        <v>227</v>
      </c>
      <c r="I540" s="79" t="str">
        <f>IF('Open 30M - Scoring'!B69&lt;&gt;"",IF('Open 30M - Scoring'!X69&lt;&gt;"",'Open 30M - Scoring'!X69,""),"")</f>
        <v/>
      </c>
      <c r="J540" s="79" t="str">
        <f>IF('Open 30M - Scoring'!B69&lt;&gt;"",IF('Open 30M - Scoring'!Y69&lt;&gt;"",'Open 30M - Scoring'!Y69,""),"")</f>
        <v/>
      </c>
      <c r="K540" s="79" t="str">
        <f>IF('Open 30M - Scoring'!B69&lt;&gt;"",IF('Open 30M - Scoring'!Z69&lt;&gt;"",'Open 30M - Scoring'!Z69,""),"")</f>
        <v/>
      </c>
      <c r="L540" s="80" t="str">
        <f>IF('Open 30M - Scoring'!B69&lt;&gt;"",'Open 30M - Scoring'!AS69,"")</f>
        <v/>
      </c>
      <c r="M540" s="81" t="str">
        <f>IF(L537&lt;&gt;"",IFERROR(IF(ISNUMBER(L537),L537,0),0)+IFERROR(IF(ISNUMBER(L538),L538,0),0)+IFERROR(IF(ISNUMBER(L539),L539,0),0)+IFERROR(IF(ISNUMBER(L540),L540,0),0),"")</f>
        <v/>
      </c>
    </row>
    <row r="541" spans="1:13" ht="19.5" customHeight="1" x14ac:dyDescent="0.35">
      <c r="A541" s="78" t="s">
        <v>228</v>
      </c>
      <c r="B541" s="79" t="str">
        <f>IF('Open 30M - Scoring'!B68&lt;&gt;"",IF('Open 30M - Scoring'!AD68&lt;&gt;"",'Open 30M - Scoring'!AD68,""),"")</f>
        <v/>
      </c>
      <c r="C541" s="79" t="str">
        <f>IF('Open 30M - Scoring'!B68&lt;&gt;"",IF('Open 30M - Scoring'!AE68&lt;&gt;"",'Open 30M - Scoring'!AE68,""),"")</f>
        <v/>
      </c>
      <c r="D541" s="79" t="str">
        <f>IF('Open 30M - Scoring'!B68&lt;&gt;"",IF('Open 30M - Scoring'!AF68&lt;&gt;"",'Open 30M - Scoring'!AF68,""),"")</f>
        <v/>
      </c>
      <c r="E541" s="80" t="str">
        <f>IF('Open 30M - Scoring'!B68&lt;&gt;"",'Open 30M - Scoring'!AT68,"")</f>
        <v/>
      </c>
      <c r="F541" s="81" t="str">
        <f>IF(E537&lt;&gt;"",IFERROR(IF(ISNUMBER(E537),E537,0),0)+IFERROR(IF(ISNUMBER(E538),E538,0),0)+IFERROR(IF(ISNUMBER(E539),E539,0),0)+IFERROR(IF(ISNUMBER(E540),E540,0),0)+IFERROR(IF(ISNUMBER(E541),E541,0),0),"")</f>
        <v/>
      </c>
      <c r="H541" s="78" t="s">
        <v>228</v>
      </c>
      <c r="I541" s="79" t="str">
        <f>IF('Open 30M - Scoring'!B69&lt;&gt;"",IF('Open 30M - Scoring'!AD69&lt;&gt;"",'Open 30M - Scoring'!AD69,""),"")</f>
        <v/>
      </c>
      <c r="J541" s="79" t="str">
        <f>IF('Open 30M - Scoring'!B69&lt;&gt;"",IF('Open 30M - Scoring'!AE69&lt;&gt;"",'Open 30M - Scoring'!AE69,""),"")</f>
        <v/>
      </c>
      <c r="K541" s="79" t="str">
        <f>IF('Open 30M - Scoring'!B69&lt;&gt;"",IF('Open 30M - Scoring'!AF69&lt;&gt;"",'Open 30M - Scoring'!AF69,""),"")</f>
        <v/>
      </c>
      <c r="L541" s="80" t="str">
        <f>IF('Open 30M - Scoring'!B69&lt;&gt;"",'Open 30M - Scoring'!AT69,"")</f>
        <v/>
      </c>
      <c r="M541" s="81" t="str">
        <f>IF(L537&lt;&gt;"",IFERROR(IF(ISNUMBER(L537),L537,0),0)+IFERROR(IF(ISNUMBER(L538),L538,0),0)+IFERROR(IF(ISNUMBER(L539),L539,0),0)+IFERROR(IF(ISNUMBER(L540),L540,0),0)+IFERROR(IF(ISNUMBER(L541),L541,0),0),"")</f>
        <v/>
      </c>
    </row>
    <row r="542" spans="1:13" ht="19.5" customHeight="1" x14ac:dyDescent="0.35">
      <c r="A542" s="78" t="s">
        <v>229</v>
      </c>
      <c r="B542" s="79" t="str">
        <f>IF('Open 30M - Scoring'!B68&lt;&gt;"",IF('Open 30M - Scoring'!AJ68&lt;&gt;"",'Open 30M - Scoring'!AJ68,""),"")</f>
        <v/>
      </c>
      <c r="C542" s="79" t="str">
        <f>IF('Open 30M - Scoring'!B68&lt;&gt;"",IF('Open 30M - Scoring'!AK68&lt;&gt;"",'Open 30M - Scoring'!AK68,""),"")</f>
        <v/>
      </c>
      <c r="D542" s="79" t="str">
        <f>IF('Open 30M - Scoring'!B68&lt;&gt;"",IF('Open 30M - Scoring'!AL68&lt;&gt;"",'Open 30M - Scoring'!AL68,""),"")</f>
        <v/>
      </c>
      <c r="E542" s="80" t="str">
        <f>IF('Open 30M - Scoring'!B68&lt;&gt;"",'Open 30M - Scoring'!AU68,"")</f>
        <v/>
      </c>
      <c r="F542" s="81" t="str">
        <f>IF(E537&lt;&gt;"",IFERROR(IF(ISNUMBER(E537),E537,0),0)+IFERROR(IF(ISNUMBER(E538),E538,0),0)+IFERROR(IF(ISNUMBER(E539),E539,0),0)+IFERROR(IF(ISNUMBER(E540),E540,0),0)+IFERROR(IF(ISNUMBER(E541),E541,0),0)+IFERROR(IF(ISNUMBER(E542),E542,0),0),"")</f>
        <v/>
      </c>
      <c r="H542" s="78" t="s">
        <v>229</v>
      </c>
      <c r="I542" s="79" t="str">
        <f>IF('Open 30M - Scoring'!B69&lt;&gt;"",IF('Open 30M - Scoring'!AJ69&lt;&gt;"",'Open 30M - Scoring'!AJ69,""),"")</f>
        <v/>
      </c>
      <c r="J542" s="79" t="str">
        <f>IF('Open 30M - Scoring'!B69&lt;&gt;"",IF('Open 30M - Scoring'!AK69&lt;&gt;"",'Open 30M - Scoring'!AK69,""),"")</f>
        <v/>
      </c>
      <c r="K542" s="79" t="str">
        <f>IF('Open 30M - Scoring'!B69&lt;&gt;"",IF('Open 30M - Scoring'!AL69&lt;&gt;"",'Open 30M - Scoring'!AL69,""),"")</f>
        <v/>
      </c>
      <c r="L542" s="80" t="str">
        <f>IF('Open 30M - Scoring'!B69&lt;&gt;"",'Open 30M - Scoring'!AU69,"")</f>
        <v/>
      </c>
      <c r="M542" s="81" t="str">
        <f>IF(L537&lt;&gt;"",IFERROR(IF(ISNUMBER(L537),L537,0),0)+IFERROR(IF(ISNUMBER(L538),L538,0),0)+IFERROR(IF(ISNUMBER(L539),L539,0),0)+IFERROR(IF(ISNUMBER(L540),L540,0),0)+IFERROR(IF(ISNUMBER(L541),L541,0),0)+IFERROR(IF(ISNUMBER(L542),L542,0),0),"")</f>
        <v/>
      </c>
    </row>
    <row r="543" spans="1:13" ht="3.75" customHeight="1" x14ac:dyDescent="0.35"/>
    <row r="544" spans="1:13" ht="24" customHeight="1" x14ac:dyDescent="0.35">
      <c r="A544" s="124" t="s">
        <v>230</v>
      </c>
      <c r="B544" s="124"/>
      <c r="C544" s="124"/>
      <c r="D544" s="124"/>
      <c r="E544" s="125" t="str">
        <f>IF('Open 30M - Scoring'!B68&lt;&gt;"",'Open 30M - Scoring'!AV68,"")</f>
        <v/>
      </c>
      <c r="F544" s="125"/>
      <c r="H544" s="124" t="s">
        <v>230</v>
      </c>
      <c r="I544" s="124"/>
      <c r="J544" s="124"/>
      <c r="K544" s="124"/>
      <c r="L544" s="125" t="str">
        <f>IF('Open 30M - Scoring'!B69&lt;&gt;"",'Open 30M - Scoring'!AV69,"")</f>
        <v/>
      </c>
      <c r="M544" s="125"/>
    </row>
    <row r="545" spans="1:13" ht="19.5" customHeight="1" x14ac:dyDescent="0.35">
      <c r="E545" s="125"/>
      <c r="F545" s="125"/>
      <c r="L545" s="125"/>
      <c r="M545" s="125"/>
    </row>
    <row r="546" spans="1:13" ht="3.75" customHeight="1" x14ac:dyDescent="0.35"/>
    <row r="547" spans="1:13" ht="18" customHeight="1" x14ac:dyDescent="0.35">
      <c r="A547" s="73" t="s">
        <v>126</v>
      </c>
      <c r="B547" s="82" t="str">
        <f>IF('Open 30M - Scoring'!B68&lt;&gt;"",'Open 30M - Scoring'!AW68,"")</f>
        <v/>
      </c>
      <c r="C547" s="73" t="s">
        <v>127</v>
      </c>
      <c r="D547" s="83" t="str">
        <f>IF('Open 30M - Scoring'!B68&lt;&gt;"",'Open 30M - Scoring'!AX68,"")</f>
        <v/>
      </c>
      <c r="E547" s="73" t="s">
        <v>128</v>
      </c>
      <c r="F547" s="83" t="str">
        <f>IF('Open 30M - Scoring'!B68&lt;&gt;"",'Open 30M - Scoring'!AY68,"")</f>
        <v/>
      </c>
      <c r="H547" s="73" t="s">
        <v>126</v>
      </c>
      <c r="I547" s="82" t="str">
        <f>IF('Open 30M - Scoring'!B69&lt;&gt;"",'Open 30M - Scoring'!AW69,"")</f>
        <v/>
      </c>
      <c r="J547" s="73" t="s">
        <v>127</v>
      </c>
      <c r="K547" s="83" t="str">
        <f>IF('Open 30M - Scoring'!B69&lt;&gt;"",'Open 30M - Scoring'!AX69,"")</f>
        <v/>
      </c>
      <c r="L547" s="73" t="s">
        <v>128</v>
      </c>
      <c r="M547" s="83" t="str">
        <f>IF('Open 30M - Scoring'!B69&lt;&gt;"",'Open 30M - Scoring'!AY69,"")</f>
        <v/>
      </c>
    </row>
    <row r="548" spans="1:13" ht="3.75" customHeight="1" x14ac:dyDescent="0.35"/>
    <row r="549" spans="1:13" ht="7.5" customHeight="1" x14ac:dyDescent="0.35">
      <c r="A549" s="126"/>
      <c r="B549" s="126"/>
      <c r="C549" s="126"/>
      <c r="D549" s="126"/>
      <c r="E549" s="126"/>
      <c r="F549" s="126"/>
      <c r="G549" s="126"/>
      <c r="H549" s="126"/>
      <c r="I549" s="126"/>
      <c r="J549" s="126"/>
      <c r="K549" s="126"/>
      <c r="L549" s="126"/>
      <c r="M549" s="126"/>
    </row>
  </sheetData>
  <mergeCells count="291">
    <mergeCell ref="A549:M549"/>
    <mergeCell ref="A532:M532"/>
    <mergeCell ref="B533:D533"/>
    <mergeCell ref="I533:K533"/>
    <mergeCell ref="B534:D534"/>
    <mergeCell ref="I534:K534"/>
    <mergeCell ref="A544:D544"/>
    <mergeCell ref="E544:F545"/>
    <mergeCell ref="H544:K544"/>
    <mergeCell ref="L544:M545"/>
    <mergeCell ref="A515:M515"/>
    <mergeCell ref="B516:D516"/>
    <mergeCell ref="I516:K516"/>
    <mergeCell ref="B517:D517"/>
    <mergeCell ref="I517:K517"/>
    <mergeCell ref="A527:D527"/>
    <mergeCell ref="E527:F528"/>
    <mergeCell ref="H527:K527"/>
    <mergeCell ref="L527:M528"/>
    <mergeCell ref="A498:M498"/>
    <mergeCell ref="B499:D499"/>
    <mergeCell ref="I499:K499"/>
    <mergeCell ref="B500:D500"/>
    <mergeCell ref="I500:K500"/>
    <mergeCell ref="A510:D510"/>
    <mergeCell ref="E510:F511"/>
    <mergeCell ref="H510:K510"/>
    <mergeCell ref="L510:M511"/>
    <mergeCell ref="A481:M481"/>
    <mergeCell ref="B482:D482"/>
    <mergeCell ref="I482:K482"/>
    <mergeCell ref="B483:D483"/>
    <mergeCell ref="I483:K483"/>
    <mergeCell ref="A493:D493"/>
    <mergeCell ref="E493:F494"/>
    <mergeCell ref="H493:K493"/>
    <mergeCell ref="L493:M494"/>
    <mergeCell ref="A464:M464"/>
    <mergeCell ref="B465:D465"/>
    <mergeCell ref="I465:K465"/>
    <mergeCell ref="B466:D466"/>
    <mergeCell ref="I466:K466"/>
    <mergeCell ref="A476:D476"/>
    <mergeCell ref="E476:F477"/>
    <mergeCell ref="H476:K476"/>
    <mergeCell ref="L476:M477"/>
    <mergeCell ref="A447:M447"/>
    <mergeCell ref="B448:D448"/>
    <mergeCell ref="I448:K448"/>
    <mergeCell ref="B449:D449"/>
    <mergeCell ref="I449:K449"/>
    <mergeCell ref="A459:D459"/>
    <mergeCell ref="E459:F460"/>
    <mergeCell ref="H459:K459"/>
    <mergeCell ref="L459:M460"/>
    <mergeCell ref="A430:M430"/>
    <mergeCell ref="B431:D431"/>
    <mergeCell ref="I431:K431"/>
    <mergeCell ref="B432:D432"/>
    <mergeCell ref="I432:K432"/>
    <mergeCell ref="A442:D442"/>
    <mergeCell ref="E442:F443"/>
    <mergeCell ref="H442:K442"/>
    <mergeCell ref="L442:M443"/>
    <mergeCell ref="A413:M413"/>
    <mergeCell ref="B414:D414"/>
    <mergeCell ref="I414:K414"/>
    <mergeCell ref="B415:D415"/>
    <mergeCell ref="I415:K415"/>
    <mergeCell ref="A425:D425"/>
    <mergeCell ref="E425:F426"/>
    <mergeCell ref="H425:K425"/>
    <mergeCell ref="L425:M426"/>
    <mergeCell ref="A396:M396"/>
    <mergeCell ref="B397:D397"/>
    <mergeCell ref="I397:K397"/>
    <mergeCell ref="B398:D398"/>
    <mergeCell ref="I398:K398"/>
    <mergeCell ref="A408:D408"/>
    <mergeCell ref="E408:F409"/>
    <mergeCell ref="H408:K408"/>
    <mergeCell ref="L408:M409"/>
    <mergeCell ref="A379:M379"/>
    <mergeCell ref="B380:D380"/>
    <mergeCell ref="I380:K380"/>
    <mergeCell ref="B381:D381"/>
    <mergeCell ref="I381:K381"/>
    <mergeCell ref="A391:D391"/>
    <mergeCell ref="E391:F392"/>
    <mergeCell ref="H391:K391"/>
    <mergeCell ref="L391:M392"/>
    <mergeCell ref="A362:M362"/>
    <mergeCell ref="B363:D363"/>
    <mergeCell ref="I363:K363"/>
    <mergeCell ref="B364:D364"/>
    <mergeCell ref="I364:K364"/>
    <mergeCell ref="A374:D374"/>
    <mergeCell ref="E374:F375"/>
    <mergeCell ref="H374:K374"/>
    <mergeCell ref="L374:M375"/>
    <mergeCell ref="A345:M345"/>
    <mergeCell ref="B346:D346"/>
    <mergeCell ref="I346:K346"/>
    <mergeCell ref="B347:D347"/>
    <mergeCell ref="I347:K347"/>
    <mergeCell ref="A357:D357"/>
    <mergeCell ref="E357:F358"/>
    <mergeCell ref="H357:K357"/>
    <mergeCell ref="L357:M358"/>
    <mergeCell ref="A328:M328"/>
    <mergeCell ref="B329:D329"/>
    <mergeCell ref="I329:K329"/>
    <mergeCell ref="B330:D330"/>
    <mergeCell ref="I330:K330"/>
    <mergeCell ref="A340:D340"/>
    <mergeCell ref="E340:F341"/>
    <mergeCell ref="H340:K340"/>
    <mergeCell ref="L340:M341"/>
    <mergeCell ref="A311:M311"/>
    <mergeCell ref="B312:D312"/>
    <mergeCell ref="I312:K312"/>
    <mergeCell ref="B313:D313"/>
    <mergeCell ref="I313:K313"/>
    <mergeCell ref="A323:D323"/>
    <mergeCell ref="E323:F324"/>
    <mergeCell ref="H323:K323"/>
    <mergeCell ref="L323:M324"/>
    <mergeCell ref="A294:M294"/>
    <mergeCell ref="B295:D295"/>
    <mergeCell ref="I295:K295"/>
    <mergeCell ref="B296:D296"/>
    <mergeCell ref="I296:K296"/>
    <mergeCell ref="A306:D306"/>
    <mergeCell ref="E306:F307"/>
    <mergeCell ref="H306:K306"/>
    <mergeCell ref="L306:M307"/>
    <mergeCell ref="A277:M277"/>
    <mergeCell ref="B278:D278"/>
    <mergeCell ref="I278:K278"/>
    <mergeCell ref="B279:D279"/>
    <mergeCell ref="I279:K279"/>
    <mergeCell ref="A289:D289"/>
    <mergeCell ref="E289:F290"/>
    <mergeCell ref="H289:K289"/>
    <mergeCell ref="L289:M290"/>
    <mergeCell ref="A260:M260"/>
    <mergeCell ref="B261:D261"/>
    <mergeCell ref="I261:K261"/>
    <mergeCell ref="B262:D262"/>
    <mergeCell ref="I262:K262"/>
    <mergeCell ref="A272:D272"/>
    <mergeCell ref="E272:F273"/>
    <mergeCell ref="H272:K272"/>
    <mergeCell ref="L272:M273"/>
    <mergeCell ref="A243:M243"/>
    <mergeCell ref="B244:D244"/>
    <mergeCell ref="I244:K244"/>
    <mergeCell ref="B245:D245"/>
    <mergeCell ref="I245:K245"/>
    <mergeCell ref="A255:D255"/>
    <mergeCell ref="E255:F256"/>
    <mergeCell ref="H255:K255"/>
    <mergeCell ref="L255:M256"/>
    <mergeCell ref="A226:M226"/>
    <mergeCell ref="B227:D227"/>
    <mergeCell ref="I227:K227"/>
    <mergeCell ref="B228:D228"/>
    <mergeCell ref="I228:K228"/>
    <mergeCell ref="A238:D238"/>
    <mergeCell ref="E238:F239"/>
    <mergeCell ref="H238:K238"/>
    <mergeCell ref="L238:M239"/>
    <mergeCell ref="A209:M209"/>
    <mergeCell ref="B210:D210"/>
    <mergeCell ref="I210:K210"/>
    <mergeCell ref="B211:D211"/>
    <mergeCell ref="I211:K211"/>
    <mergeCell ref="A221:D221"/>
    <mergeCell ref="E221:F222"/>
    <mergeCell ref="H221:K221"/>
    <mergeCell ref="L221:M222"/>
    <mergeCell ref="A192:M192"/>
    <mergeCell ref="B193:D193"/>
    <mergeCell ref="I193:K193"/>
    <mergeCell ref="B194:D194"/>
    <mergeCell ref="I194:K194"/>
    <mergeCell ref="A204:D204"/>
    <mergeCell ref="E204:F205"/>
    <mergeCell ref="H204:K204"/>
    <mergeCell ref="L204:M205"/>
    <mergeCell ref="A175:M175"/>
    <mergeCell ref="B176:D176"/>
    <mergeCell ref="I176:K176"/>
    <mergeCell ref="B177:D177"/>
    <mergeCell ref="I177:K177"/>
    <mergeCell ref="A187:D187"/>
    <mergeCell ref="E187:F188"/>
    <mergeCell ref="H187:K187"/>
    <mergeCell ref="L187:M188"/>
    <mergeCell ref="A158:M158"/>
    <mergeCell ref="B159:D159"/>
    <mergeCell ref="I159:K159"/>
    <mergeCell ref="B160:D160"/>
    <mergeCell ref="I160:K160"/>
    <mergeCell ref="A170:D170"/>
    <mergeCell ref="E170:F171"/>
    <mergeCell ref="H170:K170"/>
    <mergeCell ref="L170:M171"/>
    <mergeCell ref="A141:M141"/>
    <mergeCell ref="B142:D142"/>
    <mergeCell ref="I142:K142"/>
    <mergeCell ref="B143:D143"/>
    <mergeCell ref="I143:K143"/>
    <mergeCell ref="A153:D153"/>
    <mergeCell ref="E153:F154"/>
    <mergeCell ref="H153:K153"/>
    <mergeCell ref="L153:M154"/>
    <mergeCell ref="A124:M124"/>
    <mergeCell ref="B125:D125"/>
    <mergeCell ref="I125:K125"/>
    <mergeCell ref="B126:D126"/>
    <mergeCell ref="I126:K126"/>
    <mergeCell ref="A136:D136"/>
    <mergeCell ref="E136:F137"/>
    <mergeCell ref="H136:K136"/>
    <mergeCell ref="L136:M137"/>
    <mergeCell ref="A107:M107"/>
    <mergeCell ref="B108:D108"/>
    <mergeCell ref="I108:K108"/>
    <mergeCell ref="B109:D109"/>
    <mergeCell ref="I109:K109"/>
    <mergeCell ref="A119:D119"/>
    <mergeCell ref="E119:F120"/>
    <mergeCell ref="H119:K119"/>
    <mergeCell ref="L119:M120"/>
    <mergeCell ref="A90:M90"/>
    <mergeCell ref="B91:D91"/>
    <mergeCell ref="I91:K91"/>
    <mergeCell ref="B92:D92"/>
    <mergeCell ref="I92:K92"/>
    <mergeCell ref="A102:D102"/>
    <mergeCell ref="E102:F103"/>
    <mergeCell ref="H102:K102"/>
    <mergeCell ref="L102:M103"/>
    <mergeCell ref="A73:M73"/>
    <mergeCell ref="B74:D74"/>
    <mergeCell ref="I74:K74"/>
    <mergeCell ref="B75:D75"/>
    <mergeCell ref="I75:K75"/>
    <mergeCell ref="A85:D85"/>
    <mergeCell ref="E85:F86"/>
    <mergeCell ref="H85:K85"/>
    <mergeCell ref="L85:M86"/>
    <mergeCell ref="A56:M56"/>
    <mergeCell ref="B57:D57"/>
    <mergeCell ref="I57:K57"/>
    <mergeCell ref="B58:D58"/>
    <mergeCell ref="I58:K58"/>
    <mergeCell ref="A68:D68"/>
    <mergeCell ref="E68:F69"/>
    <mergeCell ref="H68:K68"/>
    <mergeCell ref="L68:M69"/>
    <mergeCell ref="A39:M39"/>
    <mergeCell ref="B40:D40"/>
    <mergeCell ref="I40:K40"/>
    <mergeCell ref="B41:D41"/>
    <mergeCell ref="I41:K41"/>
    <mergeCell ref="A51:D51"/>
    <mergeCell ref="E51:F52"/>
    <mergeCell ref="H51:K51"/>
    <mergeCell ref="L51:M52"/>
    <mergeCell ref="A22:M22"/>
    <mergeCell ref="B23:D23"/>
    <mergeCell ref="I23:K23"/>
    <mergeCell ref="B24:D24"/>
    <mergeCell ref="I24:K24"/>
    <mergeCell ref="A34:D34"/>
    <mergeCell ref="E34:F35"/>
    <mergeCell ref="H34:K34"/>
    <mergeCell ref="L34:M35"/>
    <mergeCell ref="A1:M1"/>
    <mergeCell ref="A2:M2"/>
    <mergeCell ref="A4:M4"/>
    <mergeCell ref="B6:D6"/>
    <mergeCell ref="I6:K6"/>
    <mergeCell ref="B7:D7"/>
    <mergeCell ref="I7:K7"/>
    <mergeCell ref="A17:D17"/>
    <mergeCell ref="E17:F18"/>
    <mergeCell ref="H17:K17"/>
    <mergeCell ref="L17:M18"/>
  </mergeCells>
  <printOptions horizontalCentered="1"/>
  <pageMargins left="0.75" right="0.75" top="1" bottom="1" header="0.511811023622047" footer="0.511811023622047"/>
  <pageSetup paperSize="9" fitToHeight="0" orientation="landscape" horizontalDpi="300" verticalDpi="300"/>
  <rowBreaks count="31" manualBreakCount="31">
    <brk id="1" max="16383" man="1"/>
    <brk id="2" max="16383" man="1"/>
    <brk id="3" max="16383" man="1"/>
    <brk id="4" max="16383" man="1"/>
    <brk id="5" max="16383" man="1"/>
    <brk id="6" max="16383" man="1"/>
    <brk id="7" max="16383" man="1"/>
    <brk id="8" max="16383" man="1"/>
    <brk id="9" max="16383" man="1"/>
    <brk id="10" max="16383" man="1"/>
    <brk id="11" max="16383" man="1"/>
    <brk id="12" max="16383" man="1"/>
    <brk id="13" max="16383" man="1"/>
    <brk id="14" max="16383" man="1"/>
    <brk id="15" max="16383" man="1"/>
    <brk id="16" max="16383" man="1"/>
    <brk id="17" max="16383" man="1"/>
    <brk id="18" max="16383" man="1"/>
    <brk id="19" max="16383" man="1"/>
    <brk id="20" max="16383" man="1"/>
    <brk id="21" max="16383" man="1"/>
    <brk id="22" max="16383" man="1"/>
    <brk id="23" max="16383" man="1"/>
    <brk id="24" max="16383" man="1"/>
    <brk id="25" max="16383" man="1"/>
    <brk id="26" max="16383" man="1"/>
    <brk id="27" max="16383" man="1"/>
    <brk id="28" max="16383" man="1"/>
    <brk id="29" max="16383" man="1"/>
    <brk id="30" max="16383" man="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62828"/>
    <pageSetUpPr fitToPage="1"/>
  </sheetPr>
  <dimension ref="A1:Q272"/>
  <sheetViews>
    <sheetView showGridLines="0" zoomScaleNormal="100" workbookViewId="0"/>
  </sheetViews>
  <sheetFormatPr defaultColWidth="8.6328125" defaultRowHeight="14.5" x14ac:dyDescent="0.35"/>
  <cols>
    <col min="1" max="1" width="9" customWidth="1"/>
    <col min="2" max="7" width="7" customWidth="1"/>
    <col min="8" max="8" width="8" customWidth="1"/>
    <col min="9" max="9" width="9" customWidth="1"/>
    <col min="10" max="10" width="8" customWidth="1"/>
    <col min="11" max="16" width="7" customWidth="1"/>
    <col min="17" max="17" width="9" customWidth="1"/>
  </cols>
  <sheetData>
    <row r="1" spans="1:17" ht="7.5" customHeight="1" x14ac:dyDescent="0.35"/>
    <row r="2" spans="1:17" ht="19.5" customHeight="1" x14ac:dyDescent="0.35">
      <c r="A2" s="127" t="s">
        <v>231</v>
      </c>
      <c r="B2" s="127"/>
      <c r="C2" s="127"/>
      <c r="D2" s="127"/>
      <c r="E2" s="127"/>
      <c r="F2" s="127"/>
      <c r="G2" s="127"/>
      <c r="H2" s="127"/>
      <c r="I2" s="127"/>
      <c r="J2" s="127"/>
      <c r="K2" s="127"/>
      <c r="L2" s="127"/>
      <c r="M2" s="127"/>
      <c r="N2" s="127"/>
      <c r="O2" s="127"/>
      <c r="P2" s="127"/>
      <c r="Q2" s="127"/>
    </row>
    <row r="3" spans="1:17" ht="4.5" customHeight="1" x14ac:dyDescent="0.35"/>
    <row r="4" spans="1:17" ht="21.75" customHeight="1" x14ac:dyDescent="0.35">
      <c r="A4" s="84" t="s">
        <v>232</v>
      </c>
      <c r="B4" s="128" t="str">
        <f>IFERROR(IF('Open 30M - Bracket'!B6="","TBD",'Open 30M - Bracket'!B6),"TBD")</f>
        <v>Joseph Nesortado Naoe</v>
      </c>
      <c r="C4" s="128"/>
      <c r="D4" s="128"/>
      <c r="E4" s="128"/>
      <c r="F4" s="128"/>
      <c r="G4" s="128"/>
      <c r="H4" s="128"/>
      <c r="I4" s="84" t="s">
        <v>233</v>
      </c>
      <c r="J4" s="128" t="str">
        <f>IFERROR(IF('Open 30M - Bracket'!B8="","TBD",'Open 30M - Bracket'!B8),"TBD")</f>
        <v>TBD</v>
      </c>
      <c r="K4" s="128"/>
      <c r="L4" s="128"/>
      <c r="M4" s="128"/>
      <c r="N4" s="128"/>
      <c r="O4" s="128"/>
      <c r="P4" s="128"/>
      <c r="Q4" s="84" t="s">
        <v>232</v>
      </c>
    </row>
    <row r="5" spans="1:17" ht="13.5" customHeight="1" x14ac:dyDescent="0.35">
      <c r="A5" s="85" t="s">
        <v>234</v>
      </c>
      <c r="B5" s="129" t="str">
        <f>IFERROR('Open 30M - Bracket'!A6,"")</f>
        <v>#1</v>
      </c>
      <c r="C5" s="129"/>
      <c r="D5" s="129"/>
      <c r="E5" s="129"/>
      <c r="F5" s="129"/>
      <c r="G5" s="129"/>
      <c r="H5" s="129"/>
      <c r="I5" s="86"/>
      <c r="J5" s="129" t="str">
        <f>IFERROR('Open 30M - Bracket'!A8,"")</f>
        <v>BYE</v>
      </c>
      <c r="K5" s="129"/>
      <c r="L5" s="129"/>
      <c r="M5" s="129"/>
      <c r="N5" s="129"/>
      <c r="O5" s="129"/>
      <c r="P5" s="129"/>
      <c r="Q5" s="85" t="s">
        <v>234</v>
      </c>
    </row>
    <row r="6" spans="1:17" ht="19.5" customHeight="1" x14ac:dyDescent="0.35">
      <c r="A6" s="87" t="s">
        <v>235</v>
      </c>
      <c r="B6" s="88" t="s">
        <v>83</v>
      </c>
      <c r="C6" s="88" t="s">
        <v>84</v>
      </c>
      <c r="D6" s="88" t="s">
        <v>85</v>
      </c>
      <c r="E6" s="88" t="s">
        <v>86</v>
      </c>
      <c r="F6" s="88" t="s">
        <v>87</v>
      </c>
      <c r="G6" s="88" t="s">
        <v>88</v>
      </c>
      <c r="H6" s="24" t="s">
        <v>236</v>
      </c>
      <c r="I6" s="89"/>
      <c r="J6" s="24" t="s">
        <v>236</v>
      </c>
      <c r="K6" s="88" t="s">
        <v>88</v>
      </c>
      <c r="L6" s="88" t="s">
        <v>87</v>
      </c>
      <c r="M6" s="88" t="s">
        <v>86</v>
      </c>
      <c r="N6" s="88" t="s">
        <v>85</v>
      </c>
      <c r="O6" s="88" t="s">
        <v>84</v>
      </c>
      <c r="P6" s="88" t="s">
        <v>83</v>
      </c>
      <c r="Q6" s="87" t="s">
        <v>235</v>
      </c>
    </row>
    <row r="7" spans="1:17" ht="21.75" customHeight="1" x14ac:dyDescent="0.35">
      <c r="A7" s="84" t="s">
        <v>222</v>
      </c>
      <c r="B7" s="90" t="str">
        <f>IFERROR(IF('Open 30M - Bracket'!H6="","",'Open 30M - Bracket'!H6),"")</f>
        <v/>
      </c>
      <c r="C7" s="90" t="str">
        <f>IFERROR(IF('Open 30M - Bracket'!I6="","",'Open 30M - Bracket'!I6),"")</f>
        <v/>
      </c>
      <c r="D7" s="90" t="str">
        <f>IFERROR(IF('Open 30M - Bracket'!J6="","",'Open 30M - Bracket'!J6),"")</f>
        <v/>
      </c>
      <c r="E7" s="90" t="str">
        <f>IFERROR(IF('Open 30M - Bracket'!K6="","",'Open 30M - Bracket'!K6),"")</f>
        <v/>
      </c>
      <c r="F7" s="90" t="str">
        <f>IFERROR(IF('Open 30M - Bracket'!L6="","",'Open 30M - Bracket'!L6),"")</f>
        <v/>
      </c>
      <c r="G7" s="90" t="str">
        <f>IFERROR(IF('Open 30M - Bracket'!M6="","",'Open 30M - Bracket'!M6),"")</f>
        <v/>
      </c>
      <c r="H7" s="32">
        <f>IFERROR(IF(ISNUMBER('Open 30M - Bracket'!N6),'Open 30M - Bracket'!N6,0),0)</f>
        <v>0</v>
      </c>
      <c r="I7" s="91" t="str">
        <f>IF(AND(ISNUMBER('Open 30M - Bracket'!N6),ISNUMBER('Open 30M - Bracket'!N8)),IF('Open 30M - Bracket'!N6&gt;'Open 30M - Bracket'!N8,"2-0",IF('Open 30M - Bracket'!N6='Open 30M - Bracket'!N8,"1-1","0-2")),"—")</f>
        <v>—</v>
      </c>
      <c r="J7" s="32">
        <f>IFERROR(IF(ISNUMBER('Open 30M - Bracket'!N8),'Open 30M - Bracket'!N8,0),0)</f>
        <v>0</v>
      </c>
      <c r="K7" s="90" t="str">
        <f>IFERROR(IF('Open 30M - Bracket'!M8="","",'Open 30M - Bracket'!M8),"")</f>
        <v/>
      </c>
      <c r="L7" s="90" t="str">
        <f>IFERROR(IF('Open 30M - Bracket'!L8="","",'Open 30M - Bracket'!L8),"")</f>
        <v/>
      </c>
      <c r="M7" s="90" t="str">
        <f>IFERROR(IF('Open 30M - Bracket'!K8="","",'Open 30M - Bracket'!K8),"")</f>
        <v/>
      </c>
      <c r="N7" s="90" t="str">
        <f>IFERROR(IF('Open 30M - Bracket'!J8="","",'Open 30M - Bracket'!J8),"")</f>
        <v/>
      </c>
      <c r="O7" s="90" t="str">
        <f>IFERROR(IF('Open 30M - Bracket'!I8="","",'Open 30M - Bracket'!I8),"")</f>
        <v/>
      </c>
      <c r="P7" s="90" t="str">
        <f>IFERROR(IF('Open 30M - Bracket'!H8="","",'Open 30M - Bracket'!H8),"")</f>
        <v/>
      </c>
      <c r="Q7" s="84" t="s">
        <v>222</v>
      </c>
    </row>
    <row r="8" spans="1:17" ht="21.75" customHeight="1" x14ac:dyDescent="0.35">
      <c r="A8" s="84" t="s">
        <v>223</v>
      </c>
      <c r="B8" s="90" t="str">
        <f>IFERROR(IF('Open 30M - Bracket'!O6="","",'Open 30M - Bracket'!O6),"")</f>
        <v/>
      </c>
      <c r="C8" s="90" t="str">
        <f>IFERROR(IF('Open 30M - Bracket'!P6="","",'Open 30M - Bracket'!P6),"")</f>
        <v/>
      </c>
      <c r="D8" s="90" t="str">
        <f>IFERROR(IF('Open 30M - Bracket'!Q6="","",'Open 30M - Bracket'!Q6),"")</f>
        <v/>
      </c>
      <c r="E8" s="90" t="str">
        <f>IFERROR(IF('Open 30M - Bracket'!R6="","",'Open 30M - Bracket'!R6),"")</f>
        <v/>
      </c>
      <c r="F8" s="90" t="str">
        <f>IFERROR(IF('Open 30M - Bracket'!S6="","",'Open 30M - Bracket'!S6),"")</f>
        <v/>
      </c>
      <c r="G8" s="90" t="str">
        <f>IFERROR(IF('Open 30M - Bracket'!T6="","",'Open 30M - Bracket'!T6),"")</f>
        <v/>
      </c>
      <c r="H8" s="32">
        <f>IFERROR(IF(ISNUMBER('Open 30M - Bracket'!U6),'Open 30M - Bracket'!U6,0),0)</f>
        <v>0</v>
      </c>
      <c r="I8" s="91" t="str">
        <f>IF(AND(ISNUMBER('Open 30M - Bracket'!U6),ISNUMBER('Open 30M - Bracket'!U8)),IF('Open 30M - Bracket'!U6&gt;'Open 30M - Bracket'!U8,"2-0",IF('Open 30M - Bracket'!U6='Open 30M - Bracket'!U8,"1-1","0-2")),"—")</f>
        <v>—</v>
      </c>
      <c r="J8" s="32">
        <f>IFERROR(IF(ISNUMBER('Open 30M - Bracket'!U8),'Open 30M - Bracket'!U8,0),0)</f>
        <v>0</v>
      </c>
      <c r="K8" s="90" t="str">
        <f>IFERROR(IF('Open 30M - Bracket'!T8="","",'Open 30M - Bracket'!T8),"")</f>
        <v/>
      </c>
      <c r="L8" s="90" t="str">
        <f>IFERROR(IF('Open 30M - Bracket'!S8="","",'Open 30M - Bracket'!S8),"")</f>
        <v/>
      </c>
      <c r="M8" s="90" t="str">
        <f>IFERROR(IF('Open 30M - Bracket'!R8="","",'Open 30M - Bracket'!R8),"")</f>
        <v/>
      </c>
      <c r="N8" s="90" t="str">
        <f>IFERROR(IF('Open 30M - Bracket'!Q8="","",'Open 30M - Bracket'!Q8),"")</f>
        <v/>
      </c>
      <c r="O8" s="90" t="str">
        <f>IFERROR(IF('Open 30M - Bracket'!P8="","",'Open 30M - Bracket'!P8),"")</f>
        <v/>
      </c>
      <c r="P8" s="90" t="str">
        <f>IFERROR(IF('Open 30M - Bracket'!O8="","",'Open 30M - Bracket'!O8),"")</f>
        <v/>
      </c>
      <c r="Q8" s="84" t="s">
        <v>223</v>
      </c>
    </row>
    <row r="9" spans="1:17" ht="21.75" customHeight="1" x14ac:dyDescent="0.35">
      <c r="A9" s="84" t="s">
        <v>224</v>
      </c>
      <c r="B9" s="90" t="str">
        <f>IFERROR(IF('Open 30M - Bracket'!V6="","",'Open 30M - Bracket'!V6),"")</f>
        <v/>
      </c>
      <c r="C9" s="90" t="str">
        <f>IFERROR(IF('Open 30M - Bracket'!W6="","",'Open 30M - Bracket'!W6),"")</f>
        <v/>
      </c>
      <c r="D9" s="90" t="str">
        <f>IFERROR(IF('Open 30M - Bracket'!X6="","",'Open 30M - Bracket'!X6),"")</f>
        <v/>
      </c>
      <c r="E9" s="90" t="str">
        <f>IFERROR(IF('Open 30M - Bracket'!Y6="","",'Open 30M - Bracket'!Y6),"")</f>
        <v/>
      </c>
      <c r="F9" s="90" t="str">
        <f>IFERROR(IF('Open 30M - Bracket'!Z6="","",'Open 30M - Bracket'!Z6),"")</f>
        <v/>
      </c>
      <c r="G9" s="90" t="str">
        <f>IFERROR(IF('Open 30M - Bracket'!AA6="","",'Open 30M - Bracket'!AA6),"")</f>
        <v/>
      </c>
      <c r="H9" s="32">
        <f>IFERROR(IF(ISNUMBER('Open 30M - Bracket'!AB6),'Open 30M - Bracket'!AB6,0),0)</f>
        <v>0</v>
      </c>
      <c r="I9" s="91" t="str">
        <f>IF(AND(ISNUMBER('Open 30M - Bracket'!AB6),ISNUMBER('Open 30M - Bracket'!AB8)),IF('Open 30M - Bracket'!AB6&gt;'Open 30M - Bracket'!AB8,"2-0",IF('Open 30M - Bracket'!AB6='Open 30M - Bracket'!AB8,"1-1","0-2")),"—")</f>
        <v>—</v>
      </c>
      <c r="J9" s="32">
        <f>IFERROR(IF(ISNUMBER('Open 30M - Bracket'!AB8),'Open 30M - Bracket'!AB8,0),0)</f>
        <v>0</v>
      </c>
      <c r="K9" s="90" t="str">
        <f>IFERROR(IF('Open 30M - Bracket'!AA8="","",'Open 30M - Bracket'!AA8),"")</f>
        <v/>
      </c>
      <c r="L9" s="90" t="str">
        <f>IFERROR(IF('Open 30M - Bracket'!Z8="","",'Open 30M - Bracket'!Z8),"")</f>
        <v/>
      </c>
      <c r="M9" s="90" t="str">
        <f>IFERROR(IF('Open 30M - Bracket'!Y8="","",'Open 30M - Bracket'!Y8),"")</f>
        <v/>
      </c>
      <c r="N9" s="90" t="str">
        <f>IFERROR(IF('Open 30M - Bracket'!X8="","",'Open 30M - Bracket'!X8),"")</f>
        <v/>
      </c>
      <c r="O9" s="90" t="str">
        <f>IFERROR(IF('Open 30M - Bracket'!W8="","",'Open 30M - Bracket'!W8),"")</f>
        <v/>
      </c>
      <c r="P9" s="90" t="str">
        <f>IFERROR(IF('Open 30M - Bracket'!V8="","",'Open 30M - Bracket'!V8),"")</f>
        <v/>
      </c>
      <c r="Q9" s="84" t="s">
        <v>224</v>
      </c>
    </row>
    <row r="10" spans="1:17" ht="21.75" customHeight="1" x14ac:dyDescent="0.35">
      <c r="A10" s="84" t="s">
        <v>227</v>
      </c>
      <c r="B10" s="90" t="str">
        <f>IFERROR(IF('Open 30M - Bracket'!AC6="","",'Open 30M - Bracket'!AC6),"")</f>
        <v/>
      </c>
      <c r="C10" s="90" t="str">
        <f>IFERROR(IF('Open 30M - Bracket'!AD6="","",'Open 30M - Bracket'!AD6),"")</f>
        <v/>
      </c>
      <c r="D10" s="90" t="str">
        <f>IFERROR(IF('Open 30M - Bracket'!AE6="","",'Open 30M - Bracket'!AE6),"")</f>
        <v/>
      </c>
      <c r="E10" s="90" t="str">
        <f>IFERROR(IF('Open 30M - Bracket'!AF6="","",'Open 30M - Bracket'!AF6),"")</f>
        <v/>
      </c>
      <c r="F10" s="90" t="str">
        <f>IFERROR(IF('Open 30M - Bracket'!AG6="","",'Open 30M - Bracket'!AG6),"")</f>
        <v/>
      </c>
      <c r="G10" s="90" t="str">
        <f>IFERROR(IF('Open 30M - Bracket'!AH6="","",'Open 30M - Bracket'!AH6),"")</f>
        <v/>
      </c>
      <c r="H10" s="32">
        <f>IFERROR(IF(ISNUMBER('Open 30M - Bracket'!AI6),'Open 30M - Bracket'!AI6,0),0)</f>
        <v>0</v>
      </c>
      <c r="I10" s="91" t="str">
        <f>IF(AND(ISNUMBER('Open 30M - Bracket'!AI6),ISNUMBER('Open 30M - Bracket'!AI8)),IF('Open 30M - Bracket'!AI6&gt;'Open 30M - Bracket'!AI8,"2-0",IF('Open 30M - Bracket'!AI6='Open 30M - Bracket'!AI8,"1-1","0-2")),"—")</f>
        <v>—</v>
      </c>
      <c r="J10" s="32">
        <f>IFERROR(IF(ISNUMBER('Open 30M - Bracket'!AI8),'Open 30M - Bracket'!AI8,0),0)</f>
        <v>0</v>
      </c>
      <c r="K10" s="90" t="str">
        <f>IFERROR(IF('Open 30M - Bracket'!AH8="","",'Open 30M - Bracket'!AH8),"")</f>
        <v/>
      </c>
      <c r="L10" s="90" t="str">
        <f>IFERROR(IF('Open 30M - Bracket'!AG8="","",'Open 30M - Bracket'!AG8),"")</f>
        <v/>
      </c>
      <c r="M10" s="90" t="str">
        <f>IFERROR(IF('Open 30M - Bracket'!AF8="","",'Open 30M - Bracket'!AF8),"")</f>
        <v/>
      </c>
      <c r="N10" s="90" t="str">
        <f>IFERROR(IF('Open 30M - Bracket'!AE8="","",'Open 30M - Bracket'!AE8),"")</f>
        <v/>
      </c>
      <c r="O10" s="90" t="str">
        <f>IFERROR(IF('Open 30M - Bracket'!AD8="","",'Open 30M - Bracket'!AD8),"")</f>
        <v/>
      </c>
      <c r="P10" s="90" t="str">
        <f>IFERROR(IF('Open 30M - Bracket'!AC8="","",'Open 30M - Bracket'!AC8),"")</f>
        <v/>
      </c>
      <c r="Q10" s="84" t="s">
        <v>227</v>
      </c>
    </row>
    <row r="11" spans="1:17" ht="21.75" customHeight="1" x14ac:dyDescent="0.35">
      <c r="A11" s="84" t="s">
        <v>228</v>
      </c>
      <c r="B11" s="90" t="str">
        <f>IFERROR(IF('Open 30M - Bracket'!AJ6="","",'Open 30M - Bracket'!AJ6),"")</f>
        <v/>
      </c>
      <c r="C11" s="90" t="str">
        <f>IFERROR(IF('Open 30M - Bracket'!AK6="","",'Open 30M - Bracket'!AK6),"")</f>
        <v/>
      </c>
      <c r="D11" s="90" t="str">
        <f>IFERROR(IF('Open 30M - Bracket'!AL6="","",'Open 30M - Bracket'!AL6),"")</f>
        <v/>
      </c>
      <c r="E11" s="90" t="str">
        <f>IFERROR(IF('Open 30M - Bracket'!AM6="","",'Open 30M - Bracket'!AM6),"")</f>
        <v/>
      </c>
      <c r="F11" s="90" t="str">
        <f>IFERROR(IF('Open 30M - Bracket'!AN6="","",'Open 30M - Bracket'!AN6),"")</f>
        <v/>
      </c>
      <c r="G11" s="90" t="str">
        <f>IFERROR(IF('Open 30M - Bracket'!AO6="","",'Open 30M - Bracket'!AO6),"")</f>
        <v/>
      </c>
      <c r="H11" s="32">
        <f>IFERROR(IF(ISNUMBER('Open 30M - Bracket'!AP6),'Open 30M - Bracket'!AP6,0),0)</f>
        <v>0</v>
      </c>
      <c r="I11" s="91" t="str">
        <f>IF(AND(ISNUMBER('Open 30M - Bracket'!AP6),ISNUMBER('Open 30M - Bracket'!AP8)),IF('Open 30M - Bracket'!AP6&gt;'Open 30M - Bracket'!AP8,"2-0",IF('Open 30M - Bracket'!AP6='Open 30M - Bracket'!AP8,"1-1","0-2")),"—")</f>
        <v>—</v>
      </c>
      <c r="J11" s="32">
        <f>IFERROR(IF(ISNUMBER('Open 30M - Bracket'!AP8),'Open 30M - Bracket'!AP8,0),0)</f>
        <v>0</v>
      </c>
      <c r="K11" s="90" t="str">
        <f>IFERROR(IF('Open 30M - Bracket'!AO8="","",'Open 30M - Bracket'!AO8),"")</f>
        <v/>
      </c>
      <c r="L11" s="90" t="str">
        <f>IFERROR(IF('Open 30M - Bracket'!AN8="","",'Open 30M - Bracket'!AN8),"")</f>
        <v/>
      </c>
      <c r="M11" s="90" t="str">
        <f>IFERROR(IF('Open 30M - Bracket'!AM8="","",'Open 30M - Bracket'!AM8),"")</f>
        <v/>
      </c>
      <c r="N11" s="90" t="str">
        <f>IFERROR(IF('Open 30M - Bracket'!AL8="","",'Open 30M - Bracket'!AL8),"")</f>
        <v/>
      </c>
      <c r="O11" s="90" t="str">
        <f>IFERROR(IF('Open 30M - Bracket'!AK8="","",'Open 30M - Bracket'!AK8),"")</f>
        <v/>
      </c>
      <c r="P11" s="90" t="str">
        <f>IFERROR(IF('Open 30M - Bracket'!AJ8="","",'Open 30M - Bracket'!AJ8),"")</f>
        <v/>
      </c>
      <c r="Q11" s="84" t="s">
        <v>228</v>
      </c>
    </row>
    <row r="12" spans="1:17" ht="21.75" customHeight="1" x14ac:dyDescent="0.35">
      <c r="A12" s="92" t="s">
        <v>237</v>
      </c>
      <c r="B12" s="93" t="str">
        <f>IFERROR(IF('Open 30M - Bracket'!AQ6="","",'Open 30M - Bracket'!AQ6),"")</f>
        <v/>
      </c>
      <c r="C12" s="93" t="str">
        <f>IFERROR(IF('Open 30M - Bracket'!AR6="","",'Open 30M - Bracket'!AR6),"")</f>
        <v/>
      </c>
      <c r="D12" s="93" t="str">
        <f>IFERROR(IF('Open 30M - Bracket'!AS6="","",'Open 30M - Bracket'!AS6),"")</f>
        <v/>
      </c>
      <c r="E12" s="93" t="str">
        <f>IFERROR(IF('Open 30M - Bracket'!AT6="","",'Open 30M - Bracket'!AT6),"")</f>
        <v/>
      </c>
      <c r="F12" s="93" t="str">
        <f>IFERROR(IF('Open 30M - Bracket'!AU6="","",'Open 30M - Bracket'!AU6),"")</f>
        <v/>
      </c>
      <c r="G12" s="93" t="str">
        <f>IFERROR(IF('Open 30M - Bracket'!AV6="","",'Open 30M - Bracket'!AV6),"")</f>
        <v/>
      </c>
      <c r="H12" s="32">
        <f>IFERROR(IF(ISNUMBER('Open 30M - Bracket'!AW6),'Open 30M - Bracket'!AW6,0),0)</f>
        <v>0</v>
      </c>
      <c r="I12" s="91" t="str">
        <f>IF(AND(ISNUMBER('Open 30M - Bracket'!AW6),ISNUMBER('Open 30M - Bracket'!AW8)),IF('Open 30M - Bracket'!AW6&gt;'Open 30M - Bracket'!AW8,"2-0",IF('Open 30M - Bracket'!AW6='Open 30M - Bracket'!AW8,"1-1","0-2")),"—")</f>
        <v>—</v>
      </c>
      <c r="J12" s="32">
        <f>IFERROR(IF(ISNUMBER('Open 30M - Bracket'!AW8),'Open 30M - Bracket'!AW8,0),0)</f>
        <v>0</v>
      </c>
      <c r="K12" s="93" t="str">
        <f>IFERROR(IF('Open 30M - Bracket'!AV8="","",'Open 30M - Bracket'!AV8),"")</f>
        <v/>
      </c>
      <c r="L12" s="93" t="str">
        <f>IFERROR(IF('Open 30M - Bracket'!AU8="","",'Open 30M - Bracket'!AU8),"")</f>
        <v/>
      </c>
      <c r="M12" s="93" t="str">
        <f>IFERROR(IF('Open 30M - Bracket'!AT8="","",'Open 30M - Bracket'!AT8),"")</f>
        <v/>
      </c>
      <c r="N12" s="93" t="str">
        <f>IFERROR(IF('Open 30M - Bracket'!AS8="","",'Open 30M - Bracket'!AS8),"")</f>
        <v/>
      </c>
      <c r="O12" s="93" t="str">
        <f>IFERROR(IF('Open 30M - Bracket'!AR8="","",'Open 30M - Bracket'!AR8),"")</f>
        <v/>
      </c>
      <c r="P12" s="93" t="str">
        <f>IFERROR(IF('Open 30M - Bracket'!AQ8="","",'Open 30M - Bracket'!AQ8),"")</f>
        <v/>
      </c>
      <c r="Q12" s="92" t="s">
        <v>237</v>
      </c>
    </row>
    <row r="13" spans="1:17" ht="4.5" customHeight="1" x14ac:dyDescent="0.35"/>
    <row r="14" spans="1:17" ht="31.5" customHeight="1" x14ac:dyDescent="0.35">
      <c r="A14" s="130">
        <f>IFERROR(IF(ISNUMBER('Open 30M - Bracket'!AX6),'Open 30M - Bracket'!AX6,0),0)</f>
        <v>0</v>
      </c>
      <c r="B14" s="130"/>
      <c r="C14" s="130"/>
      <c r="D14" s="130"/>
      <c r="E14" s="130"/>
      <c r="F14" s="130"/>
      <c r="G14" s="130"/>
      <c r="H14" s="94" t="str">
        <f>IFERROR('Open 30M - Bracket'!BA6,"")</f>
        <v>&gt;&gt; Advance</v>
      </c>
      <c r="I14" s="86"/>
      <c r="J14" s="94" t="str">
        <f>IFERROR('Open 30M - Bracket'!BA8,"")</f>
        <v>BYE</v>
      </c>
      <c r="K14" s="130">
        <f>IFERROR(IF(ISNUMBER('Open 30M - Bracket'!AX8),'Open 30M - Bracket'!AX8,0),0)</f>
        <v>0</v>
      </c>
      <c r="L14" s="130"/>
      <c r="M14" s="130"/>
      <c r="N14" s="130"/>
      <c r="O14" s="130"/>
      <c r="P14" s="130"/>
      <c r="Q14" s="130"/>
    </row>
    <row r="15" spans="1:17" ht="21.75" customHeight="1" x14ac:dyDescent="0.35">
      <c r="A15" s="130"/>
      <c r="B15" s="130"/>
      <c r="C15" s="130"/>
      <c r="D15" s="130"/>
      <c r="E15" s="130"/>
      <c r="F15" s="130"/>
      <c r="G15" s="130"/>
      <c r="K15" s="130"/>
      <c r="L15" s="130"/>
      <c r="M15" s="130"/>
      <c r="N15" s="130"/>
      <c r="O15" s="130"/>
      <c r="P15" s="130"/>
      <c r="Q15" s="130"/>
    </row>
    <row r="16" spans="1:17" ht="4.5" customHeight="1" x14ac:dyDescent="0.35"/>
    <row r="17" spans="1:17" ht="12" customHeight="1" x14ac:dyDescent="0.35">
      <c r="A17" s="126"/>
      <c r="B17" s="126"/>
      <c r="C17" s="126"/>
      <c r="D17" s="126"/>
      <c r="E17" s="126"/>
      <c r="F17" s="126"/>
      <c r="G17" s="126"/>
      <c r="H17" s="126"/>
      <c r="I17" s="126"/>
      <c r="J17" s="126"/>
      <c r="K17" s="126"/>
      <c r="L17" s="126"/>
      <c r="M17" s="126"/>
      <c r="N17" s="126"/>
      <c r="O17" s="126"/>
      <c r="P17" s="126"/>
      <c r="Q17" s="126"/>
    </row>
    <row r="18" spans="1:17" ht="7.5" customHeight="1" x14ac:dyDescent="0.35"/>
    <row r="19" spans="1:17" ht="19.5" customHeight="1" x14ac:dyDescent="0.35">
      <c r="A19" s="127" t="s">
        <v>238</v>
      </c>
      <c r="B19" s="127"/>
      <c r="C19" s="127"/>
      <c r="D19" s="127"/>
      <c r="E19" s="127"/>
      <c r="F19" s="127"/>
      <c r="G19" s="127"/>
      <c r="H19" s="127"/>
      <c r="I19" s="127"/>
      <c r="J19" s="127"/>
      <c r="K19" s="127"/>
      <c r="L19" s="127"/>
      <c r="M19" s="127"/>
      <c r="N19" s="127"/>
      <c r="O19" s="127"/>
      <c r="P19" s="127"/>
      <c r="Q19" s="127"/>
    </row>
    <row r="20" spans="1:17" ht="4.5" customHeight="1" x14ac:dyDescent="0.35"/>
    <row r="21" spans="1:17" ht="21.75" customHeight="1" x14ac:dyDescent="0.35">
      <c r="A21" s="84" t="s">
        <v>232</v>
      </c>
      <c r="B21" s="128" t="str">
        <f>IFERROR(IF('Open 30M - Bracket'!B11="","TBD",'Open 30M - Bracket'!B11),"TBD")</f>
        <v>TBD</v>
      </c>
      <c r="C21" s="128"/>
      <c r="D21" s="128"/>
      <c r="E21" s="128"/>
      <c r="F21" s="128"/>
      <c r="G21" s="128"/>
      <c r="H21" s="128"/>
      <c r="I21" s="84" t="s">
        <v>233</v>
      </c>
      <c r="J21" s="128" t="str">
        <f>IFERROR(IF('Open 30M - Bracket'!B13="","TBD",'Open 30M - Bracket'!B13),"TBD")</f>
        <v>TBD</v>
      </c>
      <c r="K21" s="128"/>
      <c r="L21" s="128"/>
      <c r="M21" s="128"/>
      <c r="N21" s="128"/>
      <c r="O21" s="128"/>
      <c r="P21" s="128"/>
      <c r="Q21" s="84" t="s">
        <v>232</v>
      </c>
    </row>
    <row r="22" spans="1:17" ht="13.5" customHeight="1" x14ac:dyDescent="0.35">
      <c r="A22" s="85" t="s">
        <v>234</v>
      </c>
      <c r="B22" s="129" t="str">
        <f>IFERROR('Open 30M - Bracket'!A11,"")</f>
        <v>BYE</v>
      </c>
      <c r="C22" s="129"/>
      <c r="D22" s="129"/>
      <c r="E22" s="129"/>
      <c r="F22" s="129"/>
      <c r="G22" s="129"/>
      <c r="H22" s="129"/>
      <c r="I22" s="86"/>
      <c r="J22" s="129" t="str">
        <f>IFERROR('Open 30M - Bracket'!A13,"")</f>
        <v>BYE</v>
      </c>
      <c r="K22" s="129"/>
      <c r="L22" s="129"/>
      <c r="M22" s="129"/>
      <c r="N22" s="129"/>
      <c r="O22" s="129"/>
      <c r="P22" s="129"/>
      <c r="Q22" s="85" t="s">
        <v>234</v>
      </c>
    </row>
    <row r="23" spans="1:17" ht="19.5" customHeight="1" x14ac:dyDescent="0.35">
      <c r="A23" s="87" t="s">
        <v>235</v>
      </c>
      <c r="B23" s="88" t="s">
        <v>83</v>
      </c>
      <c r="C23" s="88" t="s">
        <v>84</v>
      </c>
      <c r="D23" s="88" t="s">
        <v>85</v>
      </c>
      <c r="E23" s="88" t="s">
        <v>86</v>
      </c>
      <c r="F23" s="88" t="s">
        <v>87</v>
      </c>
      <c r="G23" s="88" t="s">
        <v>88</v>
      </c>
      <c r="H23" s="24" t="s">
        <v>236</v>
      </c>
      <c r="I23" s="89"/>
      <c r="J23" s="24" t="s">
        <v>236</v>
      </c>
      <c r="K23" s="88" t="s">
        <v>88</v>
      </c>
      <c r="L23" s="88" t="s">
        <v>87</v>
      </c>
      <c r="M23" s="88" t="s">
        <v>86</v>
      </c>
      <c r="N23" s="88" t="s">
        <v>85</v>
      </c>
      <c r="O23" s="88" t="s">
        <v>84</v>
      </c>
      <c r="P23" s="88" t="s">
        <v>83</v>
      </c>
      <c r="Q23" s="87" t="s">
        <v>235</v>
      </c>
    </row>
    <row r="24" spans="1:17" ht="21.75" customHeight="1" x14ac:dyDescent="0.35">
      <c r="A24" s="84" t="s">
        <v>222</v>
      </c>
      <c r="B24" s="90" t="str">
        <f>IFERROR(IF('Open 30M - Bracket'!H11="","",'Open 30M - Bracket'!H11),"")</f>
        <v/>
      </c>
      <c r="C24" s="90" t="str">
        <f>IFERROR(IF('Open 30M - Bracket'!I11="","",'Open 30M - Bracket'!I11),"")</f>
        <v/>
      </c>
      <c r="D24" s="90" t="str">
        <f>IFERROR(IF('Open 30M - Bracket'!J11="","",'Open 30M - Bracket'!J11),"")</f>
        <v/>
      </c>
      <c r="E24" s="90" t="str">
        <f>IFERROR(IF('Open 30M - Bracket'!K11="","",'Open 30M - Bracket'!K11),"")</f>
        <v/>
      </c>
      <c r="F24" s="90" t="str">
        <f>IFERROR(IF('Open 30M - Bracket'!L11="","",'Open 30M - Bracket'!L11),"")</f>
        <v/>
      </c>
      <c r="G24" s="90" t="str">
        <f>IFERROR(IF('Open 30M - Bracket'!M11="","",'Open 30M - Bracket'!M11),"")</f>
        <v/>
      </c>
      <c r="H24" s="32">
        <f>IFERROR(IF(ISNUMBER('Open 30M - Bracket'!N11),'Open 30M - Bracket'!N11,0),0)</f>
        <v>0</v>
      </c>
      <c r="I24" s="91" t="str">
        <f>IF(AND(ISNUMBER('Open 30M - Bracket'!N11),ISNUMBER('Open 30M - Bracket'!N13)),IF('Open 30M - Bracket'!N11&gt;'Open 30M - Bracket'!N13,"2-0",IF('Open 30M - Bracket'!N11='Open 30M - Bracket'!N13,"1-1","0-2")),"—")</f>
        <v>—</v>
      </c>
      <c r="J24" s="32">
        <f>IFERROR(IF(ISNUMBER('Open 30M - Bracket'!N13),'Open 30M - Bracket'!N13,0),0)</f>
        <v>0</v>
      </c>
      <c r="K24" s="90" t="str">
        <f>IFERROR(IF('Open 30M - Bracket'!M13="","",'Open 30M - Bracket'!M13),"")</f>
        <v/>
      </c>
      <c r="L24" s="90" t="str">
        <f>IFERROR(IF('Open 30M - Bracket'!L13="","",'Open 30M - Bracket'!L13),"")</f>
        <v/>
      </c>
      <c r="M24" s="90" t="str">
        <f>IFERROR(IF('Open 30M - Bracket'!K13="","",'Open 30M - Bracket'!K13),"")</f>
        <v/>
      </c>
      <c r="N24" s="90" t="str">
        <f>IFERROR(IF('Open 30M - Bracket'!J13="","",'Open 30M - Bracket'!J13),"")</f>
        <v/>
      </c>
      <c r="O24" s="90" t="str">
        <f>IFERROR(IF('Open 30M - Bracket'!I13="","",'Open 30M - Bracket'!I13),"")</f>
        <v/>
      </c>
      <c r="P24" s="90" t="str">
        <f>IFERROR(IF('Open 30M - Bracket'!H13="","",'Open 30M - Bracket'!H13),"")</f>
        <v/>
      </c>
      <c r="Q24" s="84" t="s">
        <v>222</v>
      </c>
    </row>
    <row r="25" spans="1:17" ht="21.75" customHeight="1" x14ac:dyDescent="0.35">
      <c r="A25" s="84" t="s">
        <v>223</v>
      </c>
      <c r="B25" s="90" t="str">
        <f>IFERROR(IF('Open 30M - Bracket'!O11="","",'Open 30M - Bracket'!O11),"")</f>
        <v/>
      </c>
      <c r="C25" s="90" t="str">
        <f>IFERROR(IF('Open 30M - Bracket'!P11="","",'Open 30M - Bracket'!P11),"")</f>
        <v/>
      </c>
      <c r="D25" s="90" t="str">
        <f>IFERROR(IF('Open 30M - Bracket'!Q11="","",'Open 30M - Bracket'!Q11),"")</f>
        <v/>
      </c>
      <c r="E25" s="90" t="str">
        <f>IFERROR(IF('Open 30M - Bracket'!R11="","",'Open 30M - Bracket'!R11),"")</f>
        <v/>
      </c>
      <c r="F25" s="90" t="str">
        <f>IFERROR(IF('Open 30M - Bracket'!S11="","",'Open 30M - Bracket'!S11),"")</f>
        <v/>
      </c>
      <c r="G25" s="90" t="str">
        <f>IFERROR(IF('Open 30M - Bracket'!T11="","",'Open 30M - Bracket'!T11),"")</f>
        <v/>
      </c>
      <c r="H25" s="32">
        <f>IFERROR(IF(ISNUMBER('Open 30M - Bracket'!U11),'Open 30M - Bracket'!U11,0),0)</f>
        <v>0</v>
      </c>
      <c r="I25" s="91" t="str">
        <f>IF(AND(ISNUMBER('Open 30M - Bracket'!U11),ISNUMBER('Open 30M - Bracket'!U13)),IF('Open 30M - Bracket'!U11&gt;'Open 30M - Bracket'!U13,"2-0",IF('Open 30M - Bracket'!U11='Open 30M - Bracket'!U13,"1-1","0-2")),"—")</f>
        <v>—</v>
      </c>
      <c r="J25" s="32">
        <f>IFERROR(IF(ISNUMBER('Open 30M - Bracket'!U13),'Open 30M - Bracket'!U13,0),0)</f>
        <v>0</v>
      </c>
      <c r="K25" s="90" t="str">
        <f>IFERROR(IF('Open 30M - Bracket'!T13="","",'Open 30M - Bracket'!T13),"")</f>
        <v/>
      </c>
      <c r="L25" s="90" t="str">
        <f>IFERROR(IF('Open 30M - Bracket'!S13="","",'Open 30M - Bracket'!S13),"")</f>
        <v/>
      </c>
      <c r="M25" s="90" t="str">
        <f>IFERROR(IF('Open 30M - Bracket'!R13="","",'Open 30M - Bracket'!R13),"")</f>
        <v/>
      </c>
      <c r="N25" s="90" t="str">
        <f>IFERROR(IF('Open 30M - Bracket'!Q13="","",'Open 30M - Bracket'!Q13),"")</f>
        <v/>
      </c>
      <c r="O25" s="90" t="str">
        <f>IFERROR(IF('Open 30M - Bracket'!P13="","",'Open 30M - Bracket'!P13),"")</f>
        <v/>
      </c>
      <c r="P25" s="90" t="str">
        <f>IFERROR(IF('Open 30M - Bracket'!O13="","",'Open 30M - Bracket'!O13),"")</f>
        <v/>
      </c>
      <c r="Q25" s="84" t="s">
        <v>223</v>
      </c>
    </row>
    <row r="26" spans="1:17" ht="21.75" customHeight="1" x14ac:dyDescent="0.35">
      <c r="A26" s="84" t="s">
        <v>224</v>
      </c>
      <c r="B26" s="90" t="str">
        <f>IFERROR(IF('Open 30M - Bracket'!V11="","",'Open 30M - Bracket'!V11),"")</f>
        <v/>
      </c>
      <c r="C26" s="90" t="str">
        <f>IFERROR(IF('Open 30M - Bracket'!W11="","",'Open 30M - Bracket'!W11),"")</f>
        <v/>
      </c>
      <c r="D26" s="90" t="str">
        <f>IFERROR(IF('Open 30M - Bracket'!X11="","",'Open 30M - Bracket'!X11),"")</f>
        <v/>
      </c>
      <c r="E26" s="90" t="str">
        <f>IFERROR(IF('Open 30M - Bracket'!Y11="","",'Open 30M - Bracket'!Y11),"")</f>
        <v/>
      </c>
      <c r="F26" s="90" t="str">
        <f>IFERROR(IF('Open 30M - Bracket'!Z11="","",'Open 30M - Bracket'!Z11),"")</f>
        <v/>
      </c>
      <c r="G26" s="90" t="str">
        <f>IFERROR(IF('Open 30M - Bracket'!AA11="","",'Open 30M - Bracket'!AA11),"")</f>
        <v/>
      </c>
      <c r="H26" s="32">
        <f>IFERROR(IF(ISNUMBER('Open 30M - Bracket'!AB11),'Open 30M - Bracket'!AB11,0),0)</f>
        <v>0</v>
      </c>
      <c r="I26" s="91" t="str">
        <f>IF(AND(ISNUMBER('Open 30M - Bracket'!AB11),ISNUMBER('Open 30M - Bracket'!AB13)),IF('Open 30M - Bracket'!AB11&gt;'Open 30M - Bracket'!AB13,"2-0",IF('Open 30M - Bracket'!AB11='Open 30M - Bracket'!AB13,"1-1","0-2")),"—")</f>
        <v>—</v>
      </c>
      <c r="J26" s="32">
        <f>IFERROR(IF(ISNUMBER('Open 30M - Bracket'!AB13),'Open 30M - Bracket'!AB13,0),0)</f>
        <v>0</v>
      </c>
      <c r="K26" s="90" t="str">
        <f>IFERROR(IF('Open 30M - Bracket'!AA13="","",'Open 30M - Bracket'!AA13),"")</f>
        <v/>
      </c>
      <c r="L26" s="90" t="str">
        <f>IFERROR(IF('Open 30M - Bracket'!Z13="","",'Open 30M - Bracket'!Z13),"")</f>
        <v/>
      </c>
      <c r="M26" s="90" t="str">
        <f>IFERROR(IF('Open 30M - Bracket'!Y13="","",'Open 30M - Bracket'!Y13),"")</f>
        <v/>
      </c>
      <c r="N26" s="90" t="str">
        <f>IFERROR(IF('Open 30M - Bracket'!X13="","",'Open 30M - Bracket'!X13),"")</f>
        <v/>
      </c>
      <c r="O26" s="90" t="str">
        <f>IFERROR(IF('Open 30M - Bracket'!W13="","",'Open 30M - Bracket'!W13),"")</f>
        <v/>
      </c>
      <c r="P26" s="90" t="str">
        <f>IFERROR(IF('Open 30M - Bracket'!V13="","",'Open 30M - Bracket'!V13),"")</f>
        <v/>
      </c>
      <c r="Q26" s="84" t="s">
        <v>224</v>
      </c>
    </row>
    <row r="27" spans="1:17" ht="21.75" customHeight="1" x14ac:dyDescent="0.35">
      <c r="A27" s="84" t="s">
        <v>227</v>
      </c>
      <c r="B27" s="90" t="str">
        <f>IFERROR(IF('Open 30M - Bracket'!AC11="","",'Open 30M - Bracket'!AC11),"")</f>
        <v/>
      </c>
      <c r="C27" s="90" t="str">
        <f>IFERROR(IF('Open 30M - Bracket'!AD11="","",'Open 30M - Bracket'!AD11),"")</f>
        <v/>
      </c>
      <c r="D27" s="90" t="str">
        <f>IFERROR(IF('Open 30M - Bracket'!AE11="","",'Open 30M - Bracket'!AE11),"")</f>
        <v/>
      </c>
      <c r="E27" s="90" t="str">
        <f>IFERROR(IF('Open 30M - Bracket'!AF11="","",'Open 30M - Bracket'!AF11),"")</f>
        <v/>
      </c>
      <c r="F27" s="90" t="str">
        <f>IFERROR(IF('Open 30M - Bracket'!AG11="","",'Open 30M - Bracket'!AG11),"")</f>
        <v/>
      </c>
      <c r="G27" s="90" t="str">
        <f>IFERROR(IF('Open 30M - Bracket'!AH11="","",'Open 30M - Bracket'!AH11),"")</f>
        <v/>
      </c>
      <c r="H27" s="32">
        <f>IFERROR(IF(ISNUMBER('Open 30M - Bracket'!AI11),'Open 30M - Bracket'!AI11,0),0)</f>
        <v>0</v>
      </c>
      <c r="I27" s="91" t="str">
        <f>IF(AND(ISNUMBER('Open 30M - Bracket'!AI11),ISNUMBER('Open 30M - Bracket'!AI13)),IF('Open 30M - Bracket'!AI11&gt;'Open 30M - Bracket'!AI13,"2-0",IF('Open 30M - Bracket'!AI11='Open 30M - Bracket'!AI13,"1-1","0-2")),"—")</f>
        <v>—</v>
      </c>
      <c r="J27" s="32">
        <f>IFERROR(IF(ISNUMBER('Open 30M - Bracket'!AI13),'Open 30M - Bracket'!AI13,0),0)</f>
        <v>0</v>
      </c>
      <c r="K27" s="90" t="str">
        <f>IFERROR(IF('Open 30M - Bracket'!AH13="","",'Open 30M - Bracket'!AH13),"")</f>
        <v/>
      </c>
      <c r="L27" s="90" t="str">
        <f>IFERROR(IF('Open 30M - Bracket'!AG13="","",'Open 30M - Bracket'!AG13),"")</f>
        <v/>
      </c>
      <c r="M27" s="90" t="str">
        <f>IFERROR(IF('Open 30M - Bracket'!AF13="","",'Open 30M - Bracket'!AF13),"")</f>
        <v/>
      </c>
      <c r="N27" s="90" t="str">
        <f>IFERROR(IF('Open 30M - Bracket'!AE13="","",'Open 30M - Bracket'!AE13),"")</f>
        <v/>
      </c>
      <c r="O27" s="90" t="str">
        <f>IFERROR(IF('Open 30M - Bracket'!AD13="","",'Open 30M - Bracket'!AD13),"")</f>
        <v/>
      </c>
      <c r="P27" s="90" t="str">
        <f>IFERROR(IF('Open 30M - Bracket'!AC13="","",'Open 30M - Bracket'!AC13),"")</f>
        <v/>
      </c>
      <c r="Q27" s="84" t="s">
        <v>227</v>
      </c>
    </row>
    <row r="28" spans="1:17" ht="21.75" customHeight="1" x14ac:dyDescent="0.35">
      <c r="A28" s="84" t="s">
        <v>228</v>
      </c>
      <c r="B28" s="90" t="str">
        <f>IFERROR(IF('Open 30M - Bracket'!AJ11="","",'Open 30M - Bracket'!AJ11),"")</f>
        <v/>
      </c>
      <c r="C28" s="90" t="str">
        <f>IFERROR(IF('Open 30M - Bracket'!AK11="","",'Open 30M - Bracket'!AK11),"")</f>
        <v/>
      </c>
      <c r="D28" s="90" t="str">
        <f>IFERROR(IF('Open 30M - Bracket'!AL11="","",'Open 30M - Bracket'!AL11),"")</f>
        <v/>
      </c>
      <c r="E28" s="90" t="str">
        <f>IFERROR(IF('Open 30M - Bracket'!AM11="","",'Open 30M - Bracket'!AM11),"")</f>
        <v/>
      </c>
      <c r="F28" s="90" t="str">
        <f>IFERROR(IF('Open 30M - Bracket'!AN11="","",'Open 30M - Bracket'!AN11),"")</f>
        <v/>
      </c>
      <c r="G28" s="90" t="str">
        <f>IFERROR(IF('Open 30M - Bracket'!AO11="","",'Open 30M - Bracket'!AO11),"")</f>
        <v/>
      </c>
      <c r="H28" s="32">
        <f>IFERROR(IF(ISNUMBER('Open 30M - Bracket'!AP11),'Open 30M - Bracket'!AP11,0),0)</f>
        <v>0</v>
      </c>
      <c r="I28" s="91" t="str">
        <f>IF(AND(ISNUMBER('Open 30M - Bracket'!AP11),ISNUMBER('Open 30M - Bracket'!AP13)),IF('Open 30M - Bracket'!AP11&gt;'Open 30M - Bracket'!AP13,"2-0",IF('Open 30M - Bracket'!AP11='Open 30M - Bracket'!AP13,"1-1","0-2")),"—")</f>
        <v>—</v>
      </c>
      <c r="J28" s="32">
        <f>IFERROR(IF(ISNUMBER('Open 30M - Bracket'!AP13),'Open 30M - Bracket'!AP13,0),0)</f>
        <v>0</v>
      </c>
      <c r="K28" s="90" t="str">
        <f>IFERROR(IF('Open 30M - Bracket'!AO13="","",'Open 30M - Bracket'!AO13),"")</f>
        <v/>
      </c>
      <c r="L28" s="90" t="str">
        <f>IFERROR(IF('Open 30M - Bracket'!AN13="","",'Open 30M - Bracket'!AN13),"")</f>
        <v/>
      </c>
      <c r="M28" s="90" t="str">
        <f>IFERROR(IF('Open 30M - Bracket'!AM13="","",'Open 30M - Bracket'!AM13),"")</f>
        <v/>
      </c>
      <c r="N28" s="90" t="str">
        <f>IFERROR(IF('Open 30M - Bracket'!AL13="","",'Open 30M - Bracket'!AL13),"")</f>
        <v/>
      </c>
      <c r="O28" s="90" t="str">
        <f>IFERROR(IF('Open 30M - Bracket'!AK13="","",'Open 30M - Bracket'!AK13),"")</f>
        <v/>
      </c>
      <c r="P28" s="90" t="str">
        <f>IFERROR(IF('Open 30M - Bracket'!AJ13="","",'Open 30M - Bracket'!AJ13),"")</f>
        <v/>
      </c>
      <c r="Q28" s="84" t="s">
        <v>228</v>
      </c>
    </row>
    <row r="29" spans="1:17" ht="21.75" customHeight="1" x14ac:dyDescent="0.35">
      <c r="A29" s="92" t="s">
        <v>237</v>
      </c>
      <c r="B29" s="93" t="str">
        <f>IFERROR(IF('Open 30M - Bracket'!AQ11="","",'Open 30M - Bracket'!AQ11),"")</f>
        <v/>
      </c>
      <c r="C29" s="93" t="str">
        <f>IFERROR(IF('Open 30M - Bracket'!AR11="","",'Open 30M - Bracket'!AR11),"")</f>
        <v/>
      </c>
      <c r="D29" s="93" t="str">
        <f>IFERROR(IF('Open 30M - Bracket'!AS11="","",'Open 30M - Bracket'!AS11),"")</f>
        <v/>
      </c>
      <c r="E29" s="93" t="str">
        <f>IFERROR(IF('Open 30M - Bracket'!AT11="","",'Open 30M - Bracket'!AT11),"")</f>
        <v/>
      </c>
      <c r="F29" s="93" t="str">
        <f>IFERROR(IF('Open 30M - Bracket'!AU11="","",'Open 30M - Bracket'!AU11),"")</f>
        <v/>
      </c>
      <c r="G29" s="93" t="str">
        <f>IFERROR(IF('Open 30M - Bracket'!AV11="","",'Open 30M - Bracket'!AV11),"")</f>
        <v/>
      </c>
      <c r="H29" s="32">
        <f>IFERROR(IF(ISNUMBER('Open 30M - Bracket'!AW11),'Open 30M - Bracket'!AW11,0),0)</f>
        <v>0</v>
      </c>
      <c r="I29" s="91" t="str">
        <f>IF(AND(ISNUMBER('Open 30M - Bracket'!AW11),ISNUMBER('Open 30M - Bracket'!AW13)),IF('Open 30M - Bracket'!AW11&gt;'Open 30M - Bracket'!AW13,"2-0",IF('Open 30M - Bracket'!AW11='Open 30M - Bracket'!AW13,"1-1","0-2")),"—")</f>
        <v>—</v>
      </c>
      <c r="J29" s="32">
        <f>IFERROR(IF(ISNUMBER('Open 30M - Bracket'!AW13),'Open 30M - Bracket'!AW13,0),0)</f>
        <v>0</v>
      </c>
      <c r="K29" s="93" t="str">
        <f>IFERROR(IF('Open 30M - Bracket'!AV13="","",'Open 30M - Bracket'!AV13),"")</f>
        <v/>
      </c>
      <c r="L29" s="93" t="str">
        <f>IFERROR(IF('Open 30M - Bracket'!AU13="","",'Open 30M - Bracket'!AU13),"")</f>
        <v/>
      </c>
      <c r="M29" s="93" t="str">
        <f>IFERROR(IF('Open 30M - Bracket'!AT13="","",'Open 30M - Bracket'!AT13),"")</f>
        <v/>
      </c>
      <c r="N29" s="93" t="str">
        <f>IFERROR(IF('Open 30M - Bracket'!AS13="","",'Open 30M - Bracket'!AS13),"")</f>
        <v/>
      </c>
      <c r="O29" s="93" t="str">
        <f>IFERROR(IF('Open 30M - Bracket'!AR13="","",'Open 30M - Bracket'!AR13),"")</f>
        <v/>
      </c>
      <c r="P29" s="93" t="str">
        <f>IFERROR(IF('Open 30M - Bracket'!AQ13="","",'Open 30M - Bracket'!AQ13),"")</f>
        <v/>
      </c>
      <c r="Q29" s="92" t="s">
        <v>237</v>
      </c>
    </row>
    <row r="30" spans="1:17" ht="4.5" customHeight="1" x14ac:dyDescent="0.35"/>
    <row r="31" spans="1:17" ht="31.5" customHeight="1" x14ac:dyDescent="0.35">
      <c r="A31" s="130">
        <f>IFERROR(IF(ISNUMBER('Open 30M - Bracket'!AX11),'Open 30M - Bracket'!AX11,0),0)</f>
        <v>0</v>
      </c>
      <c r="B31" s="130"/>
      <c r="C31" s="130"/>
      <c r="D31" s="130"/>
      <c r="E31" s="130"/>
      <c r="F31" s="130"/>
      <c r="G31" s="130"/>
      <c r="H31" s="94" t="str">
        <f>IFERROR('Open 30M - Bracket'!BA11,"")</f>
        <v>&gt;&gt; Advance</v>
      </c>
      <c r="I31" s="86"/>
      <c r="J31" s="94" t="str">
        <f>IFERROR('Open 30M - Bracket'!BA13,"")</f>
        <v>&gt;&gt; Advance</v>
      </c>
      <c r="K31" s="130">
        <f>IFERROR(IF(ISNUMBER('Open 30M - Bracket'!AX13),'Open 30M - Bracket'!AX13,0),0)</f>
        <v>0</v>
      </c>
      <c r="L31" s="130"/>
      <c r="M31" s="130"/>
      <c r="N31" s="130"/>
      <c r="O31" s="130"/>
      <c r="P31" s="130"/>
      <c r="Q31" s="130"/>
    </row>
    <row r="32" spans="1:17" ht="21.75" customHeight="1" x14ac:dyDescent="0.35">
      <c r="A32" s="130"/>
      <c r="B32" s="130"/>
      <c r="C32" s="130"/>
      <c r="D32" s="130"/>
      <c r="E32" s="130"/>
      <c r="F32" s="130"/>
      <c r="G32" s="130"/>
      <c r="K32" s="130"/>
      <c r="L32" s="130"/>
      <c r="M32" s="130"/>
      <c r="N32" s="130"/>
      <c r="O32" s="130"/>
      <c r="P32" s="130"/>
      <c r="Q32" s="130"/>
    </row>
    <row r="33" spans="1:17" ht="4.5" customHeight="1" x14ac:dyDescent="0.35"/>
    <row r="34" spans="1:17" ht="12" customHeight="1" x14ac:dyDescent="0.35">
      <c r="A34" s="126"/>
      <c r="B34" s="126"/>
      <c r="C34" s="126"/>
      <c r="D34" s="126"/>
      <c r="E34" s="126"/>
      <c r="F34" s="126"/>
      <c r="G34" s="126"/>
      <c r="H34" s="126"/>
      <c r="I34" s="126"/>
      <c r="J34" s="126"/>
      <c r="K34" s="126"/>
      <c r="L34" s="126"/>
      <c r="M34" s="126"/>
      <c r="N34" s="126"/>
      <c r="O34" s="126"/>
      <c r="P34" s="126"/>
      <c r="Q34" s="126"/>
    </row>
    <row r="35" spans="1:17" ht="7.5" customHeight="1" x14ac:dyDescent="0.35"/>
    <row r="36" spans="1:17" ht="19.5" customHeight="1" x14ac:dyDescent="0.35">
      <c r="A36" s="127" t="s">
        <v>239</v>
      </c>
      <c r="B36" s="127"/>
      <c r="C36" s="127"/>
      <c r="D36" s="127"/>
      <c r="E36" s="127"/>
      <c r="F36" s="127"/>
      <c r="G36" s="127"/>
      <c r="H36" s="127"/>
      <c r="I36" s="127"/>
      <c r="J36" s="127"/>
      <c r="K36" s="127"/>
      <c r="L36" s="127"/>
      <c r="M36" s="127"/>
      <c r="N36" s="127"/>
      <c r="O36" s="127"/>
      <c r="P36" s="127"/>
      <c r="Q36" s="127"/>
    </row>
    <row r="37" spans="1:17" ht="4.5" customHeight="1" x14ac:dyDescent="0.35"/>
    <row r="38" spans="1:17" ht="21.75" customHeight="1" x14ac:dyDescent="0.35">
      <c r="A38" s="84" t="s">
        <v>232</v>
      </c>
      <c r="B38" s="128" t="str">
        <f>IFERROR(IF('Open 30M - Bracket'!B16="","TBD",'Open 30M - Bracket'!B16),"TBD")</f>
        <v>TBD</v>
      </c>
      <c r="C38" s="128"/>
      <c r="D38" s="128"/>
      <c r="E38" s="128"/>
      <c r="F38" s="128"/>
      <c r="G38" s="128"/>
      <c r="H38" s="128"/>
      <c r="I38" s="84" t="s">
        <v>233</v>
      </c>
      <c r="J38" s="128" t="str">
        <f>IFERROR(IF('Open 30M - Bracket'!B18="","TBD",'Open 30M - Bracket'!B18),"TBD")</f>
        <v>TBD</v>
      </c>
      <c r="K38" s="128"/>
      <c r="L38" s="128"/>
      <c r="M38" s="128"/>
      <c r="N38" s="128"/>
      <c r="O38" s="128"/>
      <c r="P38" s="128"/>
      <c r="Q38" s="84" t="s">
        <v>232</v>
      </c>
    </row>
    <row r="39" spans="1:17" ht="13.5" customHeight="1" x14ac:dyDescent="0.35">
      <c r="A39" s="85" t="s">
        <v>234</v>
      </c>
      <c r="B39" s="129" t="str">
        <f>IFERROR('Open 30M - Bracket'!A16,"")</f>
        <v>BYE</v>
      </c>
      <c r="C39" s="129"/>
      <c r="D39" s="129"/>
      <c r="E39" s="129"/>
      <c r="F39" s="129"/>
      <c r="G39" s="129"/>
      <c r="H39" s="129"/>
      <c r="I39" s="86"/>
      <c r="J39" s="129" t="str">
        <f>IFERROR('Open 30M - Bracket'!A18,"")</f>
        <v>BYE</v>
      </c>
      <c r="K39" s="129"/>
      <c r="L39" s="129"/>
      <c r="M39" s="129"/>
      <c r="N39" s="129"/>
      <c r="O39" s="129"/>
      <c r="P39" s="129"/>
      <c r="Q39" s="85" t="s">
        <v>234</v>
      </c>
    </row>
    <row r="40" spans="1:17" ht="19.5" customHeight="1" x14ac:dyDescent="0.35">
      <c r="A40" s="87" t="s">
        <v>235</v>
      </c>
      <c r="B40" s="88" t="s">
        <v>83</v>
      </c>
      <c r="C40" s="88" t="s">
        <v>84</v>
      </c>
      <c r="D40" s="88" t="s">
        <v>85</v>
      </c>
      <c r="E40" s="88" t="s">
        <v>86</v>
      </c>
      <c r="F40" s="88" t="s">
        <v>87</v>
      </c>
      <c r="G40" s="88" t="s">
        <v>88</v>
      </c>
      <c r="H40" s="24" t="s">
        <v>236</v>
      </c>
      <c r="I40" s="89"/>
      <c r="J40" s="24" t="s">
        <v>236</v>
      </c>
      <c r="K40" s="88" t="s">
        <v>88</v>
      </c>
      <c r="L40" s="88" t="s">
        <v>87</v>
      </c>
      <c r="M40" s="88" t="s">
        <v>86</v>
      </c>
      <c r="N40" s="88" t="s">
        <v>85</v>
      </c>
      <c r="O40" s="88" t="s">
        <v>84</v>
      </c>
      <c r="P40" s="88" t="s">
        <v>83</v>
      </c>
      <c r="Q40" s="87" t="s">
        <v>235</v>
      </c>
    </row>
    <row r="41" spans="1:17" ht="21.75" customHeight="1" x14ac:dyDescent="0.35">
      <c r="A41" s="84" t="s">
        <v>222</v>
      </c>
      <c r="B41" s="90" t="str">
        <f>IFERROR(IF('Open 30M - Bracket'!H16="","",'Open 30M - Bracket'!H16),"")</f>
        <v/>
      </c>
      <c r="C41" s="90" t="str">
        <f>IFERROR(IF('Open 30M - Bracket'!I16="","",'Open 30M - Bracket'!I16),"")</f>
        <v/>
      </c>
      <c r="D41" s="90" t="str">
        <f>IFERROR(IF('Open 30M - Bracket'!J16="","",'Open 30M - Bracket'!J16),"")</f>
        <v/>
      </c>
      <c r="E41" s="90" t="str">
        <f>IFERROR(IF('Open 30M - Bracket'!K16="","",'Open 30M - Bracket'!K16),"")</f>
        <v/>
      </c>
      <c r="F41" s="90" t="str">
        <f>IFERROR(IF('Open 30M - Bracket'!L16="","",'Open 30M - Bracket'!L16),"")</f>
        <v/>
      </c>
      <c r="G41" s="90" t="str">
        <f>IFERROR(IF('Open 30M - Bracket'!M16="","",'Open 30M - Bracket'!M16),"")</f>
        <v/>
      </c>
      <c r="H41" s="32">
        <f>IFERROR(IF(ISNUMBER('Open 30M - Bracket'!N16),'Open 30M - Bracket'!N16,0),0)</f>
        <v>0</v>
      </c>
      <c r="I41" s="91" t="str">
        <f>IF(AND(ISNUMBER('Open 30M - Bracket'!N16),ISNUMBER('Open 30M - Bracket'!N18)),IF('Open 30M - Bracket'!N16&gt;'Open 30M - Bracket'!N18,"2-0",IF('Open 30M - Bracket'!N16='Open 30M - Bracket'!N18,"1-1","0-2")),"—")</f>
        <v>—</v>
      </c>
      <c r="J41" s="32">
        <f>IFERROR(IF(ISNUMBER('Open 30M - Bracket'!N18),'Open 30M - Bracket'!N18,0),0)</f>
        <v>0</v>
      </c>
      <c r="K41" s="90" t="str">
        <f>IFERROR(IF('Open 30M - Bracket'!M18="","",'Open 30M - Bracket'!M18),"")</f>
        <v/>
      </c>
      <c r="L41" s="90" t="str">
        <f>IFERROR(IF('Open 30M - Bracket'!L18="","",'Open 30M - Bracket'!L18),"")</f>
        <v/>
      </c>
      <c r="M41" s="90" t="str">
        <f>IFERROR(IF('Open 30M - Bracket'!K18="","",'Open 30M - Bracket'!K18),"")</f>
        <v/>
      </c>
      <c r="N41" s="90" t="str">
        <f>IFERROR(IF('Open 30M - Bracket'!J18="","",'Open 30M - Bracket'!J18),"")</f>
        <v/>
      </c>
      <c r="O41" s="90" t="str">
        <f>IFERROR(IF('Open 30M - Bracket'!I18="","",'Open 30M - Bracket'!I18),"")</f>
        <v/>
      </c>
      <c r="P41" s="90" t="str">
        <f>IFERROR(IF('Open 30M - Bracket'!H18="","",'Open 30M - Bracket'!H18),"")</f>
        <v/>
      </c>
      <c r="Q41" s="84" t="s">
        <v>222</v>
      </c>
    </row>
    <row r="42" spans="1:17" ht="21.75" customHeight="1" x14ac:dyDescent="0.35">
      <c r="A42" s="84" t="s">
        <v>223</v>
      </c>
      <c r="B42" s="90" t="str">
        <f>IFERROR(IF('Open 30M - Bracket'!O16="","",'Open 30M - Bracket'!O16),"")</f>
        <v/>
      </c>
      <c r="C42" s="90" t="str">
        <f>IFERROR(IF('Open 30M - Bracket'!P16="","",'Open 30M - Bracket'!P16),"")</f>
        <v/>
      </c>
      <c r="D42" s="90" t="str">
        <f>IFERROR(IF('Open 30M - Bracket'!Q16="","",'Open 30M - Bracket'!Q16),"")</f>
        <v/>
      </c>
      <c r="E42" s="90" t="str">
        <f>IFERROR(IF('Open 30M - Bracket'!R16="","",'Open 30M - Bracket'!R16),"")</f>
        <v/>
      </c>
      <c r="F42" s="90" t="str">
        <f>IFERROR(IF('Open 30M - Bracket'!S16="","",'Open 30M - Bracket'!S16),"")</f>
        <v/>
      </c>
      <c r="G42" s="90" t="str">
        <f>IFERROR(IF('Open 30M - Bracket'!T16="","",'Open 30M - Bracket'!T16),"")</f>
        <v/>
      </c>
      <c r="H42" s="32">
        <f>IFERROR(IF(ISNUMBER('Open 30M - Bracket'!U16),'Open 30M - Bracket'!U16,0),0)</f>
        <v>0</v>
      </c>
      <c r="I42" s="91" t="str">
        <f>IF(AND(ISNUMBER('Open 30M - Bracket'!U16),ISNUMBER('Open 30M - Bracket'!U18)),IF('Open 30M - Bracket'!U16&gt;'Open 30M - Bracket'!U18,"2-0",IF('Open 30M - Bracket'!U16='Open 30M - Bracket'!U18,"1-1","0-2")),"—")</f>
        <v>—</v>
      </c>
      <c r="J42" s="32">
        <f>IFERROR(IF(ISNUMBER('Open 30M - Bracket'!U18),'Open 30M - Bracket'!U18,0),0)</f>
        <v>0</v>
      </c>
      <c r="K42" s="90" t="str">
        <f>IFERROR(IF('Open 30M - Bracket'!T18="","",'Open 30M - Bracket'!T18),"")</f>
        <v/>
      </c>
      <c r="L42" s="90" t="str">
        <f>IFERROR(IF('Open 30M - Bracket'!S18="","",'Open 30M - Bracket'!S18),"")</f>
        <v/>
      </c>
      <c r="M42" s="90" t="str">
        <f>IFERROR(IF('Open 30M - Bracket'!R18="","",'Open 30M - Bracket'!R18),"")</f>
        <v/>
      </c>
      <c r="N42" s="90" t="str">
        <f>IFERROR(IF('Open 30M - Bracket'!Q18="","",'Open 30M - Bracket'!Q18),"")</f>
        <v/>
      </c>
      <c r="O42" s="90" t="str">
        <f>IFERROR(IF('Open 30M - Bracket'!P18="","",'Open 30M - Bracket'!P18),"")</f>
        <v/>
      </c>
      <c r="P42" s="90" t="str">
        <f>IFERROR(IF('Open 30M - Bracket'!O18="","",'Open 30M - Bracket'!O18),"")</f>
        <v/>
      </c>
      <c r="Q42" s="84" t="s">
        <v>223</v>
      </c>
    </row>
    <row r="43" spans="1:17" ht="21.75" customHeight="1" x14ac:dyDescent="0.35">
      <c r="A43" s="84" t="s">
        <v>224</v>
      </c>
      <c r="B43" s="90" t="str">
        <f>IFERROR(IF('Open 30M - Bracket'!V16="","",'Open 30M - Bracket'!V16),"")</f>
        <v/>
      </c>
      <c r="C43" s="90" t="str">
        <f>IFERROR(IF('Open 30M - Bracket'!W16="","",'Open 30M - Bracket'!W16),"")</f>
        <v/>
      </c>
      <c r="D43" s="90" t="str">
        <f>IFERROR(IF('Open 30M - Bracket'!X16="","",'Open 30M - Bracket'!X16),"")</f>
        <v/>
      </c>
      <c r="E43" s="90" t="str">
        <f>IFERROR(IF('Open 30M - Bracket'!Y16="","",'Open 30M - Bracket'!Y16),"")</f>
        <v/>
      </c>
      <c r="F43" s="90" t="str">
        <f>IFERROR(IF('Open 30M - Bracket'!Z16="","",'Open 30M - Bracket'!Z16),"")</f>
        <v/>
      </c>
      <c r="G43" s="90" t="str">
        <f>IFERROR(IF('Open 30M - Bracket'!AA16="","",'Open 30M - Bracket'!AA16),"")</f>
        <v/>
      </c>
      <c r="H43" s="32">
        <f>IFERROR(IF(ISNUMBER('Open 30M - Bracket'!AB16),'Open 30M - Bracket'!AB16,0),0)</f>
        <v>0</v>
      </c>
      <c r="I43" s="91" t="str">
        <f>IF(AND(ISNUMBER('Open 30M - Bracket'!AB16),ISNUMBER('Open 30M - Bracket'!AB18)),IF('Open 30M - Bracket'!AB16&gt;'Open 30M - Bracket'!AB18,"2-0",IF('Open 30M - Bracket'!AB16='Open 30M - Bracket'!AB18,"1-1","0-2")),"—")</f>
        <v>—</v>
      </c>
      <c r="J43" s="32">
        <f>IFERROR(IF(ISNUMBER('Open 30M - Bracket'!AB18),'Open 30M - Bracket'!AB18,0),0)</f>
        <v>0</v>
      </c>
      <c r="K43" s="90" t="str">
        <f>IFERROR(IF('Open 30M - Bracket'!AA18="","",'Open 30M - Bracket'!AA18),"")</f>
        <v/>
      </c>
      <c r="L43" s="90" t="str">
        <f>IFERROR(IF('Open 30M - Bracket'!Z18="","",'Open 30M - Bracket'!Z18),"")</f>
        <v/>
      </c>
      <c r="M43" s="90" t="str">
        <f>IFERROR(IF('Open 30M - Bracket'!Y18="","",'Open 30M - Bracket'!Y18),"")</f>
        <v/>
      </c>
      <c r="N43" s="90" t="str">
        <f>IFERROR(IF('Open 30M - Bracket'!X18="","",'Open 30M - Bracket'!X18),"")</f>
        <v/>
      </c>
      <c r="O43" s="90" t="str">
        <f>IFERROR(IF('Open 30M - Bracket'!W18="","",'Open 30M - Bracket'!W18),"")</f>
        <v/>
      </c>
      <c r="P43" s="90" t="str">
        <f>IFERROR(IF('Open 30M - Bracket'!V18="","",'Open 30M - Bracket'!V18),"")</f>
        <v/>
      </c>
      <c r="Q43" s="84" t="s">
        <v>224</v>
      </c>
    </row>
    <row r="44" spans="1:17" ht="21.75" customHeight="1" x14ac:dyDescent="0.35">
      <c r="A44" s="84" t="s">
        <v>227</v>
      </c>
      <c r="B44" s="90" t="str">
        <f>IFERROR(IF('Open 30M - Bracket'!AC16="","",'Open 30M - Bracket'!AC16),"")</f>
        <v/>
      </c>
      <c r="C44" s="90" t="str">
        <f>IFERROR(IF('Open 30M - Bracket'!AD16="","",'Open 30M - Bracket'!AD16),"")</f>
        <v/>
      </c>
      <c r="D44" s="90" t="str">
        <f>IFERROR(IF('Open 30M - Bracket'!AE16="","",'Open 30M - Bracket'!AE16),"")</f>
        <v/>
      </c>
      <c r="E44" s="90" t="str">
        <f>IFERROR(IF('Open 30M - Bracket'!AF16="","",'Open 30M - Bracket'!AF16),"")</f>
        <v/>
      </c>
      <c r="F44" s="90" t="str">
        <f>IFERROR(IF('Open 30M - Bracket'!AG16="","",'Open 30M - Bracket'!AG16),"")</f>
        <v/>
      </c>
      <c r="G44" s="90" t="str">
        <f>IFERROR(IF('Open 30M - Bracket'!AH16="","",'Open 30M - Bracket'!AH16),"")</f>
        <v/>
      </c>
      <c r="H44" s="32">
        <f>IFERROR(IF(ISNUMBER('Open 30M - Bracket'!AI16),'Open 30M - Bracket'!AI16,0),0)</f>
        <v>0</v>
      </c>
      <c r="I44" s="91" t="str">
        <f>IF(AND(ISNUMBER('Open 30M - Bracket'!AI16),ISNUMBER('Open 30M - Bracket'!AI18)),IF('Open 30M - Bracket'!AI16&gt;'Open 30M - Bracket'!AI18,"2-0",IF('Open 30M - Bracket'!AI16='Open 30M - Bracket'!AI18,"1-1","0-2")),"—")</f>
        <v>—</v>
      </c>
      <c r="J44" s="32">
        <f>IFERROR(IF(ISNUMBER('Open 30M - Bracket'!AI18),'Open 30M - Bracket'!AI18,0),0)</f>
        <v>0</v>
      </c>
      <c r="K44" s="90" t="str">
        <f>IFERROR(IF('Open 30M - Bracket'!AH18="","",'Open 30M - Bracket'!AH18),"")</f>
        <v/>
      </c>
      <c r="L44" s="90" t="str">
        <f>IFERROR(IF('Open 30M - Bracket'!AG18="","",'Open 30M - Bracket'!AG18),"")</f>
        <v/>
      </c>
      <c r="M44" s="90" t="str">
        <f>IFERROR(IF('Open 30M - Bracket'!AF18="","",'Open 30M - Bracket'!AF18),"")</f>
        <v/>
      </c>
      <c r="N44" s="90" t="str">
        <f>IFERROR(IF('Open 30M - Bracket'!AE18="","",'Open 30M - Bracket'!AE18),"")</f>
        <v/>
      </c>
      <c r="O44" s="90" t="str">
        <f>IFERROR(IF('Open 30M - Bracket'!AD18="","",'Open 30M - Bracket'!AD18),"")</f>
        <v/>
      </c>
      <c r="P44" s="90" t="str">
        <f>IFERROR(IF('Open 30M - Bracket'!AC18="","",'Open 30M - Bracket'!AC18),"")</f>
        <v/>
      </c>
      <c r="Q44" s="84" t="s">
        <v>227</v>
      </c>
    </row>
    <row r="45" spans="1:17" ht="21.75" customHeight="1" x14ac:dyDescent="0.35">
      <c r="A45" s="84" t="s">
        <v>228</v>
      </c>
      <c r="B45" s="90" t="str">
        <f>IFERROR(IF('Open 30M - Bracket'!AJ16="","",'Open 30M - Bracket'!AJ16),"")</f>
        <v/>
      </c>
      <c r="C45" s="90" t="str">
        <f>IFERROR(IF('Open 30M - Bracket'!AK16="","",'Open 30M - Bracket'!AK16),"")</f>
        <v/>
      </c>
      <c r="D45" s="90" t="str">
        <f>IFERROR(IF('Open 30M - Bracket'!AL16="","",'Open 30M - Bracket'!AL16),"")</f>
        <v/>
      </c>
      <c r="E45" s="90" t="str">
        <f>IFERROR(IF('Open 30M - Bracket'!AM16="","",'Open 30M - Bracket'!AM16),"")</f>
        <v/>
      </c>
      <c r="F45" s="90" t="str">
        <f>IFERROR(IF('Open 30M - Bracket'!AN16="","",'Open 30M - Bracket'!AN16),"")</f>
        <v/>
      </c>
      <c r="G45" s="90" t="str">
        <f>IFERROR(IF('Open 30M - Bracket'!AO16="","",'Open 30M - Bracket'!AO16),"")</f>
        <v/>
      </c>
      <c r="H45" s="32">
        <f>IFERROR(IF(ISNUMBER('Open 30M - Bracket'!AP16),'Open 30M - Bracket'!AP16,0),0)</f>
        <v>0</v>
      </c>
      <c r="I45" s="91" t="str">
        <f>IF(AND(ISNUMBER('Open 30M - Bracket'!AP16),ISNUMBER('Open 30M - Bracket'!AP18)),IF('Open 30M - Bracket'!AP16&gt;'Open 30M - Bracket'!AP18,"2-0",IF('Open 30M - Bracket'!AP16='Open 30M - Bracket'!AP18,"1-1","0-2")),"—")</f>
        <v>—</v>
      </c>
      <c r="J45" s="32">
        <f>IFERROR(IF(ISNUMBER('Open 30M - Bracket'!AP18),'Open 30M - Bracket'!AP18,0),0)</f>
        <v>0</v>
      </c>
      <c r="K45" s="90" t="str">
        <f>IFERROR(IF('Open 30M - Bracket'!AO18="","",'Open 30M - Bracket'!AO18),"")</f>
        <v/>
      </c>
      <c r="L45" s="90" t="str">
        <f>IFERROR(IF('Open 30M - Bracket'!AN18="","",'Open 30M - Bracket'!AN18),"")</f>
        <v/>
      </c>
      <c r="M45" s="90" t="str">
        <f>IFERROR(IF('Open 30M - Bracket'!AM18="","",'Open 30M - Bracket'!AM18),"")</f>
        <v/>
      </c>
      <c r="N45" s="90" t="str">
        <f>IFERROR(IF('Open 30M - Bracket'!AL18="","",'Open 30M - Bracket'!AL18),"")</f>
        <v/>
      </c>
      <c r="O45" s="90" t="str">
        <f>IFERROR(IF('Open 30M - Bracket'!AK18="","",'Open 30M - Bracket'!AK18),"")</f>
        <v/>
      </c>
      <c r="P45" s="90" t="str">
        <f>IFERROR(IF('Open 30M - Bracket'!AJ18="","",'Open 30M - Bracket'!AJ18),"")</f>
        <v/>
      </c>
      <c r="Q45" s="84" t="s">
        <v>228</v>
      </c>
    </row>
    <row r="46" spans="1:17" ht="21.75" customHeight="1" x14ac:dyDescent="0.35">
      <c r="A46" s="92" t="s">
        <v>237</v>
      </c>
      <c r="B46" s="93" t="str">
        <f>IFERROR(IF('Open 30M - Bracket'!AQ16="","",'Open 30M - Bracket'!AQ16),"")</f>
        <v/>
      </c>
      <c r="C46" s="93" t="str">
        <f>IFERROR(IF('Open 30M - Bracket'!AR16="","",'Open 30M - Bracket'!AR16),"")</f>
        <v/>
      </c>
      <c r="D46" s="93" t="str">
        <f>IFERROR(IF('Open 30M - Bracket'!AS16="","",'Open 30M - Bracket'!AS16),"")</f>
        <v/>
      </c>
      <c r="E46" s="93" t="str">
        <f>IFERROR(IF('Open 30M - Bracket'!AT16="","",'Open 30M - Bracket'!AT16),"")</f>
        <v/>
      </c>
      <c r="F46" s="93" t="str">
        <f>IFERROR(IF('Open 30M - Bracket'!AU16="","",'Open 30M - Bracket'!AU16),"")</f>
        <v/>
      </c>
      <c r="G46" s="93" t="str">
        <f>IFERROR(IF('Open 30M - Bracket'!AV16="","",'Open 30M - Bracket'!AV16),"")</f>
        <v/>
      </c>
      <c r="H46" s="32">
        <f>IFERROR(IF(ISNUMBER('Open 30M - Bracket'!AW16),'Open 30M - Bracket'!AW16,0),0)</f>
        <v>0</v>
      </c>
      <c r="I46" s="91" t="str">
        <f>IF(AND(ISNUMBER('Open 30M - Bracket'!AW16),ISNUMBER('Open 30M - Bracket'!AW18)),IF('Open 30M - Bracket'!AW16&gt;'Open 30M - Bracket'!AW18,"2-0",IF('Open 30M - Bracket'!AW16='Open 30M - Bracket'!AW18,"1-1","0-2")),"—")</f>
        <v>—</v>
      </c>
      <c r="J46" s="32">
        <f>IFERROR(IF(ISNUMBER('Open 30M - Bracket'!AW18),'Open 30M - Bracket'!AW18,0),0)</f>
        <v>0</v>
      </c>
      <c r="K46" s="93" t="str">
        <f>IFERROR(IF('Open 30M - Bracket'!AV18="","",'Open 30M - Bracket'!AV18),"")</f>
        <v/>
      </c>
      <c r="L46" s="93" t="str">
        <f>IFERROR(IF('Open 30M - Bracket'!AU18="","",'Open 30M - Bracket'!AU18),"")</f>
        <v/>
      </c>
      <c r="M46" s="93" t="str">
        <f>IFERROR(IF('Open 30M - Bracket'!AT18="","",'Open 30M - Bracket'!AT18),"")</f>
        <v/>
      </c>
      <c r="N46" s="93" t="str">
        <f>IFERROR(IF('Open 30M - Bracket'!AS18="","",'Open 30M - Bracket'!AS18),"")</f>
        <v/>
      </c>
      <c r="O46" s="93" t="str">
        <f>IFERROR(IF('Open 30M - Bracket'!AR18="","",'Open 30M - Bracket'!AR18),"")</f>
        <v/>
      </c>
      <c r="P46" s="93" t="str">
        <f>IFERROR(IF('Open 30M - Bracket'!AQ18="","",'Open 30M - Bracket'!AQ18),"")</f>
        <v/>
      </c>
      <c r="Q46" s="92" t="s">
        <v>237</v>
      </c>
    </row>
    <row r="47" spans="1:17" ht="4.5" customHeight="1" x14ac:dyDescent="0.35"/>
    <row r="48" spans="1:17" ht="31.5" customHeight="1" x14ac:dyDescent="0.35">
      <c r="A48" s="130">
        <f>IFERROR(IF(ISNUMBER('Open 30M - Bracket'!AX16),'Open 30M - Bracket'!AX16,0),0)</f>
        <v>0</v>
      </c>
      <c r="B48" s="130"/>
      <c r="C48" s="130"/>
      <c r="D48" s="130"/>
      <c r="E48" s="130"/>
      <c r="F48" s="130"/>
      <c r="G48" s="130"/>
      <c r="H48" s="94" t="str">
        <f>IFERROR('Open 30M - Bracket'!BA16,"")</f>
        <v>&gt;&gt; Advance</v>
      </c>
      <c r="I48" s="86"/>
      <c r="J48" s="94" t="str">
        <f>IFERROR('Open 30M - Bracket'!BA18,"")</f>
        <v>&gt;&gt; Advance</v>
      </c>
      <c r="K48" s="130">
        <f>IFERROR(IF(ISNUMBER('Open 30M - Bracket'!AX18),'Open 30M - Bracket'!AX18,0),0)</f>
        <v>0</v>
      </c>
      <c r="L48" s="130"/>
      <c r="M48" s="130"/>
      <c r="N48" s="130"/>
      <c r="O48" s="130"/>
      <c r="P48" s="130"/>
      <c r="Q48" s="130"/>
    </row>
    <row r="49" spans="1:17" ht="21.75" customHeight="1" x14ac:dyDescent="0.35">
      <c r="A49" s="130"/>
      <c r="B49" s="130"/>
      <c r="C49" s="130"/>
      <c r="D49" s="130"/>
      <c r="E49" s="130"/>
      <c r="F49" s="130"/>
      <c r="G49" s="130"/>
      <c r="K49" s="130"/>
      <c r="L49" s="130"/>
      <c r="M49" s="130"/>
      <c r="N49" s="130"/>
      <c r="O49" s="130"/>
      <c r="P49" s="130"/>
      <c r="Q49" s="130"/>
    </row>
    <row r="50" spans="1:17" ht="4.5" customHeight="1" x14ac:dyDescent="0.35"/>
    <row r="51" spans="1:17" ht="12" customHeight="1" x14ac:dyDescent="0.35">
      <c r="A51" s="126"/>
      <c r="B51" s="126"/>
      <c r="C51" s="126"/>
      <c r="D51" s="126"/>
      <c r="E51" s="126"/>
      <c r="F51" s="126"/>
      <c r="G51" s="126"/>
      <c r="H51" s="126"/>
      <c r="I51" s="126"/>
      <c r="J51" s="126"/>
      <c r="K51" s="126"/>
      <c r="L51" s="126"/>
      <c r="M51" s="126"/>
      <c r="N51" s="126"/>
      <c r="O51" s="126"/>
      <c r="P51" s="126"/>
      <c r="Q51" s="126"/>
    </row>
    <row r="52" spans="1:17" ht="7.5" customHeight="1" x14ac:dyDescent="0.35"/>
    <row r="53" spans="1:17" ht="19.5" customHeight="1" x14ac:dyDescent="0.35">
      <c r="A53" s="127" t="s">
        <v>240</v>
      </c>
      <c r="B53" s="127"/>
      <c r="C53" s="127"/>
      <c r="D53" s="127"/>
      <c r="E53" s="127"/>
      <c r="F53" s="127"/>
      <c r="G53" s="127"/>
      <c r="H53" s="127"/>
      <c r="I53" s="127"/>
      <c r="J53" s="127"/>
      <c r="K53" s="127"/>
      <c r="L53" s="127"/>
      <c r="M53" s="127"/>
      <c r="N53" s="127"/>
      <c r="O53" s="127"/>
      <c r="P53" s="127"/>
      <c r="Q53" s="127"/>
    </row>
    <row r="54" spans="1:17" ht="4.5" customHeight="1" x14ac:dyDescent="0.35"/>
    <row r="55" spans="1:17" ht="21.75" customHeight="1" x14ac:dyDescent="0.35">
      <c r="A55" s="84" t="s">
        <v>232</v>
      </c>
      <c r="B55" s="128" t="str">
        <f>IFERROR(IF('Open 30M - Bracket'!B21="","TBD",'Open 30M - Bracket'!B21),"TBD")</f>
        <v>TBD</v>
      </c>
      <c r="C55" s="128"/>
      <c r="D55" s="128"/>
      <c r="E55" s="128"/>
      <c r="F55" s="128"/>
      <c r="G55" s="128"/>
      <c r="H55" s="128"/>
      <c r="I55" s="84" t="s">
        <v>233</v>
      </c>
      <c r="J55" s="128" t="str">
        <f>IFERROR(IF('Open 30M - Bracket'!B23="","TBD",'Open 30M - Bracket'!B23),"TBD")</f>
        <v>TBD</v>
      </c>
      <c r="K55" s="128"/>
      <c r="L55" s="128"/>
      <c r="M55" s="128"/>
      <c r="N55" s="128"/>
      <c r="O55" s="128"/>
      <c r="P55" s="128"/>
      <c r="Q55" s="84" t="s">
        <v>232</v>
      </c>
    </row>
    <row r="56" spans="1:17" ht="13.5" customHeight="1" x14ac:dyDescent="0.35">
      <c r="A56" s="85" t="s">
        <v>234</v>
      </c>
      <c r="B56" s="129" t="str">
        <f>IFERROR('Open 30M - Bracket'!A21,"")</f>
        <v>BYE</v>
      </c>
      <c r="C56" s="129"/>
      <c r="D56" s="129"/>
      <c r="E56" s="129"/>
      <c r="F56" s="129"/>
      <c r="G56" s="129"/>
      <c r="H56" s="129"/>
      <c r="I56" s="86"/>
      <c r="J56" s="129" t="str">
        <f>IFERROR('Open 30M - Bracket'!A23,"")</f>
        <v>BYE</v>
      </c>
      <c r="K56" s="129"/>
      <c r="L56" s="129"/>
      <c r="M56" s="129"/>
      <c r="N56" s="129"/>
      <c r="O56" s="129"/>
      <c r="P56" s="129"/>
      <c r="Q56" s="85" t="s">
        <v>234</v>
      </c>
    </row>
    <row r="57" spans="1:17" ht="19.5" customHeight="1" x14ac:dyDescent="0.35">
      <c r="A57" s="87" t="s">
        <v>235</v>
      </c>
      <c r="B57" s="88" t="s">
        <v>83</v>
      </c>
      <c r="C57" s="88" t="s">
        <v>84</v>
      </c>
      <c r="D57" s="88" t="s">
        <v>85</v>
      </c>
      <c r="E57" s="88" t="s">
        <v>86</v>
      </c>
      <c r="F57" s="88" t="s">
        <v>87</v>
      </c>
      <c r="G57" s="88" t="s">
        <v>88</v>
      </c>
      <c r="H57" s="24" t="s">
        <v>236</v>
      </c>
      <c r="I57" s="89"/>
      <c r="J57" s="24" t="s">
        <v>236</v>
      </c>
      <c r="K57" s="88" t="s">
        <v>88</v>
      </c>
      <c r="L57" s="88" t="s">
        <v>87</v>
      </c>
      <c r="M57" s="88" t="s">
        <v>86</v>
      </c>
      <c r="N57" s="88" t="s">
        <v>85</v>
      </c>
      <c r="O57" s="88" t="s">
        <v>84</v>
      </c>
      <c r="P57" s="88" t="s">
        <v>83</v>
      </c>
      <c r="Q57" s="87" t="s">
        <v>235</v>
      </c>
    </row>
    <row r="58" spans="1:17" ht="21.75" customHeight="1" x14ac:dyDescent="0.35">
      <c r="A58" s="84" t="s">
        <v>222</v>
      </c>
      <c r="B58" s="90" t="str">
        <f>IFERROR(IF('Open 30M - Bracket'!H21="","",'Open 30M - Bracket'!H21),"")</f>
        <v/>
      </c>
      <c r="C58" s="90" t="str">
        <f>IFERROR(IF('Open 30M - Bracket'!I21="","",'Open 30M - Bracket'!I21),"")</f>
        <v/>
      </c>
      <c r="D58" s="90" t="str">
        <f>IFERROR(IF('Open 30M - Bracket'!J21="","",'Open 30M - Bracket'!J21),"")</f>
        <v/>
      </c>
      <c r="E58" s="90" t="str">
        <f>IFERROR(IF('Open 30M - Bracket'!K21="","",'Open 30M - Bracket'!K21),"")</f>
        <v/>
      </c>
      <c r="F58" s="90" t="str">
        <f>IFERROR(IF('Open 30M - Bracket'!L21="","",'Open 30M - Bracket'!L21),"")</f>
        <v/>
      </c>
      <c r="G58" s="90" t="str">
        <f>IFERROR(IF('Open 30M - Bracket'!M21="","",'Open 30M - Bracket'!M21),"")</f>
        <v/>
      </c>
      <c r="H58" s="32">
        <f>IFERROR(IF(ISNUMBER('Open 30M - Bracket'!N21),'Open 30M - Bracket'!N21,0),0)</f>
        <v>0</v>
      </c>
      <c r="I58" s="91" t="str">
        <f>IF(AND(ISNUMBER('Open 30M - Bracket'!N21),ISNUMBER('Open 30M - Bracket'!N23)),IF('Open 30M - Bracket'!N21&gt;'Open 30M - Bracket'!N23,"2-0",IF('Open 30M - Bracket'!N21='Open 30M - Bracket'!N23,"1-1","0-2")),"—")</f>
        <v>—</v>
      </c>
      <c r="J58" s="32">
        <f>IFERROR(IF(ISNUMBER('Open 30M - Bracket'!N23),'Open 30M - Bracket'!N23,0),0)</f>
        <v>0</v>
      </c>
      <c r="K58" s="90" t="str">
        <f>IFERROR(IF('Open 30M - Bracket'!M23="","",'Open 30M - Bracket'!M23),"")</f>
        <v/>
      </c>
      <c r="L58" s="90" t="str">
        <f>IFERROR(IF('Open 30M - Bracket'!L23="","",'Open 30M - Bracket'!L23),"")</f>
        <v/>
      </c>
      <c r="M58" s="90" t="str">
        <f>IFERROR(IF('Open 30M - Bracket'!K23="","",'Open 30M - Bracket'!K23),"")</f>
        <v/>
      </c>
      <c r="N58" s="90" t="str">
        <f>IFERROR(IF('Open 30M - Bracket'!J23="","",'Open 30M - Bracket'!J23),"")</f>
        <v/>
      </c>
      <c r="O58" s="90" t="str">
        <f>IFERROR(IF('Open 30M - Bracket'!I23="","",'Open 30M - Bracket'!I23),"")</f>
        <v/>
      </c>
      <c r="P58" s="90" t="str">
        <f>IFERROR(IF('Open 30M - Bracket'!H23="","",'Open 30M - Bracket'!H23),"")</f>
        <v/>
      </c>
      <c r="Q58" s="84" t="s">
        <v>222</v>
      </c>
    </row>
    <row r="59" spans="1:17" ht="21.75" customHeight="1" x14ac:dyDescent="0.35">
      <c r="A59" s="84" t="s">
        <v>223</v>
      </c>
      <c r="B59" s="90" t="str">
        <f>IFERROR(IF('Open 30M - Bracket'!O21="","",'Open 30M - Bracket'!O21),"")</f>
        <v/>
      </c>
      <c r="C59" s="90" t="str">
        <f>IFERROR(IF('Open 30M - Bracket'!P21="","",'Open 30M - Bracket'!P21),"")</f>
        <v/>
      </c>
      <c r="D59" s="90" t="str">
        <f>IFERROR(IF('Open 30M - Bracket'!Q21="","",'Open 30M - Bracket'!Q21),"")</f>
        <v/>
      </c>
      <c r="E59" s="90" t="str">
        <f>IFERROR(IF('Open 30M - Bracket'!R21="","",'Open 30M - Bracket'!R21),"")</f>
        <v/>
      </c>
      <c r="F59" s="90" t="str">
        <f>IFERROR(IF('Open 30M - Bracket'!S21="","",'Open 30M - Bracket'!S21),"")</f>
        <v/>
      </c>
      <c r="G59" s="90" t="str">
        <f>IFERROR(IF('Open 30M - Bracket'!T21="","",'Open 30M - Bracket'!T21),"")</f>
        <v/>
      </c>
      <c r="H59" s="32">
        <f>IFERROR(IF(ISNUMBER('Open 30M - Bracket'!U21),'Open 30M - Bracket'!U21,0),0)</f>
        <v>0</v>
      </c>
      <c r="I59" s="91" t="str">
        <f>IF(AND(ISNUMBER('Open 30M - Bracket'!U21),ISNUMBER('Open 30M - Bracket'!U23)),IF('Open 30M - Bracket'!U21&gt;'Open 30M - Bracket'!U23,"2-0",IF('Open 30M - Bracket'!U21='Open 30M - Bracket'!U23,"1-1","0-2")),"—")</f>
        <v>—</v>
      </c>
      <c r="J59" s="32">
        <f>IFERROR(IF(ISNUMBER('Open 30M - Bracket'!U23),'Open 30M - Bracket'!U23,0),0)</f>
        <v>0</v>
      </c>
      <c r="K59" s="90" t="str">
        <f>IFERROR(IF('Open 30M - Bracket'!T23="","",'Open 30M - Bracket'!T23),"")</f>
        <v/>
      </c>
      <c r="L59" s="90" t="str">
        <f>IFERROR(IF('Open 30M - Bracket'!S23="","",'Open 30M - Bracket'!S23),"")</f>
        <v/>
      </c>
      <c r="M59" s="90" t="str">
        <f>IFERROR(IF('Open 30M - Bracket'!R23="","",'Open 30M - Bracket'!R23),"")</f>
        <v/>
      </c>
      <c r="N59" s="90" t="str">
        <f>IFERROR(IF('Open 30M - Bracket'!Q23="","",'Open 30M - Bracket'!Q23),"")</f>
        <v/>
      </c>
      <c r="O59" s="90" t="str">
        <f>IFERROR(IF('Open 30M - Bracket'!P23="","",'Open 30M - Bracket'!P23),"")</f>
        <v/>
      </c>
      <c r="P59" s="90" t="str">
        <f>IFERROR(IF('Open 30M - Bracket'!O23="","",'Open 30M - Bracket'!O23),"")</f>
        <v/>
      </c>
      <c r="Q59" s="84" t="s">
        <v>223</v>
      </c>
    </row>
    <row r="60" spans="1:17" ht="21.75" customHeight="1" x14ac:dyDescent="0.35">
      <c r="A60" s="84" t="s">
        <v>224</v>
      </c>
      <c r="B60" s="90" t="str">
        <f>IFERROR(IF('Open 30M - Bracket'!V21="","",'Open 30M - Bracket'!V21),"")</f>
        <v/>
      </c>
      <c r="C60" s="90" t="str">
        <f>IFERROR(IF('Open 30M - Bracket'!W21="","",'Open 30M - Bracket'!W21),"")</f>
        <v/>
      </c>
      <c r="D60" s="90" t="str">
        <f>IFERROR(IF('Open 30M - Bracket'!X21="","",'Open 30M - Bracket'!X21),"")</f>
        <v/>
      </c>
      <c r="E60" s="90" t="str">
        <f>IFERROR(IF('Open 30M - Bracket'!Y21="","",'Open 30M - Bracket'!Y21),"")</f>
        <v/>
      </c>
      <c r="F60" s="90" t="str">
        <f>IFERROR(IF('Open 30M - Bracket'!Z21="","",'Open 30M - Bracket'!Z21),"")</f>
        <v/>
      </c>
      <c r="G60" s="90" t="str">
        <f>IFERROR(IF('Open 30M - Bracket'!AA21="","",'Open 30M - Bracket'!AA21),"")</f>
        <v/>
      </c>
      <c r="H60" s="32">
        <f>IFERROR(IF(ISNUMBER('Open 30M - Bracket'!AB21),'Open 30M - Bracket'!AB21,0),0)</f>
        <v>0</v>
      </c>
      <c r="I60" s="91" t="str">
        <f>IF(AND(ISNUMBER('Open 30M - Bracket'!AB21),ISNUMBER('Open 30M - Bracket'!AB23)),IF('Open 30M - Bracket'!AB21&gt;'Open 30M - Bracket'!AB23,"2-0",IF('Open 30M - Bracket'!AB21='Open 30M - Bracket'!AB23,"1-1","0-2")),"—")</f>
        <v>—</v>
      </c>
      <c r="J60" s="32">
        <f>IFERROR(IF(ISNUMBER('Open 30M - Bracket'!AB23),'Open 30M - Bracket'!AB23,0),0)</f>
        <v>0</v>
      </c>
      <c r="K60" s="90" t="str">
        <f>IFERROR(IF('Open 30M - Bracket'!AA23="","",'Open 30M - Bracket'!AA23),"")</f>
        <v/>
      </c>
      <c r="L60" s="90" t="str">
        <f>IFERROR(IF('Open 30M - Bracket'!Z23="","",'Open 30M - Bracket'!Z23),"")</f>
        <v/>
      </c>
      <c r="M60" s="90" t="str">
        <f>IFERROR(IF('Open 30M - Bracket'!Y23="","",'Open 30M - Bracket'!Y23),"")</f>
        <v/>
      </c>
      <c r="N60" s="90" t="str">
        <f>IFERROR(IF('Open 30M - Bracket'!X23="","",'Open 30M - Bracket'!X23),"")</f>
        <v/>
      </c>
      <c r="O60" s="90" t="str">
        <f>IFERROR(IF('Open 30M - Bracket'!W23="","",'Open 30M - Bracket'!W23),"")</f>
        <v/>
      </c>
      <c r="P60" s="90" t="str">
        <f>IFERROR(IF('Open 30M - Bracket'!V23="","",'Open 30M - Bracket'!V23),"")</f>
        <v/>
      </c>
      <c r="Q60" s="84" t="s">
        <v>224</v>
      </c>
    </row>
    <row r="61" spans="1:17" ht="21.75" customHeight="1" x14ac:dyDescent="0.35">
      <c r="A61" s="84" t="s">
        <v>227</v>
      </c>
      <c r="B61" s="90" t="str">
        <f>IFERROR(IF('Open 30M - Bracket'!AC21="","",'Open 30M - Bracket'!AC21),"")</f>
        <v/>
      </c>
      <c r="C61" s="90" t="str">
        <f>IFERROR(IF('Open 30M - Bracket'!AD21="","",'Open 30M - Bracket'!AD21),"")</f>
        <v/>
      </c>
      <c r="D61" s="90" t="str">
        <f>IFERROR(IF('Open 30M - Bracket'!AE21="","",'Open 30M - Bracket'!AE21),"")</f>
        <v/>
      </c>
      <c r="E61" s="90" t="str">
        <f>IFERROR(IF('Open 30M - Bracket'!AF21="","",'Open 30M - Bracket'!AF21),"")</f>
        <v/>
      </c>
      <c r="F61" s="90" t="str">
        <f>IFERROR(IF('Open 30M - Bracket'!AG21="","",'Open 30M - Bracket'!AG21),"")</f>
        <v/>
      </c>
      <c r="G61" s="90" t="str">
        <f>IFERROR(IF('Open 30M - Bracket'!AH21="","",'Open 30M - Bracket'!AH21),"")</f>
        <v/>
      </c>
      <c r="H61" s="32">
        <f>IFERROR(IF(ISNUMBER('Open 30M - Bracket'!AI21),'Open 30M - Bracket'!AI21,0),0)</f>
        <v>0</v>
      </c>
      <c r="I61" s="91" t="str">
        <f>IF(AND(ISNUMBER('Open 30M - Bracket'!AI21),ISNUMBER('Open 30M - Bracket'!AI23)),IF('Open 30M - Bracket'!AI21&gt;'Open 30M - Bracket'!AI23,"2-0",IF('Open 30M - Bracket'!AI21='Open 30M - Bracket'!AI23,"1-1","0-2")),"—")</f>
        <v>—</v>
      </c>
      <c r="J61" s="32">
        <f>IFERROR(IF(ISNUMBER('Open 30M - Bracket'!AI23),'Open 30M - Bracket'!AI23,0),0)</f>
        <v>0</v>
      </c>
      <c r="K61" s="90" t="str">
        <f>IFERROR(IF('Open 30M - Bracket'!AH23="","",'Open 30M - Bracket'!AH23),"")</f>
        <v/>
      </c>
      <c r="L61" s="90" t="str">
        <f>IFERROR(IF('Open 30M - Bracket'!AG23="","",'Open 30M - Bracket'!AG23),"")</f>
        <v/>
      </c>
      <c r="M61" s="90" t="str">
        <f>IFERROR(IF('Open 30M - Bracket'!AF23="","",'Open 30M - Bracket'!AF23),"")</f>
        <v/>
      </c>
      <c r="N61" s="90" t="str">
        <f>IFERROR(IF('Open 30M - Bracket'!AE23="","",'Open 30M - Bracket'!AE23),"")</f>
        <v/>
      </c>
      <c r="O61" s="90" t="str">
        <f>IFERROR(IF('Open 30M - Bracket'!AD23="","",'Open 30M - Bracket'!AD23),"")</f>
        <v/>
      </c>
      <c r="P61" s="90" t="str">
        <f>IFERROR(IF('Open 30M - Bracket'!AC23="","",'Open 30M - Bracket'!AC23),"")</f>
        <v/>
      </c>
      <c r="Q61" s="84" t="s">
        <v>227</v>
      </c>
    </row>
    <row r="62" spans="1:17" ht="21.75" customHeight="1" x14ac:dyDescent="0.35">
      <c r="A62" s="84" t="s">
        <v>228</v>
      </c>
      <c r="B62" s="90" t="str">
        <f>IFERROR(IF('Open 30M - Bracket'!AJ21="","",'Open 30M - Bracket'!AJ21),"")</f>
        <v/>
      </c>
      <c r="C62" s="90" t="str">
        <f>IFERROR(IF('Open 30M - Bracket'!AK21="","",'Open 30M - Bracket'!AK21),"")</f>
        <v/>
      </c>
      <c r="D62" s="90" t="str">
        <f>IFERROR(IF('Open 30M - Bracket'!AL21="","",'Open 30M - Bracket'!AL21),"")</f>
        <v/>
      </c>
      <c r="E62" s="90" t="str">
        <f>IFERROR(IF('Open 30M - Bracket'!AM21="","",'Open 30M - Bracket'!AM21),"")</f>
        <v/>
      </c>
      <c r="F62" s="90" t="str">
        <f>IFERROR(IF('Open 30M - Bracket'!AN21="","",'Open 30M - Bracket'!AN21),"")</f>
        <v/>
      </c>
      <c r="G62" s="90" t="str">
        <f>IFERROR(IF('Open 30M - Bracket'!AO21="","",'Open 30M - Bracket'!AO21),"")</f>
        <v/>
      </c>
      <c r="H62" s="32">
        <f>IFERROR(IF(ISNUMBER('Open 30M - Bracket'!AP21),'Open 30M - Bracket'!AP21,0),0)</f>
        <v>0</v>
      </c>
      <c r="I62" s="91" t="str">
        <f>IF(AND(ISNUMBER('Open 30M - Bracket'!AP21),ISNUMBER('Open 30M - Bracket'!AP23)),IF('Open 30M - Bracket'!AP21&gt;'Open 30M - Bracket'!AP23,"2-0",IF('Open 30M - Bracket'!AP21='Open 30M - Bracket'!AP23,"1-1","0-2")),"—")</f>
        <v>—</v>
      </c>
      <c r="J62" s="32">
        <f>IFERROR(IF(ISNUMBER('Open 30M - Bracket'!AP23),'Open 30M - Bracket'!AP23,0),0)</f>
        <v>0</v>
      </c>
      <c r="K62" s="90" t="str">
        <f>IFERROR(IF('Open 30M - Bracket'!AO23="","",'Open 30M - Bracket'!AO23),"")</f>
        <v/>
      </c>
      <c r="L62" s="90" t="str">
        <f>IFERROR(IF('Open 30M - Bracket'!AN23="","",'Open 30M - Bracket'!AN23),"")</f>
        <v/>
      </c>
      <c r="M62" s="90" t="str">
        <f>IFERROR(IF('Open 30M - Bracket'!AM23="","",'Open 30M - Bracket'!AM23),"")</f>
        <v/>
      </c>
      <c r="N62" s="90" t="str">
        <f>IFERROR(IF('Open 30M - Bracket'!AL23="","",'Open 30M - Bracket'!AL23),"")</f>
        <v/>
      </c>
      <c r="O62" s="90" t="str">
        <f>IFERROR(IF('Open 30M - Bracket'!AK23="","",'Open 30M - Bracket'!AK23),"")</f>
        <v/>
      </c>
      <c r="P62" s="90" t="str">
        <f>IFERROR(IF('Open 30M - Bracket'!AJ23="","",'Open 30M - Bracket'!AJ23),"")</f>
        <v/>
      </c>
      <c r="Q62" s="84" t="s">
        <v>228</v>
      </c>
    </row>
    <row r="63" spans="1:17" ht="21.75" customHeight="1" x14ac:dyDescent="0.35">
      <c r="A63" s="92" t="s">
        <v>237</v>
      </c>
      <c r="B63" s="93" t="str">
        <f>IFERROR(IF('Open 30M - Bracket'!AQ21="","",'Open 30M - Bracket'!AQ21),"")</f>
        <v/>
      </c>
      <c r="C63" s="93" t="str">
        <f>IFERROR(IF('Open 30M - Bracket'!AR21="","",'Open 30M - Bracket'!AR21),"")</f>
        <v/>
      </c>
      <c r="D63" s="93" t="str">
        <f>IFERROR(IF('Open 30M - Bracket'!AS21="","",'Open 30M - Bracket'!AS21),"")</f>
        <v/>
      </c>
      <c r="E63" s="93" t="str">
        <f>IFERROR(IF('Open 30M - Bracket'!AT21="","",'Open 30M - Bracket'!AT21),"")</f>
        <v/>
      </c>
      <c r="F63" s="93" t="str">
        <f>IFERROR(IF('Open 30M - Bracket'!AU21="","",'Open 30M - Bracket'!AU21),"")</f>
        <v/>
      </c>
      <c r="G63" s="93" t="str">
        <f>IFERROR(IF('Open 30M - Bracket'!AV21="","",'Open 30M - Bracket'!AV21),"")</f>
        <v/>
      </c>
      <c r="H63" s="32">
        <f>IFERROR(IF(ISNUMBER('Open 30M - Bracket'!AW21),'Open 30M - Bracket'!AW21,0),0)</f>
        <v>0</v>
      </c>
      <c r="I63" s="91" t="str">
        <f>IF(AND(ISNUMBER('Open 30M - Bracket'!AW21),ISNUMBER('Open 30M - Bracket'!AW23)),IF('Open 30M - Bracket'!AW21&gt;'Open 30M - Bracket'!AW23,"2-0",IF('Open 30M - Bracket'!AW21='Open 30M - Bracket'!AW23,"1-1","0-2")),"—")</f>
        <v>—</v>
      </c>
      <c r="J63" s="32">
        <f>IFERROR(IF(ISNUMBER('Open 30M - Bracket'!AW23),'Open 30M - Bracket'!AW23,0),0)</f>
        <v>0</v>
      </c>
      <c r="K63" s="93" t="str">
        <f>IFERROR(IF('Open 30M - Bracket'!AV23="","",'Open 30M - Bracket'!AV23),"")</f>
        <v/>
      </c>
      <c r="L63" s="93" t="str">
        <f>IFERROR(IF('Open 30M - Bracket'!AU23="","",'Open 30M - Bracket'!AU23),"")</f>
        <v/>
      </c>
      <c r="M63" s="93" t="str">
        <f>IFERROR(IF('Open 30M - Bracket'!AT23="","",'Open 30M - Bracket'!AT23),"")</f>
        <v/>
      </c>
      <c r="N63" s="93" t="str">
        <f>IFERROR(IF('Open 30M - Bracket'!AS23="","",'Open 30M - Bracket'!AS23),"")</f>
        <v/>
      </c>
      <c r="O63" s="93" t="str">
        <f>IFERROR(IF('Open 30M - Bracket'!AR23="","",'Open 30M - Bracket'!AR23),"")</f>
        <v/>
      </c>
      <c r="P63" s="93" t="str">
        <f>IFERROR(IF('Open 30M - Bracket'!AQ23="","",'Open 30M - Bracket'!AQ23),"")</f>
        <v/>
      </c>
      <c r="Q63" s="92" t="s">
        <v>237</v>
      </c>
    </row>
    <row r="64" spans="1:17" ht="4.5" customHeight="1" x14ac:dyDescent="0.35"/>
    <row r="65" spans="1:17" ht="31.5" customHeight="1" x14ac:dyDescent="0.35">
      <c r="A65" s="130">
        <f>IFERROR(IF(ISNUMBER('Open 30M - Bracket'!AX21),'Open 30M - Bracket'!AX21,0),0)</f>
        <v>0</v>
      </c>
      <c r="B65" s="130"/>
      <c r="C65" s="130"/>
      <c r="D65" s="130"/>
      <c r="E65" s="130"/>
      <c r="F65" s="130"/>
      <c r="G65" s="130"/>
      <c r="H65" s="94" t="str">
        <f>IFERROR('Open 30M - Bracket'!BA21,"")</f>
        <v>&gt;&gt; Advance</v>
      </c>
      <c r="I65" s="86"/>
      <c r="J65" s="94" t="str">
        <f>IFERROR('Open 30M - Bracket'!BA23,"")</f>
        <v>&gt;&gt; Advance</v>
      </c>
      <c r="K65" s="130">
        <f>IFERROR(IF(ISNUMBER('Open 30M - Bracket'!AX23),'Open 30M - Bracket'!AX23,0),0)</f>
        <v>0</v>
      </c>
      <c r="L65" s="130"/>
      <c r="M65" s="130"/>
      <c r="N65" s="130"/>
      <c r="O65" s="130"/>
      <c r="P65" s="130"/>
      <c r="Q65" s="130"/>
    </row>
    <row r="66" spans="1:17" ht="21.75" customHeight="1" x14ac:dyDescent="0.35">
      <c r="A66" s="130"/>
      <c r="B66" s="130"/>
      <c r="C66" s="130"/>
      <c r="D66" s="130"/>
      <c r="E66" s="130"/>
      <c r="F66" s="130"/>
      <c r="G66" s="130"/>
      <c r="K66" s="130"/>
      <c r="L66" s="130"/>
      <c r="M66" s="130"/>
      <c r="N66" s="130"/>
      <c r="O66" s="130"/>
      <c r="P66" s="130"/>
      <c r="Q66" s="130"/>
    </row>
    <row r="67" spans="1:17" ht="4.5" customHeight="1" x14ac:dyDescent="0.35"/>
    <row r="68" spans="1:17" ht="12" customHeight="1" x14ac:dyDescent="0.35">
      <c r="A68" s="126"/>
      <c r="B68" s="126"/>
      <c r="C68" s="126"/>
      <c r="D68" s="126"/>
      <c r="E68" s="126"/>
      <c r="F68" s="126"/>
      <c r="G68" s="126"/>
      <c r="H68" s="126"/>
      <c r="I68" s="126"/>
      <c r="J68" s="126"/>
      <c r="K68" s="126"/>
      <c r="L68" s="126"/>
      <c r="M68" s="126"/>
      <c r="N68" s="126"/>
      <c r="O68" s="126"/>
      <c r="P68" s="126"/>
      <c r="Q68" s="126"/>
    </row>
    <row r="69" spans="1:17" ht="7.5" customHeight="1" x14ac:dyDescent="0.35"/>
    <row r="70" spans="1:17" ht="19.5" customHeight="1" x14ac:dyDescent="0.35">
      <c r="A70" s="127" t="s">
        <v>241</v>
      </c>
      <c r="B70" s="127"/>
      <c r="C70" s="127"/>
      <c r="D70" s="127"/>
      <c r="E70" s="127"/>
      <c r="F70" s="127"/>
      <c r="G70" s="127"/>
      <c r="H70" s="127"/>
      <c r="I70" s="127"/>
      <c r="J70" s="127"/>
      <c r="K70" s="127"/>
      <c r="L70" s="127"/>
      <c r="M70" s="127"/>
      <c r="N70" s="127"/>
      <c r="O70" s="127"/>
      <c r="P70" s="127"/>
      <c r="Q70" s="127"/>
    </row>
    <row r="71" spans="1:17" ht="4.5" customHeight="1" x14ac:dyDescent="0.35"/>
    <row r="72" spans="1:17" ht="21.75" customHeight="1" x14ac:dyDescent="0.35">
      <c r="A72" s="84" t="s">
        <v>232</v>
      </c>
      <c r="B72" s="128" t="str">
        <f>IFERROR(IF('Open 30M - Bracket'!B26="","TBD",'Open 30M - Bracket'!B26),"TBD")</f>
        <v>TBD</v>
      </c>
      <c r="C72" s="128"/>
      <c r="D72" s="128"/>
      <c r="E72" s="128"/>
      <c r="F72" s="128"/>
      <c r="G72" s="128"/>
      <c r="H72" s="128"/>
      <c r="I72" s="84" t="s">
        <v>233</v>
      </c>
      <c r="J72" s="128" t="str">
        <f>IFERROR(IF('Open 30M - Bracket'!B28="","TBD",'Open 30M - Bracket'!B28),"TBD")</f>
        <v>TBD</v>
      </c>
      <c r="K72" s="128"/>
      <c r="L72" s="128"/>
      <c r="M72" s="128"/>
      <c r="N72" s="128"/>
      <c r="O72" s="128"/>
      <c r="P72" s="128"/>
      <c r="Q72" s="84" t="s">
        <v>232</v>
      </c>
    </row>
    <row r="73" spans="1:17" ht="13.5" customHeight="1" x14ac:dyDescent="0.35">
      <c r="A73" s="85" t="s">
        <v>234</v>
      </c>
      <c r="B73" s="129" t="str">
        <f>IFERROR('Open 30M - Bracket'!A26,"")</f>
        <v>BYE</v>
      </c>
      <c r="C73" s="129"/>
      <c r="D73" s="129"/>
      <c r="E73" s="129"/>
      <c r="F73" s="129"/>
      <c r="G73" s="129"/>
      <c r="H73" s="129"/>
      <c r="I73" s="86"/>
      <c r="J73" s="129" t="str">
        <f>IFERROR('Open 30M - Bracket'!A28,"")</f>
        <v>BYE</v>
      </c>
      <c r="K73" s="129"/>
      <c r="L73" s="129"/>
      <c r="M73" s="129"/>
      <c r="N73" s="129"/>
      <c r="O73" s="129"/>
      <c r="P73" s="129"/>
      <c r="Q73" s="85" t="s">
        <v>234</v>
      </c>
    </row>
    <row r="74" spans="1:17" ht="19.5" customHeight="1" x14ac:dyDescent="0.35">
      <c r="A74" s="87" t="s">
        <v>235</v>
      </c>
      <c r="B74" s="88" t="s">
        <v>83</v>
      </c>
      <c r="C74" s="88" t="s">
        <v>84</v>
      </c>
      <c r="D74" s="88" t="s">
        <v>85</v>
      </c>
      <c r="E74" s="88" t="s">
        <v>86</v>
      </c>
      <c r="F74" s="88" t="s">
        <v>87</v>
      </c>
      <c r="G74" s="88" t="s">
        <v>88</v>
      </c>
      <c r="H74" s="24" t="s">
        <v>236</v>
      </c>
      <c r="I74" s="89"/>
      <c r="J74" s="24" t="s">
        <v>236</v>
      </c>
      <c r="K74" s="88" t="s">
        <v>88</v>
      </c>
      <c r="L74" s="88" t="s">
        <v>87</v>
      </c>
      <c r="M74" s="88" t="s">
        <v>86</v>
      </c>
      <c r="N74" s="88" t="s">
        <v>85</v>
      </c>
      <c r="O74" s="88" t="s">
        <v>84</v>
      </c>
      <c r="P74" s="88" t="s">
        <v>83</v>
      </c>
      <c r="Q74" s="87" t="s">
        <v>235</v>
      </c>
    </row>
    <row r="75" spans="1:17" ht="21.75" customHeight="1" x14ac:dyDescent="0.35">
      <c r="A75" s="84" t="s">
        <v>222</v>
      </c>
      <c r="B75" s="90" t="str">
        <f>IFERROR(IF('Open 30M - Bracket'!H26="","",'Open 30M - Bracket'!H26),"")</f>
        <v/>
      </c>
      <c r="C75" s="90" t="str">
        <f>IFERROR(IF('Open 30M - Bracket'!I26="","",'Open 30M - Bracket'!I26),"")</f>
        <v/>
      </c>
      <c r="D75" s="90" t="str">
        <f>IFERROR(IF('Open 30M - Bracket'!J26="","",'Open 30M - Bracket'!J26),"")</f>
        <v/>
      </c>
      <c r="E75" s="90" t="str">
        <f>IFERROR(IF('Open 30M - Bracket'!K26="","",'Open 30M - Bracket'!K26),"")</f>
        <v/>
      </c>
      <c r="F75" s="90" t="str">
        <f>IFERROR(IF('Open 30M - Bracket'!L26="","",'Open 30M - Bracket'!L26),"")</f>
        <v/>
      </c>
      <c r="G75" s="90" t="str">
        <f>IFERROR(IF('Open 30M - Bracket'!M26="","",'Open 30M - Bracket'!M26),"")</f>
        <v/>
      </c>
      <c r="H75" s="32">
        <f>IFERROR(IF(ISNUMBER('Open 30M - Bracket'!N26),'Open 30M - Bracket'!N26,0),0)</f>
        <v>0</v>
      </c>
      <c r="I75" s="91" t="str">
        <f>IF(AND(ISNUMBER('Open 30M - Bracket'!N26),ISNUMBER('Open 30M - Bracket'!N28)),IF('Open 30M - Bracket'!N26&gt;'Open 30M - Bracket'!N28,"2-0",IF('Open 30M - Bracket'!N26='Open 30M - Bracket'!N28,"1-1","0-2")),"—")</f>
        <v>—</v>
      </c>
      <c r="J75" s="32">
        <f>IFERROR(IF(ISNUMBER('Open 30M - Bracket'!N28),'Open 30M - Bracket'!N28,0),0)</f>
        <v>0</v>
      </c>
      <c r="K75" s="90" t="str">
        <f>IFERROR(IF('Open 30M - Bracket'!M28="","",'Open 30M - Bracket'!M28),"")</f>
        <v/>
      </c>
      <c r="L75" s="90" t="str">
        <f>IFERROR(IF('Open 30M - Bracket'!L28="","",'Open 30M - Bracket'!L28),"")</f>
        <v/>
      </c>
      <c r="M75" s="90" t="str">
        <f>IFERROR(IF('Open 30M - Bracket'!K28="","",'Open 30M - Bracket'!K28),"")</f>
        <v/>
      </c>
      <c r="N75" s="90" t="str">
        <f>IFERROR(IF('Open 30M - Bracket'!J28="","",'Open 30M - Bracket'!J28),"")</f>
        <v/>
      </c>
      <c r="O75" s="90" t="str">
        <f>IFERROR(IF('Open 30M - Bracket'!I28="","",'Open 30M - Bracket'!I28),"")</f>
        <v/>
      </c>
      <c r="P75" s="90" t="str">
        <f>IFERROR(IF('Open 30M - Bracket'!H28="","",'Open 30M - Bracket'!H28),"")</f>
        <v/>
      </c>
      <c r="Q75" s="84" t="s">
        <v>222</v>
      </c>
    </row>
    <row r="76" spans="1:17" ht="21.75" customHeight="1" x14ac:dyDescent="0.35">
      <c r="A76" s="84" t="s">
        <v>223</v>
      </c>
      <c r="B76" s="90" t="str">
        <f>IFERROR(IF('Open 30M - Bracket'!O26="","",'Open 30M - Bracket'!O26),"")</f>
        <v/>
      </c>
      <c r="C76" s="90" t="str">
        <f>IFERROR(IF('Open 30M - Bracket'!P26="","",'Open 30M - Bracket'!P26),"")</f>
        <v/>
      </c>
      <c r="D76" s="90" t="str">
        <f>IFERROR(IF('Open 30M - Bracket'!Q26="","",'Open 30M - Bracket'!Q26),"")</f>
        <v/>
      </c>
      <c r="E76" s="90" t="str">
        <f>IFERROR(IF('Open 30M - Bracket'!R26="","",'Open 30M - Bracket'!R26),"")</f>
        <v/>
      </c>
      <c r="F76" s="90" t="str">
        <f>IFERROR(IF('Open 30M - Bracket'!S26="","",'Open 30M - Bracket'!S26),"")</f>
        <v/>
      </c>
      <c r="G76" s="90" t="str">
        <f>IFERROR(IF('Open 30M - Bracket'!T26="","",'Open 30M - Bracket'!T26),"")</f>
        <v/>
      </c>
      <c r="H76" s="32">
        <f>IFERROR(IF(ISNUMBER('Open 30M - Bracket'!U26),'Open 30M - Bracket'!U26,0),0)</f>
        <v>0</v>
      </c>
      <c r="I76" s="91" t="str">
        <f>IF(AND(ISNUMBER('Open 30M - Bracket'!U26),ISNUMBER('Open 30M - Bracket'!U28)),IF('Open 30M - Bracket'!U26&gt;'Open 30M - Bracket'!U28,"2-0",IF('Open 30M - Bracket'!U26='Open 30M - Bracket'!U28,"1-1","0-2")),"—")</f>
        <v>—</v>
      </c>
      <c r="J76" s="32">
        <f>IFERROR(IF(ISNUMBER('Open 30M - Bracket'!U28),'Open 30M - Bracket'!U28,0),0)</f>
        <v>0</v>
      </c>
      <c r="K76" s="90" t="str">
        <f>IFERROR(IF('Open 30M - Bracket'!T28="","",'Open 30M - Bracket'!T28),"")</f>
        <v/>
      </c>
      <c r="L76" s="90" t="str">
        <f>IFERROR(IF('Open 30M - Bracket'!S28="","",'Open 30M - Bracket'!S28),"")</f>
        <v/>
      </c>
      <c r="M76" s="90" t="str">
        <f>IFERROR(IF('Open 30M - Bracket'!R28="","",'Open 30M - Bracket'!R28),"")</f>
        <v/>
      </c>
      <c r="N76" s="90" t="str">
        <f>IFERROR(IF('Open 30M - Bracket'!Q28="","",'Open 30M - Bracket'!Q28),"")</f>
        <v/>
      </c>
      <c r="O76" s="90" t="str">
        <f>IFERROR(IF('Open 30M - Bracket'!P28="","",'Open 30M - Bracket'!P28),"")</f>
        <v/>
      </c>
      <c r="P76" s="90" t="str">
        <f>IFERROR(IF('Open 30M - Bracket'!O28="","",'Open 30M - Bracket'!O28),"")</f>
        <v/>
      </c>
      <c r="Q76" s="84" t="s">
        <v>223</v>
      </c>
    </row>
    <row r="77" spans="1:17" ht="21.75" customHeight="1" x14ac:dyDescent="0.35">
      <c r="A77" s="84" t="s">
        <v>224</v>
      </c>
      <c r="B77" s="90" t="str">
        <f>IFERROR(IF('Open 30M - Bracket'!V26="","",'Open 30M - Bracket'!V26),"")</f>
        <v/>
      </c>
      <c r="C77" s="90" t="str">
        <f>IFERROR(IF('Open 30M - Bracket'!W26="","",'Open 30M - Bracket'!W26),"")</f>
        <v/>
      </c>
      <c r="D77" s="90" t="str">
        <f>IFERROR(IF('Open 30M - Bracket'!X26="","",'Open 30M - Bracket'!X26),"")</f>
        <v/>
      </c>
      <c r="E77" s="90" t="str">
        <f>IFERROR(IF('Open 30M - Bracket'!Y26="","",'Open 30M - Bracket'!Y26),"")</f>
        <v/>
      </c>
      <c r="F77" s="90" t="str">
        <f>IFERROR(IF('Open 30M - Bracket'!Z26="","",'Open 30M - Bracket'!Z26),"")</f>
        <v/>
      </c>
      <c r="G77" s="90" t="str">
        <f>IFERROR(IF('Open 30M - Bracket'!AA26="","",'Open 30M - Bracket'!AA26),"")</f>
        <v/>
      </c>
      <c r="H77" s="32">
        <f>IFERROR(IF(ISNUMBER('Open 30M - Bracket'!AB26),'Open 30M - Bracket'!AB26,0),0)</f>
        <v>0</v>
      </c>
      <c r="I77" s="91" t="str">
        <f>IF(AND(ISNUMBER('Open 30M - Bracket'!AB26),ISNUMBER('Open 30M - Bracket'!AB28)),IF('Open 30M - Bracket'!AB26&gt;'Open 30M - Bracket'!AB28,"2-0",IF('Open 30M - Bracket'!AB26='Open 30M - Bracket'!AB28,"1-1","0-2")),"—")</f>
        <v>—</v>
      </c>
      <c r="J77" s="32">
        <f>IFERROR(IF(ISNUMBER('Open 30M - Bracket'!AB28),'Open 30M - Bracket'!AB28,0),0)</f>
        <v>0</v>
      </c>
      <c r="K77" s="90" t="str">
        <f>IFERROR(IF('Open 30M - Bracket'!AA28="","",'Open 30M - Bracket'!AA28),"")</f>
        <v/>
      </c>
      <c r="L77" s="90" t="str">
        <f>IFERROR(IF('Open 30M - Bracket'!Z28="","",'Open 30M - Bracket'!Z28),"")</f>
        <v/>
      </c>
      <c r="M77" s="90" t="str">
        <f>IFERROR(IF('Open 30M - Bracket'!Y28="","",'Open 30M - Bracket'!Y28),"")</f>
        <v/>
      </c>
      <c r="N77" s="90" t="str">
        <f>IFERROR(IF('Open 30M - Bracket'!X28="","",'Open 30M - Bracket'!X28),"")</f>
        <v/>
      </c>
      <c r="O77" s="90" t="str">
        <f>IFERROR(IF('Open 30M - Bracket'!W28="","",'Open 30M - Bracket'!W28),"")</f>
        <v/>
      </c>
      <c r="P77" s="90" t="str">
        <f>IFERROR(IF('Open 30M - Bracket'!V28="","",'Open 30M - Bracket'!V28),"")</f>
        <v/>
      </c>
      <c r="Q77" s="84" t="s">
        <v>224</v>
      </c>
    </row>
    <row r="78" spans="1:17" ht="21.75" customHeight="1" x14ac:dyDescent="0.35">
      <c r="A78" s="84" t="s">
        <v>227</v>
      </c>
      <c r="B78" s="90" t="str">
        <f>IFERROR(IF('Open 30M - Bracket'!AC26="","",'Open 30M - Bracket'!AC26),"")</f>
        <v/>
      </c>
      <c r="C78" s="90" t="str">
        <f>IFERROR(IF('Open 30M - Bracket'!AD26="","",'Open 30M - Bracket'!AD26),"")</f>
        <v/>
      </c>
      <c r="D78" s="90" t="str">
        <f>IFERROR(IF('Open 30M - Bracket'!AE26="","",'Open 30M - Bracket'!AE26),"")</f>
        <v/>
      </c>
      <c r="E78" s="90" t="str">
        <f>IFERROR(IF('Open 30M - Bracket'!AF26="","",'Open 30M - Bracket'!AF26),"")</f>
        <v/>
      </c>
      <c r="F78" s="90" t="str">
        <f>IFERROR(IF('Open 30M - Bracket'!AG26="","",'Open 30M - Bracket'!AG26),"")</f>
        <v/>
      </c>
      <c r="G78" s="90" t="str">
        <f>IFERROR(IF('Open 30M - Bracket'!AH26="","",'Open 30M - Bracket'!AH26),"")</f>
        <v/>
      </c>
      <c r="H78" s="32">
        <f>IFERROR(IF(ISNUMBER('Open 30M - Bracket'!AI26),'Open 30M - Bracket'!AI26,0),0)</f>
        <v>0</v>
      </c>
      <c r="I78" s="91" t="str">
        <f>IF(AND(ISNUMBER('Open 30M - Bracket'!AI26),ISNUMBER('Open 30M - Bracket'!AI28)),IF('Open 30M - Bracket'!AI26&gt;'Open 30M - Bracket'!AI28,"2-0",IF('Open 30M - Bracket'!AI26='Open 30M - Bracket'!AI28,"1-1","0-2")),"—")</f>
        <v>—</v>
      </c>
      <c r="J78" s="32">
        <f>IFERROR(IF(ISNUMBER('Open 30M - Bracket'!AI28),'Open 30M - Bracket'!AI28,0),0)</f>
        <v>0</v>
      </c>
      <c r="K78" s="90" t="str">
        <f>IFERROR(IF('Open 30M - Bracket'!AH28="","",'Open 30M - Bracket'!AH28),"")</f>
        <v/>
      </c>
      <c r="L78" s="90" t="str">
        <f>IFERROR(IF('Open 30M - Bracket'!AG28="","",'Open 30M - Bracket'!AG28),"")</f>
        <v/>
      </c>
      <c r="M78" s="90" t="str">
        <f>IFERROR(IF('Open 30M - Bracket'!AF28="","",'Open 30M - Bracket'!AF28),"")</f>
        <v/>
      </c>
      <c r="N78" s="90" t="str">
        <f>IFERROR(IF('Open 30M - Bracket'!AE28="","",'Open 30M - Bracket'!AE28),"")</f>
        <v/>
      </c>
      <c r="O78" s="90" t="str">
        <f>IFERROR(IF('Open 30M - Bracket'!AD28="","",'Open 30M - Bracket'!AD28),"")</f>
        <v/>
      </c>
      <c r="P78" s="90" t="str">
        <f>IFERROR(IF('Open 30M - Bracket'!AC28="","",'Open 30M - Bracket'!AC28),"")</f>
        <v/>
      </c>
      <c r="Q78" s="84" t="s">
        <v>227</v>
      </c>
    </row>
    <row r="79" spans="1:17" ht="21.75" customHeight="1" x14ac:dyDescent="0.35">
      <c r="A79" s="84" t="s">
        <v>228</v>
      </c>
      <c r="B79" s="90" t="str">
        <f>IFERROR(IF('Open 30M - Bracket'!AJ26="","",'Open 30M - Bracket'!AJ26),"")</f>
        <v/>
      </c>
      <c r="C79" s="90" t="str">
        <f>IFERROR(IF('Open 30M - Bracket'!AK26="","",'Open 30M - Bracket'!AK26),"")</f>
        <v/>
      </c>
      <c r="D79" s="90" t="str">
        <f>IFERROR(IF('Open 30M - Bracket'!AL26="","",'Open 30M - Bracket'!AL26),"")</f>
        <v/>
      </c>
      <c r="E79" s="90" t="str">
        <f>IFERROR(IF('Open 30M - Bracket'!AM26="","",'Open 30M - Bracket'!AM26),"")</f>
        <v/>
      </c>
      <c r="F79" s="90" t="str">
        <f>IFERROR(IF('Open 30M - Bracket'!AN26="","",'Open 30M - Bracket'!AN26),"")</f>
        <v/>
      </c>
      <c r="G79" s="90" t="str">
        <f>IFERROR(IF('Open 30M - Bracket'!AO26="","",'Open 30M - Bracket'!AO26),"")</f>
        <v/>
      </c>
      <c r="H79" s="32">
        <f>IFERROR(IF(ISNUMBER('Open 30M - Bracket'!AP26),'Open 30M - Bracket'!AP26,0),0)</f>
        <v>0</v>
      </c>
      <c r="I79" s="91" t="str">
        <f>IF(AND(ISNUMBER('Open 30M - Bracket'!AP26),ISNUMBER('Open 30M - Bracket'!AP28)),IF('Open 30M - Bracket'!AP26&gt;'Open 30M - Bracket'!AP28,"2-0",IF('Open 30M - Bracket'!AP26='Open 30M - Bracket'!AP28,"1-1","0-2")),"—")</f>
        <v>—</v>
      </c>
      <c r="J79" s="32">
        <f>IFERROR(IF(ISNUMBER('Open 30M - Bracket'!AP28),'Open 30M - Bracket'!AP28,0),0)</f>
        <v>0</v>
      </c>
      <c r="K79" s="90" t="str">
        <f>IFERROR(IF('Open 30M - Bracket'!AO28="","",'Open 30M - Bracket'!AO28),"")</f>
        <v/>
      </c>
      <c r="L79" s="90" t="str">
        <f>IFERROR(IF('Open 30M - Bracket'!AN28="","",'Open 30M - Bracket'!AN28),"")</f>
        <v/>
      </c>
      <c r="M79" s="90" t="str">
        <f>IFERROR(IF('Open 30M - Bracket'!AM28="","",'Open 30M - Bracket'!AM28),"")</f>
        <v/>
      </c>
      <c r="N79" s="90" t="str">
        <f>IFERROR(IF('Open 30M - Bracket'!AL28="","",'Open 30M - Bracket'!AL28),"")</f>
        <v/>
      </c>
      <c r="O79" s="90" t="str">
        <f>IFERROR(IF('Open 30M - Bracket'!AK28="","",'Open 30M - Bracket'!AK28),"")</f>
        <v/>
      </c>
      <c r="P79" s="90" t="str">
        <f>IFERROR(IF('Open 30M - Bracket'!AJ28="","",'Open 30M - Bracket'!AJ28),"")</f>
        <v/>
      </c>
      <c r="Q79" s="84" t="s">
        <v>228</v>
      </c>
    </row>
    <row r="80" spans="1:17" ht="21.75" customHeight="1" x14ac:dyDescent="0.35">
      <c r="A80" s="92" t="s">
        <v>237</v>
      </c>
      <c r="B80" s="93" t="str">
        <f>IFERROR(IF('Open 30M - Bracket'!AQ26="","",'Open 30M - Bracket'!AQ26),"")</f>
        <v/>
      </c>
      <c r="C80" s="93" t="str">
        <f>IFERROR(IF('Open 30M - Bracket'!AR26="","",'Open 30M - Bracket'!AR26),"")</f>
        <v/>
      </c>
      <c r="D80" s="93" t="str">
        <f>IFERROR(IF('Open 30M - Bracket'!AS26="","",'Open 30M - Bracket'!AS26),"")</f>
        <v/>
      </c>
      <c r="E80" s="93" t="str">
        <f>IFERROR(IF('Open 30M - Bracket'!AT26="","",'Open 30M - Bracket'!AT26),"")</f>
        <v/>
      </c>
      <c r="F80" s="93" t="str">
        <f>IFERROR(IF('Open 30M - Bracket'!AU26="","",'Open 30M - Bracket'!AU26),"")</f>
        <v/>
      </c>
      <c r="G80" s="93" t="str">
        <f>IFERROR(IF('Open 30M - Bracket'!AV26="","",'Open 30M - Bracket'!AV26),"")</f>
        <v/>
      </c>
      <c r="H80" s="32">
        <f>IFERROR(IF(ISNUMBER('Open 30M - Bracket'!AW26),'Open 30M - Bracket'!AW26,0),0)</f>
        <v>0</v>
      </c>
      <c r="I80" s="91" t="str">
        <f>IF(AND(ISNUMBER('Open 30M - Bracket'!AW26),ISNUMBER('Open 30M - Bracket'!AW28)),IF('Open 30M - Bracket'!AW26&gt;'Open 30M - Bracket'!AW28,"2-0",IF('Open 30M - Bracket'!AW26='Open 30M - Bracket'!AW28,"1-1","0-2")),"—")</f>
        <v>—</v>
      </c>
      <c r="J80" s="32">
        <f>IFERROR(IF(ISNUMBER('Open 30M - Bracket'!AW28),'Open 30M - Bracket'!AW28,0),0)</f>
        <v>0</v>
      </c>
      <c r="K80" s="93" t="str">
        <f>IFERROR(IF('Open 30M - Bracket'!AV28="","",'Open 30M - Bracket'!AV28),"")</f>
        <v/>
      </c>
      <c r="L80" s="93" t="str">
        <f>IFERROR(IF('Open 30M - Bracket'!AU28="","",'Open 30M - Bracket'!AU28),"")</f>
        <v/>
      </c>
      <c r="M80" s="93" t="str">
        <f>IFERROR(IF('Open 30M - Bracket'!AT28="","",'Open 30M - Bracket'!AT28),"")</f>
        <v/>
      </c>
      <c r="N80" s="93" t="str">
        <f>IFERROR(IF('Open 30M - Bracket'!AS28="","",'Open 30M - Bracket'!AS28),"")</f>
        <v/>
      </c>
      <c r="O80" s="93" t="str">
        <f>IFERROR(IF('Open 30M - Bracket'!AR28="","",'Open 30M - Bracket'!AR28),"")</f>
        <v/>
      </c>
      <c r="P80" s="93" t="str">
        <f>IFERROR(IF('Open 30M - Bracket'!AQ28="","",'Open 30M - Bracket'!AQ28),"")</f>
        <v/>
      </c>
      <c r="Q80" s="92" t="s">
        <v>237</v>
      </c>
    </row>
    <row r="81" spans="1:17" ht="4.5" customHeight="1" x14ac:dyDescent="0.35"/>
    <row r="82" spans="1:17" ht="31.5" customHeight="1" x14ac:dyDescent="0.35">
      <c r="A82" s="130">
        <f>IFERROR(IF(ISNUMBER('Open 30M - Bracket'!AX26),'Open 30M - Bracket'!AX26,0),0)</f>
        <v>0</v>
      </c>
      <c r="B82" s="130"/>
      <c r="C82" s="130"/>
      <c r="D82" s="130"/>
      <c r="E82" s="130"/>
      <c r="F82" s="130"/>
      <c r="G82" s="130"/>
      <c r="H82" s="94" t="str">
        <f>IFERROR('Open 30M - Bracket'!BA26,"")</f>
        <v>&gt;&gt; Advance</v>
      </c>
      <c r="I82" s="86"/>
      <c r="J82" s="94" t="str">
        <f>IFERROR('Open 30M - Bracket'!BA28,"")</f>
        <v>&gt;&gt; Advance</v>
      </c>
      <c r="K82" s="130">
        <f>IFERROR(IF(ISNUMBER('Open 30M - Bracket'!AX28),'Open 30M - Bracket'!AX28,0),0)</f>
        <v>0</v>
      </c>
      <c r="L82" s="130"/>
      <c r="M82" s="130"/>
      <c r="N82" s="130"/>
      <c r="O82" s="130"/>
      <c r="P82" s="130"/>
      <c r="Q82" s="130"/>
    </row>
    <row r="83" spans="1:17" ht="21.75" customHeight="1" x14ac:dyDescent="0.35">
      <c r="A83" s="130"/>
      <c r="B83" s="130"/>
      <c r="C83" s="130"/>
      <c r="D83" s="130"/>
      <c r="E83" s="130"/>
      <c r="F83" s="130"/>
      <c r="G83" s="130"/>
      <c r="K83" s="130"/>
      <c r="L83" s="130"/>
      <c r="M83" s="130"/>
      <c r="N83" s="130"/>
      <c r="O83" s="130"/>
      <c r="P83" s="130"/>
      <c r="Q83" s="130"/>
    </row>
    <row r="84" spans="1:17" ht="4.5" customHeight="1" x14ac:dyDescent="0.35"/>
    <row r="85" spans="1:17" ht="12" customHeight="1" x14ac:dyDescent="0.35">
      <c r="A85" s="126"/>
      <c r="B85" s="126"/>
      <c r="C85" s="126"/>
      <c r="D85" s="126"/>
      <c r="E85" s="126"/>
      <c r="F85" s="126"/>
      <c r="G85" s="126"/>
      <c r="H85" s="126"/>
      <c r="I85" s="126"/>
      <c r="J85" s="126"/>
      <c r="K85" s="126"/>
      <c r="L85" s="126"/>
      <c r="M85" s="126"/>
      <c r="N85" s="126"/>
      <c r="O85" s="126"/>
      <c r="P85" s="126"/>
      <c r="Q85" s="126"/>
    </row>
    <row r="86" spans="1:17" ht="7.5" customHeight="1" x14ac:dyDescent="0.35"/>
    <row r="87" spans="1:17" ht="19.5" customHeight="1" x14ac:dyDescent="0.35">
      <c r="A87" s="127" t="s">
        <v>242</v>
      </c>
      <c r="B87" s="127"/>
      <c r="C87" s="127"/>
      <c r="D87" s="127"/>
      <c r="E87" s="127"/>
      <c r="F87" s="127"/>
      <c r="G87" s="127"/>
      <c r="H87" s="127"/>
      <c r="I87" s="127"/>
      <c r="J87" s="127"/>
      <c r="K87" s="127"/>
      <c r="L87" s="127"/>
      <c r="M87" s="127"/>
      <c r="N87" s="127"/>
      <c r="O87" s="127"/>
      <c r="P87" s="127"/>
      <c r="Q87" s="127"/>
    </row>
    <row r="88" spans="1:17" ht="4.5" customHeight="1" x14ac:dyDescent="0.35"/>
    <row r="89" spans="1:17" ht="21.75" customHeight="1" x14ac:dyDescent="0.35">
      <c r="A89" s="84" t="s">
        <v>232</v>
      </c>
      <c r="B89" s="128" t="str">
        <f>IFERROR(IF('Open 30M - Bracket'!B31="","TBD",'Open 30M - Bracket'!B31),"TBD")</f>
        <v>TBD</v>
      </c>
      <c r="C89" s="128"/>
      <c r="D89" s="128"/>
      <c r="E89" s="128"/>
      <c r="F89" s="128"/>
      <c r="G89" s="128"/>
      <c r="H89" s="128"/>
      <c r="I89" s="84" t="s">
        <v>233</v>
      </c>
      <c r="J89" s="128" t="str">
        <f>IFERROR(IF('Open 30M - Bracket'!B33="","TBD",'Open 30M - Bracket'!B33),"TBD")</f>
        <v>TBD</v>
      </c>
      <c r="K89" s="128"/>
      <c r="L89" s="128"/>
      <c r="M89" s="128"/>
      <c r="N89" s="128"/>
      <c r="O89" s="128"/>
      <c r="P89" s="128"/>
      <c r="Q89" s="84" t="s">
        <v>232</v>
      </c>
    </row>
    <row r="90" spans="1:17" ht="13.5" customHeight="1" x14ac:dyDescent="0.35">
      <c r="A90" s="85" t="s">
        <v>234</v>
      </c>
      <c r="B90" s="129" t="str">
        <f>IFERROR('Open 30M - Bracket'!A31,"")</f>
        <v>BYE</v>
      </c>
      <c r="C90" s="129"/>
      <c r="D90" s="129"/>
      <c r="E90" s="129"/>
      <c r="F90" s="129"/>
      <c r="G90" s="129"/>
      <c r="H90" s="129"/>
      <c r="I90" s="86"/>
      <c r="J90" s="129" t="str">
        <f>IFERROR('Open 30M - Bracket'!A33,"")</f>
        <v>BYE</v>
      </c>
      <c r="K90" s="129"/>
      <c r="L90" s="129"/>
      <c r="M90" s="129"/>
      <c r="N90" s="129"/>
      <c r="O90" s="129"/>
      <c r="P90" s="129"/>
      <c r="Q90" s="85" t="s">
        <v>234</v>
      </c>
    </row>
    <row r="91" spans="1:17" ht="19.5" customHeight="1" x14ac:dyDescent="0.35">
      <c r="A91" s="87" t="s">
        <v>235</v>
      </c>
      <c r="B91" s="88" t="s">
        <v>83</v>
      </c>
      <c r="C91" s="88" t="s">
        <v>84</v>
      </c>
      <c r="D91" s="88" t="s">
        <v>85</v>
      </c>
      <c r="E91" s="88" t="s">
        <v>86</v>
      </c>
      <c r="F91" s="88" t="s">
        <v>87</v>
      </c>
      <c r="G91" s="88" t="s">
        <v>88</v>
      </c>
      <c r="H91" s="24" t="s">
        <v>236</v>
      </c>
      <c r="I91" s="89"/>
      <c r="J91" s="24" t="s">
        <v>236</v>
      </c>
      <c r="K91" s="88" t="s">
        <v>88</v>
      </c>
      <c r="L91" s="88" t="s">
        <v>87</v>
      </c>
      <c r="M91" s="88" t="s">
        <v>86</v>
      </c>
      <c r="N91" s="88" t="s">
        <v>85</v>
      </c>
      <c r="O91" s="88" t="s">
        <v>84</v>
      </c>
      <c r="P91" s="88" t="s">
        <v>83</v>
      </c>
      <c r="Q91" s="87" t="s">
        <v>235</v>
      </c>
    </row>
    <row r="92" spans="1:17" ht="21.75" customHeight="1" x14ac:dyDescent="0.35">
      <c r="A92" s="84" t="s">
        <v>222</v>
      </c>
      <c r="B92" s="90" t="str">
        <f>IFERROR(IF('Open 30M - Bracket'!H31="","",'Open 30M - Bracket'!H31),"")</f>
        <v/>
      </c>
      <c r="C92" s="90" t="str">
        <f>IFERROR(IF('Open 30M - Bracket'!I31="","",'Open 30M - Bracket'!I31),"")</f>
        <v/>
      </c>
      <c r="D92" s="90" t="str">
        <f>IFERROR(IF('Open 30M - Bracket'!J31="","",'Open 30M - Bracket'!J31),"")</f>
        <v/>
      </c>
      <c r="E92" s="90" t="str">
        <f>IFERROR(IF('Open 30M - Bracket'!K31="","",'Open 30M - Bracket'!K31),"")</f>
        <v/>
      </c>
      <c r="F92" s="90" t="str">
        <f>IFERROR(IF('Open 30M - Bracket'!L31="","",'Open 30M - Bracket'!L31),"")</f>
        <v/>
      </c>
      <c r="G92" s="90" t="str">
        <f>IFERROR(IF('Open 30M - Bracket'!M31="","",'Open 30M - Bracket'!M31),"")</f>
        <v/>
      </c>
      <c r="H92" s="32">
        <f>IFERROR(IF(ISNUMBER('Open 30M - Bracket'!N31),'Open 30M - Bracket'!N31,0),0)</f>
        <v>0</v>
      </c>
      <c r="I92" s="91" t="str">
        <f>IF(AND(ISNUMBER('Open 30M - Bracket'!N31),ISNUMBER('Open 30M - Bracket'!N33)),IF('Open 30M - Bracket'!N31&gt;'Open 30M - Bracket'!N33,"2-0",IF('Open 30M - Bracket'!N31='Open 30M - Bracket'!N33,"1-1","0-2")),"—")</f>
        <v>—</v>
      </c>
      <c r="J92" s="32">
        <f>IFERROR(IF(ISNUMBER('Open 30M - Bracket'!N33),'Open 30M - Bracket'!N33,0),0)</f>
        <v>0</v>
      </c>
      <c r="K92" s="90" t="str">
        <f>IFERROR(IF('Open 30M - Bracket'!M33="","",'Open 30M - Bracket'!M33),"")</f>
        <v/>
      </c>
      <c r="L92" s="90" t="str">
        <f>IFERROR(IF('Open 30M - Bracket'!L33="","",'Open 30M - Bracket'!L33),"")</f>
        <v/>
      </c>
      <c r="M92" s="90" t="str">
        <f>IFERROR(IF('Open 30M - Bracket'!K33="","",'Open 30M - Bracket'!K33),"")</f>
        <v/>
      </c>
      <c r="N92" s="90" t="str">
        <f>IFERROR(IF('Open 30M - Bracket'!J33="","",'Open 30M - Bracket'!J33),"")</f>
        <v/>
      </c>
      <c r="O92" s="90" t="str">
        <f>IFERROR(IF('Open 30M - Bracket'!I33="","",'Open 30M - Bracket'!I33),"")</f>
        <v/>
      </c>
      <c r="P92" s="90" t="str">
        <f>IFERROR(IF('Open 30M - Bracket'!H33="","",'Open 30M - Bracket'!H33),"")</f>
        <v/>
      </c>
      <c r="Q92" s="84" t="s">
        <v>222</v>
      </c>
    </row>
    <row r="93" spans="1:17" ht="21.75" customHeight="1" x14ac:dyDescent="0.35">
      <c r="A93" s="84" t="s">
        <v>223</v>
      </c>
      <c r="B93" s="90" t="str">
        <f>IFERROR(IF('Open 30M - Bracket'!O31="","",'Open 30M - Bracket'!O31),"")</f>
        <v/>
      </c>
      <c r="C93" s="90" t="str">
        <f>IFERROR(IF('Open 30M - Bracket'!P31="","",'Open 30M - Bracket'!P31),"")</f>
        <v/>
      </c>
      <c r="D93" s="90" t="str">
        <f>IFERROR(IF('Open 30M - Bracket'!Q31="","",'Open 30M - Bracket'!Q31),"")</f>
        <v/>
      </c>
      <c r="E93" s="90" t="str">
        <f>IFERROR(IF('Open 30M - Bracket'!R31="","",'Open 30M - Bracket'!R31),"")</f>
        <v/>
      </c>
      <c r="F93" s="90" t="str">
        <f>IFERROR(IF('Open 30M - Bracket'!S31="","",'Open 30M - Bracket'!S31),"")</f>
        <v/>
      </c>
      <c r="G93" s="90" t="str">
        <f>IFERROR(IF('Open 30M - Bracket'!T31="","",'Open 30M - Bracket'!T31),"")</f>
        <v/>
      </c>
      <c r="H93" s="32">
        <f>IFERROR(IF(ISNUMBER('Open 30M - Bracket'!U31),'Open 30M - Bracket'!U31,0),0)</f>
        <v>0</v>
      </c>
      <c r="I93" s="91" t="str">
        <f>IF(AND(ISNUMBER('Open 30M - Bracket'!U31),ISNUMBER('Open 30M - Bracket'!U33)),IF('Open 30M - Bracket'!U31&gt;'Open 30M - Bracket'!U33,"2-0",IF('Open 30M - Bracket'!U31='Open 30M - Bracket'!U33,"1-1","0-2")),"—")</f>
        <v>—</v>
      </c>
      <c r="J93" s="32">
        <f>IFERROR(IF(ISNUMBER('Open 30M - Bracket'!U33),'Open 30M - Bracket'!U33,0),0)</f>
        <v>0</v>
      </c>
      <c r="K93" s="90" t="str">
        <f>IFERROR(IF('Open 30M - Bracket'!T33="","",'Open 30M - Bracket'!T33),"")</f>
        <v/>
      </c>
      <c r="L93" s="90" t="str">
        <f>IFERROR(IF('Open 30M - Bracket'!S33="","",'Open 30M - Bracket'!S33),"")</f>
        <v/>
      </c>
      <c r="M93" s="90" t="str">
        <f>IFERROR(IF('Open 30M - Bracket'!R33="","",'Open 30M - Bracket'!R33),"")</f>
        <v/>
      </c>
      <c r="N93" s="90" t="str">
        <f>IFERROR(IF('Open 30M - Bracket'!Q33="","",'Open 30M - Bracket'!Q33),"")</f>
        <v/>
      </c>
      <c r="O93" s="90" t="str">
        <f>IFERROR(IF('Open 30M - Bracket'!P33="","",'Open 30M - Bracket'!P33),"")</f>
        <v/>
      </c>
      <c r="P93" s="90" t="str">
        <f>IFERROR(IF('Open 30M - Bracket'!O33="","",'Open 30M - Bracket'!O33),"")</f>
        <v/>
      </c>
      <c r="Q93" s="84" t="s">
        <v>223</v>
      </c>
    </row>
    <row r="94" spans="1:17" ht="21.75" customHeight="1" x14ac:dyDescent="0.35">
      <c r="A94" s="84" t="s">
        <v>224</v>
      </c>
      <c r="B94" s="90" t="str">
        <f>IFERROR(IF('Open 30M - Bracket'!V31="","",'Open 30M - Bracket'!V31),"")</f>
        <v/>
      </c>
      <c r="C94" s="90" t="str">
        <f>IFERROR(IF('Open 30M - Bracket'!W31="","",'Open 30M - Bracket'!W31),"")</f>
        <v/>
      </c>
      <c r="D94" s="90" t="str">
        <f>IFERROR(IF('Open 30M - Bracket'!X31="","",'Open 30M - Bracket'!X31),"")</f>
        <v/>
      </c>
      <c r="E94" s="90" t="str">
        <f>IFERROR(IF('Open 30M - Bracket'!Y31="","",'Open 30M - Bracket'!Y31),"")</f>
        <v/>
      </c>
      <c r="F94" s="90" t="str">
        <f>IFERROR(IF('Open 30M - Bracket'!Z31="","",'Open 30M - Bracket'!Z31),"")</f>
        <v/>
      </c>
      <c r="G94" s="90" t="str">
        <f>IFERROR(IF('Open 30M - Bracket'!AA31="","",'Open 30M - Bracket'!AA31),"")</f>
        <v/>
      </c>
      <c r="H94" s="32">
        <f>IFERROR(IF(ISNUMBER('Open 30M - Bracket'!AB31),'Open 30M - Bracket'!AB31,0),0)</f>
        <v>0</v>
      </c>
      <c r="I94" s="91" t="str">
        <f>IF(AND(ISNUMBER('Open 30M - Bracket'!AB31),ISNUMBER('Open 30M - Bracket'!AB33)),IF('Open 30M - Bracket'!AB31&gt;'Open 30M - Bracket'!AB33,"2-0",IF('Open 30M - Bracket'!AB31='Open 30M - Bracket'!AB33,"1-1","0-2")),"—")</f>
        <v>—</v>
      </c>
      <c r="J94" s="32">
        <f>IFERROR(IF(ISNUMBER('Open 30M - Bracket'!AB33),'Open 30M - Bracket'!AB33,0),0)</f>
        <v>0</v>
      </c>
      <c r="K94" s="90" t="str">
        <f>IFERROR(IF('Open 30M - Bracket'!AA33="","",'Open 30M - Bracket'!AA33),"")</f>
        <v/>
      </c>
      <c r="L94" s="90" t="str">
        <f>IFERROR(IF('Open 30M - Bracket'!Z33="","",'Open 30M - Bracket'!Z33),"")</f>
        <v/>
      </c>
      <c r="M94" s="90" t="str">
        <f>IFERROR(IF('Open 30M - Bracket'!Y33="","",'Open 30M - Bracket'!Y33),"")</f>
        <v/>
      </c>
      <c r="N94" s="90" t="str">
        <f>IFERROR(IF('Open 30M - Bracket'!X33="","",'Open 30M - Bracket'!X33),"")</f>
        <v/>
      </c>
      <c r="O94" s="90" t="str">
        <f>IFERROR(IF('Open 30M - Bracket'!W33="","",'Open 30M - Bracket'!W33),"")</f>
        <v/>
      </c>
      <c r="P94" s="90" t="str">
        <f>IFERROR(IF('Open 30M - Bracket'!V33="","",'Open 30M - Bracket'!V33),"")</f>
        <v/>
      </c>
      <c r="Q94" s="84" t="s">
        <v>224</v>
      </c>
    </row>
    <row r="95" spans="1:17" ht="21.75" customHeight="1" x14ac:dyDescent="0.35">
      <c r="A95" s="84" t="s">
        <v>227</v>
      </c>
      <c r="B95" s="90" t="str">
        <f>IFERROR(IF('Open 30M - Bracket'!AC31="","",'Open 30M - Bracket'!AC31),"")</f>
        <v/>
      </c>
      <c r="C95" s="90" t="str">
        <f>IFERROR(IF('Open 30M - Bracket'!AD31="","",'Open 30M - Bracket'!AD31),"")</f>
        <v/>
      </c>
      <c r="D95" s="90" t="str">
        <f>IFERROR(IF('Open 30M - Bracket'!AE31="","",'Open 30M - Bracket'!AE31),"")</f>
        <v/>
      </c>
      <c r="E95" s="90" t="str">
        <f>IFERROR(IF('Open 30M - Bracket'!AF31="","",'Open 30M - Bracket'!AF31),"")</f>
        <v/>
      </c>
      <c r="F95" s="90" t="str">
        <f>IFERROR(IF('Open 30M - Bracket'!AG31="","",'Open 30M - Bracket'!AG31),"")</f>
        <v/>
      </c>
      <c r="G95" s="90" t="str">
        <f>IFERROR(IF('Open 30M - Bracket'!AH31="","",'Open 30M - Bracket'!AH31),"")</f>
        <v/>
      </c>
      <c r="H95" s="32">
        <f>IFERROR(IF(ISNUMBER('Open 30M - Bracket'!AI31),'Open 30M - Bracket'!AI31,0),0)</f>
        <v>0</v>
      </c>
      <c r="I95" s="91" t="str">
        <f>IF(AND(ISNUMBER('Open 30M - Bracket'!AI31),ISNUMBER('Open 30M - Bracket'!AI33)),IF('Open 30M - Bracket'!AI31&gt;'Open 30M - Bracket'!AI33,"2-0",IF('Open 30M - Bracket'!AI31='Open 30M - Bracket'!AI33,"1-1","0-2")),"—")</f>
        <v>—</v>
      </c>
      <c r="J95" s="32">
        <f>IFERROR(IF(ISNUMBER('Open 30M - Bracket'!AI33),'Open 30M - Bracket'!AI33,0),0)</f>
        <v>0</v>
      </c>
      <c r="K95" s="90" t="str">
        <f>IFERROR(IF('Open 30M - Bracket'!AH33="","",'Open 30M - Bracket'!AH33),"")</f>
        <v/>
      </c>
      <c r="L95" s="90" t="str">
        <f>IFERROR(IF('Open 30M - Bracket'!AG33="","",'Open 30M - Bracket'!AG33),"")</f>
        <v/>
      </c>
      <c r="M95" s="90" t="str">
        <f>IFERROR(IF('Open 30M - Bracket'!AF33="","",'Open 30M - Bracket'!AF33),"")</f>
        <v/>
      </c>
      <c r="N95" s="90" t="str">
        <f>IFERROR(IF('Open 30M - Bracket'!AE33="","",'Open 30M - Bracket'!AE33),"")</f>
        <v/>
      </c>
      <c r="O95" s="90" t="str">
        <f>IFERROR(IF('Open 30M - Bracket'!AD33="","",'Open 30M - Bracket'!AD33),"")</f>
        <v/>
      </c>
      <c r="P95" s="90" t="str">
        <f>IFERROR(IF('Open 30M - Bracket'!AC33="","",'Open 30M - Bracket'!AC33),"")</f>
        <v/>
      </c>
      <c r="Q95" s="84" t="s">
        <v>227</v>
      </c>
    </row>
    <row r="96" spans="1:17" ht="21.75" customHeight="1" x14ac:dyDescent="0.35">
      <c r="A96" s="84" t="s">
        <v>228</v>
      </c>
      <c r="B96" s="90" t="str">
        <f>IFERROR(IF('Open 30M - Bracket'!AJ31="","",'Open 30M - Bracket'!AJ31),"")</f>
        <v/>
      </c>
      <c r="C96" s="90" t="str">
        <f>IFERROR(IF('Open 30M - Bracket'!AK31="","",'Open 30M - Bracket'!AK31),"")</f>
        <v/>
      </c>
      <c r="D96" s="90" t="str">
        <f>IFERROR(IF('Open 30M - Bracket'!AL31="","",'Open 30M - Bracket'!AL31),"")</f>
        <v/>
      </c>
      <c r="E96" s="90" t="str">
        <f>IFERROR(IF('Open 30M - Bracket'!AM31="","",'Open 30M - Bracket'!AM31),"")</f>
        <v/>
      </c>
      <c r="F96" s="90" t="str">
        <f>IFERROR(IF('Open 30M - Bracket'!AN31="","",'Open 30M - Bracket'!AN31),"")</f>
        <v/>
      </c>
      <c r="G96" s="90" t="str">
        <f>IFERROR(IF('Open 30M - Bracket'!AO31="","",'Open 30M - Bracket'!AO31),"")</f>
        <v/>
      </c>
      <c r="H96" s="32">
        <f>IFERROR(IF(ISNUMBER('Open 30M - Bracket'!AP31),'Open 30M - Bracket'!AP31,0),0)</f>
        <v>0</v>
      </c>
      <c r="I96" s="91" t="str">
        <f>IF(AND(ISNUMBER('Open 30M - Bracket'!AP31),ISNUMBER('Open 30M - Bracket'!AP33)),IF('Open 30M - Bracket'!AP31&gt;'Open 30M - Bracket'!AP33,"2-0",IF('Open 30M - Bracket'!AP31='Open 30M - Bracket'!AP33,"1-1","0-2")),"—")</f>
        <v>—</v>
      </c>
      <c r="J96" s="32">
        <f>IFERROR(IF(ISNUMBER('Open 30M - Bracket'!AP33),'Open 30M - Bracket'!AP33,0),0)</f>
        <v>0</v>
      </c>
      <c r="K96" s="90" t="str">
        <f>IFERROR(IF('Open 30M - Bracket'!AO33="","",'Open 30M - Bracket'!AO33),"")</f>
        <v/>
      </c>
      <c r="L96" s="90" t="str">
        <f>IFERROR(IF('Open 30M - Bracket'!AN33="","",'Open 30M - Bracket'!AN33),"")</f>
        <v/>
      </c>
      <c r="M96" s="90" t="str">
        <f>IFERROR(IF('Open 30M - Bracket'!AM33="","",'Open 30M - Bracket'!AM33),"")</f>
        <v/>
      </c>
      <c r="N96" s="90" t="str">
        <f>IFERROR(IF('Open 30M - Bracket'!AL33="","",'Open 30M - Bracket'!AL33),"")</f>
        <v/>
      </c>
      <c r="O96" s="90" t="str">
        <f>IFERROR(IF('Open 30M - Bracket'!AK33="","",'Open 30M - Bracket'!AK33),"")</f>
        <v/>
      </c>
      <c r="P96" s="90" t="str">
        <f>IFERROR(IF('Open 30M - Bracket'!AJ33="","",'Open 30M - Bracket'!AJ33),"")</f>
        <v/>
      </c>
      <c r="Q96" s="84" t="s">
        <v>228</v>
      </c>
    </row>
    <row r="97" spans="1:17" ht="21.75" customHeight="1" x14ac:dyDescent="0.35">
      <c r="A97" s="92" t="s">
        <v>237</v>
      </c>
      <c r="B97" s="93" t="str">
        <f>IFERROR(IF('Open 30M - Bracket'!AQ31="","",'Open 30M - Bracket'!AQ31),"")</f>
        <v/>
      </c>
      <c r="C97" s="93" t="str">
        <f>IFERROR(IF('Open 30M - Bracket'!AR31="","",'Open 30M - Bracket'!AR31),"")</f>
        <v/>
      </c>
      <c r="D97" s="93" t="str">
        <f>IFERROR(IF('Open 30M - Bracket'!AS31="","",'Open 30M - Bracket'!AS31),"")</f>
        <v/>
      </c>
      <c r="E97" s="93" t="str">
        <f>IFERROR(IF('Open 30M - Bracket'!AT31="","",'Open 30M - Bracket'!AT31),"")</f>
        <v/>
      </c>
      <c r="F97" s="93" t="str">
        <f>IFERROR(IF('Open 30M - Bracket'!AU31="","",'Open 30M - Bracket'!AU31),"")</f>
        <v/>
      </c>
      <c r="G97" s="93" t="str">
        <f>IFERROR(IF('Open 30M - Bracket'!AV31="","",'Open 30M - Bracket'!AV31),"")</f>
        <v/>
      </c>
      <c r="H97" s="32">
        <f>IFERROR(IF(ISNUMBER('Open 30M - Bracket'!AW31),'Open 30M - Bracket'!AW31,0),0)</f>
        <v>0</v>
      </c>
      <c r="I97" s="91" t="str">
        <f>IF(AND(ISNUMBER('Open 30M - Bracket'!AW31),ISNUMBER('Open 30M - Bracket'!AW33)),IF('Open 30M - Bracket'!AW31&gt;'Open 30M - Bracket'!AW33,"2-0",IF('Open 30M - Bracket'!AW31='Open 30M - Bracket'!AW33,"1-1","0-2")),"—")</f>
        <v>—</v>
      </c>
      <c r="J97" s="32">
        <f>IFERROR(IF(ISNUMBER('Open 30M - Bracket'!AW33),'Open 30M - Bracket'!AW33,0),0)</f>
        <v>0</v>
      </c>
      <c r="K97" s="93" t="str">
        <f>IFERROR(IF('Open 30M - Bracket'!AV33="","",'Open 30M - Bracket'!AV33),"")</f>
        <v/>
      </c>
      <c r="L97" s="93" t="str">
        <f>IFERROR(IF('Open 30M - Bracket'!AU33="","",'Open 30M - Bracket'!AU33),"")</f>
        <v/>
      </c>
      <c r="M97" s="93" t="str">
        <f>IFERROR(IF('Open 30M - Bracket'!AT33="","",'Open 30M - Bracket'!AT33),"")</f>
        <v/>
      </c>
      <c r="N97" s="93" t="str">
        <f>IFERROR(IF('Open 30M - Bracket'!AS33="","",'Open 30M - Bracket'!AS33),"")</f>
        <v/>
      </c>
      <c r="O97" s="93" t="str">
        <f>IFERROR(IF('Open 30M - Bracket'!AR33="","",'Open 30M - Bracket'!AR33),"")</f>
        <v/>
      </c>
      <c r="P97" s="93" t="str">
        <f>IFERROR(IF('Open 30M - Bracket'!AQ33="","",'Open 30M - Bracket'!AQ33),"")</f>
        <v/>
      </c>
      <c r="Q97" s="92" t="s">
        <v>237</v>
      </c>
    </row>
    <row r="98" spans="1:17" ht="4.5" customHeight="1" x14ac:dyDescent="0.35"/>
    <row r="99" spans="1:17" ht="31.5" customHeight="1" x14ac:dyDescent="0.35">
      <c r="A99" s="130">
        <f>IFERROR(IF(ISNUMBER('Open 30M - Bracket'!AX31),'Open 30M - Bracket'!AX31,0),0)</f>
        <v>0</v>
      </c>
      <c r="B99" s="130"/>
      <c r="C99" s="130"/>
      <c r="D99" s="130"/>
      <c r="E99" s="130"/>
      <c r="F99" s="130"/>
      <c r="G99" s="130"/>
      <c r="H99" s="94" t="str">
        <f>IFERROR('Open 30M - Bracket'!BA31,"")</f>
        <v>&gt;&gt; Advance</v>
      </c>
      <c r="I99" s="86"/>
      <c r="J99" s="94" t="str">
        <f>IFERROR('Open 30M - Bracket'!BA33,"")</f>
        <v>&gt;&gt; Advance</v>
      </c>
      <c r="K99" s="130">
        <f>IFERROR(IF(ISNUMBER('Open 30M - Bracket'!AX33),'Open 30M - Bracket'!AX33,0),0)</f>
        <v>0</v>
      </c>
      <c r="L99" s="130"/>
      <c r="M99" s="130"/>
      <c r="N99" s="130"/>
      <c r="O99" s="130"/>
      <c r="P99" s="130"/>
      <c r="Q99" s="130"/>
    </row>
    <row r="100" spans="1:17" ht="21.75" customHeight="1" x14ac:dyDescent="0.35">
      <c r="A100" s="130"/>
      <c r="B100" s="130"/>
      <c r="C100" s="130"/>
      <c r="D100" s="130"/>
      <c r="E100" s="130"/>
      <c r="F100" s="130"/>
      <c r="G100" s="130"/>
      <c r="K100" s="130"/>
      <c r="L100" s="130"/>
      <c r="M100" s="130"/>
      <c r="N100" s="130"/>
      <c r="O100" s="130"/>
      <c r="P100" s="130"/>
      <c r="Q100" s="130"/>
    </row>
    <row r="101" spans="1:17" ht="4.5" customHeight="1" x14ac:dyDescent="0.35"/>
    <row r="102" spans="1:17" ht="12" customHeight="1" x14ac:dyDescent="0.35">
      <c r="A102" s="126"/>
      <c r="B102" s="126"/>
      <c r="C102" s="126"/>
      <c r="D102" s="126"/>
      <c r="E102" s="126"/>
      <c r="F102" s="126"/>
      <c r="G102" s="126"/>
      <c r="H102" s="126"/>
      <c r="I102" s="126"/>
      <c r="J102" s="126"/>
      <c r="K102" s="126"/>
      <c r="L102" s="126"/>
      <c r="M102" s="126"/>
      <c r="N102" s="126"/>
      <c r="O102" s="126"/>
      <c r="P102" s="126"/>
      <c r="Q102" s="126"/>
    </row>
    <row r="103" spans="1:17" ht="7.5" customHeight="1" x14ac:dyDescent="0.35"/>
    <row r="104" spans="1:17" ht="19.5" customHeight="1" x14ac:dyDescent="0.35">
      <c r="A104" s="127" t="s">
        <v>243</v>
      </c>
      <c r="B104" s="127"/>
      <c r="C104" s="127"/>
      <c r="D104" s="127"/>
      <c r="E104" s="127"/>
      <c r="F104" s="127"/>
      <c r="G104" s="127"/>
      <c r="H104" s="127"/>
      <c r="I104" s="127"/>
      <c r="J104" s="127"/>
      <c r="K104" s="127"/>
      <c r="L104" s="127"/>
      <c r="M104" s="127"/>
      <c r="N104" s="127"/>
      <c r="O104" s="127"/>
      <c r="P104" s="127"/>
      <c r="Q104" s="127"/>
    </row>
    <row r="105" spans="1:17" ht="4.5" customHeight="1" x14ac:dyDescent="0.35"/>
    <row r="106" spans="1:17" ht="21.75" customHeight="1" x14ac:dyDescent="0.35">
      <c r="A106" s="84" t="s">
        <v>232</v>
      </c>
      <c r="B106" s="128" t="str">
        <f>IFERROR(IF('Open 30M - Bracket'!B36="","TBD",'Open 30M - Bracket'!B36),"TBD")</f>
        <v>TBD</v>
      </c>
      <c r="C106" s="128"/>
      <c r="D106" s="128"/>
      <c r="E106" s="128"/>
      <c r="F106" s="128"/>
      <c r="G106" s="128"/>
      <c r="H106" s="128"/>
      <c r="I106" s="84" t="s">
        <v>233</v>
      </c>
      <c r="J106" s="128" t="str">
        <f>IFERROR(IF('Open 30M - Bracket'!B38="","TBD",'Open 30M - Bracket'!B38),"TBD")</f>
        <v>TBD</v>
      </c>
      <c r="K106" s="128"/>
      <c r="L106" s="128"/>
      <c r="M106" s="128"/>
      <c r="N106" s="128"/>
      <c r="O106" s="128"/>
      <c r="P106" s="128"/>
      <c r="Q106" s="84" t="s">
        <v>232</v>
      </c>
    </row>
    <row r="107" spans="1:17" ht="13.5" customHeight="1" x14ac:dyDescent="0.35">
      <c r="A107" s="85" t="s">
        <v>234</v>
      </c>
      <c r="B107" s="129" t="str">
        <f>IFERROR('Open 30M - Bracket'!A36,"")</f>
        <v>BYE</v>
      </c>
      <c r="C107" s="129"/>
      <c r="D107" s="129"/>
      <c r="E107" s="129"/>
      <c r="F107" s="129"/>
      <c r="G107" s="129"/>
      <c r="H107" s="129"/>
      <c r="I107" s="86"/>
      <c r="J107" s="129" t="str">
        <f>IFERROR('Open 30M - Bracket'!A38,"")</f>
        <v>BYE</v>
      </c>
      <c r="K107" s="129"/>
      <c r="L107" s="129"/>
      <c r="M107" s="129"/>
      <c r="N107" s="129"/>
      <c r="O107" s="129"/>
      <c r="P107" s="129"/>
      <c r="Q107" s="85" t="s">
        <v>234</v>
      </c>
    </row>
    <row r="108" spans="1:17" ht="19.5" customHeight="1" x14ac:dyDescent="0.35">
      <c r="A108" s="87" t="s">
        <v>235</v>
      </c>
      <c r="B108" s="88" t="s">
        <v>83</v>
      </c>
      <c r="C108" s="88" t="s">
        <v>84</v>
      </c>
      <c r="D108" s="88" t="s">
        <v>85</v>
      </c>
      <c r="E108" s="88" t="s">
        <v>86</v>
      </c>
      <c r="F108" s="88" t="s">
        <v>87</v>
      </c>
      <c r="G108" s="88" t="s">
        <v>88</v>
      </c>
      <c r="H108" s="24" t="s">
        <v>236</v>
      </c>
      <c r="I108" s="89"/>
      <c r="J108" s="24" t="s">
        <v>236</v>
      </c>
      <c r="K108" s="88" t="s">
        <v>88</v>
      </c>
      <c r="L108" s="88" t="s">
        <v>87</v>
      </c>
      <c r="M108" s="88" t="s">
        <v>86</v>
      </c>
      <c r="N108" s="88" t="s">
        <v>85</v>
      </c>
      <c r="O108" s="88" t="s">
        <v>84</v>
      </c>
      <c r="P108" s="88" t="s">
        <v>83</v>
      </c>
      <c r="Q108" s="87" t="s">
        <v>235</v>
      </c>
    </row>
    <row r="109" spans="1:17" ht="21.75" customHeight="1" x14ac:dyDescent="0.35">
      <c r="A109" s="84" t="s">
        <v>222</v>
      </c>
      <c r="B109" s="90" t="str">
        <f>IFERROR(IF('Open 30M - Bracket'!H36="","",'Open 30M - Bracket'!H36),"")</f>
        <v/>
      </c>
      <c r="C109" s="90" t="str">
        <f>IFERROR(IF('Open 30M - Bracket'!I36="","",'Open 30M - Bracket'!I36),"")</f>
        <v/>
      </c>
      <c r="D109" s="90" t="str">
        <f>IFERROR(IF('Open 30M - Bracket'!J36="","",'Open 30M - Bracket'!J36),"")</f>
        <v/>
      </c>
      <c r="E109" s="90" t="str">
        <f>IFERROR(IF('Open 30M - Bracket'!K36="","",'Open 30M - Bracket'!K36),"")</f>
        <v/>
      </c>
      <c r="F109" s="90" t="str">
        <f>IFERROR(IF('Open 30M - Bracket'!L36="","",'Open 30M - Bracket'!L36),"")</f>
        <v/>
      </c>
      <c r="G109" s="90" t="str">
        <f>IFERROR(IF('Open 30M - Bracket'!M36="","",'Open 30M - Bracket'!M36),"")</f>
        <v/>
      </c>
      <c r="H109" s="32">
        <f>IFERROR(IF(ISNUMBER('Open 30M - Bracket'!N36),'Open 30M - Bracket'!N36,0),0)</f>
        <v>0</v>
      </c>
      <c r="I109" s="91" t="str">
        <f>IF(AND(ISNUMBER('Open 30M - Bracket'!N36),ISNUMBER('Open 30M - Bracket'!N38)),IF('Open 30M - Bracket'!N36&gt;'Open 30M - Bracket'!N38,"2-0",IF('Open 30M - Bracket'!N36='Open 30M - Bracket'!N38,"1-1","0-2")),"—")</f>
        <v>—</v>
      </c>
      <c r="J109" s="32">
        <f>IFERROR(IF(ISNUMBER('Open 30M - Bracket'!N38),'Open 30M - Bracket'!N38,0),0)</f>
        <v>0</v>
      </c>
      <c r="K109" s="90" t="str">
        <f>IFERROR(IF('Open 30M - Bracket'!M38="","",'Open 30M - Bracket'!M38),"")</f>
        <v/>
      </c>
      <c r="L109" s="90" t="str">
        <f>IFERROR(IF('Open 30M - Bracket'!L38="","",'Open 30M - Bracket'!L38),"")</f>
        <v/>
      </c>
      <c r="M109" s="90" t="str">
        <f>IFERROR(IF('Open 30M - Bracket'!K38="","",'Open 30M - Bracket'!K38),"")</f>
        <v/>
      </c>
      <c r="N109" s="90" t="str">
        <f>IFERROR(IF('Open 30M - Bracket'!J38="","",'Open 30M - Bracket'!J38),"")</f>
        <v/>
      </c>
      <c r="O109" s="90" t="str">
        <f>IFERROR(IF('Open 30M - Bracket'!I38="","",'Open 30M - Bracket'!I38),"")</f>
        <v/>
      </c>
      <c r="P109" s="90" t="str">
        <f>IFERROR(IF('Open 30M - Bracket'!H38="","",'Open 30M - Bracket'!H38),"")</f>
        <v/>
      </c>
      <c r="Q109" s="84" t="s">
        <v>222</v>
      </c>
    </row>
    <row r="110" spans="1:17" ht="21.75" customHeight="1" x14ac:dyDescent="0.35">
      <c r="A110" s="84" t="s">
        <v>223</v>
      </c>
      <c r="B110" s="90" t="str">
        <f>IFERROR(IF('Open 30M - Bracket'!O36="","",'Open 30M - Bracket'!O36),"")</f>
        <v/>
      </c>
      <c r="C110" s="90" t="str">
        <f>IFERROR(IF('Open 30M - Bracket'!P36="","",'Open 30M - Bracket'!P36),"")</f>
        <v/>
      </c>
      <c r="D110" s="90" t="str">
        <f>IFERROR(IF('Open 30M - Bracket'!Q36="","",'Open 30M - Bracket'!Q36),"")</f>
        <v/>
      </c>
      <c r="E110" s="90" t="str">
        <f>IFERROR(IF('Open 30M - Bracket'!R36="","",'Open 30M - Bracket'!R36),"")</f>
        <v/>
      </c>
      <c r="F110" s="90" t="str">
        <f>IFERROR(IF('Open 30M - Bracket'!S36="","",'Open 30M - Bracket'!S36),"")</f>
        <v/>
      </c>
      <c r="G110" s="90" t="str">
        <f>IFERROR(IF('Open 30M - Bracket'!T36="","",'Open 30M - Bracket'!T36),"")</f>
        <v/>
      </c>
      <c r="H110" s="32">
        <f>IFERROR(IF(ISNUMBER('Open 30M - Bracket'!U36),'Open 30M - Bracket'!U36,0),0)</f>
        <v>0</v>
      </c>
      <c r="I110" s="91" t="str">
        <f>IF(AND(ISNUMBER('Open 30M - Bracket'!U36),ISNUMBER('Open 30M - Bracket'!U38)),IF('Open 30M - Bracket'!U36&gt;'Open 30M - Bracket'!U38,"2-0",IF('Open 30M - Bracket'!U36='Open 30M - Bracket'!U38,"1-1","0-2")),"—")</f>
        <v>—</v>
      </c>
      <c r="J110" s="32">
        <f>IFERROR(IF(ISNUMBER('Open 30M - Bracket'!U38),'Open 30M - Bracket'!U38,0),0)</f>
        <v>0</v>
      </c>
      <c r="K110" s="90" t="str">
        <f>IFERROR(IF('Open 30M - Bracket'!T38="","",'Open 30M - Bracket'!T38),"")</f>
        <v/>
      </c>
      <c r="L110" s="90" t="str">
        <f>IFERROR(IF('Open 30M - Bracket'!S38="","",'Open 30M - Bracket'!S38),"")</f>
        <v/>
      </c>
      <c r="M110" s="90" t="str">
        <f>IFERROR(IF('Open 30M - Bracket'!R38="","",'Open 30M - Bracket'!R38),"")</f>
        <v/>
      </c>
      <c r="N110" s="90" t="str">
        <f>IFERROR(IF('Open 30M - Bracket'!Q38="","",'Open 30M - Bracket'!Q38),"")</f>
        <v/>
      </c>
      <c r="O110" s="90" t="str">
        <f>IFERROR(IF('Open 30M - Bracket'!P38="","",'Open 30M - Bracket'!P38),"")</f>
        <v/>
      </c>
      <c r="P110" s="90" t="str">
        <f>IFERROR(IF('Open 30M - Bracket'!O38="","",'Open 30M - Bracket'!O38),"")</f>
        <v/>
      </c>
      <c r="Q110" s="84" t="s">
        <v>223</v>
      </c>
    </row>
    <row r="111" spans="1:17" ht="21.75" customHeight="1" x14ac:dyDescent="0.35">
      <c r="A111" s="84" t="s">
        <v>224</v>
      </c>
      <c r="B111" s="90" t="str">
        <f>IFERROR(IF('Open 30M - Bracket'!V36="","",'Open 30M - Bracket'!V36),"")</f>
        <v/>
      </c>
      <c r="C111" s="90" t="str">
        <f>IFERROR(IF('Open 30M - Bracket'!W36="","",'Open 30M - Bracket'!W36),"")</f>
        <v/>
      </c>
      <c r="D111" s="90" t="str">
        <f>IFERROR(IF('Open 30M - Bracket'!X36="","",'Open 30M - Bracket'!X36),"")</f>
        <v/>
      </c>
      <c r="E111" s="90" t="str">
        <f>IFERROR(IF('Open 30M - Bracket'!Y36="","",'Open 30M - Bracket'!Y36),"")</f>
        <v/>
      </c>
      <c r="F111" s="90" t="str">
        <f>IFERROR(IF('Open 30M - Bracket'!Z36="","",'Open 30M - Bracket'!Z36),"")</f>
        <v/>
      </c>
      <c r="G111" s="90" t="str">
        <f>IFERROR(IF('Open 30M - Bracket'!AA36="","",'Open 30M - Bracket'!AA36),"")</f>
        <v/>
      </c>
      <c r="H111" s="32">
        <f>IFERROR(IF(ISNUMBER('Open 30M - Bracket'!AB36),'Open 30M - Bracket'!AB36,0),0)</f>
        <v>0</v>
      </c>
      <c r="I111" s="91" t="str">
        <f>IF(AND(ISNUMBER('Open 30M - Bracket'!AB36),ISNUMBER('Open 30M - Bracket'!AB38)),IF('Open 30M - Bracket'!AB36&gt;'Open 30M - Bracket'!AB38,"2-0",IF('Open 30M - Bracket'!AB36='Open 30M - Bracket'!AB38,"1-1","0-2")),"—")</f>
        <v>—</v>
      </c>
      <c r="J111" s="32">
        <f>IFERROR(IF(ISNUMBER('Open 30M - Bracket'!AB38),'Open 30M - Bracket'!AB38,0),0)</f>
        <v>0</v>
      </c>
      <c r="K111" s="90" t="str">
        <f>IFERROR(IF('Open 30M - Bracket'!AA38="","",'Open 30M - Bracket'!AA38),"")</f>
        <v/>
      </c>
      <c r="L111" s="90" t="str">
        <f>IFERROR(IF('Open 30M - Bracket'!Z38="","",'Open 30M - Bracket'!Z38),"")</f>
        <v/>
      </c>
      <c r="M111" s="90" t="str">
        <f>IFERROR(IF('Open 30M - Bracket'!Y38="","",'Open 30M - Bracket'!Y38),"")</f>
        <v/>
      </c>
      <c r="N111" s="90" t="str">
        <f>IFERROR(IF('Open 30M - Bracket'!X38="","",'Open 30M - Bracket'!X38),"")</f>
        <v/>
      </c>
      <c r="O111" s="90" t="str">
        <f>IFERROR(IF('Open 30M - Bracket'!W38="","",'Open 30M - Bracket'!W38),"")</f>
        <v/>
      </c>
      <c r="P111" s="90" t="str">
        <f>IFERROR(IF('Open 30M - Bracket'!V38="","",'Open 30M - Bracket'!V38),"")</f>
        <v/>
      </c>
      <c r="Q111" s="84" t="s">
        <v>224</v>
      </c>
    </row>
    <row r="112" spans="1:17" ht="21.75" customHeight="1" x14ac:dyDescent="0.35">
      <c r="A112" s="84" t="s">
        <v>227</v>
      </c>
      <c r="B112" s="90" t="str">
        <f>IFERROR(IF('Open 30M - Bracket'!AC36="","",'Open 30M - Bracket'!AC36),"")</f>
        <v/>
      </c>
      <c r="C112" s="90" t="str">
        <f>IFERROR(IF('Open 30M - Bracket'!AD36="","",'Open 30M - Bracket'!AD36),"")</f>
        <v/>
      </c>
      <c r="D112" s="90" t="str">
        <f>IFERROR(IF('Open 30M - Bracket'!AE36="","",'Open 30M - Bracket'!AE36),"")</f>
        <v/>
      </c>
      <c r="E112" s="90" t="str">
        <f>IFERROR(IF('Open 30M - Bracket'!AF36="","",'Open 30M - Bracket'!AF36),"")</f>
        <v/>
      </c>
      <c r="F112" s="90" t="str">
        <f>IFERROR(IF('Open 30M - Bracket'!AG36="","",'Open 30M - Bracket'!AG36),"")</f>
        <v/>
      </c>
      <c r="G112" s="90" t="str">
        <f>IFERROR(IF('Open 30M - Bracket'!AH36="","",'Open 30M - Bracket'!AH36),"")</f>
        <v/>
      </c>
      <c r="H112" s="32">
        <f>IFERROR(IF(ISNUMBER('Open 30M - Bracket'!AI36),'Open 30M - Bracket'!AI36,0),0)</f>
        <v>0</v>
      </c>
      <c r="I112" s="91" t="str">
        <f>IF(AND(ISNUMBER('Open 30M - Bracket'!AI36),ISNUMBER('Open 30M - Bracket'!AI38)),IF('Open 30M - Bracket'!AI36&gt;'Open 30M - Bracket'!AI38,"2-0",IF('Open 30M - Bracket'!AI36='Open 30M - Bracket'!AI38,"1-1","0-2")),"—")</f>
        <v>—</v>
      </c>
      <c r="J112" s="32">
        <f>IFERROR(IF(ISNUMBER('Open 30M - Bracket'!AI38),'Open 30M - Bracket'!AI38,0),0)</f>
        <v>0</v>
      </c>
      <c r="K112" s="90" t="str">
        <f>IFERROR(IF('Open 30M - Bracket'!AH38="","",'Open 30M - Bracket'!AH38),"")</f>
        <v/>
      </c>
      <c r="L112" s="90" t="str">
        <f>IFERROR(IF('Open 30M - Bracket'!AG38="","",'Open 30M - Bracket'!AG38),"")</f>
        <v/>
      </c>
      <c r="M112" s="90" t="str">
        <f>IFERROR(IF('Open 30M - Bracket'!AF38="","",'Open 30M - Bracket'!AF38),"")</f>
        <v/>
      </c>
      <c r="N112" s="90" t="str">
        <f>IFERROR(IF('Open 30M - Bracket'!AE38="","",'Open 30M - Bracket'!AE38),"")</f>
        <v/>
      </c>
      <c r="O112" s="90" t="str">
        <f>IFERROR(IF('Open 30M - Bracket'!AD38="","",'Open 30M - Bracket'!AD38),"")</f>
        <v/>
      </c>
      <c r="P112" s="90" t="str">
        <f>IFERROR(IF('Open 30M - Bracket'!AC38="","",'Open 30M - Bracket'!AC38),"")</f>
        <v/>
      </c>
      <c r="Q112" s="84" t="s">
        <v>227</v>
      </c>
    </row>
    <row r="113" spans="1:17" ht="21.75" customHeight="1" x14ac:dyDescent="0.35">
      <c r="A113" s="84" t="s">
        <v>228</v>
      </c>
      <c r="B113" s="90" t="str">
        <f>IFERROR(IF('Open 30M - Bracket'!AJ36="","",'Open 30M - Bracket'!AJ36),"")</f>
        <v/>
      </c>
      <c r="C113" s="90" t="str">
        <f>IFERROR(IF('Open 30M - Bracket'!AK36="","",'Open 30M - Bracket'!AK36),"")</f>
        <v/>
      </c>
      <c r="D113" s="90" t="str">
        <f>IFERROR(IF('Open 30M - Bracket'!AL36="","",'Open 30M - Bracket'!AL36),"")</f>
        <v/>
      </c>
      <c r="E113" s="90" t="str">
        <f>IFERROR(IF('Open 30M - Bracket'!AM36="","",'Open 30M - Bracket'!AM36),"")</f>
        <v/>
      </c>
      <c r="F113" s="90" t="str">
        <f>IFERROR(IF('Open 30M - Bracket'!AN36="","",'Open 30M - Bracket'!AN36),"")</f>
        <v/>
      </c>
      <c r="G113" s="90" t="str">
        <f>IFERROR(IF('Open 30M - Bracket'!AO36="","",'Open 30M - Bracket'!AO36),"")</f>
        <v/>
      </c>
      <c r="H113" s="32">
        <f>IFERROR(IF(ISNUMBER('Open 30M - Bracket'!AP36),'Open 30M - Bracket'!AP36,0),0)</f>
        <v>0</v>
      </c>
      <c r="I113" s="91" t="str">
        <f>IF(AND(ISNUMBER('Open 30M - Bracket'!AP36),ISNUMBER('Open 30M - Bracket'!AP38)),IF('Open 30M - Bracket'!AP36&gt;'Open 30M - Bracket'!AP38,"2-0",IF('Open 30M - Bracket'!AP36='Open 30M - Bracket'!AP38,"1-1","0-2")),"—")</f>
        <v>—</v>
      </c>
      <c r="J113" s="32">
        <f>IFERROR(IF(ISNUMBER('Open 30M - Bracket'!AP38),'Open 30M - Bracket'!AP38,0),0)</f>
        <v>0</v>
      </c>
      <c r="K113" s="90" t="str">
        <f>IFERROR(IF('Open 30M - Bracket'!AO38="","",'Open 30M - Bracket'!AO38),"")</f>
        <v/>
      </c>
      <c r="L113" s="90" t="str">
        <f>IFERROR(IF('Open 30M - Bracket'!AN38="","",'Open 30M - Bracket'!AN38),"")</f>
        <v/>
      </c>
      <c r="M113" s="90" t="str">
        <f>IFERROR(IF('Open 30M - Bracket'!AM38="","",'Open 30M - Bracket'!AM38),"")</f>
        <v/>
      </c>
      <c r="N113" s="90" t="str">
        <f>IFERROR(IF('Open 30M - Bracket'!AL38="","",'Open 30M - Bracket'!AL38),"")</f>
        <v/>
      </c>
      <c r="O113" s="90" t="str">
        <f>IFERROR(IF('Open 30M - Bracket'!AK38="","",'Open 30M - Bracket'!AK38),"")</f>
        <v/>
      </c>
      <c r="P113" s="90" t="str">
        <f>IFERROR(IF('Open 30M - Bracket'!AJ38="","",'Open 30M - Bracket'!AJ38),"")</f>
        <v/>
      </c>
      <c r="Q113" s="84" t="s">
        <v>228</v>
      </c>
    </row>
    <row r="114" spans="1:17" ht="21.75" customHeight="1" x14ac:dyDescent="0.35">
      <c r="A114" s="92" t="s">
        <v>237</v>
      </c>
      <c r="B114" s="93" t="str">
        <f>IFERROR(IF('Open 30M - Bracket'!AQ36="","",'Open 30M - Bracket'!AQ36),"")</f>
        <v/>
      </c>
      <c r="C114" s="93" t="str">
        <f>IFERROR(IF('Open 30M - Bracket'!AR36="","",'Open 30M - Bracket'!AR36),"")</f>
        <v/>
      </c>
      <c r="D114" s="93" t="str">
        <f>IFERROR(IF('Open 30M - Bracket'!AS36="","",'Open 30M - Bracket'!AS36),"")</f>
        <v/>
      </c>
      <c r="E114" s="93" t="str">
        <f>IFERROR(IF('Open 30M - Bracket'!AT36="","",'Open 30M - Bracket'!AT36),"")</f>
        <v/>
      </c>
      <c r="F114" s="93" t="str">
        <f>IFERROR(IF('Open 30M - Bracket'!AU36="","",'Open 30M - Bracket'!AU36),"")</f>
        <v/>
      </c>
      <c r="G114" s="93" t="str">
        <f>IFERROR(IF('Open 30M - Bracket'!AV36="","",'Open 30M - Bracket'!AV36),"")</f>
        <v/>
      </c>
      <c r="H114" s="32">
        <f>IFERROR(IF(ISNUMBER('Open 30M - Bracket'!AW36),'Open 30M - Bracket'!AW36,0),0)</f>
        <v>0</v>
      </c>
      <c r="I114" s="91" t="str">
        <f>IF(AND(ISNUMBER('Open 30M - Bracket'!AW36),ISNUMBER('Open 30M - Bracket'!AW38)),IF('Open 30M - Bracket'!AW36&gt;'Open 30M - Bracket'!AW38,"2-0",IF('Open 30M - Bracket'!AW36='Open 30M - Bracket'!AW38,"1-1","0-2")),"—")</f>
        <v>—</v>
      </c>
      <c r="J114" s="32">
        <f>IFERROR(IF(ISNUMBER('Open 30M - Bracket'!AW38),'Open 30M - Bracket'!AW38,0),0)</f>
        <v>0</v>
      </c>
      <c r="K114" s="93" t="str">
        <f>IFERROR(IF('Open 30M - Bracket'!AV38="","",'Open 30M - Bracket'!AV38),"")</f>
        <v/>
      </c>
      <c r="L114" s="93" t="str">
        <f>IFERROR(IF('Open 30M - Bracket'!AU38="","",'Open 30M - Bracket'!AU38),"")</f>
        <v/>
      </c>
      <c r="M114" s="93" t="str">
        <f>IFERROR(IF('Open 30M - Bracket'!AT38="","",'Open 30M - Bracket'!AT38),"")</f>
        <v/>
      </c>
      <c r="N114" s="93" t="str">
        <f>IFERROR(IF('Open 30M - Bracket'!AS38="","",'Open 30M - Bracket'!AS38),"")</f>
        <v/>
      </c>
      <c r="O114" s="93" t="str">
        <f>IFERROR(IF('Open 30M - Bracket'!AR38="","",'Open 30M - Bracket'!AR38),"")</f>
        <v/>
      </c>
      <c r="P114" s="93" t="str">
        <f>IFERROR(IF('Open 30M - Bracket'!AQ38="","",'Open 30M - Bracket'!AQ38),"")</f>
        <v/>
      </c>
      <c r="Q114" s="92" t="s">
        <v>237</v>
      </c>
    </row>
    <row r="115" spans="1:17" ht="4.5" customHeight="1" x14ac:dyDescent="0.35"/>
    <row r="116" spans="1:17" ht="31.5" customHeight="1" x14ac:dyDescent="0.35">
      <c r="A116" s="130">
        <f>IFERROR(IF(ISNUMBER('Open 30M - Bracket'!AX36),'Open 30M - Bracket'!AX36,0),0)</f>
        <v>0</v>
      </c>
      <c r="B116" s="130"/>
      <c r="C116" s="130"/>
      <c r="D116" s="130"/>
      <c r="E116" s="130"/>
      <c r="F116" s="130"/>
      <c r="G116" s="130"/>
      <c r="H116" s="94" t="str">
        <f>IFERROR('Open 30M - Bracket'!BA36,"")</f>
        <v>&gt;&gt; Advance</v>
      </c>
      <c r="I116" s="86"/>
      <c r="J116" s="94" t="str">
        <f>IFERROR('Open 30M - Bracket'!BA38,"")</f>
        <v>&gt;&gt; Advance</v>
      </c>
      <c r="K116" s="130">
        <f>IFERROR(IF(ISNUMBER('Open 30M - Bracket'!AX38),'Open 30M - Bracket'!AX38,0),0)</f>
        <v>0</v>
      </c>
      <c r="L116" s="130"/>
      <c r="M116" s="130"/>
      <c r="N116" s="130"/>
      <c r="O116" s="130"/>
      <c r="P116" s="130"/>
      <c r="Q116" s="130"/>
    </row>
    <row r="117" spans="1:17" ht="21.75" customHeight="1" x14ac:dyDescent="0.35">
      <c r="A117" s="130"/>
      <c r="B117" s="130"/>
      <c r="C117" s="130"/>
      <c r="D117" s="130"/>
      <c r="E117" s="130"/>
      <c r="F117" s="130"/>
      <c r="G117" s="130"/>
      <c r="K117" s="130"/>
      <c r="L117" s="130"/>
      <c r="M117" s="130"/>
      <c r="N117" s="130"/>
      <c r="O117" s="130"/>
      <c r="P117" s="130"/>
      <c r="Q117" s="130"/>
    </row>
    <row r="118" spans="1:17" ht="4.5" customHeight="1" x14ac:dyDescent="0.35"/>
    <row r="119" spans="1:17" ht="12" customHeight="1" x14ac:dyDescent="0.35">
      <c r="A119" s="126"/>
      <c r="B119" s="126"/>
      <c r="C119" s="126"/>
      <c r="D119" s="126"/>
      <c r="E119" s="126"/>
      <c r="F119" s="126"/>
      <c r="G119" s="126"/>
      <c r="H119" s="126"/>
      <c r="I119" s="126"/>
      <c r="J119" s="126"/>
      <c r="K119" s="126"/>
      <c r="L119" s="126"/>
      <c r="M119" s="126"/>
      <c r="N119" s="126"/>
      <c r="O119" s="126"/>
      <c r="P119" s="126"/>
      <c r="Q119" s="126"/>
    </row>
    <row r="120" spans="1:17" ht="7.5" customHeight="1" x14ac:dyDescent="0.35"/>
    <row r="121" spans="1:17" ht="19.5" customHeight="1" x14ac:dyDescent="0.35">
      <c r="A121" s="127" t="s">
        <v>244</v>
      </c>
      <c r="B121" s="127"/>
      <c r="C121" s="127"/>
      <c r="D121" s="127"/>
      <c r="E121" s="127"/>
      <c r="F121" s="127"/>
      <c r="G121" s="127"/>
      <c r="H121" s="127"/>
      <c r="I121" s="127"/>
      <c r="J121" s="127"/>
      <c r="K121" s="127"/>
      <c r="L121" s="127"/>
      <c r="M121" s="127"/>
      <c r="N121" s="127"/>
      <c r="O121" s="127"/>
      <c r="P121" s="127"/>
      <c r="Q121" s="127"/>
    </row>
    <row r="122" spans="1:17" ht="4.5" customHeight="1" x14ac:dyDescent="0.35"/>
    <row r="123" spans="1:17" ht="21.75" customHeight="1" x14ac:dyDescent="0.35">
      <c r="A123" s="84" t="s">
        <v>232</v>
      </c>
      <c r="B123" s="128" t="str">
        <f>IFERROR(IF('Open 30M - Bracket'!B41="","TBD",'Open 30M - Bracket'!B41),"TBD")</f>
        <v>TBD</v>
      </c>
      <c r="C123" s="128"/>
      <c r="D123" s="128"/>
      <c r="E123" s="128"/>
      <c r="F123" s="128"/>
      <c r="G123" s="128"/>
      <c r="H123" s="128"/>
      <c r="I123" s="84" t="s">
        <v>233</v>
      </c>
      <c r="J123" s="128" t="str">
        <f>IFERROR(IF('Open 30M - Bracket'!B43="","TBD",'Open 30M - Bracket'!B43),"TBD")</f>
        <v>TBD</v>
      </c>
      <c r="K123" s="128"/>
      <c r="L123" s="128"/>
      <c r="M123" s="128"/>
      <c r="N123" s="128"/>
      <c r="O123" s="128"/>
      <c r="P123" s="128"/>
      <c r="Q123" s="84" t="s">
        <v>232</v>
      </c>
    </row>
    <row r="124" spans="1:17" ht="13.5" customHeight="1" x14ac:dyDescent="0.35">
      <c r="A124" s="85" t="s">
        <v>234</v>
      </c>
      <c r="B124" s="129" t="str">
        <f>IFERROR('Open 30M - Bracket'!A41,"")</f>
        <v>BYE</v>
      </c>
      <c r="C124" s="129"/>
      <c r="D124" s="129"/>
      <c r="E124" s="129"/>
      <c r="F124" s="129"/>
      <c r="G124" s="129"/>
      <c r="H124" s="129"/>
      <c r="I124" s="86"/>
      <c r="J124" s="129" t="str">
        <f>IFERROR('Open 30M - Bracket'!A43,"")</f>
        <v>BYE</v>
      </c>
      <c r="K124" s="129"/>
      <c r="L124" s="129"/>
      <c r="M124" s="129"/>
      <c r="N124" s="129"/>
      <c r="O124" s="129"/>
      <c r="P124" s="129"/>
      <c r="Q124" s="85" t="s">
        <v>234</v>
      </c>
    </row>
    <row r="125" spans="1:17" ht="19.5" customHeight="1" x14ac:dyDescent="0.35">
      <c r="A125" s="87" t="s">
        <v>235</v>
      </c>
      <c r="B125" s="88" t="s">
        <v>83</v>
      </c>
      <c r="C125" s="88" t="s">
        <v>84</v>
      </c>
      <c r="D125" s="88" t="s">
        <v>85</v>
      </c>
      <c r="E125" s="88" t="s">
        <v>86</v>
      </c>
      <c r="F125" s="88" t="s">
        <v>87</v>
      </c>
      <c r="G125" s="88" t="s">
        <v>88</v>
      </c>
      <c r="H125" s="24" t="s">
        <v>236</v>
      </c>
      <c r="I125" s="89"/>
      <c r="J125" s="24" t="s">
        <v>236</v>
      </c>
      <c r="K125" s="88" t="s">
        <v>88</v>
      </c>
      <c r="L125" s="88" t="s">
        <v>87</v>
      </c>
      <c r="M125" s="88" t="s">
        <v>86</v>
      </c>
      <c r="N125" s="88" t="s">
        <v>85</v>
      </c>
      <c r="O125" s="88" t="s">
        <v>84</v>
      </c>
      <c r="P125" s="88" t="s">
        <v>83</v>
      </c>
      <c r="Q125" s="87" t="s">
        <v>235</v>
      </c>
    </row>
    <row r="126" spans="1:17" ht="21.75" customHeight="1" x14ac:dyDescent="0.35">
      <c r="A126" s="84" t="s">
        <v>222</v>
      </c>
      <c r="B126" s="90" t="str">
        <f>IFERROR(IF('Open 30M - Bracket'!H41="","",'Open 30M - Bracket'!H41),"")</f>
        <v/>
      </c>
      <c r="C126" s="90" t="str">
        <f>IFERROR(IF('Open 30M - Bracket'!I41="","",'Open 30M - Bracket'!I41),"")</f>
        <v/>
      </c>
      <c r="D126" s="90" t="str">
        <f>IFERROR(IF('Open 30M - Bracket'!J41="","",'Open 30M - Bracket'!J41),"")</f>
        <v/>
      </c>
      <c r="E126" s="90" t="str">
        <f>IFERROR(IF('Open 30M - Bracket'!K41="","",'Open 30M - Bracket'!K41),"")</f>
        <v/>
      </c>
      <c r="F126" s="90" t="str">
        <f>IFERROR(IF('Open 30M - Bracket'!L41="","",'Open 30M - Bracket'!L41),"")</f>
        <v/>
      </c>
      <c r="G126" s="90" t="str">
        <f>IFERROR(IF('Open 30M - Bracket'!M41="","",'Open 30M - Bracket'!M41),"")</f>
        <v/>
      </c>
      <c r="H126" s="32">
        <f>IFERROR(IF(ISNUMBER('Open 30M - Bracket'!N41),'Open 30M - Bracket'!N41,0),0)</f>
        <v>0</v>
      </c>
      <c r="I126" s="91" t="str">
        <f>IF(AND(ISNUMBER('Open 30M - Bracket'!N41),ISNUMBER('Open 30M - Bracket'!N43)),IF('Open 30M - Bracket'!N41&gt;'Open 30M - Bracket'!N43,"2-0",IF('Open 30M - Bracket'!N41='Open 30M - Bracket'!N43,"1-1","0-2")),"—")</f>
        <v>—</v>
      </c>
      <c r="J126" s="32">
        <f>IFERROR(IF(ISNUMBER('Open 30M - Bracket'!N43),'Open 30M - Bracket'!N43,0),0)</f>
        <v>0</v>
      </c>
      <c r="K126" s="90" t="str">
        <f>IFERROR(IF('Open 30M - Bracket'!M43="","",'Open 30M - Bracket'!M43),"")</f>
        <v/>
      </c>
      <c r="L126" s="90" t="str">
        <f>IFERROR(IF('Open 30M - Bracket'!L43="","",'Open 30M - Bracket'!L43),"")</f>
        <v/>
      </c>
      <c r="M126" s="90" t="str">
        <f>IFERROR(IF('Open 30M - Bracket'!K43="","",'Open 30M - Bracket'!K43),"")</f>
        <v/>
      </c>
      <c r="N126" s="90" t="str">
        <f>IFERROR(IF('Open 30M - Bracket'!J43="","",'Open 30M - Bracket'!J43),"")</f>
        <v/>
      </c>
      <c r="O126" s="90" t="str">
        <f>IFERROR(IF('Open 30M - Bracket'!I43="","",'Open 30M - Bracket'!I43),"")</f>
        <v/>
      </c>
      <c r="P126" s="90" t="str">
        <f>IFERROR(IF('Open 30M - Bracket'!H43="","",'Open 30M - Bracket'!H43),"")</f>
        <v/>
      </c>
      <c r="Q126" s="84" t="s">
        <v>222</v>
      </c>
    </row>
    <row r="127" spans="1:17" ht="21.75" customHeight="1" x14ac:dyDescent="0.35">
      <c r="A127" s="84" t="s">
        <v>223</v>
      </c>
      <c r="B127" s="90" t="str">
        <f>IFERROR(IF('Open 30M - Bracket'!O41="","",'Open 30M - Bracket'!O41),"")</f>
        <v/>
      </c>
      <c r="C127" s="90" t="str">
        <f>IFERROR(IF('Open 30M - Bracket'!P41="","",'Open 30M - Bracket'!P41),"")</f>
        <v/>
      </c>
      <c r="D127" s="90" t="str">
        <f>IFERROR(IF('Open 30M - Bracket'!Q41="","",'Open 30M - Bracket'!Q41),"")</f>
        <v/>
      </c>
      <c r="E127" s="90" t="str">
        <f>IFERROR(IF('Open 30M - Bracket'!R41="","",'Open 30M - Bracket'!R41),"")</f>
        <v/>
      </c>
      <c r="F127" s="90" t="str">
        <f>IFERROR(IF('Open 30M - Bracket'!S41="","",'Open 30M - Bracket'!S41),"")</f>
        <v/>
      </c>
      <c r="G127" s="90" t="str">
        <f>IFERROR(IF('Open 30M - Bracket'!T41="","",'Open 30M - Bracket'!T41),"")</f>
        <v/>
      </c>
      <c r="H127" s="32">
        <f>IFERROR(IF(ISNUMBER('Open 30M - Bracket'!U41),'Open 30M - Bracket'!U41,0),0)</f>
        <v>0</v>
      </c>
      <c r="I127" s="91" t="str">
        <f>IF(AND(ISNUMBER('Open 30M - Bracket'!U41),ISNUMBER('Open 30M - Bracket'!U43)),IF('Open 30M - Bracket'!U41&gt;'Open 30M - Bracket'!U43,"2-0",IF('Open 30M - Bracket'!U41='Open 30M - Bracket'!U43,"1-1","0-2")),"—")</f>
        <v>—</v>
      </c>
      <c r="J127" s="32">
        <f>IFERROR(IF(ISNUMBER('Open 30M - Bracket'!U43),'Open 30M - Bracket'!U43,0),0)</f>
        <v>0</v>
      </c>
      <c r="K127" s="90" t="str">
        <f>IFERROR(IF('Open 30M - Bracket'!T43="","",'Open 30M - Bracket'!T43),"")</f>
        <v/>
      </c>
      <c r="L127" s="90" t="str">
        <f>IFERROR(IF('Open 30M - Bracket'!S43="","",'Open 30M - Bracket'!S43),"")</f>
        <v/>
      </c>
      <c r="M127" s="90" t="str">
        <f>IFERROR(IF('Open 30M - Bracket'!R43="","",'Open 30M - Bracket'!R43),"")</f>
        <v/>
      </c>
      <c r="N127" s="90" t="str">
        <f>IFERROR(IF('Open 30M - Bracket'!Q43="","",'Open 30M - Bracket'!Q43),"")</f>
        <v/>
      </c>
      <c r="O127" s="90" t="str">
        <f>IFERROR(IF('Open 30M - Bracket'!P43="","",'Open 30M - Bracket'!P43),"")</f>
        <v/>
      </c>
      <c r="P127" s="90" t="str">
        <f>IFERROR(IF('Open 30M - Bracket'!O43="","",'Open 30M - Bracket'!O43),"")</f>
        <v/>
      </c>
      <c r="Q127" s="84" t="s">
        <v>223</v>
      </c>
    </row>
    <row r="128" spans="1:17" ht="21.75" customHeight="1" x14ac:dyDescent="0.35">
      <c r="A128" s="84" t="s">
        <v>224</v>
      </c>
      <c r="B128" s="90" t="str">
        <f>IFERROR(IF('Open 30M - Bracket'!V41="","",'Open 30M - Bracket'!V41),"")</f>
        <v/>
      </c>
      <c r="C128" s="90" t="str">
        <f>IFERROR(IF('Open 30M - Bracket'!W41="","",'Open 30M - Bracket'!W41),"")</f>
        <v/>
      </c>
      <c r="D128" s="90" t="str">
        <f>IFERROR(IF('Open 30M - Bracket'!X41="","",'Open 30M - Bracket'!X41),"")</f>
        <v/>
      </c>
      <c r="E128" s="90" t="str">
        <f>IFERROR(IF('Open 30M - Bracket'!Y41="","",'Open 30M - Bracket'!Y41),"")</f>
        <v/>
      </c>
      <c r="F128" s="90" t="str">
        <f>IFERROR(IF('Open 30M - Bracket'!Z41="","",'Open 30M - Bracket'!Z41),"")</f>
        <v/>
      </c>
      <c r="G128" s="90" t="str">
        <f>IFERROR(IF('Open 30M - Bracket'!AA41="","",'Open 30M - Bracket'!AA41),"")</f>
        <v/>
      </c>
      <c r="H128" s="32">
        <f>IFERROR(IF(ISNUMBER('Open 30M - Bracket'!AB41),'Open 30M - Bracket'!AB41,0),0)</f>
        <v>0</v>
      </c>
      <c r="I128" s="91" t="str">
        <f>IF(AND(ISNUMBER('Open 30M - Bracket'!AB41),ISNUMBER('Open 30M - Bracket'!AB43)),IF('Open 30M - Bracket'!AB41&gt;'Open 30M - Bracket'!AB43,"2-0",IF('Open 30M - Bracket'!AB41='Open 30M - Bracket'!AB43,"1-1","0-2")),"—")</f>
        <v>—</v>
      </c>
      <c r="J128" s="32">
        <f>IFERROR(IF(ISNUMBER('Open 30M - Bracket'!AB43),'Open 30M - Bracket'!AB43,0),0)</f>
        <v>0</v>
      </c>
      <c r="K128" s="90" t="str">
        <f>IFERROR(IF('Open 30M - Bracket'!AA43="","",'Open 30M - Bracket'!AA43),"")</f>
        <v/>
      </c>
      <c r="L128" s="90" t="str">
        <f>IFERROR(IF('Open 30M - Bracket'!Z43="","",'Open 30M - Bracket'!Z43),"")</f>
        <v/>
      </c>
      <c r="M128" s="90" t="str">
        <f>IFERROR(IF('Open 30M - Bracket'!Y43="","",'Open 30M - Bracket'!Y43),"")</f>
        <v/>
      </c>
      <c r="N128" s="90" t="str">
        <f>IFERROR(IF('Open 30M - Bracket'!X43="","",'Open 30M - Bracket'!X43),"")</f>
        <v/>
      </c>
      <c r="O128" s="90" t="str">
        <f>IFERROR(IF('Open 30M - Bracket'!W43="","",'Open 30M - Bracket'!W43),"")</f>
        <v/>
      </c>
      <c r="P128" s="90" t="str">
        <f>IFERROR(IF('Open 30M - Bracket'!V43="","",'Open 30M - Bracket'!V43),"")</f>
        <v/>
      </c>
      <c r="Q128" s="84" t="s">
        <v>224</v>
      </c>
    </row>
    <row r="129" spans="1:17" ht="21.75" customHeight="1" x14ac:dyDescent="0.35">
      <c r="A129" s="84" t="s">
        <v>227</v>
      </c>
      <c r="B129" s="90" t="str">
        <f>IFERROR(IF('Open 30M - Bracket'!AC41="","",'Open 30M - Bracket'!AC41),"")</f>
        <v/>
      </c>
      <c r="C129" s="90" t="str">
        <f>IFERROR(IF('Open 30M - Bracket'!AD41="","",'Open 30M - Bracket'!AD41),"")</f>
        <v/>
      </c>
      <c r="D129" s="90" t="str">
        <f>IFERROR(IF('Open 30M - Bracket'!AE41="","",'Open 30M - Bracket'!AE41),"")</f>
        <v/>
      </c>
      <c r="E129" s="90" t="str">
        <f>IFERROR(IF('Open 30M - Bracket'!AF41="","",'Open 30M - Bracket'!AF41),"")</f>
        <v/>
      </c>
      <c r="F129" s="90" t="str">
        <f>IFERROR(IF('Open 30M - Bracket'!AG41="","",'Open 30M - Bracket'!AG41),"")</f>
        <v/>
      </c>
      <c r="G129" s="90" t="str">
        <f>IFERROR(IF('Open 30M - Bracket'!AH41="","",'Open 30M - Bracket'!AH41),"")</f>
        <v/>
      </c>
      <c r="H129" s="32">
        <f>IFERROR(IF(ISNUMBER('Open 30M - Bracket'!AI41),'Open 30M - Bracket'!AI41,0),0)</f>
        <v>0</v>
      </c>
      <c r="I129" s="91" t="str">
        <f>IF(AND(ISNUMBER('Open 30M - Bracket'!AI41),ISNUMBER('Open 30M - Bracket'!AI43)),IF('Open 30M - Bracket'!AI41&gt;'Open 30M - Bracket'!AI43,"2-0",IF('Open 30M - Bracket'!AI41='Open 30M - Bracket'!AI43,"1-1","0-2")),"—")</f>
        <v>—</v>
      </c>
      <c r="J129" s="32">
        <f>IFERROR(IF(ISNUMBER('Open 30M - Bracket'!AI43),'Open 30M - Bracket'!AI43,0),0)</f>
        <v>0</v>
      </c>
      <c r="K129" s="90" t="str">
        <f>IFERROR(IF('Open 30M - Bracket'!AH43="","",'Open 30M - Bracket'!AH43),"")</f>
        <v/>
      </c>
      <c r="L129" s="90" t="str">
        <f>IFERROR(IF('Open 30M - Bracket'!AG43="","",'Open 30M - Bracket'!AG43),"")</f>
        <v/>
      </c>
      <c r="M129" s="90" t="str">
        <f>IFERROR(IF('Open 30M - Bracket'!AF43="","",'Open 30M - Bracket'!AF43),"")</f>
        <v/>
      </c>
      <c r="N129" s="90" t="str">
        <f>IFERROR(IF('Open 30M - Bracket'!AE43="","",'Open 30M - Bracket'!AE43),"")</f>
        <v/>
      </c>
      <c r="O129" s="90" t="str">
        <f>IFERROR(IF('Open 30M - Bracket'!AD43="","",'Open 30M - Bracket'!AD43),"")</f>
        <v/>
      </c>
      <c r="P129" s="90" t="str">
        <f>IFERROR(IF('Open 30M - Bracket'!AC43="","",'Open 30M - Bracket'!AC43),"")</f>
        <v/>
      </c>
      <c r="Q129" s="84" t="s">
        <v>227</v>
      </c>
    </row>
    <row r="130" spans="1:17" ht="21.75" customHeight="1" x14ac:dyDescent="0.35">
      <c r="A130" s="84" t="s">
        <v>228</v>
      </c>
      <c r="B130" s="90" t="str">
        <f>IFERROR(IF('Open 30M - Bracket'!AJ41="","",'Open 30M - Bracket'!AJ41),"")</f>
        <v/>
      </c>
      <c r="C130" s="90" t="str">
        <f>IFERROR(IF('Open 30M - Bracket'!AK41="","",'Open 30M - Bracket'!AK41),"")</f>
        <v/>
      </c>
      <c r="D130" s="90" t="str">
        <f>IFERROR(IF('Open 30M - Bracket'!AL41="","",'Open 30M - Bracket'!AL41),"")</f>
        <v/>
      </c>
      <c r="E130" s="90" t="str">
        <f>IFERROR(IF('Open 30M - Bracket'!AM41="","",'Open 30M - Bracket'!AM41),"")</f>
        <v/>
      </c>
      <c r="F130" s="90" t="str">
        <f>IFERROR(IF('Open 30M - Bracket'!AN41="","",'Open 30M - Bracket'!AN41),"")</f>
        <v/>
      </c>
      <c r="G130" s="90" t="str">
        <f>IFERROR(IF('Open 30M - Bracket'!AO41="","",'Open 30M - Bracket'!AO41),"")</f>
        <v/>
      </c>
      <c r="H130" s="32">
        <f>IFERROR(IF(ISNUMBER('Open 30M - Bracket'!AP41),'Open 30M - Bracket'!AP41,0),0)</f>
        <v>0</v>
      </c>
      <c r="I130" s="91" t="str">
        <f>IF(AND(ISNUMBER('Open 30M - Bracket'!AP41),ISNUMBER('Open 30M - Bracket'!AP43)),IF('Open 30M - Bracket'!AP41&gt;'Open 30M - Bracket'!AP43,"2-0",IF('Open 30M - Bracket'!AP41='Open 30M - Bracket'!AP43,"1-1","0-2")),"—")</f>
        <v>—</v>
      </c>
      <c r="J130" s="32">
        <f>IFERROR(IF(ISNUMBER('Open 30M - Bracket'!AP43),'Open 30M - Bracket'!AP43,0),0)</f>
        <v>0</v>
      </c>
      <c r="K130" s="90" t="str">
        <f>IFERROR(IF('Open 30M - Bracket'!AO43="","",'Open 30M - Bracket'!AO43),"")</f>
        <v/>
      </c>
      <c r="L130" s="90" t="str">
        <f>IFERROR(IF('Open 30M - Bracket'!AN43="","",'Open 30M - Bracket'!AN43),"")</f>
        <v/>
      </c>
      <c r="M130" s="90" t="str">
        <f>IFERROR(IF('Open 30M - Bracket'!AM43="","",'Open 30M - Bracket'!AM43),"")</f>
        <v/>
      </c>
      <c r="N130" s="90" t="str">
        <f>IFERROR(IF('Open 30M - Bracket'!AL43="","",'Open 30M - Bracket'!AL43),"")</f>
        <v/>
      </c>
      <c r="O130" s="90" t="str">
        <f>IFERROR(IF('Open 30M - Bracket'!AK43="","",'Open 30M - Bracket'!AK43),"")</f>
        <v/>
      </c>
      <c r="P130" s="90" t="str">
        <f>IFERROR(IF('Open 30M - Bracket'!AJ43="","",'Open 30M - Bracket'!AJ43),"")</f>
        <v/>
      </c>
      <c r="Q130" s="84" t="s">
        <v>228</v>
      </c>
    </row>
    <row r="131" spans="1:17" ht="21.75" customHeight="1" x14ac:dyDescent="0.35">
      <c r="A131" s="92" t="s">
        <v>237</v>
      </c>
      <c r="B131" s="93" t="str">
        <f>IFERROR(IF('Open 30M - Bracket'!AQ41="","",'Open 30M - Bracket'!AQ41),"")</f>
        <v/>
      </c>
      <c r="C131" s="93" t="str">
        <f>IFERROR(IF('Open 30M - Bracket'!AR41="","",'Open 30M - Bracket'!AR41),"")</f>
        <v/>
      </c>
      <c r="D131" s="93" t="str">
        <f>IFERROR(IF('Open 30M - Bracket'!AS41="","",'Open 30M - Bracket'!AS41),"")</f>
        <v/>
      </c>
      <c r="E131" s="93" t="str">
        <f>IFERROR(IF('Open 30M - Bracket'!AT41="","",'Open 30M - Bracket'!AT41),"")</f>
        <v/>
      </c>
      <c r="F131" s="93" t="str">
        <f>IFERROR(IF('Open 30M - Bracket'!AU41="","",'Open 30M - Bracket'!AU41),"")</f>
        <v/>
      </c>
      <c r="G131" s="93" t="str">
        <f>IFERROR(IF('Open 30M - Bracket'!AV41="","",'Open 30M - Bracket'!AV41),"")</f>
        <v/>
      </c>
      <c r="H131" s="32">
        <f>IFERROR(IF(ISNUMBER('Open 30M - Bracket'!AW41),'Open 30M - Bracket'!AW41,0),0)</f>
        <v>0</v>
      </c>
      <c r="I131" s="91" t="str">
        <f>IF(AND(ISNUMBER('Open 30M - Bracket'!AW41),ISNUMBER('Open 30M - Bracket'!AW43)),IF('Open 30M - Bracket'!AW41&gt;'Open 30M - Bracket'!AW43,"2-0",IF('Open 30M - Bracket'!AW41='Open 30M - Bracket'!AW43,"1-1","0-2")),"—")</f>
        <v>—</v>
      </c>
      <c r="J131" s="32">
        <f>IFERROR(IF(ISNUMBER('Open 30M - Bracket'!AW43),'Open 30M - Bracket'!AW43,0),0)</f>
        <v>0</v>
      </c>
      <c r="K131" s="93" t="str">
        <f>IFERROR(IF('Open 30M - Bracket'!AV43="","",'Open 30M - Bracket'!AV43),"")</f>
        <v/>
      </c>
      <c r="L131" s="93" t="str">
        <f>IFERROR(IF('Open 30M - Bracket'!AU43="","",'Open 30M - Bracket'!AU43),"")</f>
        <v/>
      </c>
      <c r="M131" s="93" t="str">
        <f>IFERROR(IF('Open 30M - Bracket'!AT43="","",'Open 30M - Bracket'!AT43),"")</f>
        <v/>
      </c>
      <c r="N131" s="93" t="str">
        <f>IFERROR(IF('Open 30M - Bracket'!AS43="","",'Open 30M - Bracket'!AS43),"")</f>
        <v/>
      </c>
      <c r="O131" s="93" t="str">
        <f>IFERROR(IF('Open 30M - Bracket'!AR43="","",'Open 30M - Bracket'!AR43),"")</f>
        <v/>
      </c>
      <c r="P131" s="93" t="str">
        <f>IFERROR(IF('Open 30M - Bracket'!AQ43="","",'Open 30M - Bracket'!AQ43),"")</f>
        <v/>
      </c>
      <c r="Q131" s="92" t="s">
        <v>237</v>
      </c>
    </row>
    <row r="132" spans="1:17" ht="4.5" customHeight="1" x14ac:dyDescent="0.35"/>
    <row r="133" spans="1:17" ht="31.5" customHeight="1" x14ac:dyDescent="0.35">
      <c r="A133" s="130">
        <f>IFERROR(IF(ISNUMBER('Open 30M - Bracket'!AX41),'Open 30M - Bracket'!AX41,0),0)</f>
        <v>0</v>
      </c>
      <c r="B133" s="130"/>
      <c r="C133" s="130"/>
      <c r="D133" s="130"/>
      <c r="E133" s="130"/>
      <c r="F133" s="130"/>
      <c r="G133" s="130"/>
      <c r="H133" s="94" t="str">
        <f>IFERROR('Open 30M - Bracket'!BA41,"")</f>
        <v>&gt;&gt; Advance</v>
      </c>
      <c r="I133" s="86"/>
      <c r="J133" s="94" t="str">
        <f>IFERROR('Open 30M - Bracket'!BA43,"")</f>
        <v>&gt;&gt; Advance</v>
      </c>
      <c r="K133" s="130">
        <f>IFERROR(IF(ISNUMBER('Open 30M - Bracket'!AX43),'Open 30M - Bracket'!AX43,0),0)</f>
        <v>0</v>
      </c>
      <c r="L133" s="130"/>
      <c r="M133" s="130"/>
      <c r="N133" s="130"/>
      <c r="O133" s="130"/>
      <c r="P133" s="130"/>
      <c r="Q133" s="130"/>
    </row>
    <row r="134" spans="1:17" ht="21.75" customHeight="1" x14ac:dyDescent="0.35">
      <c r="A134" s="130"/>
      <c r="B134" s="130"/>
      <c r="C134" s="130"/>
      <c r="D134" s="130"/>
      <c r="E134" s="130"/>
      <c r="F134" s="130"/>
      <c r="G134" s="130"/>
      <c r="K134" s="130"/>
      <c r="L134" s="130"/>
      <c r="M134" s="130"/>
      <c r="N134" s="130"/>
      <c r="O134" s="130"/>
      <c r="P134" s="130"/>
      <c r="Q134" s="130"/>
    </row>
    <row r="135" spans="1:17" ht="4.5" customHeight="1" x14ac:dyDescent="0.35"/>
    <row r="136" spans="1:17" ht="12" customHeight="1" x14ac:dyDescent="0.35">
      <c r="A136" s="126"/>
      <c r="B136" s="126"/>
      <c r="C136" s="126"/>
      <c r="D136" s="126"/>
      <c r="E136" s="126"/>
      <c r="F136" s="126"/>
      <c r="G136" s="126"/>
      <c r="H136" s="126"/>
      <c r="I136" s="126"/>
      <c r="J136" s="126"/>
      <c r="K136" s="126"/>
      <c r="L136" s="126"/>
      <c r="M136" s="126"/>
      <c r="N136" s="126"/>
      <c r="O136" s="126"/>
      <c r="P136" s="126"/>
      <c r="Q136" s="126"/>
    </row>
    <row r="137" spans="1:17" ht="7.5" customHeight="1" x14ac:dyDescent="0.35"/>
    <row r="138" spans="1:17" ht="19.5" customHeight="1" x14ac:dyDescent="0.35">
      <c r="A138" s="131" t="s">
        <v>245</v>
      </c>
      <c r="B138" s="131"/>
      <c r="C138" s="131"/>
      <c r="D138" s="131"/>
      <c r="E138" s="131"/>
      <c r="F138" s="131"/>
      <c r="G138" s="131"/>
      <c r="H138" s="131"/>
      <c r="I138" s="131"/>
      <c r="J138" s="131"/>
      <c r="K138" s="131"/>
      <c r="L138" s="131"/>
      <c r="M138" s="131"/>
      <c r="N138" s="131"/>
      <c r="O138" s="131"/>
      <c r="P138" s="131"/>
      <c r="Q138" s="131"/>
    </row>
    <row r="139" spans="1:17" ht="4.5" customHeight="1" x14ac:dyDescent="0.35"/>
    <row r="140" spans="1:17" ht="21.75" customHeight="1" x14ac:dyDescent="0.35">
      <c r="A140" s="84" t="s">
        <v>232</v>
      </c>
      <c r="B140" s="128" t="str">
        <f>IFERROR(IF('Open 30M - Bracket'!BE6="","TBD",'Open 30M - Bracket'!BE6),"TBD")</f>
        <v>Joseph Nesortado Naoe</v>
      </c>
      <c r="C140" s="128"/>
      <c r="D140" s="128"/>
      <c r="E140" s="128"/>
      <c r="F140" s="128"/>
      <c r="G140" s="128"/>
      <c r="H140" s="128"/>
      <c r="I140" s="84" t="s">
        <v>233</v>
      </c>
      <c r="J140" s="128" t="str">
        <f>IFERROR(IF('Open 30M - Bracket'!BE8="","TBD",'Open 30M - Bracket'!BE8),"TBD")</f>
        <v>TBD</v>
      </c>
      <c r="K140" s="128"/>
      <c r="L140" s="128"/>
      <c r="M140" s="128"/>
      <c r="N140" s="128"/>
      <c r="O140" s="128"/>
      <c r="P140" s="128"/>
      <c r="Q140" s="84" t="s">
        <v>232</v>
      </c>
    </row>
    <row r="141" spans="1:17" ht="13.5" customHeight="1" x14ac:dyDescent="0.35">
      <c r="A141" s="85" t="s">
        <v>234</v>
      </c>
      <c r="B141" s="129" t="str">
        <f>IFERROR('Open 30M - Bracket'!BD6,"")</f>
        <v>"W-R16M1"</v>
      </c>
      <c r="C141" s="129"/>
      <c r="D141" s="129"/>
      <c r="E141" s="129"/>
      <c r="F141" s="129"/>
      <c r="G141" s="129"/>
      <c r="H141" s="129"/>
      <c r="I141" s="86"/>
      <c r="J141" s="129" t="str">
        <f>IFERROR('Open 30M - Bracket'!BD8,"")</f>
        <v>"W-R16M2"</v>
      </c>
      <c r="K141" s="129"/>
      <c r="L141" s="129"/>
      <c r="M141" s="129"/>
      <c r="N141" s="129"/>
      <c r="O141" s="129"/>
      <c r="P141" s="129"/>
      <c r="Q141" s="85" t="s">
        <v>234</v>
      </c>
    </row>
    <row r="142" spans="1:17" ht="19.5" customHeight="1" x14ac:dyDescent="0.35">
      <c r="A142" s="87" t="s">
        <v>235</v>
      </c>
      <c r="B142" s="88" t="s">
        <v>83</v>
      </c>
      <c r="C142" s="88" t="s">
        <v>84</v>
      </c>
      <c r="D142" s="88" t="s">
        <v>85</v>
      </c>
      <c r="E142" s="88" t="s">
        <v>86</v>
      </c>
      <c r="F142" s="88" t="s">
        <v>87</v>
      </c>
      <c r="G142" s="88" t="s">
        <v>88</v>
      </c>
      <c r="H142" s="24" t="s">
        <v>236</v>
      </c>
      <c r="I142" s="89"/>
      <c r="J142" s="24" t="s">
        <v>236</v>
      </c>
      <c r="K142" s="88" t="s">
        <v>88</v>
      </c>
      <c r="L142" s="88" t="s">
        <v>87</v>
      </c>
      <c r="M142" s="88" t="s">
        <v>86</v>
      </c>
      <c r="N142" s="88" t="s">
        <v>85</v>
      </c>
      <c r="O142" s="88" t="s">
        <v>84</v>
      </c>
      <c r="P142" s="88" t="s">
        <v>83</v>
      </c>
      <c r="Q142" s="87" t="s">
        <v>235</v>
      </c>
    </row>
    <row r="143" spans="1:17" ht="21.75" customHeight="1" x14ac:dyDescent="0.35">
      <c r="A143" s="84" t="s">
        <v>222</v>
      </c>
      <c r="B143" s="90" t="str">
        <f>IFERROR(IF('Open 30M - Bracket'!BK6="","",'Open 30M - Bracket'!BK6),"")</f>
        <v/>
      </c>
      <c r="C143" s="90" t="str">
        <f>IFERROR(IF('Open 30M - Bracket'!BL6="","",'Open 30M - Bracket'!BL6),"")</f>
        <v/>
      </c>
      <c r="D143" s="90" t="str">
        <f>IFERROR(IF('Open 30M - Bracket'!BM6="","",'Open 30M - Bracket'!BM6),"")</f>
        <v/>
      </c>
      <c r="E143" s="90" t="str">
        <f>IFERROR(IF('Open 30M - Bracket'!BN6="","",'Open 30M - Bracket'!BN6),"")</f>
        <v/>
      </c>
      <c r="F143" s="90" t="str">
        <f>IFERROR(IF('Open 30M - Bracket'!BO6="","",'Open 30M - Bracket'!BO6),"")</f>
        <v/>
      </c>
      <c r="G143" s="90" t="str">
        <f>IFERROR(IF('Open 30M - Bracket'!BP6="","",'Open 30M - Bracket'!BP6),"")</f>
        <v/>
      </c>
      <c r="H143" s="32">
        <f>IFERROR(IF(ISNUMBER('Open 30M - Bracket'!BQ6),'Open 30M - Bracket'!BQ6,0),0)</f>
        <v>0</v>
      </c>
      <c r="I143" s="91" t="str">
        <f>IF(AND(ISNUMBER('Open 30M - Bracket'!BQ6),ISNUMBER('Open 30M - Bracket'!BQ8)),IF('Open 30M - Bracket'!BQ6&gt;'Open 30M - Bracket'!BQ8,"2-0",IF('Open 30M - Bracket'!BQ6='Open 30M - Bracket'!BQ8,"1-1","0-2")),"—")</f>
        <v>—</v>
      </c>
      <c r="J143" s="32">
        <f>IFERROR(IF(ISNUMBER('Open 30M - Bracket'!BQ8),'Open 30M - Bracket'!BQ8,0),0)</f>
        <v>0</v>
      </c>
      <c r="K143" s="90" t="str">
        <f>IFERROR(IF('Open 30M - Bracket'!BP8="","",'Open 30M - Bracket'!BP8),"")</f>
        <v/>
      </c>
      <c r="L143" s="90" t="str">
        <f>IFERROR(IF('Open 30M - Bracket'!BO8="","",'Open 30M - Bracket'!BO8),"")</f>
        <v/>
      </c>
      <c r="M143" s="90" t="str">
        <f>IFERROR(IF('Open 30M - Bracket'!BN8="","",'Open 30M - Bracket'!BN8),"")</f>
        <v/>
      </c>
      <c r="N143" s="90" t="str">
        <f>IFERROR(IF('Open 30M - Bracket'!BM8="","",'Open 30M - Bracket'!BM8),"")</f>
        <v/>
      </c>
      <c r="O143" s="90" t="str">
        <f>IFERROR(IF('Open 30M - Bracket'!BL8="","",'Open 30M - Bracket'!BL8),"")</f>
        <v/>
      </c>
      <c r="P143" s="90" t="str">
        <f>IFERROR(IF('Open 30M - Bracket'!BK8="","",'Open 30M - Bracket'!BK8),"")</f>
        <v/>
      </c>
      <c r="Q143" s="84" t="s">
        <v>222</v>
      </c>
    </row>
    <row r="144" spans="1:17" ht="21.75" customHeight="1" x14ac:dyDescent="0.35">
      <c r="A144" s="84" t="s">
        <v>223</v>
      </c>
      <c r="B144" s="90" t="str">
        <f>IFERROR(IF('Open 30M - Bracket'!BR6="","",'Open 30M - Bracket'!BR6),"")</f>
        <v/>
      </c>
      <c r="C144" s="90" t="str">
        <f>IFERROR(IF('Open 30M - Bracket'!BS6="","",'Open 30M - Bracket'!BS6),"")</f>
        <v/>
      </c>
      <c r="D144" s="90" t="str">
        <f>IFERROR(IF('Open 30M - Bracket'!BT6="","",'Open 30M - Bracket'!BT6),"")</f>
        <v/>
      </c>
      <c r="E144" s="90" t="str">
        <f>IFERROR(IF('Open 30M - Bracket'!BU6="","",'Open 30M - Bracket'!BU6),"")</f>
        <v/>
      </c>
      <c r="F144" s="90" t="str">
        <f>IFERROR(IF('Open 30M - Bracket'!BV6="","",'Open 30M - Bracket'!BV6),"")</f>
        <v/>
      </c>
      <c r="G144" s="90" t="str">
        <f>IFERROR(IF('Open 30M - Bracket'!BW6="","",'Open 30M - Bracket'!BW6),"")</f>
        <v/>
      </c>
      <c r="H144" s="32">
        <f>IFERROR(IF(ISNUMBER('Open 30M - Bracket'!BX6),'Open 30M - Bracket'!BX6,0),0)</f>
        <v>0</v>
      </c>
      <c r="I144" s="91" t="str">
        <f>IF(AND(ISNUMBER('Open 30M - Bracket'!BX6),ISNUMBER('Open 30M - Bracket'!BX8)),IF('Open 30M - Bracket'!BX6&gt;'Open 30M - Bracket'!BX8,"2-0",IF('Open 30M - Bracket'!BX6='Open 30M - Bracket'!BX8,"1-1","0-2")),"—")</f>
        <v>—</v>
      </c>
      <c r="J144" s="32">
        <f>IFERROR(IF(ISNUMBER('Open 30M - Bracket'!BX8),'Open 30M - Bracket'!BX8,0),0)</f>
        <v>0</v>
      </c>
      <c r="K144" s="90" t="str">
        <f>IFERROR(IF('Open 30M - Bracket'!BW8="","",'Open 30M - Bracket'!BW8),"")</f>
        <v/>
      </c>
      <c r="L144" s="90" t="str">
        <f>IFERROR(IF('Open 30M - Bracket'!BV8="","",'Open 30M - Bracket'!BV8),"")</f>
        <v/>
      </c>
      <c r="M144" s="90" t="str">
        <f>IFERROR(IF('Open 30M - Bracket'!BU8="","",'Open 30M - Bracket'!BU8),"")</f>
        <v/>
      </c>
      <c r="N144" s="90" t="str">
        <f>IFERROR(IF('Open 30M - Bracket'!BT8="","",'Open 30M - Bracket'!BT8),"")</f>
        <v/>
      </c>
      <c r="O144" s="90" t="str">
        <f>IFERROR(IF('Open 30M - Bracket'!BS8="","",'Open 30M - Bracket'!BS8),"")</f>
        <v/>
      </c>
      <c r="P144" s="90" t="str">
        <f>IFERROR(IF('Open 30M - Bracket'!BR8="","",'Open 30M - Bracket'!BR8),"")</f>
        <v/>
      </c>
      <c r="Q144" s="84" t="s">
        <v>223</v>
      </c>
    </row>
    <row r="145" spans="1:17" ht="21.75" customHeight="1" x14ac:dyDescent="0.35">
      <c r="A145" s="84" t="s">
        <v>224</v>
      </c>
      <c r="B145" s="90" t="str">
        <f>IFERROR(IF('Open 30M - Bracket'!BY6="","",'Open 30M - Bracket'!BY6),"")</f>
        <v/>
      </c>
      <c r="C145" s="90" t="str">
        <f>IFERROR(IF('Open 30M - Bracket'!BZ6="","",'Open 30M - Bracket'!BZ6),"")</f>
        <v/>
      </c>
      <c r="D145" s="90" t="str">
        <f>IFERROR(IF('Open 30M - Bracket'!CA6="","",'Open 30M - Bracket'!CA6),"")</f>
        <v/>
      </c>
      <c r="E145" s="90" t="str">
        <f>IFERROR(IF('Open 30M - Bracket'!CB6="","",'Open 30M - Bracket'!CB6),"")</f>
        <v/>
      </c>
      <c r="F145" s="90" t="str">
        <f>IFERROR(IF('Open 30M - Bracket'!CC6="","",'Open 30M - Bracket'!CC6),"")</f>
        <v/>
      </c>
      <c r="G145" s="90" t="str">
        <f>IFERROR(IF('Open 30M - Bracket'!CD6="","",'Open 30M - Bracket'!CD6),"")</f>
        <v/>
      </c>
      <c r="H145" s="32">
        <f>IFERROR(IF(ISNUMBER('Open 30M - Bracket'!CE6),'Open 30M - Bracket'!CE6,0),0)</f>
        <v>0</v>
      </c>
      <c r="I145" s="91" t="str">
        <f>IF(AND(ISNUMBER('Open 30M - Bracket'!CE6),ISNUMBER('Open 30M - Bracket'!CE8)),IF('Open 30M - Bracket'!CE6&gt;'Open 30M - Bracket'!CE8,"2-0",IF('Open 30M - Bracket'!CE6='Open 30M - Bracket'!CE8,"1-1","0-2")),"—")</f>
        <v>—</v>
      </c>
      <c r="J145" s="32">
        <f>IFERROR(IF(ISNUMBER('Open 30M - Bracket'!CE8),'Open 30M - Bracket'!CE8,0),0)</f>
        <v>0</v>
      </c>
      <c r="K145" s="90" t="str">
        <f>IFERROR(IF('Open 30M - Bracket'!CD8="","",'Open 30M - Bracket'!CD8),"")</f>
        <v/>
      </c>
      <c r="L145" s="90" t="str">
        <f>IFERROR(IF('Open 30M - Bracket'!CC8="","",'Open 30M - Bracket'!CC8),"")</f>
        <v/>
      </c>
      <c r="M145" s="90" t="str">
        <f>IFERROR(IF('Open 30M - Bracket'!CB8="","",'Open 30M - Bracket'!CB8),"")</f>
        <v/>
      </c>
      <c r="N145" s="90" t="str">
        <f>IFERROR(IF('Open 30M - Bracket'!CA8="","",'Open 30M - Bracket'!CA8),"")</f>
        <v/>
      </c>
      <c r="O145" s="90" t="str">
        <f>IFERROR(IF('Open 30M - Bracket'!BZ8="","",'Open 30M - Bracket'!BZ8),"")</f>
        <v/>
      </c>
      <c r="P145" s="90" t="str">
        <f>IFERROR(IF('Open 30M - Bracket'!BY8="","",'Open 30M - Bracket'!BY8),"")</f>
        <v/>
      </c>
      <c r="Q145" s="84" t="s">
        <v>224</v>
      </c>
    </row>
    <row r="146" spans="1:17" ht="21.75" customHeight="1" x14ac:dyDescent="0.35">
      <c r="A146" s="84" t="s">
        <v>227</v>
      </c>
      <c r="B146" s="90" t="str">
        <f>IFERROR(IF('Open 30M - Bracket'!CF6="","",'Open 30M - Bracket'!CF6),"")</f>
        <v/>
      </c>
      <c r="C146" s="90" t="str">
        <f>IFERROR(IF('Open 30M - Bracket'!CG6="","",'Open 30M - Bracket'!CG6),"")</f>
        <v/>
      </c>
      <c r="D146" s="90" t="str">
        <f>IFERROR(IF('Open 30M - Bracket'!CH6="","",'Open 30M - Bracket'!CH6),"")</f>
        <v/>
      </c>
      <c r="E146" s="90" t="str">
        <f>IFERROR(IF('Open 30M - Bracket'!CI6="","",'Open 30M - Bracket'!CI6),"")</f>
        <v/>
      </c>
      <c r="F146" s="90" t="str">
        <f>IFERROR(IF('Open 30M - Bracket'!CJ6="","",'Open 30M - Bracket'!CJ6),"")</f>
        <v/>
      </c>
      <c r="G146" s="90" t="str">
        <f>IFERROR(IF('Open 30M - Bracket'!CK6="","",'Open 30M - Bracket'!CK6),"")</f>
        <v/>
      </c>
      <c r="H146" s="32">
        <f>IFERROR(IF(ISNUMBER('Open 30M - Bracket'!CL6),'Open 30M - Bracket'!CL6,0),0)</f>
        <v>0</v>
      </c>
      <c r="I146" s="91" t="str">
        <f>IF(AND(ISNUMBER('Open 30M - Bracket'!CL6),ISNUMBER('Open 30M - Bracket'!CL8)),IF('Open 30M - Bracket'!CL6&gt;'Open 30M - Bracket'!CL8,"2-0",IF('Open 30M - Bracket'!CL6='Open 30M - Bracket'!CL8,"1-1","0-2")),"—")</f>
        <v>—</v>
      </c>
      <c r="J146" s="32">
        <f>IFERROR(IF(ISNUMBER('Open 30M - Bracket'!CL8),'Open 30M - Bracket'!CL8,0),0)</f>
        <v>0</v>
      </c>
      <c r="K146" s="90" t="str">
        <f>IFERROR(IF('Open 30M - Bracket'!CK8="","",'Open 30M - Bracket'!CK8),"")</f>
        <v/>
      </c>
      <c r="L146" s="90" t="str">
        <f>IFERROR(IF('Open 30M - Bracket'!CJ8="","",'Open 30M - Bracket'!CJ8),"")</f>
        <v/>
      </c>
      <c r="M146" s="90" t="str">
        <f>IFERROR(IF('Open 30M - Bracket'!CI8="","",'Open 30M - Bracket'!CI8),"")</f>
        <v/>
      </c>
      <c r="N146" s="90" t="str">
        <f>IFERROR(IF('Open 30M - Bracket'!CH8="","",'Open 30M - Bracket'!CH8),"")</f>
        <v/>
      </c>
      <c r="O146" s="90" t="str">
        <f>IFERROR(IF('Open 30M - Bracket'!CG8="","",'Open 30M - Bracket'!CG8),"")</f>
        <v/>
      </c>
      <c r="P146" s="90" t="str">
        <f>IFERROR(IF('Open 30M - Bracket'!CF8="","",'Open 30M - Bracket'!CF8),"")</f>
        <v/>
      </c>
      <c r="Q146" s="84" t="s">
        <v>227</v>
      </c>
    </row>
    <row r="147" spans="1:17" ht="21.75" customHeight="1" x14ac:dyDescent="0.35">
      <c r="A147" s="84" t="s">
        <v>228</v>
      </c>
      <c r="B147" s="90" t="str">
        <f>IFERROR(IF('Open 30M - Bracket'!CM6="","",'Open 30M - Bracket'!CM6),"")</f>
        <v/>
      </c>
      <c r="C147" s="90" t="str">
        <f>IFERROR(IF('Open 30M - Bracket'!CN6="","",'Open 30M - Bracket'!CN6),"")</f>
        <v/>
      </c>
      <c r="D147" s="90" t="str">
        <f>IFERROR(IF('Open 30M - Bracket'!CO6="","",'Open 30M - Bracket'!CO6),"")</f>
        <v/>
      </c>
      <c r="E147" s="90" t="str">
        <f>IFERROR(IF('Open 30M - Bracket'!CP6="","",'Open 30M - Bracket'!CP6),"")</f>
        <v/>
      </c>
      <c r="F147" s="90" t="str">
        <f>IFERROR(IF('Open 30M - Bracket'!CQ6="","",'Open 30M - Bracket'!CQ6),"")</f>
        <v/>
      </c>
      <c r="G147" s="90" t="str">
        <f>IFERROR(IF('Open 30M - Bracket'!CR6="","",'Open 30M - Bracket'!CR6),"")</f>
        <v/>
      </c>
      <c r="H147" s="32">
        <f>IFERROR(IF(ISNUMBER('Open 30M - Bracket'!CS6),'Open 30M - Bracket'!CS6,0),0)</f>
        <v>0</v>
      </c>
      <c r="I147" s="91" t="str">
        <f>IF(AND(ISNUMBER('Open 30M - Bracket'!CS6),ISNUMBER('Open 30M - Bracket'!CS8)),IF('Open 30M - Bracket'!CS6&gt;'Open 30M - Bracket'!CS8,"2-0",IF('Open 30M - Bracket'!CS6='Open 30M - Bracket'!CS8,"1-1","0-2")),"—")</f>
        <v>—</v>
      </c>
      <c r="J147" s="32">
        <f>IFERROR(IF(ISNUMBER('Open 30M - Bracket'!CS8),'Open 30M - Bracket'!CS8,0),0)</f>
        <v>0</v>
      </c>
      <c r="K147" s="90" t="str">
        <f>IFERROR(IF('Open 30M - Bracket'!CR8="","",'Open 30M - Bracket'!CR8),"")</f>
        <v/>
      </c>
      <c r="L147" s="90" t="str">
        <f>IFERROR(IF('Open 30M - Bracket'!CQ8="","",'Open 30M - Bracket'!CQ8),"")</f>
        <v/>
      </c>
      <c r="M147" s="90" t="str">
        <f>IFERROR(IF('Open 30M - Bracket'!CP8="","",'Open 30M - Bracket'!CP8),"")</f>
        <v/>
      </c>
      <c r="N147" s="90" t="str">
        <f>IFERROR(IF('Open 30M - Bracket'!CO8="","",'Open 30M - Bracket'!CO8),"")</f>
        <v/>
      </c>
      <c r="O147" s="90" t="str">
        <f>IFERROR(IF('Open 30M - Bracket'!CN8="","",'Open 30M - Bracket'!CN8),"")</f>
        <v/>
      </c>
      <c r="P147" s="90" t="str">
        <f>IFERROR(IF('Open 30M - Bracket'!CM8="","",'Open 30M - Bracket'!CM8),"")</f>
        <v/>
      </c>
      <c r="Q147" s="84" t="s">
        <v>228</v>
      </c>
    </row>
    <row r="148" spans="1:17" ht="21.75" customHeight="1" x14ac:dyDescent="0.35">
      <c r="A148" s="92" t="s">
        <v>237</v>
      </c>
      <c r="B148" s="93" t="str">
        <f>IFERROR(IF('Open 30M - Bracket'!CT6="","",'Open 30M - Bracket'!CT6),"")</f>
        <v/>
      </c>
      <c r="C148" s="93" t="str">
        <f>IFERROR(IF('Open 30M - Bracket'!CU6="","",'Open 30M - Bracket'!CU6),"")</f>
        <v/>
      </c>
      <c r="D148" s="93" t="str">
        <f>IFERROR(IF('Open 30M - Bracket'!CV6="","",'Open 30M - Bracket'!CV6),"")</f>
        <v/>
      </c>
      <c r="E148" s="93" t="str">
        <f>IFERROR(IF('Open 30M - Bracket'!CW6="","",'Open 30M - Bracket'!CW6),"")</f>
        <v/>
      </c>
      <c r="F148" s="93" t="str">
        <f>IFERROR(IF('Open 30M - Bracket'!CX6="","",'Open 30M - Bracket'!CX6),"")</f>
        <v/>
      </c>
      <c r="G148" s="93" t="str">
        <f>IFERROR(IF('Open 30M - Bracket'!CY6="","",'Open 30M - Bracket'!CY6),"")</f>
        <v/>
      </c>
      <c r="H148" s="32">
        <f>IFERROR(IF(ISNUMBER('Open 30M - Bracket'!CZ6),'Open 30M - Bracket'!CZ6,0),0)</f>
        <v>0</v>
      </c>
      <c r="I148" s="91" t="str">
        <f>IF(AND(ISNUMBER('Open 30M - Bracket'!CZ6),ISNUMBER('Open 30M - Bracket'!CZ8)),IF('Open 30M - Bracket'!CZ6&gt;'Open 30M - Bracket'!CZ8,"2-0",IF('Open 30M - Bracket'!CZ6='Open 30M - Bracket'!CZ8,"1-1","0-2")),"—")</f>
        <v>—</v>
      </c>
      <c r="J148" s="32">
        <f>IFERROR(IF(ISNUMBER('Open 30M - Bracket'!CZ8),'Open 30M - Bracket'!CZ8,0),0)</f>
        <v>0</v>
      </c>
      <c r="K148" s="93" t="str">
        <f>IFERROR(IF('Open 30M - Bracket'!CY8="","",'Open 30M - Bracket'!CY8),"")</f>
        <v/>
      </c>
      <c r="L148" s="93" t="str">
        <f>IFERROR(IF('Open 30M - Bracket'!CX8="","",'Open 30M - Bracket'!CX8),"")</f>
        <v/>
      </c>
      <c r="M148" s="93" t="str">
        <f>IFERROR(IF('Open 30M - Bracket'!CW8="","",'Open 30M - Bracket'!CW8),"")</f>
        <v/>
      </c>
      <c r="N148" s="93" t="str">
        <f>IFERROR(IF('Open 30M - Bracket'!CV8="","",'Open 30M - Bracket'!CV8),"")</f>
        <v/>
      </c>
      <c r="O148" s="93" t="str">
        <f>IFERROR(IF('Open 30M - Bracket'!CU8="","",'Open 30M - Bracket'!CU8),"")</f>
        <v/>
      </c>
      <c r="P148" s="93" t="str">
        <f>IFERROR(IF('Open 30M - Bracket'!CT8="","",'Open 30M - Bracket'!CT8),"")</f>
        <v/>
      </c>
      <c r="Q148" s="92" t="s">
        <v>237</v>
      </c>
    </row>
    <row r="149" spans="1:17" ht="4.5" customHeight="1" x14ac:dyDescent="0.35"/>
    <row r="150" spans="1:17" ht="31.5" customHeight="1" x14ac:dyDescent="0.35">
      <c r="A150" s="130">
        <f>IFERROR(IF(ISNUMBER('Open 30M - Bracket'!DA6),'Open 30M - Bracket'!DA6,0),0)</f>
        <v>0</v>
      </c>
      <c r="B150" s="130"/>
      <c r="C150" s="130"/>
      <c r="D150" s="130"/>
      <c r="E150" s="130"/>
      <c r="F150" s="130"/>
      <c r="G150" s="130"/>
      <c r="H150" s="94" t="str">
        <f>IFERROR('Open 30M - Bracket'!DD6,"")</f>
        <v>&gt;&gt; Advance</v>
      </c>
      <c r="I150" s="86"/>
      <c r="J150" s="94" t="str">
        <f>IFERROR('Open 30M - Bracket'!DD8,"")</f>
        <v>BYE</v>
      </c>
      <c r="K150" s="130">
        <f>IFERROR(IF(ISNUMBER('Open 30M - Bracket'!DA8),'Open 30M - Bracket'!DA8,0),0)</f>
        <v>0</v>
      </c>
      <c r="L150" s="130"/>
      <c r="M150" s="130"/>
      <c r="N150" s="130"/>
      <c r="O150" s="130"/>
      <c r="P150" s="130"/>
      <c r="Q150" s="130"/>
    </row>
    <row r="151" spans="1:17" ht="21.75" customHeight="1" x14ac:dyDescent="0.35">
      <c r="A151" s="130"/>
      <c r="B151" s="130"/>
      <c r="C151" s="130"/>
      <c r="D151" s="130"/>
      <c r="E151" s="130"/>
      <c r="F151" s="130"/>
      <c r="G151" s="130"/>
      <c r="K151" s="130"/>
      <c r="L151" s="130"/>
      <c r="M151" s="130"/>
      <c r="N151" s="130"/>
      <c r="O151" s="130"/>
      <c r="P151" s="130"/>
      <c r="Q151" s="130"/>
    </row>
    <row r="152" spans="1:17" ht="4.5" customHeight="1" x14ac:dyDescent="0.35"/>
    <row r="153" spans="1:17" ht="12" customHeight="1" x14ac:dyDescent="0.35">
      <c r="A153" s="126"/>
      <c r="B153" s="126"/>
      <c r="C153" s="126"/>
      <c r="D153" s="126"/>
      <c r="E153" s="126"/>
      <c r="F153" s="126"/>
      <c r="G153" s="126"/>
      <c r="H153" s="126"/>
      <c r="I153" s="126"/>
      <c r="J153" s="126"/>
      <c r="K153" s="126"/>
      <c r="L153" s="126"/>
      <c r="M153" s="126"/>
      <c r="N153" s="126"/>
      <c r="O153" s="126"/>
      <c r="P153" s="126"/>
      <c r="Q153" s="126"/>
    </row>
    <row r="154" spans="1:17" ht="7.5" customHeight="1" x14ac:dyDescent="0.35"/>
    <row r="155" spans="1:17" ht="19.5" customHeight="1" x14ac:dyDescent="0.35">
      <c r="A155" s="131" t="s">
        <v>246</v>
      </c>
      <c r="B155" s="131"/>
      <c r="C155" s="131"/>
      <c r="D155" s="131"/>
      <c r="E155" s="131"/>
      <c r="F155" s="131"/>
      <c r="G155" s="131"/>
      <c r="H155" s="131"/>
      <c r="I155" s="131"/>
      <c r="J155" s="131"/>
      <c r="K155" s="131"/>
      <c r="L155" s="131"/>
      <c r="M155" s="131"/>
      <c r="N155" s="131"/>
      <c r="O155" s="131"/>
      <c r="P155" s="131"/>
      <c r="Q155" s="131"/>
    </row>
    <row r="156" spans="1:17" ht="4.5" customHeight="1" x14ac:dyDescent="0.35"/>
    <row r="157" spans="1:17" ht="21.75" customHeight="1" x14ac:dyDescent="0.35">
      <c r="A157" s="84" t="s">
        <v>232</v>
      </c>
      <c r="B157" s="128" t="str">
        <f>IFERROR(IF('Open 30M - Bracket'!BE11="","TBD",'Open 30M - Bracket'!BE11),"TBD")</f>
        <v>TBD</v>
      </c>
      <c r="C157" s="128"/>
      <c r="D157" s="128"/>
      <c r="E157" s="128"/>
      <c r="F157" s="128"/>
      <c r="G157" s="128"/>
      <c r="H157" s="128"/>
      <c r="I157" s="84" t="s">
        <v>233</v>
      </c>
      <c r="J157" s="128" t="str">
        <f>IFERROR(IF('Open 30M - Bracket'!BE13="","TBD",'Open 30M - Bracket'!BE13),"TBD")</f>
        <v>TBD</v>
      </c>
      <c r="K157" s="128"/>
      <c r="L157" s="128"/>
      <c r="M157" s="128"/>
      <c r="N157" s="128"/>
      <c r="O157" s="128"/>
      <c r="P157" s="128"/>
      <c r="Q157" s="84" t="s">
        <v>232</v>
      </c>
    </row>
    <row r="158" spans="1:17" ht="13.5" customHeight="1" x14ac:dyDescent="0.35">
      <c r="A158" s="85" t="s">
        <v>234</v>
      </c>
      <c r="B158" s="129" t="str">
        <f>IFERROR('Open 30M - Bracket'!BD11,"")</f>
        <v>"W-R16M3"</v>
      </c>
      <c r="C158" s="129"/>
      <c r="D158" s="129"/>
      <c r="E158" s="129"/>
      <c r="F158" s="129"/>
      <c r="G158" s="129"/>
      <c r="H158" s="129"/>
      <c r="I158" s="86"/>
      <c r="J158" s="129" t="str">
        <f>IFERROR('Open 30M - Bracket'!BD13,"")</f>
        <v>"W-R16M4"</v>
      </c>
      <c r="K158" s="129"/>
      <c r="L158" s="129"/>
      <c r="M158" s="129"/>
      <c r="N158" s="129"/>
      <c r="O158" s="129"/>
      <c r="P158" s="129"/>
      <c r="Q158" s="85" t="s">
        <v>234</v>
      </c>
    </row>
    <row r="159" spans="1:17" ht="19.5" customHeight="1" x14ac:dyDescent="0.35">
      <c r="A159" s="87" t="s">
        <v>235</v>
      </c>
      <c r="B159" s="88" t="s">
        <v>83</v>
      </c>
      <c r="C159" s="88" t="s">
        <v>84</v>
      </c>
      <c r="D159" s="88" t="s">
        <v>85</v>
      </c>
      <c r="E159" s="88" t="s">
        <v>86</v>
      </c>
      <c r="F159" s="88" t="s">
        <v>87</v>
      </c>
      <c r="G159" s="88" t="s">
        <v>88</v>
      </c>
      <c r="H159" s="24" t="s">
        <v>236</v>
      </c>
      <c r="I159" s="89"/>
      <c r="J159" s="24" t="s">
        <v>236</v>
      </c>
      <c r="K159" s="88" t="s">
        <v>88</v>
      </c>
      <c r="L159" s="88" t="s">
        <v>87</v>
      </c>
      <c r="M159" s="88" t="s">
        <v>86</v>
      </c>
      <c r="N159" s="88" t="s">
        <v>85</v>
      </c>
      <c r="O159" s="88" t="s">
        <v>84</v>
      </c>
      <c r="P159" s="88" t="s">
        <v>83</v>
      </c>
      <c r="Q159" s="87" t="s">
        <v>235</v>
      </c>
    </row>
    <row r="160" spans="1:17" ht="21.75" customHeight="1" x14ac:dyDescent="0.35">
      <c r="A160" s="84" t="s">
        <v>222</v>
      </c>
      <c r="B160" s="90" t="str">
        <f>IFERROR(IF('Open 30M - Bracket'!BK11="","",'Open 30M - Bracket'!BK11),"")</f>
        <v/>
      </c>
      <c r="C160" s="90" t="str">
        <f>IFERROR(IF('Open 30M - Bracket'!BL11="","",'Open 30M - Bracket'!BL11),"")</f>
        <v/>
      </c>
      <c r="D160" s="90" t="str">
        <f>IFERROR(IF('Open 30M - Bracket'!BM11="","",'Open 30M - Bracket'!BM11),"")</f>
        <v/>
      </c>
      <c r="E160" s="90" t="str">
        <f>IFERROR(IF('Open 30M - Bracket'!BN11="","",'Open 30M - Bracket'!BN11),"")</f>
        <v/>
      </c>
      <c r="F160" s="90" t="str">
        <f>IFERROR(IF('Open 30M - Bracket'!BO11="","",'Open 30M - Bracket'!BO11),"")</f>
        <v/>
      </c>
      <c r="G160" s="90" t="str">
        <f>IFERROR(IF('Open 30M - Bracket'!BP11="","",'Open 30M - Bracket'!BP11),"")</f>
        <v/>
      </c>
      <c r="H160" s="32">
        <f>IFERROR(IF(ISNUMBER('Open 30M - Bracket'!BQ11),'Open 30M - Bracket'!BQ11,0),0)</f>
        <v>0</v>
      </c>
      <c r="I160" s="91" t="str">
        <f>IF(AND(ISNUMBER('Open 30M - Bracket'!BQ11),ISNUMBER('Open 30M - Bracket'!BQ13)),IF('Open 30M - Bracket'!BQ11&gt;'Open 30M - Bracket'!BQ13,"2-0",IF('Open 30M - Bracket'!BQ11='Open 30M - Bracket'!BQ13,"1-1","0-2")),"—")</f>
        <v>—</v>
      </c>
      <c r="J160" s="32">
        <f>IFERROR(IF(ISNUMBER('Open 30M - Bracket'!BQ13),'Open 30M - Bracket'!BQ13,0),0)</f>
        <v>0</v>
      </c>
      <c r="K160" s="90" t="str">
        <f>IFERROR(IF('Open 30M - Bracket'!BP13="","",'Open 30M - Bracket'!BP13),"")</f>
        <v/>
      </c>
      <c r="L160" s="90" t="str">
        <f>IFERROR(IF('Open 30M - Bracket'!BO13="","",'Open 30M - Bracket'!BO13),"")</f>
        <v/>
      </c>
      <c r="M160" s="90" t="str">
        <f>IFERROR(IF('Open 30M - Bracket'!BN13="","",'Open 30M - Bracket'!BN13),"")</f>
        <v/>
      </c>
      <c r="N160" s="90" t="str">
        <f>IFERROR(IF('Open 30M - Bracket'!BM13="","",'Open 30M - Bracket'!BM13),"")</f>
        <v/>
      </c>
      <c r="O160" s="90" t="str">
        <f>IFERROR(IF('Open 30M - Bracket'!BL13="","",'Open 30M - Bracket'!BL13),"")</f>
        <v/>
      </c>
      <c r="P160" s="90" t="str">
        <f>IFERROR(IF('Open 30M - Bracket'!BK13="","",'Open 30M - Bracket'!BK13),"")</f>
        <v/>
      </c>
      <c r="Q160" s="84" t="s">
        <v>222</v>
      </c>
    </row>
    <row r="161" spans="1:17" ht="21.75" customHeight="1" x14ac:dyDescent="0.35">
      <c r="A161" s="84" t="s">
        <v>223</v>
      </c>
      <c r="B161" s="90" t="str">
        <f>IFERROR(IF('Open 30M - Bracket'!BR11="","",'Open 30M - Bracket'!BR11),"")</f>
        <v/>
      </c>
      <c r="C161" s="90" t="str">
        <f>IFERROR(IF('Open 30M - Bracket'!BS11="","",'Open 30M - Bracket'!BS11),"")</f>
        <v/>
      </c>
      <c r="D161" s="90" t="str">
        <f>IFERROR(IF('Open 30M - Bracket'!BT11="","",'Open 30M - Bracket'!BT11),"")</f>
        <v/>
      </c>
      <c r="E161" s="90" t="str">
        <f>IFERROR(IF('Open 30M - Bracket'!BU11="","",'Open 30M - Bracket'!BU11),"")</f>
        <v/>
      </c>
      <c r="F161" s="90" t="str">
        <f>IFERROR(IF('Open 30M - Bracket'!BV11="","",'Open 30M - Bracket'!BV11),"")</f>
        <v/>
      </c>
      <c r="G161" s="90" t="str">
        <f>IFERROR(IF('Open 30M - Bracket'!BW11="","",'Open 30M - Bracket'!BW11),"")</f>
        <v/>
      </c>
      <c r="H161" s="32">
        <f>IFERROR(IF(ISNUMBER('Open 30M - Bracket'!BX11),'Open 30M - Bracket'!BX11,0),0)</f>
        <v>0</v>
      </c>
      <c r="I161" s="91" t="str">
        <f>IF(AND(ISNUMBER('Open 30M - Bracket'!BX11),ISNUMBER('Open 30M - Bracket'!BX13)),IF('Open 30M - Bracket'!BX11&gt;'Open 30M - Bracket'!BX13,"2-0",IF('Open 30M - Bracket'!BX11='Open 30M - Bracket'!BX13,"1-1","0-2")),"—")</f>
        <v>—</v>
      </c>
      <c r="J161" s="32">
        <f>IFERROR(IF(ISNUMBER('Open 30M - Bracket'!BX13),'Open 30M - Bracket'!BX13,0),0)</f>
        <v>0</v>
      </c>
      <c r="K161" s="90" t="str">
        <f>IFERROR(IF('Open 30M - Bracket'!BW13="","",'Open 30M - Bracket'!BW13),"")</f>
        <v/>
      </c>
      <c r="L161" s="90" t="str">
        <f>IFERROR(IF('Open 30M - Bracket'!BV13="","",'Open 30M - Bracket'!BV13),"")</f>
        <v/>
      </c>
      <c r="M161" s="90" t="str">
        <f>IFERROR(IF('Open 30M - Bracket'!BU13="","",'Open 30M - Bracket'!BU13),"")</f>
        <v/>
      </c>
      <c r="N161" s="90" t="str">
        <f>IFERROR(IF('Open 30M - Bracket'!BT13="","",'Open 30M - Bracket'!BT13),"")</f>
        <v/>
      </c>
      <c r="O161" s="90" t="str">
        <f>IFERROR(IF('Open 30M - Bracket'!BS13="","",'Open 30M - Bracket'!BS13),"")</f>
        <v/>
      </c>
      <c r="P161" s="90" t="str">
        <f>IFERROR(IF('Open 30M - Bracket'!BR13="","",'Open 30M - Bracket'!BR13),"")</f>
        <v/>
      </c>
      <c r="Q161" s="84" t="s">
        <v>223</v>
      </c>
    </row>
    <row r="162" spans="1:17" ht="21.75" customHeight="1" x14ac:dyDescent="0.35">
      <c r="A162" s="84" t="s">
        <v>224</v>
      </c>
      <c r="B162" s="90" t="str">
        <f>IFERROR(IF('Open 30M - Bracket'!BY11="","",'Open 30M - Bracket'!BY11),"")</f>
        <v/>
      </c>
      <c r="C162" s="90" t="str">
        <f>IFERROR(IF('Open 30M - Bracket'!BZ11="","",'Open 30M - Bracket'!BZ11),"")</f>
        <v/>
      </c>
      <c r="D162" s="90" t="str">
        <f>IFERROR(IF('Open 30M - Bracket'!CA11="","",'Open 30M - Bracket'!CA11),"")</f>
        <v/>
      </c>
      <c r="E162" s="90" t="str">
        <f>IFERROR(IF('Open 30M - Bracket'!CB11="","",'Open 30M - Bracket'!CB11),"")</f>
        <v/>
      </c>
      <c r="F162" s="90" t="str">
        <f>IFERROR(IF('Open 30M - Bracket'!CC11="","",'Open 30M - Bracket'!CC11),"")</f>
        <v/>
      </c>
      <c r="G162" s="90" t="str">
        <f>IFERROR(IF('Open 30M - Bracket'!CD11="","",'Open 30M - Bracket'!CD11),"")</f>
        <v/>
      </c>
      <c r="H162" s="32">
        <f>IFERROR(IF(ISNUMBER('Open 30M - Bracket'!CE11),'Open 30M - Bracket'!CE11,0),0)</f>
        <v>0</v>
      </c>
      <c r="I162" s="91" t="str">
        <f>IF(AND(ISNUMBER('Open 30M - Bracket'!CE11),ISNUMBER('Open 30M - Bracket'!CE13)),IF('Open 30M - Bracket'!CE11&gt;'Open 30M - Bracket'!CE13,"2-0",IF('Open 30M - Bracket'!CE11='Open 30M - Bracket'!CE13,"1-1","0-2")),"—")</f>
        <v>—</v>
      </c>
      <c r="J162" s="32">
        <f>IFERROR(IF(ISNUMBER('Open 30M - Bracket'!CE13),'Open 30M - Bracket'!CE13,0),0)</f>
        <v>0</v>
      </c>
      <c r="K162" s="90" t="str">
        <f>IFERROR(IF('Open 30M - Bracket'!CD13="","",'Open 30M - Bracket'!CD13),"")</f>
        <v/>
      </c>
      <c r="L162" s="90" t="str">
        <f>IFERROR(IF('Open 30M - Bracket'!CC13="","",'Open 30M - Bracket'!CC13),"")</f>
        <v/>
      </c>
      <c r="M162" s="90" t="str">
        <f>IFERROR(IF('Open 30M - Bracket'!CB13="","",'Open 30M - Bracket'!CB13),"")</f>
        <v/>
      </c>
      <c r="N162" s="90" t="str">
        <f>IFERROR(IF('Open 30M - Bracket'!CA13="","",'Open 30M - Bracket'!CA13),"")</f>
        <v/>
      </c>
      <c r="O162" s="90" t="str">
        <f>IFERROR(IF('Open 30M - Bracket'!BZ13="","",'Open 30M - Bracket'!BZ13),"")</f>
        <v/>
      </c>
      <c r="P162" s="90" t="str">
        <f>IFERROR(IF('Open 30M - Bracket'!BY13="","",'Open 30M - Bracket'!BY13),"")</f>
        <v/>
      </c>
      <c r="Q162" s="84" t="s">
        <v>224</v>
      </c>
    </row>
    <row r="163" spans="1:17" ht="21.75" customHeight="1" x14ac:dyDescent="0.35">
      <c r="A163" s="84" t="s">
        <v>227</v>
      </c>
      <c r="B163" s="90" t="str">
        <f>IFERROR(IF('Open 30M - Bracket'!CF11="","",'Open 30M - Bracket'!CF11),"")</f>
        <v/>
      </c>
      <c r="C163" s="90" t="str">
        <f>IFERROR(IF('Open 30M - Bracket'!CG11="","",'Open 30M - Bracket'!CG11),"")</f>
        <v/>
      </c>
      <c r="D163" s="90" t="str">
        <f>IFERROR(IF('Open 30M - Bracket'!CH11="","",'Open 30M - Bracket'!CH11),"")</f>
        <v/>
      </c>
      <c r="E163" s="90" t="str">
        <f>IFERROR(IF('Open 30M - Bracket'!CI11="","",'Open 30M - Bracket'!CI11),"")</f>
        <v/>
      </c>
      <c r="F163" s="90" t="str">
        <f>IFERROR(IF('Open 30M - Bracket'!CJ11="","",'Open 30M - Bracket'!CJ11),"")</f>
        <v/>
      </c>
      <c r="G163" s="90" t="str">
        <f>IFERROR(IF('Open 30M - Bracket'!CK11="","",'Open 30M - Bracket'!CK11),"")</f>
        <v/>
      </c>
      <c r="H163" s="32">
        <f>IFERROR(IF(ISNUMBER('Open 30M - Bracket'!CL11),'Open 30M - Bracket'!CL11,0),0)</f>
        <v>0</v>
      </c>
      <c r="I163" s="91" t="str">
        <f>IF(AND(ISNUMBER('Open 30M - Bracket'!CL11),ISNUMBER('Open 30M - Bracket'!CL13)),IF('Open 30M - Bracket'!CL11&gt;'Open 30M - Bracket'!CL13,"2-0",IF('Open 30M - Bracket'!CL11='Open 30M - Bracket'!CL13,"1-1","0-2")),"—")</f>
        <v>—</v>
      </c>
      <c r="J163" s="32">
        <f>IFERROR(IF(ISNUMBER('Open 30M - Bracket'!CL13),'Open 30M - Bracket'!CL13,0),0)</f>
        <v>0</v>
      </c>
      <c r="K163" s="90" t="str">
        <f>IFERROR(IF('Open 30M - Bracket'!CK13="","",'Open 30M - Bracket'!CK13),"")</f>
        <v/>
      </c>
      <c r="L163" s="90" t="str">
        <f>IFERROR(IF('Open 30M - Bracket'!CJ13="","",'Open 30M - Bracket'!CJ13),"")</f>
        <v/>
      </c>
      <c r="M163" s="90" t="str">
        <f>IFERROR(IF('Open 30M - Bracket'!CI13="","",'Open 30M - Bracket'!CI13),"")</f>
        <v/>
      </c>
      <c r="N163" s="90" t="str">
        <f>IFERROR(IF('Open 30M - Bracket'!CH13="","",'Open 30M - Bracket'!CH13),"")</f>
        <v/>
      </c>
      <c r="O163" s="90" t="str">
        <f>IFERROR(IF('Open 30M - Bracket'!CG13="","",'Open 30M - Bracket'!CG13),"")</f>
        <v/>
      </c>
      <c r="P163" s="90" t="str">
        <f>IFERROR(IF('Open 30M - Bracket'!CF13="","",'Open 30M - Bracket'!CF13),"")</f>
        <v/>
      </c>
      <c r="Q163" s="84" t="s">
        <v>227</v>
      </c>
    </row>
    <row r="164" spans="1:17" ht="21.75" customHeight="1" x14ac:dyDescent="0.35">
      <c r="A164" s="84" t="s">
        <v>228</v>
      </c>
      <c r="B164" s="90" t="str">
        <f>IFERROR(IF('Open 30M - Bracket'!CM11="","",'Open 30M - Bracket'!CM11),"")</f>
        <v/>
      </c>
      <c r="C164" s="90" t="str">
        <f>IFERROR(IF('Open 30M - Bracket'!CN11="","",'Open 30M - Bracket'!CN11),"")</f>
        <v/>
      </c>
      <c r="D164" s="90" t="str">
        <f>IFERROR(IF('Open 30M - Bracket'!CO11="","",'Open 30M - Bracket'!CO11),"")</f>
        <v/>
      </c>
      <c r="E164" s="90" t="str">
        <f>IFERROR(IF('Open 30M - Bracket'!CP11="","",'Open 30M - Bracket'!CP11),"")</f>
        <v/>
      </c>
      <c r="F164" s="90" t="str">
        <f>IFERROR(IF('Open 30M - Bracket'!CQ11="","",'Open 30M - Bracket'!CQ11),"")</f>
        <v/>
      </c>
      <c r="G164" s="90" t="str">
        <f>IFERROR(IF('Open 30M - Bracket'!CR11="","",'Open 30M - Bracket'!CR11),"")</f>
        <v/>
      </c>
      <c r="H164" s="32">
        <f>IFERROR(IF(ISNUMBER('Open 30M - Bracket'!CS11),'Open 30M - Bracket'!CS11,0),0)</f>
        <v>0</v>
      </c>
      <c r="I164" s="91" t="str">
        <f>IF(AND(ISNUMBER('Open 30M - Bracket'!CS11),ISNUMBER('Open 30M - Bracket'!CS13)),IF('Open 30M - Bracket'!CS11&gt;'Open 30M - Bracket'!CS13,"2-0",IF('Open 30M - Bracket'!CS11='Open 30M - Bracket'!CS13,"1-1","0-2")),"—")</f>
        <v>—</v>
      </c>
      <c r="J164" s="32">
        <f>IFERROR(IF(ISNUMBER('Open 30M - Bracket'!CS13),'Open 30M - Bracket'!CS13,0),0)</f>
        <v>0</v>
      </c>
      <c r="K164" s="90" t="str">
        <f>IFERROR(IF('Open 30M - Bracket'!CR13="","",'Open 30M - Bracket'!CR13),"")</f>
        <v/>
      </c>
      <c r="L164" s="90" t="str">
        <f>IFERROR(IF('Open 30M - Bracket'!CQ13="","",'Open 30M - Bracket'!CQ13),"")</f>
        <v/>
      </c>
      <c r="M164" s="90" t="str">
        <f>IFERROR(IF('Open 30M - Bracket'!CP13="","",'Open 30M - Bracket'!CP13),"")</f>
        <v/>
      </c>
      <c r="N164" s="90" t="str">
        <f>IFERROR(IF('Open 30M - Bracket'!CO13="","",'Open 30M - Bracket'!CO13),"")</f>
        <v/>
      </c>
      <c r="O164" s="90" t="str">
        <f>IFERROR(IF('Open 30M - Bracket'!CN13="","",'Open 30M - Bracket'!CN13),"")</f>
        <v/>
      </c>
      <c r="P164" s="90" t="str">
        <f>IFERROR(IF('Open 30M - Bracket'!CM13="","",'Open 30M - Bracket'!CM13),"")</f>
        <v/>
      </c>
      <c r="Q164" s="84" t="s">
        <v>228</v>
      </c>
    </row>
    <row r="165" spans="1:17" ht="21.75" customHeight="1" x14ac:dyDescent="0.35">
      <c r="A165" s="92" t="s">
        <v>237</v>
      </c>
      <c r="B165" s="93" t="str">
        <f>IFERROR(IF('Open 30M - Bracket'!CT11="","",'Open 30M - Bracket'!CT11),"")</f>
        <v/>
      </c>
      <c r="C165" s="93" t="str">
        <f>IFERROR(IF('Open 30M - Bracket'!CU11="","",'Open 30M - Bracket'!CU11),"")</f>
        <v/>
      </c>
      <c r="D165" s="93" t="str">
        <f>IFERROR(IF('Open 30M - Bracket'!CV11="","",'Open 30M - Bracket'!CV11),"")</f>
        <v/>
      </c>
      <c r="E165" s="93" t="str">
        <f>IFERROR(IF('Open 30M - Bracket'!CW11="","",'Open 30M - Bracket'!CW11),"")</f>
        <v/>
      </c>
      <c r="F165" s="93" t="str">
        <f>IFERROR(IF('Open 30M - Bracket'!CX11="","",'Open 30M - Bracket'!CX11),"")</f>
        <v/>
      </c>
      <c r="G165" s="93" t="str">
        <f>IFERROR(IF('Open 30M - Bracket'!CY11="","",'Open 30M - Bracket'!CY11),"")</f>
        <v/>
      </c>
      <c r="H165" s="32">
        <f>IFERROR(IF(ISNUMBER('Open 30M - Bracket'!CZ11),'Open 30M - Bracket'!CZ11,0),0)</f>
        <v>0</v>
      </c>
      <c r="I165" s="91" t="str">
        <f>IF(AND(ISNUMBER('Open 30M - Bracket'!CZ11),ISNUMBER('Open 30M - Bracket'!CZ13)),IF('Open 30M - Bracket'!CZ11&gt;'Open 30M - Bracket'!CZ13,"2-0",IF('Open 30M - Bracket'!CZ11='Open 30M - Bracket'!CZ13,"1-1","0-2")),"—")</f>
        <v>—</v>
      </c>
      <c r="J165" s="32">
        <f>IFERROR(IF(ISNUMBER('Open 30M - Bracket'!CZ13),'Open 30M - Bracket'!CZ13,0),0)</f>
        <v>0</v>
      </c>
      <c r="K165" s="93" t="str">
        <f>IFERROR(IF('Open 30M - Bracket'!CY13="","",'Open 30M - Bracket'!CY13),"")</f>
        <v/>
      </c>
      <c r="L165" s="93" t="str">
        <f>IFERROR(IF('Open 30M - Bracket'!CX13="","",'Open 30M - Bracket'!CX13),"")</f>
        <v/>
      </c>
      <c r="M165" s="93" t="str">
        <f>IFERROR(IF('Open 30M - Bracket'!CW13="","",'Open 30M - Bracket'!CW13),"")</f>
        <v/>
      </c>
      <c r="N165" s="93" t="str">
        <f>IFERROR(IF('Open 30M - Bracket'!CV13="","",'Open 30M - Bracket'!CV13),"")</f>
        <v/>
      </c>
      <c r="O165" s="93" t="str">
        <f>IFERROR(IF('Open 30M - Bracket'!CU13="","",'Open 30M - Bracket'!CU13),"")</f>
        <v/>
      </c>
      <c r="P165" s="93" t="str">
        <f>IFERROR(IF('Open 30M - Bracket'!CT13="","",'Open 30M - Bracket'!CT13),"")</f>
        <v/>
      </c>
      <c r="Q165" s="92" t="s">
        <v>237</v>
      </c>
    </row>
    <row r="166" spans="1:17" ht="4.5" customHeight="1" x14ac:dyDescent="0.35"/>
    <row r="167" spans="1:17" ht="31.5" customHeight="1" x14ac:dyDescent="0.35">
      <c r="A167" s="130">
        <f>IFERROR(IF(ISNUMBER('Open 30M - Bracket'!DA11),'Open 30M - Bracket'!DA11,0),0)</f>
        <v>0</v>
      </c>
      <c r="B167" s="130"/>
      <c r="C167" s="130"/>
      <c r="D167" s="130"/>
      <c r="E167" s="130"/>
      <c r="F167" s="130"/>
      <c r="G167" s="130"/>
      <c r="H167" s="94" t="str">
        <f>IFERROR('Open 30M - Bracket'!DD11,"")</f>
        <v>&gt;&gt; Advance</v>
      </c>
      <c r="I167" s="86"/>
      <c r="J167" s="94" t="str">
        <f>IFERROR('Open 30M - Bracket'!DD13,"")</f>
        <v>&gt;&gt; Advance</v>
      </c>
      <c r="K167" s="130">
        <f>IFERROR(IF(ISNUMBER('Open 30M - Bracket'!DA13),'Open 30M - Bracket'!DA13,0),0)</f>
        <v>0</v>
      </c>
      <c r="L167" s="130"/>
      <c r="M167" s="130"/>
      <c r="N167" s="130"/>
      <c r="O167" s="130"/>
      <c r="P167" s="130"/>
      <c r="Q167" s="130"/>
    </row>
    <row r="168" spans="1:17" ht="21.75" customHeight="1" x14ac:dyDescent="0.35">
      <c r="A168" s="130"/>
      <c r="B168" s="130"/>
      <c r="C168" s="130"/>
      <c r="D168" s="130"/>
      <c r="E168" s="130"/>
      <c r="F168" s="130"/>
      <c r="G168" s="130"/>
      <c r="K168" s="130"/>
      <c r="L168" s="130"/>
      <c r="M168" s="130"/>
      <c r="N168" s="130"/>
      <c r="O168" s="130"/>
      <c r="P168" s="130"/>
      <c r="Q168" s="130"/>
    </row>
    <row r="169" spans="1:17" ht="4.5" customHeight="1" x14ac:dyDescent="0.35"/>
    <row r="170" spans="1:17" ht="12" customHeight="1" x14ac:dyDescent="0.35">
      <c r="A170" s="126"/>
      <c r="B170" s="126"/>
      <c r="C170" s="126"/>
      <c r="D170" s="126"/>
      <c r="E170" s="126"/>
      <c r="F170" s="126"/>
      <c r="G170" s="126"/>
      <c r="H170" s="126"/>
      <c r="I170" s="126"/>
      <c r="J170" s="126"/>
      <c r="K170" s="126"/>
      <c r="L170" s="126"/>
      <c r="M170" s="126"/>
      <c r="N170" s="126"/>
      <c r="O170" s="126"/>
      <c r="P170" s="126"/>
      <c r="Q170" s="126"/>
    </row>
    <row r="171" spans="1:17" ht="7.5" customHeight="1" x14ac:dyDescent="0.35"/>
    <row r="172" spans="1:17" ht="19.5" customHeight="1" x14ac:dyDescent="0.35">
      <c r="A172" s="131" t="s">
        <v>247</v>
      </c>
      <c r="B172" s="131"/>
      <c r="C172" s="131"/>
      <c r="D172" s="131"/>
      <c r="E172" s="131"/>
      <c r="F172" s="131"/>
      <c r="G172" s="131"/>
      <c r="H172" s="131"/>
      <c r="I172" s="131"/>
      <c r="J172" s="131"/>
      <c r="K172" s="131"/>
      <c r="L172" s="131"/>
      <c r="M172" s="131"/>
      <c r="N172" s="131"/>
      <c r="O172" s="131"/>
      <c r="P172" s="131"/>
      <c r="Q172" s="131"/>
    </row>
    <row r="173" spans="1:17" ht="4.5" customHeight="1" x14ac:dyDescent="0.35"/>
    <row r="174" spans="1:17" ht="21.75" customHeight="1" x14ac:dyDescent="0.35">
      <c r="A174" s="84" t="s">
        <v>232</v>
      </c>
      <c r="B174" s="128" t="str">
        <f>IFERROR(IF('Open 30M - Bracket'!BE16="","TBD",'Open 30M - Bracket'!BE16),"TBD")</f>
        <v>TBD</v>
      </c>
      <c r="C174" s="128"/>
      <c r="D174" s="128"/>
      <c r="E174" s="128"/>
      <c r="F174" s="128"/>
      <c r="G174" s="128"/>
      <c r="H174" s="128"/>
      <c r="I174" s="84" t="s">
        <v>233</v>
      </c>
      <c r="J174" s="128" t="str">
        <f>IFERROR(IF('Open 30M - Bracket'!BE18="","TBD",'Open 30M - Bracket'!BE18),"TBD")</f>
        <v>TBD</v>
      </c>
      <c r="K174" s="128"/>
      <c r="L174" s="128"/>
      <c r="M174" s="128"/>
      <c r="N174" s="128"/>
      <c r="O174" s="128"/>
      <c r="P174" s="128"/>
      <c r="Q174" s="84" t="s">
        <v>232</v>
      </c>
    </row>
    <row r="175" spans="1:17" ht="13.5" customHeight="1" x14ac:dyDescent="0.35">
      <c r="A175" s="85" t="s">
        <v>234</v>
      </c>
      <c r="B175" s="129" t="str">
        <f>IFERROR('Open 30M - Bracket'!BD16,"")</f>
        <v>"W-R16M5"</v>
      </c>
      <c r="C175" s="129"/>
      <c r="D175" s="129"/>
      <c r="E175" s="129"/>
      <c r="F175" s="129"/>
      <c r="G175" s="129"/>
      <c r="H175" s="129"/>
      <c r="I175" s="86"/>
      <c r="J175" s="129" t="str">
        <f>IFERROR('Open 30M - Bracket'!BD18,"")</f>
        <v>"W-R16M6"</v>
      </c>
      <c r="K175" s="129"/>
      <c r="L175" s="129"/>
      <c r="M175" s="129"/>
      <c r="N175" s="129"/>
      <c r="O175" s="129"/>
      <c r="P175" s="129"/>
      <c r="Q175" s="85" t="s">
        <v>234</v>
      </c>
    </row>
    <row r="176" spans="1:17" ht="19.5" customHeight="1" x14ac:dyDescent="0.35">
      <c r="A176" s="87" t="s">
        <v>235</v>
      </c>
      <c r="B176" s="88" t="s">
        <v>83</v>
      </c>
      <c r="C176" s="88" t="s">
        <v>84</v>
      </c>
      <c r="D176" s="88" t="s">
        <v>85</v>
      </c>
      <c r="E176" s="88" t="s">
        <v>86</v>
      </c>
      <c r="F176" s="88" t="s">
        <v>87</v>
      </c>
      <c r="G176" s="88" t="s">
        <v>88</v>
      </c>
      <c r="H176" s="24" t="s">
        <v>236</v>
      </c>
      <c r="I176" s="89"/>
      <c r="J176" s="24" t="s">
        <v>236</v>
      </c>
      <c r="K176" s="88" t="s">
        <v>88</v>
      </c>
      <c r="L176" s="88" t="s">
        <v>87</v>
      </c>
      <c r="M176" s="88" t="s">
        <v>86</v>
      </c>
      <c r="N176" s="88" t="s">
        <v>85</v>
      </c>
      <c r="O176" s="88" t="s">
        <v>84</v>
      </c>
      <c r="P176" s="88" t="s">
        <v>83</v>
      </c>
      <c r="Q176" s="87" t="s">
        <v>235</v>
      </c>
    </row>
    <row r="177" spans="1:17" ht="21.75" customHeight="1" x14ac:dyDescent="0.35">
      <c r="A177" s="84" t="s">
        <v>222</v>
      </c>
      <c r="B177" s="90" t="str">
        <f>IFERROR(IF('Open 30M - Bracket'!BK16="","",'Open 30M - Bracket'!BK16),"")</f>
        <v/>
      </c>
      <c r="C177" s="90" t="str">
        <f>IFERROR(IF('Open 30M - Bracket'!BL16="","",'Open 30M - Bracket'!BL16),"")</f>
        <v/>
      </c>
      <c r="D177" s="90" t="str">
        <f>IFERROR(IF('Open 30M - Bracket'!BM16="","",'Open 30M - Bracket'!BM16),"")</f>
        <v/>
      </c>
      <c r="E177" s="90" t="str">
        <f>IFERROR(IF('Open 30M - Bracket'!BN16="","",'Open 30M - Bracket'!BN16),"")</f>
        <v/>
      </c>
      <c r="F177" s="90" t="str">
        <f>IFERROR(IF('Open 30M - Bracket'!BO16="","",'Open 30M - Bracket'!BO16),"")</f>
        <v/>
      </c>
      <c r="G177" s="90" t="str">
        <f>IFERROR(IF('Open 30M - Bracket'!BP16="","",'Open 30M - Bracket'!BP16),"")</f>
        <v/>
      </c>
      <c r="H177" s="32">
        <f>IFERROR(IF(ISNUMBER('Open 30M - Bracket'!BQ16),'Open 30M - Bracket'!BQ16,0),0)</f>
        <v>0</v>
      </c>
      <c r="I177" s="91" t="str">
        <f>IF(AND(ISNUMBER('Open 30M - Bracket'!BQ16),ISNUMBER('Open 30M - Bracket'!BQ18)),IF('Open 30M - Bracket'!BQ16&gt;'Open 30M - Bracket'!BQ18,"2-0",IF('Open 30M - Bracket'!BQ16='Open 30M - Bracket'!BQ18,"1-1","0-2")),"—")</f>
        <v>—</v>
      </c>
      <c r="J177" s="32">
        <f>IFERROR(IF(ISNUMBER('Open 30M - Bracket'!BQ18),'Open 30M - Bracket'!BQ18,0),0)</f>
        <v>0</v>
      </c>
      <c r="K177" s="90" t="str">
        <f>IFERROR(IF('Open 30M - Bracket'!BP18="","",'Open 30M - Bracket'!BP18),"")</f>
        <v/>
      </c>
      <c r="L177" s="90" t="str">
        <f>IFERROR(IF('Open 30M - Bracket'!BO18="","",'Open 30M - Bracket'!BO18),"")</f>
        <v/>
      </c>
      <c r="M177" s="90" t="str">
        <f>IFERROR(IF('Open 30M - Bracket'!BN18="","",'Open 30M - Bracket'!BN18),"")</f>
        <v/>
      </c>
      <c r="N177" s="90" t="str">
        <f>IFERROR(IF('Open 30M - Bracket'!BM18="","",'Open 30M - Bracket'!BM18),"")</f>
        <v/>
      </c>
      <c r="O177" s="90" t="str">
        <f>IFERROR(IF('Open 30M - Bracket'!BL18="","",'Open 30M - Bracket'!BL18),"")</f>
        <v/>
      </c>
      <c r="P177" s="90" t="str">
        <f>IFERROR(IF('Open 30M - Bracket'!BK18="","",'Open 30M - Bracket'!BK18),"")</f>
        <v/>
      </c>
      <c r="Q177" s="84" t="s">
        <v>222</v>
      </c>
    </row>
    <row r="178" spans="1:17" ht="21.75" customHeight="1" x14ac:dyDescent="0.35">
      <c r="A178" s="84" t="s">
        <v>223</v>
      </c>
      <c r="B178" s="90" t="str">
        <f>IFERROR(IF('Open 30M - Bracket'!BR16="","",'Open 30M - Bracket'!BR16),"")</f>
        <v/>
      </c>
      <c r="C178" s="90" t="str">
        <f>IFERROR(IF('Open 30M - Bracket'!BS16="","",'Open 30M - Bracket'!BS16),"")</f>
        <v/>
      </c>
      <c r="D178" s="90" t="str">
        <f>IFERROR(IF('Open 30M - Bracket'!BT16="","",'Open 30M - Bracket'!BT16),"")</f>
        <v/>
      </c>
      <c r="E178" s="90" t="str">
        <f>IFERROR(IF('Open 30M - Bracket'!BU16="","",'Open 30M - Bracket'!BU16),"")</f>
        <v/>
      </c>
      <c r="F178" s="90" t="str">
        <f>IFERROR(IF('Open 30M - Bracket'!BV16="","",'Open 30M - Bracket'!BV16),"")</f>
        <v/>
      </c>
      <c r="G178" s="90" t="str">
        <f>IFERROR(IF('Open 30M - Bracket'!BW16="","",'Open 30M - Bracket'!BW16),"")</f>
        <v/>
      </c>
      <c r="H178" s="32">
        <f>IFERROR(IF(ISNUMBER('Open 30M - Bracket'!BX16),'Open 30M - Bracket'!BX16,0),0)</f>
        <v>0</v>
      </c>
      <c r="I178" s="91" t="str">
        <f>IF(AND(ISNUMBER('Open 30M - Bracket'!BX16),ISNUMBER('Open 30M - Bracket'!BX18)),IF('Open 30M - Bracket'!BX16&gt;'Open 30M - Bracket'!BX18,"2-0",IF('Open 30M - Bracket'!BX16='Open 30M - Bracket'!BX18,"1-1","0-2")),"—")</f>
        <v>—</v>
      </c>
      <c r="J178" s="32">
        <f>IFERROR(IF(ISNUMBER('Open 30M - Bracket'!BX18),'Open 30M - Bracket'!BX18,0),0)</f>
        <v>0</v>
      </c>
      <c r="K178" s="90" t="str">
        <f>IFERROR(IF('Open 30M - Bracket'!BW18="","",'Open 30M - Bracket'!BW18),"")</f>
        <v/>
      </c>
      <c r="L178" s="90" t="str">
        <f>IFERROR(IF('Open 30M - Bracket'!BV18="","",'Open 30M - Bracket'!BV18),"")</f>
        <v/>
      </c>
      <c r="M178" s="90" t="str">
        <f>IFERROR(IF('Open 30M - Bracket'!BU18="","",'Open 30M - Bracket'!BU18),"")</f>
        <v/>
      </c>
      <c r="N178" s="90" t="str">
        <f>IFERROR(IF('Open 30M - Bracket'!BT18="","",'Open 30M - Bracket'!BT18),"")</f>
        <v/>
      </c>
      <c r="O178" s="90" t="str">
        <f>IFERROR(IF('Open 30M - Bracket'!BS18="","",'Open 30M - Bracket'!BS18),"")</f>
        <v/>
      </c>
      <c r="P178" s="90" t="str">
        <f>IFERROR(IF('Open 30M - Bracket'!BR18="","",'Open 30M - Bracket'!BR18),"")</f>
        <v/>
      </c>
      <c r="Q178" s="84" t="s">
        <v>223</v>
      </c>
    </row>
    <row r="179" spans="1:17" ht="21.75" customHeight="1" x14ac:dyDescent="0.35">
      <c r="A179" s="84" t="s">
        <v>224</v>
      </c>
      <c r="B179" s="90" t="str">
        <f>IFERROR(IF('Open 30M - Bracket'!BY16="","",'Open 30M - Bracket'!BY16),"")</f>
        <v/>
      </c>
      <c r="C179" s="90" t="str">
        <f>IFERROR(IF('Open 30M - Bracket'!BZ16="","",'Open 30M - Bracket'!BZ16),"")</f>
        <v/>
      </c>
      <c r="D179" s="90" t="str">
        <f>IFERROR(IF('Open 30M - Bracket'!CA16="","",'Open 30M - Bracket'!CA16),"")</f>
        <v/>
      </c>
      <c r="E179" s="90" t="str">
        <f>IFERROR(IF('Open 30M - Bracket'!CB16="","",'Open 30M - Bracket'!CB16),"")</f>
        <v/>
      </c>
      <c r="F179" s="90" t="str">
        <f>IFERROR(IF('Open 30M - Bracket'!CC16="","",'Open 30M - Bracket'!CC16),"")</f>
        <v/>
      </c>
      <c r="G179" s="90" t="str">
        <f>IFERROR(IF('Open 30M - Bracket'!CD16="","",'Open 30M - Bracket'!CD16),"")</f>
        <v/>
      </c>
      <c r="H179" s="32">
        <f>IFERROR(IF(ISNUMBER('Open 30M - Bracket'!CE16),'Open 30M - Bracket'!CE16,0),0)</f>
        <v>0</v>
      </c>
      <c r="I179" s="91" t="str">
        <f>IF(AND(ISNUMBER('Open 30M - Bracket'!CE16),ISNUMBER('Open 30M - Bracket'!CE18)),IF('Open 30M - Bracket'!CE16&gt;'Open 30M - Bracket'!CE18,"2-0",IF('Open 30M - Bracket'!CE16='Open 30M - Bracket'!CE18,"1-1","0-2")),"—")</f>
        <v>—</v>
      </c>
      <c r="J179" s="32">
        <f>IFERROR(IF(ISNUMBER('Open 30M - Bracket'!CE18),'Open 30M - Bracket'!CE18,0),0)</f>
        <v>0</v>
      </c>
      <c r="K179" s="90" t="str">
        <f>IFERROR(IF('Open 30M - Bracket'!CD18="","",'Open 30M - Bracket'!CD18),"")</f>
        <v/>
      </c>
      <c r="L179" s="90" t="str">
        <f>IFERROR(IF('Open 30M - Bracket'!CC18="","",'Open 30M - Bracket'!CC18),"")</f>
        <v/>
      </c>
      <c r="M179" s="90" t="str">
        <f>IFERROR(IF('Open 30M - Bracket'!CB18="","",'Open 30M - Bracket'!CB18),"")</f>
        <v/>
      </c>
      <c r="N179" s="90" t="str">
        <f>IFERROR(IF('Open 30M - Bracket'!CA18="","",'Open 30M - Bracket'!CA18),"")</f>
        <v/>
      </c>
      <c r="O179" s="90" t="str">
        <f>IFERROR(IF('Open 30M - Bracket'!BZ18="","",'Open 30M - Bracket'!BZ18),"")</f>
        <v/>
      </c>
      <c r="P179" s="90" t="str">
        <f>IFERROR(IF('Open 30M - Bracket'!BY18="","",'Open 30M - Bracket'!BY18),"")</f>
        <v/>
      </c>
      <c r="Q179" s="84" t="s">
        <v>224</v>
      </c>
    </row>
    <row r="180" spans="1:17" ht="21.75" customHeight="1" x14ac:dyDescent="0.35">
      <c r="A180" s="84" t="s">
        <v>227</v>
      </c>
      <c r="B180" s="90" t="str">
        <f>IFERROR(IF('Open 30M - Bracket'!CF16="","",'Open 30M - Bracket'!CF16),"")</f>
        <v/>
      </c>
      <c r="C180" s="90" t="str">
        <f>IFERROR(IF('Open 30M - Bracket'!CG16="","",'Open 30M - Bracket'!CG16),"")</f>
        <v/>
      </c>
      <c r="D180" s="90" t="str">
        <f>IFERROR(IF('Open 30M - Bracket'!CH16="","",'Open 30M - Bracket'!CH16),"")</f>
        <v/>
      </c>
      <c r="E180" s="90" t="str">
        <f>IFERROR(IF('Open 30M - Bracket'!CI16="","",'Open 30M - Bracket'!CI16),"")</f>
        <v/>
      </c>
      <c r="F180" s="90" t="str">
        <f>IFERROR(IF('Open 30M - Bracket'!CJ16="","",'Open 30M - Bracket'!CJ16),"")</f>
        <v/>
      </c>
      <c r="G180" s="90" t="str">
        <f>IFERROR(IF('Open 30M - Bracket'!CK16="","",'Open 30M - Bracket'!CK16),"")</f>
        <v/>
      </c>
      <c r="H180" s="32">
        <f>IFERROR(IF(ISNUMBER('Open 30M - Bracket'!CL16),'Open 30M - Bracket'!CL16,0),0)</f>
        <v>0</v>
      </c>
      <c r="I180" s="91" t="str">
        <f>IF(AND(ISNUMBER('Open 30M - Bracket'!CL16),ISNUMBER('Open 30M - Bracket'!CL18)),IF('Open 30M - Bracket'!CL16&gt;'Open 30M - Bracket'!CL18,"2-0",IF('Open 30M - Bracket'!CL16='Open 30M - Bracket'!CL18,"1-1","0-2")),"—")</f>
        <v>—</v>
      </c>
      <c r="J180" s="32">
        <f>IFERROR(IF(ISNUMBER('Open 30M - Bracket'!CL18),'Open 30M - Bracket'!CL18,0),0)</f>
        <v>0</v>
      </c>
      <c r="K180" s="90" t="str">
        <f>IFERROR(IF('Open 30M - Bracket'!CK18="","",'Open 30M - Bracket'!CK18),"")</f>
        <v/>
      </c>
      <c r="L180" s="90" t="str">
        <f>IFERROR(IF('Open 30M - Bracket'!CJ18="","",'Open 30M - Bracket'!CJ18),"")</f>
        <v/>
      </c>
      <c r="M180" s="90" t="str">
        <f>IFERROR(IF('Open 30M - Bracket'!CI18="","",'Open 30M - Bracket'!CI18),"")</f>
        <v/>
      </c>
      <c r="N180" s="90" t="str">
        <f>IFERROR(IF('Open 30M - Bracket'!CH18="","",'Open 30M - Bracket'!CH18),"")</f>
        <v/>
      </c>
      <c r="O180" s="90" t="str">
        <f>IFERROR(IF('Open 30M - Bracket'!CG18="","",'Open 30M - Bracket'!CG18),"")</f>
        <v/>
      </c>
      <c r="P180" s="90" t="str">
        <f>IFERROR(IF('Open 30M - Bracket'!CF18="","",'Open 30M - Bracket'!CF18),"")</f>
        <v/>
      </c>
      <c r="Q180" s="84" t="s">
        <v>227</v>
      </c>
    </row>
    <row r="181" spans="1:17" ht="21.75" customHeight="1" x14ac:dyDescent="0.35">
      <c r="A181" s="84" t="s">
        <v>228</v>
      </c>
      <c r="B181" s="90" t="str">
        <f>IFERROR(IF('Open 30M - Bracket'!CM16="","",'Open 30M - Bracket'!CM16),"")</f>
        <v/>
      </c>
      <c r="C181" s="90" t="str">
        <f>IFERROR(IF('Open 30M - Bracket'!CN16="","",'Open 30M - Bracket'!CN16),"")</f>
        <v/>
      </c>
      <c r="D181" s="90" t="str">
        <f>IFERROR(IF('Open 30M - Bracket'!CO16="","",'Open 30M - Bracket'!CO16),"")</f>
        <v/>
      </c>
      <c r="E181" s="90" t="str">
        <f>IFERROR(IF('Open 30M - Bracket'!CP16="","",'Open 30M - Bracket'!CP16),"")</f>
        <v/>
      </c>
      <c r="F181" s="90" t="str">
        <f>IFERROR(IF('Open 30M - Bracket'!CQ16="","",'Open 30M - Bracket'!CQ16),"")</f>
        <v/>
      </c>
      <c r="G181" s="90" t="str">
        <f>IFERROR(IF('Open 30M - Bracket'!CR16="","",'Open 30M - Bracket'!CR16),"")</f>
        <v/>
      </c>
      <c r="H181" s="32">
        <f>IFERROR(IF(ISNUMBER('Open 30M - Bracket'!CS16),'Open 30M - Bracket'!CS16,0),0)</f>
        <v>0</v>
      </c>
      <c r="I181" s="91" t="str">
        <f>IF(AND(ISNUMBER('Open 30M - Bracket'!CS16),ISNUMBER('Open 30M - Bracket'!CS18)),IF('Open 30M - Bracket'!CS16&gt;'Open 30M - Bracket'!CS18,"2-0",IF('Open 30M - Bracket'!CS16='Open 30M - Bracket'!CS18,"1-1","0-2")),"—")</f>
        <v>—</v>
      </c>
      <c r="J181" s="32">
        <f>IFERROR(IF(ISNUMBER('Open 30M - Bracket'!CS18),'Open 30M - Bracket'!CS18,0),0)</f>
        <v>0</v>
      </c>
      <c r="K181" s="90" t="str">
        <f>IFERROR(IF('Open 30M - Bracket'!CR18="","",'Open 30M - Bracket'!CR18),"")</f>
        <v/>
      </c>
      <c r="L181" s="90" t="str">
        <f>IFERROR(IF('Open 30M - Bracket'!CQ18="","",'Open 30M - Bracket'!CQ18),"")</f>
        <v/>
      </c>
      <c r="M181" s="90" t="str">
        <f>IFERROR(IF('Open 30M - Bracket'!CP18="","",'Open 30M - Bracket'!CP18),"")</f>
        <v/>
      </c>
      <c r="N181" s="90" t="str">
        <f>IFERROR(IF('Open 30M - Bracket'!CO18="","",'Open 30M - Bracket'!CO18),"")</f>
        <v/>
      </c>
      <c r="O181" s="90" t="str">
        <f>IFERROR(IF('Open 30M - Bracket'!CN18="","",'Open 30M - Bracket'!CN18),"")</f>
        <v/>
      </c>
      <c r="P181" s="90" t="str">
        <f>IFERROR(IF('Open 30M - Bracket'!CM18="","",'Open 30M - Bracket'!CM18),"")</f>
        <v/>
      </c>
      <c r="Q181" s="84" t="s">
        <v>228</v>
      </c>
    </row>
    <row r="182" spans="1:17" ht="21.75" customHeight="1" x14ac:dyDescent="0.35">
      <c r="A182" s="92" t="s">
        <v>237</v>
      </c>
      <c r="B182" s="93" t="str">
        <f>IFERROR(IF('Open 30M - Bracket'!CT16="","",'Open 30M - Bracket'!CT16),"")</f>
        <v/>
      </c>
      <c r="C182" s="93" t="str">
        <f>IFERROR(IF('Open 30M - Bracket'!CU16="","",'Open 30M - Bracket'!CU16),"")</f>
        <v/>
      </c>
      <c r="D182" s="93" t="str">
        <f>IFERROR(IF('Open 30M - Bracket'!CV16="","",'Open 30M - Bracket'!CV16),"")</f>
        <v/>
      </c>
      <c r="E182" s="93" t="str">
        <f>IFERROR(IF('Open 30M - Bracket'!CW16="","",'Open 30M - Bracket'!CW16),"")</f>
        <v/>
      </c>
      <c r="F182" s="93" t="str">
        <f>IFERROR(IF('Open 30M - Bracket'!CX16="","",'Open 30M - Bracket'!CX16),"")</f>
        <v/>
      </c>
      <c r="G182" s="93" t="str">
        <f>IFERROR(IF('Open 30M - Bracket'!CY16="","",'Open 30M - Bracket'!CY16),"")</f>
        <v/>
      </c>
      <c r="H182" s="32">
        <f>IFERROR(IF(ISNUMBER('Open 30M - Bracket'!CZ16),'Open 30M - Bracket'!CZ16,0),0)</f>
        <v>0</v>
      </c>
      <c r="I182" s="91" t="str">
        <f>IF(AND(ISNUMBER('Open 30M - Bracket'!CZ16),ISNUMBER('Open 30M - Bracket'!CZ18)),IF('Open 30M - Bracket'!CZ16&gt;'Open 30M - Bracket'!CZ18,"2-0",IF('Open 30M - Bracket'!CZ16='Open 30M - Bracket'!CZ18,"1-1","0-2")),"—")</f>
        <v>—</v>
      </c>
      <c r="J182" s="32">
        <f>IFERROR(IF(ISNUMBER('Open 30M - Bracket'!CZ18),'Open 30M - Bracket'!CZ18,0),0)</f>
        <v>0</v>
      </c>
      <c r="K182" s="93" t="str">
        <f>IFERROR(IF('Open 30M - Bracket'!CY18="","",'Open 30M - Bracket'!CY18),"")</f>
        <v/>
      </c>
      <c r="L182" s="93" t="str">
        <f>IFERROR(IF('Open 30M - Bracket'!CX18="","",'Open 30M - Bracket'!CX18),"")</f>
        <v/>
      </c>
      <c r="M182" s="93" t="str">
        <f>IFERROR(IF('Open 30M - Bracket'!CW18="","",'Open 30M - Bracket'!CW18),"")</f>
        <v/>
      </c>
      <c r="N182" s="93" t="str">
        <f>IFERROR(IF('Open 30M - Bracket'!CV18="","",'Open 30M - Bracket'!CV18),"")</f>
        <v/>
      </c>
      <c r="O182" s="93" t="str">
        <f>IFERROR(IF('Open 30M - Bracket'!CU18="","",'Open 30M - Bracket'!CU18),"")</f>
        <v/>
      </c>
      <c r="P182" s="93" t="str">
        <f>IFERROR(IF('Open 30M - Bracket'!CT18="","",'Open 30M - Bracket'!CT18),"")</f>
        <v/>
      </c>
      <c r="Q182" s="92" t="s">
        <v>237</v>
      </c>
    </row>
    <row r="183" spans="1:17" ht="4.5" customHeight="1" x14ac:dyDescent="0.35"/>
    <row r="184" spans="1:17" ht="31.5" customHeight="1" x14ac:dyDescent="0.35">
      <c r="A184" s="130">
        <f>IFERROR(IF(ISNUMBER('Open 30M - Bracket'!DA16),'Open 30M - Bracket'!DA16,0),0)</f>
        <v>0</v>
      </c>
      <c r="B184" s="130"/>
      <c r="C184" s="130"/>
      <c r="D184" s="130"/>
      <c r="E184" s="130"/>
      <c r="F184" s="130"/>
      <c r="G184" s="130"/>
      <c r="H184" s="94" t="str">
        <f>IFERROR('Open 30M - Bracket'!DD16,"")</f>
        <v>&gt;&gt; Advance</v>
      </c>
      <c r="I184" s="86"/>
      <c r="J184" s="94" t="str">
        <f>IFERROR('Open 30M - Bracket'!DD18,"")</f>
        <v>&gt;&gt; Advance</v>
      </c>
      <c r="K184" s="130">
        <f>IFERROR(IF(ISNUMBER('Open 30M - Bracket'!DA18),'Open 30M - Bracket'!DA18,0),0)</f>
        <v>0</v>
      </c>
      <c r="L184" s="130"/>
      <c r="M184" s="130"/>
      <c r="N184" s="130"/>
      <c r="O184" s="130"/>
      <c r="P184" s="130"/>
      <c r="Q184" s="130"/>
    </row>
    <row r="185" spans="1:17" ht="21.75" customHeight="1" x14ac:dyDescent="0.35">
      <c r="A185" s="130"/>
      <c r="B185" s="130"/>
      <c r="C185" s="130"/>
      <c r="D185" s="130"/>
      <c r="E185" s="130"/>
      <c r="F185" s="130"/>
      <c r="G185" s="130"/>
      <c r="K185" s="130"/>
      <c r="L185" s="130"/>
      <c r="M185" s="130"/>
      <c r="N185" s="130"/>
      <c r="O185" s="130"/>
      <c r="P185" s="130"/>
      <c r="Q185" s="130"/>
    </row>
    <row r="186" spans="1:17" ht="4.5" customHeight="1" x14ac:dyDescent="0.35"/>
    <row r="187" spans="1:17" ht="12" customHeight="1" x14ac:dyDescent="0.35">
      <c r="A187" s="126"/>
      <c r="B187" s="126"/>
      <c r="C187" s="126"/>
      <c r="D187" s="126"/>
      <c r="E187" s="126"/>
      <c r="F187" s="126"/>
      <c r="G187" s="126"/>
      <c r="H187" s="126"/>
      <c r="I187" s="126"/>
      <c r="J187" s="126"/>
      <c r="K187" s="126"/>
      <c r="L187" s="126"/>
      <c r="M187" s="126"/>
      <c r="N187" s="126"/>
      <c r="O187" s="126"/>
      <c r="P187" s="126"/>
      <c r="Q187" s="126"/>
    </row>
    <row r="188" spans="1:17" ht="7.5" customHeight="1" x14ac:dyDescent="0.35"/>
    <row r="189" spans="1:17" ht="19.5" customHeight="1" x14ac:dyDescent="0.35">
      <c r="A189" s="131" t="s">
        <v>248</v>
      </c>
      <c r="B189" s="131"/>
      <c r="C189" s="131"/>
      <c r="D189" s="131"/>
      <c r="E189" s="131"/>
      <c r="F189" s="131"/>
      <c r="G189" s="131"/>
      <c r="H189" s="131"/>
      <c r="I189" s="131"/>
      <c r="J189" s="131"/>
      <c r="K189" s="131"/>
      <c r="L189" s="131"/>
      <c r="M189" s="131"/>
      <c r="N189" s="131"/>
      <c r="O189" s="131"/>
      <c r="P189" s="131"/>
      <c r="Q189" s="131"/>
    </row>
    <row r="190" spans="1:17" ht="4.5" customHeight="1" x14ac:dyDescent="0.35"/>
    <row r="191" spans="1:17" ht="21.75" customHeight="1" x14ac:dyDescent="0.35">
      <c r="A191" s="84" t="s">
        <v>232</v>
      </c>
      <c r="B191" s="128" t="str">
        <f>IFERROR(IF('Open 30M - Bracket'!BE21="","TBD",'Open 30M - Bracket'!BE21),"TBD")</f>
        <v>TBD</v>
      </c>
      <c r="C191" s="128"/>
      <c r="D191" s="128"/>
      <c r="E191" s="128"/>
      <c r="F191" s="128"/>
      <c r="G191" s="128"/>
      <c r="H191" s="128"/>
      <c r="I191" s="84" t="s">
        <v>233</v>
      </c>
      <c r="J191" s="128" t="str">
        <f>IFERROR(IF('Open 30M - Bracket'!BE23="","TBD",'Open 30M - Bracket'!BE23),"TBD")</f>
        <v>TBD</v>
      </c>
      <c r="K191" s="128"/>
      <c r="L191" s="128"/>
      <c r="M191" s="128"/>
      <c r="N191" s="128"/>
      <c r="O191" s="128"/>
      <c r="P191" s="128"/>
      <c r="Q191" s="84" t="s">
        <v>232</v>
      </c>
    </row>
    <row r="192" spans="1:17" ht="13.5" customHeight="1" x14ac:dyDescent="0.35">
      <c r="A192" s="85" t="s">
        <v>234</v>
      </c>
      <c r="B192" s="129" t="str">
        <f>IFERROR('Open 30M - Bracket'!BD21,"")</f>
        <v>"W-R16M7"</v>
      </c>
      <c r="C192" s="129"/>
      <c r="D192" s="129"/>
      <c r="E192" s="129"/>
      <c r="F192" s="129"/>
      <c r="G192" s="129"/>
      <c r="H192" s="129"/>
      <c r="I192" s="86"/>
      <c r="J192" s="129" t="str">
        <f>IFERROR('Open 30M - Bracket'!BD23,"")</f>
        <v>"W-R16M8"</v>
      </c>
      <c r="K192" s="129"/>
      <c r="L192" s="129"/>
      <c r="M192" s="129"/>
      <c r="N192" s="129"/>
      <c r="O192" s="129"/>
      <c r="P192" s="129"/>
      <c r="Q192" s="85" t="s">
        <v>234</v>
      </c>
    </row>
    <row r="193" spans="1:17" ht="19.5" customHeight="1" x14ac:dyDescent="0.35">
      <c r="A193" s="87" t="s">
        <v>235</v>
      </c>
      <c r="B193" s="88" t="s">
        <v>83</v>
      </c>
      <c r="C193" s="88" t="s">
        <v>84</v>
      </c>
      <c r="D193" s="88" t="s">
        <v>85</v>
      </c>
      <c r="E193" s="88" t="s">
        <v>86</v>
      </c>
      <c r="F193" s="88" t="s">
        <v>87</v>
      </c>
      <c r="G193" s="88" t="s">
        <v>88</v>
      </c>
      <c r="H193" s="24" t="s">
        <v>236</v>
      </c>
      <c r="I193" s="89"/>
      <c r="J193" s="24" t="s">
        <v>236</v>
      </c>
      <c r="K193" s="88" t="s">
        <v>88</v>
      </c>
      <c r="L193" s="88" t="s">
        <v>87</v>
      </c>
      <c r="M193" s="88" t="s">
        <v>86</v>
      </c>
      <c r="N193" s="88" t="s">
        <v>85</v>
      </c>
      <c r="O193" s="88" t="s">
        <v>84</v>
      </c>
      <c r="P193" s="88" t="s">
        <v>83</v>
      </c>
      <c r="Q193" s="87" t="s">
        <v>235</v>
      </c>
    </row>
    <row r="194" spans="1:17" ht="21.75" customHeight="1" x14ac:dyDescent="0.35">
      <c r="A194" s="84" t="s">
        <v>222</v>
      </c>
      <c r="B194" s="90" t="str">
        <f>IFERROR(IF('Open 30M - Bracket'!BK21="","",'Open 30M - Bracket'!BK21),"")</f>
        <v/>
      </c>
      <c r="C194" s="90" t="str">
        <f>IFERROR(IF('Open 30M - Bracket'!BL21="","",'Open 30M - Bracket'!BL21),"")</f>
        <v/>
      </c>
      <c r="D194" s="90" t="str">
        <f>IFERROR(IF('Open 30M - Bracket'!BM21="","",'Open 30M - Bracket'!BM21),"")</f>
        <v/>
      </c>
      <c r="E194" s="90" t="str">
        <f>IFERROR(IF('Open 30M - Bracket'!BN21="","",'Open 30M - Bracket'!BN21),"")</f>
        <v/>
      </c>
      <c r="F194" s="90" t="str">
        <f>IFERROR(IF('Open 30M - Bracket'!BO21="","",'Open 30M - Bracket'!BO21),"")</f>
        <v/>
      </c>
      <c r="G194" s="90" t="str">
        <f>IFERROR(IF('Open 30M - Bracket'!BP21="","",'Open 30M - Bracket'!BP21),"")</f>
        <v/>
      </c>
      <c r="H194" s="32">
        <f>IFERROR(IF(ISNUMBER('Open 30M - Bracket'!BQ21),'Open 30M - Bracket'!BQ21,0),0)</f>
        <v>0</v>
      </c>
      <c r="I194" s="91" t="str">
        <f>IF(AND(ISNUMBER('Open 30M - Bracket'!BQ21),ISNUMBER('Open 30M - Bracket'!BQ23)),IF('Open 30M - Bracket'!BQ21&gt;'Open 30M - Bracket'!BQ23,"2-0",IF('Open 30M - Bracket'!BQ21='Open 30M - Bracket'!BQ23,"1-1","0-2")),"—")</f>
        <v>—</v>
      </c>
      <c r="J194" s="32">
        <f>IFERROR(IF(ISNUMBER('Open 30M - Bracket'!BQ23),'Open 30M - Bracket'!BQ23,0),0)</f>
        <v>0</v>
      </c>
      <c r="K194" s="90" t="str">
        <f>IFERROR(IF('Open 30M - Bracket'!BP23="","",'Open 30M - Bracket'!BP23),"")</f>
        <v/>
      </c>
      <c r="L194" s="90" t="str">
        <f>IFERROR(IF('Open 30M - Bracket'!BO23="","",'Open 30M - Bracket'!BO23),"")</f>
        <v/>
      </c>
      <c r="M194" s="90" t="str">
        <f>IFERROR(IF('Open 30M - Bracket'!BN23="","",'Open 30M - Bracket'!BN23),"")</f>
        <v/>
      </c>
      <c r="N194" s="90" t="str">
        <f>IFERROR(IF('Open 30M - Bracket'!BM23="","",'Open 30M - Bracket'!BM23),"")</f>
        <v/>
      </c>
      <c r="O194" s="90" t="str">
        <f>IFERROR(IF('Open 30M - Bracket'!BL23="","",'Open 30M - Bracket'!BL23),"")</f>
        <v/>
      </c>
      <c r="P194" s="90" t="str">
        <f>IFERROR(IF('Open 30M - Bracket'!BK23="","",'Open 30M - Bracket'!BK23),"")</f>
        <v/>
      </c>
      <c r="Q194" s="84" t="s">
        <v>222</v>
      </c>
    </row>
    <row r="195" spans="1:17" ht="21.75" customHeight="1" x14ac:dyDescent="0.35">
      <c r="A195" s="84" t="s">
        <v>223</v>
      </c>
      <c r="B195" s="90" t="str">
        <f>IFERROR(IF('Open 30M - Bracket'!BR21="","",'Open 30M - Bracket'!BR21),"")</f>
        <v/>
      </c>
      <c r="C195" s="90" t="str">
        <f>IFERROR(IF('Open 30M - Bracket'!BS21="","",'Open 30M - Bracket'!BS21),"")</f>
        <v/>
      </c>
      <c r="D195" s="90" t="str">
        <f>IFERROR(IF('Open 30M - Bracket'!BT21="","",'Open 30M - Bracket'!BT21),"")</f>
        <v/>
      </c>
      <c r="E195" s="90" t="str">
        <f>IFERROR(IF('Open 30M - Bracket'!BU21="","",'Open 30M - Bracket'!BU21),"")</f>
        <v/>
      </c>
      <c r="F195" s="90" t="str">
        <f>IFERROR(IF('Open 30M - Bracket'!BV21="","",'Open 30M - Bracket'!BV21),"")</f>
        <v/>
      </c>
      <c r="G195" s="90" t="str">
        <f>IFERROR(IF('Open 30M - Bracket'!BW21="","",'Open 30M - Bracket'!BW21),"")</f>
        <v/>
      </c>
      <c r="H195" s="32">
        <f>IFERROR(IF(ISNUMBER('Open 30M - Bracket'!BX21),'Open 30M - Bracket'!BX21,0),0)</f>
        <v>0</v>
      </c>
      <c r="I195" s="91" t="str">
        <f>IF(AND(ISNUMBER('Open 30M - Bracket'!BX21),ISNUMBER('Open 30M - Bracket'!BX23)),IF('Open 30M - Bracket'!BX21&gt;'Open 30M - Bracket'!BX23,"2-0",IF('Open 30M - Bracket'!BX21='Open 30M - Bracket'!BX23,"1-1","0-2")),"—")</f>
        <v>—</v>
      </c>
      <c r="J195" s="32">
        <f>IFERROR(IF(ISNUMBER('Open 30M - Bracket'!BX23),'Open 30M - Bracket'!BX23,0),0)</f>
        <v>0</v>
      </c>
      <c r="K195" s="90" t="str">
        <f>IFERROR(IF('Open 30M - Bracket'!BW23="","",'Open 30M - Bracket'!BW23),"")</f>
        <v/>
      </c>
      <c r="L195" s="90" t="str">
        <f>IFERROR(IF('Open 30M - Bracket'!BV23="","",'Open 30M - Bracket'!BV23),"")</f>
        <v/>
      </c>
      <c r="M195" s="90" t="str">
        <f>IFERROR(IF('Open 30M - Bracket'!BU23="","",'Open 30M - Bracket'!BU23),"")</f>
        <v/>
      </c>
      <c r="N195" s="90" t="str">
        <f>IFERROR(IF('Open 30M - Bracket'!BT23="","",'Open 30M - Bracket'!BT23),"")</f>
        <v/>
      </c>
      <c r="O195" s="90" t="str">
        <f>IFERROR(IF('Open 30M - Bracket'!BS23="","",'Open 30M - Bracket'!BS23),"")</f>
        <v/>
      </c>
      <c r="P195" s="90" t="str">
        <f>IFERROR(IF('Open 30M - Bracket'!BR23="","",'Open 30M - Bracket'!BR23),"")</f>
        <v/>
      </c>
      <c r="Q195" s="84" t="s">
        <v>223</v>
      </c>
    </row>
    <row r="196" spans="1:17" ht="21.75" customHeight="1" x14ac:dyDescent="0.35">
      <c r="A196" s="84" t="s">
        <v>224</v>
      </c>
      <c r="B196" s="90" t="str">
        <f>IFERROR(IF('Open 30M - Bracket'!BY21="","",'Open 30M - Bracket'!BY21),"")</f>
        <v/>
      </c>
      <c r="C196" s="90" t="str">
        <f>IFERROR(IF('Open 30M - Bracket'!BZ21="","",'Open 30M - Bracket'!BZ21),"")</f>
        <v/>
      </c>
      <c r="D196" s="90" t="str">
        <f>IFERROR(IF('Open 30M - Bracket'!CA21="","",'Open 30M - Bracket'!CA21),"")</f>
        <v/>
      </c>
      <c r="E196" s="90" t="str">
        <f>IFERROR(IF('Open 30M - Bracket'!CB21="","",'Open 30M - Bracket'!CB21),"")</f>
        <v/>
      </c>
      <c r="F196" s="90" t="str">
        <f>IFERROR(IF('Open 30M - Bracket'!CC21="","",'Open 30M - Bracket'!CC21),"")</f>
        <v/>
      </c>
      <c r="G196" s="90" t="str">
        <f>IFERROR(IF('Open 30M - Bracket'!CD21="","",'Open 30M - Bracket'!CD21),"")</f>
        <v/>
      </c>
      <c r="H196" s="32">
        <f>IFERROR(IF(ISNUMBER('Open 30M - Bracket'!CE21),'Open 30M - Bracket'!CE21,0),0)</f>
        <v>0</v>
      </c>
      <c r="I196" s="91" t="str">
        <f>IF(AND(ISNUMBER('Open 30M - Bracket'!CE21),ISNUMBER('Open 30M - Bracket'!CE23)),IF('Open 30M - Bracket'!CE21&gt;'Open 30M - Bracket'!CE23,"2-0",IF('Open 30M - Bracket'!CE21='Open 30M - Bracket'!CE23,"1-1","0-2")),"—")</f>
        <v>—</v>
      </c>
      <c r="J196" s="32">
        <f>IFERROR(IF(ISNUMBER('Open 30M - Bracket'!CE23),'Open 30M - Bracket'!CE23,0),0)</f>
        <v>0</v>
      </c>
      <c r="K196" s="90" t="str">
        <f>IFERROR(IF('Open 30M - Bracket'!CD23="","",'Open 30M - Bracket'!CD23),"")</f>
        <v/>
      </c>
      <c r="L196" s="90" t="str">
        <f>IFERROR(IF('Open 30M - Bracket'!CC23="","",'Open 30M - Bracket'!CC23),"")</f>
        <v/>
      </c>
      <c r="M196" s="90" t="str">
        <f>IFERROR(IF('Open 30M - Bracket'!CB23="","",'Open 30M - Bracket'!CB23),"")</f>
        <v/>
      </c>
      <c r="N196" s="90" t="str">
        <f>IFERROR(IF('Open 30M - Bracket'!CA23="","",'Open 30M - Bracket'!CA23),"")</f>
        <v/>
      </c>
      <c r="O196" s="90" t="str">
        <f>IFERROR(IF('Open 30M - Bracket'!BZ23="","",'Open 30M - Bracket'!BZ23),"")</f>
        <v/>
      </c>
      <c r="P196" s="90" t="str">
        <f>IFERROR(IF('Open 30M - Bracket'!BY23="","",'Open 30M - Bracket'!BY23),"")</f>
        <v/>
      </c>
      <c r="Q196" s="84" t="s">
        <v>224</v>
      </c>
    </row>
    <row r="197" spans="1:17" ht="21.75" customHeight="1" x14ac:dyDescent="0.35">
      <c r="A197" s="84" t="s">
        <v>227</v>
      </c>
      <c r="B197" s="90" t="str">
        <f>IFERROR(IF('Open 30M - Bracket'!CF21="","",'Open 30M - Bracket'!CF21),"")</f>
        <v/>
      </c>
      <c r="C197" s="90" t="str">
        <f>IFERROR(IF('Open 30M - Bracket'!CG21="","",'Open 30M - Bracket'!CG21),"")</f>
        <v/>
      </c>
      <c r="D197" s="90" t="str">
        <f>IFERROR(IF('Open 30M - Bracket'!CH21="","",'Open 30M - Bracket'!CH21),"")</f>
        <v/>
      </c>
      <c r="E197" s="90" t="str">
        <f>IFERROR(IF('Open 30M - Bracket'!CI21="","",'Open 30M - Bracket'!CI21),"")</f>
        <v/>
      </c>
      <c r="F197" s="90" t="str">
        <f>IFERROR(IF('Open 30M - Bracket'!CJ21="","",'Open 30M - Bracket'!CJ21),"")</f>
        <v/>
      </c>
      <c r="G197" s="90" t="str">
        <f>IFERROR(IF('Open 30M - Bracket'!CK21="","",'Open 30M - Bracket'!CK21),"")</f>
        <v/>
      </c>
      <c r="H197" s="32">
        <f>IFERROR(IF(ISNUMBER('Open 30M - Bracket'!CL21),'Open 30M - Bracket'!CL21,0),0)</f>
        <v>0</v>
      </c>
      <c r="I197" s="91" t="str">
        <f>IF(AND(ISNUMBER('Open 30M - Bracket'!CL21),ISNUMBER('Open 30M - Bracket'!CL23)),IF('Open 30M - Bracket'!CL21&gt;'Open 30M - Bracket'!CL23,"2-0",IF('Open 30M - Bracket'!CL21='Open 30M - Bracket'!CL23,"1-1","0-2")),"—")</f>
        <v>—</v>
      </c>
      <c r="J197" s="32">
        <f>IFERROR(IF(ISNUMBER('Open 30M - Bracket'!CL23),'Open 30M - Bracket'!CL23,0),0)</f>
        <v>0</v>
      </c>
      <c r="K197" s="90" t="str">
        <f>IFERROR(IF('Open 30M - Bracket'!CK23="","",'Open 30M - Bracket'!CK23),"")</f>
        <v/>
      </c>
      <c r="L197" s="90" t="str">
        <f>IFERROR(IF('Open 30M - Bracket'!CJ23="","",'Open 30M - Bracket'!CJ23),"")</f>
        <v/>
      </c>
      <c r="M197" s="90" t="str">
        <f>IFERROR(IF('Open 30M - Bracket'!CI23="","",'Open 30M - Bracket'!CI23),"")</f>
        <v/>
      </c>
      <c r="N197" s="90" t="str">
        <f>IFERROR(IF('Open 30M - Bracket'!CH23="","",'Open 30M - Bracket'!CH23),"")</f>
        <v/>
      </c>
      <c r="O197" s="90" t="str">
        <f>IFERROR(IF('Open 30M - Bracket'!CG23="","",'Open 30M - Bracket'!CG23),"")</f>
        <v/>
      </c>
      <c r="P197" s="90" t="str">
        <f>IFERROR(IF('Open 30M - Bracket'!CF23="","",'Open 30M - Bracket'!CF23),"")</f>
        <v/>
      </c>
      <c r="Q197" s="84" t="s">
        <v>227</v>
      </c>
    </row>
    <row r="198" spans="1:17" ht="21.75" customHeight="1" x14ac:dyDescent="0.35">
      <c r="A198" s="84" t="s">
        <v>228</v>
      </c>
      <c r="B198" s="90" t="str">
        <f>IFERROR(IF('Open 30M - Bracket'!CM21="","",'Open 30M - Bracket'!CM21),"")</f>
        <v/>
      </c>
      <c r="C198" s="90" t="str">
        <f>IFERROR(IF('Open 30M - Bracket'!CN21="","",'Open 30M - Bracket'!CN21),"")</f>
        <v/>
      </c>
      <c r="D198" s="90" t="str">
        <f>IFERROR(IF('Open 30M - Bracket'!CO21="","",'Open 30M - Bracket'!CO21),"")</f>
        <v/>
      </c>
      <c r="E198" s="90" t="str">
        <f>IFERROR(IF('Open 30M - Bracket'!CP21="","",'Open 30M - Bracket'!CP21),"")</f>
        <v/>
      </c>
      <c r="F198" s="90" t="str">
        <f>IFERROR(IF('Open 30M - Bracket'!CQ21="","",'Open 30M - Bracket'!CQ21),"")</f>
        <v/>
      </c>
      <c r="G198" s="90" t="str">
        <f>IFERROR(IF('Open 30M - Bracket'!CR21="","",'Open 30M - Bracket'!CR21),"")</f>
        <v/>
      </c>
      <c r="H198" s="32">
        <f>IFERROR(IF(ISNUMBER('Open 30M - Bracket'!CS21),'Open 30M - Bracket'!CS21,0),0)</f>
        <v>0</v>
      </c>
      <c r="I198" s="91" t="str">
        <f>IF(AND(ISNUMBER('Open 30M - Bracket'!CS21),ISNUMBER('Open 30M - Bracket'!CS23)),IF('Open 30M - Bracket'!CS21&gt;'Open 30M - Bracket'!CS23,"2-0",IF('Open 30M - Bracket'!CS21='Open 30M - Bracket'!CS23,"1-1","0-2")),"—")</f>
        <v>—</v>
      </c>
      <c r="J198" s="32">
        <f>IFERROR(IF(ISNUMBER('Open 30M - Bracket'!CS23),'Open 30M - Bracket'!CS23,0),0)</f>
        <v>0</v>
      </c>
      <c r="K198" s="90" t="str">
        <f>IFERROR(IF('Open 30M - Bracket'!CR23="","",'Open 30M - Bracket'!CR23),"")</f>
        <v/>
      </c>
      <c r="L198" s="90" t="str">
        <f>IFERROR(IF('Open 30M - Bracket'!CQ23="","",'Open 30M - Bracket'!CQ23),"")</f>
        <v/>
      </c>
      <c r="M198" s="90" t="str">
        <f>IFERROR(IF('Open 30M - Bracket'!CP23="","",'Open 30M - Bracket'!CP23),"")</f>
        <v/>
      </c>
      <c r="N198" s="90" t="str">
        <f>IFERROR(IF('Open 30M - Bracket'!CO23="","",'Open 30M - Bracket'!CO23),"")</f>
        <v/>
      </c>
      <c r="O198" s="90" t="str">
        <f>IFERROR(IF('Open 30M - Bracket'!CN23="","",'Open 30M - Bracket'!CN23),"")</f>
        <v/>
      </c>
      <c r="P198" s="90" t="str">
        <f>IFERROR(IF('Open 30M - Bracket'!CM23="","",'Open 30M - Bracket'!CM23),"")</f>
        <v/>
      </c>
      <c r="Q198" s="84" t="s">
        <v>228</v>
      </c>
    </row>
    <row r="199" spans="1:17" ht="21.75" customHeight="1" x14ac:dyDescent="0.35">
      <c r="A199" s="92" t="s">
        <v>237</v>
      </c>
      <c r="B199" s="93" t="str">
        <f>IFERROR(IF('Open 30M - Bracket'!CT21="","",'Open 30M - Bracket'!CT21),"")</f>
        <v/>
      </c>
      <c r="C199" s="93" t="str">
        <f>IFERROR(IF('Open 30M - Bracket'!CU21="","",'Open 30M - Bracket'!CU21),"")</f>
        <v/>
      </c>
      <c r="D199" s="93" t="str">
        <f>IFERROR(IF('Open 30M - Bracket'!CV21="","",'Open 30M - Bracket'!CV21),"")</f>
        <v/>
      </c>
      <c r="E199" s="93" t="str">
        <f>IFERROR(IF('Open 30M - Bracket'!CW21="","",'Open 30M - Bracket'!CW21),"")</f>
        <v/>
      </c>
      <c r="F199" s="93" t="str">
        <f>IFERROR(IF('Open 30M - Bracket'!CX21="","",'Open 30M - Bracket'!CX21),"")</f>
        <v/>
      </c>
      <c r="G199" s="93" t="str">
        <f>IFERROR(IF('Open 30M - Bracket'!CY21="","",'Open 30M - Bracket'!CY21),"")</f>
        <v/>
      </c>
      <c r="H199" s="32">
        <f>IFERROR(IF(ISNUMBER('Open 30M - Bracket'!CZ21),'Open 30M - Bracket'!CZ21,0),0)</f>
        <v>0</v>
      </c>
      <c r="I199" s="91" t="str">
        <f>IF(AND(ISNUMBER('Open 30M - Bracket'!CZ21),ISNUMBER('Open 30M - Bracket'!CZ23)),IF('Open 30M - Bracket'!CZ21&gt;'Open 30M - Bracket'!CZ23,"2-0",IF('Open 30M - Bracket'!CZ21='Open 30M - Bracket'!CZ23,"1-1","0-2")),"—")</f>
        <v>—</v>
      </c>
      <c r="J199" s="32">
        <f>IFERROR(IF(ISNUMBER('Open 30M - Bracket'!CZ23),'Open 30M - Bracket'!CZ23,0),0)</f>
        <v>0</v>
      </c>
      <c r="K199" s="93" t="str">
        <f>IFERROR(IF('Open 30M - Bracket'!CY23="","",'Open 30M - Bracket'!CY23),"")</f>
        <v/>
      </c>
      <c r="L199" s="93" t="str">
        <f>IFERROR(IF('Open 30M - Bracket'!CX23="","",'Open 30M - Bracket'!CX23),"")</f>
        <v/>
      </c>
      <c r="M199" s="93" t="str">
        <f>IFERROR(IF('Open 30M - Bracket'!CW23="","",'Open 30M - Bracket'!CW23),"")</f>
        <v/>
      </c>
      <c r="N199" s="93" t="str">
        <f>IFERROR(IF('Open 30M - Bracket'!CV23="","",'Open 30M - Bracket'!CV23),"")</f>
        <v/>
      </c>
      <c r="O199" s="93" t="str">
        <f>IFERROR(IF('Open 30M - Bracket'!CU23="","",'Open 30M - Bracket'!CU23),"")</f>
        <v/>
      </c>
      <c r="P199" s="93" t="str">
        <f>IFERROR(IF('Open 30M - Bracket'!CT23="","",'Open 30M - Bracket'!CT23),"")</f>
        <v/>
      </c>
      <c r="Q199" s="92" t="s">
        <v>237</v>
      </c>
    </row>
    <row r="200" spans="1:17" ht="4.5" customHeight="1" x14ac:dyDescent="0.35"/>
    <row r="201" spans="1:17" ht="31.5" customHeight="1" x14ac:dyDescent="0.35">
      <c r="A201" s="130">
        <f>IFERROR(IF(ISNUMBER('Open 30M - Bracket'!DA21),'Open 30M - Bracket'!DA21,0),0)</f>
        <v>0</v>
      </c>
      <c r="B201" s="130"/>
      <c r="C201" s="130"/>
      <c r="D201" s="130"/>
      <c r="E201" s="130"/>
      <c r="F201" s="130"/>
      <c r="G201" s="130"/>
      <c r="H201" s="94" t="str">
        <f>IFERROR('Open 30M - Bracket'!DD21,"")</f>
        <v>&gt;&gt; Advance</v>
      </c>
      <c r="I201" s="86"/>
      <c r="J201" s="94" t="str">
        <f>IFERROR('Open 30M - Bracket'!DD23,"")</f>
        <v>&gt;&gt; Advance</v>
      </c>
      <c r="K201" s="130">
        <f>IFERROR(IF(ISNUMBER('Open 30M - Bracket'!DA23),'Open 30M - Bracket'!DA23,0),0)</f>
        <v>0</v>
      </c>
      <c r="L201" s="130"/>
      <c r="M201" s="130"/>
      <c r="N201" s="130"/>
      <c r="O201" s="130"/>
      <c r="P201" s="130"/>
      <c r="Q201" s="130"/>
    </row>
    <row r="202" spans="1:17" ht="21.75" customHeight="1" x14ac:dyDescent="0.35">
      <c r="A202" s="130"/>
      <c r="B202" s="130"/>
      <c r="C202" s="130"/>
      <c r="D202" s="130"/>
      <c r="E202" s="130"/>
      <c r="F202" s="130"/>
      <c r="G202" s="130"/>
      <c r="K202" s="130"/>
      <c r="L202" s="130"/>
      <c r="M202" s="130"/>
      <c r="N202" s="130"/>
      <c r="O202" s="130"/>
      <c r="P202" s="130"/>
      <c r="Q202" s="130"/>
    </row>
    <row r="203" spans="1:17" ht="4.5" customHeight="1" x14ac:dyDescent="0.35"/>
    <row r="204" spans="1:17" ht="12" customHeight="1" x14ac:dyDescent="0.35">
      <c r="A204" s="126"/>
      <c r="B204" s="126"/>
      <c r="C204" s="126"/>
      <c r="D204" s="126"/>
      <c r="E204" s="126"/>
      <c r="F204" s="126"/>
      <c r="G204" s="126"/>
      <c r="H204" s="126"/>
      <c r="I204" s="126"/>
      <c r="J204" s="126"/>
      <c r="K204" s="126"/>
      <c r="L204" s="126"/>
      <c r="M204" s="126"/>
      <c r="N204" s="126"/>
      <c r="O204" s="126"/>
      <c r="P204" s="126"/>
      <c r="Q204" s="126"/>
    </row>
    <row r="205" spans="1:17" ht="7.5" customHeight="1" x14ac:dyDescent="0.35"/>
    <row r="206" spans="1:17" ht="19.5" customHeight="1" x14ac:dyDescent="0.35">
      <c r="A206" s="132" t="s">
        <v>249</v>
      </c>
      <c r="B206" s="132"/>
      <c r="C206" s="132"/>
      <c r="D206" s="132"/>
      <c r="E206" s="132"/>
      <c r="F206" s="132"/>
      <c r="G206" s="132"/>
      <c r="H206" s="132"/>
      <c r="I206" s="132"/>
      <c r="J206" s="132"/>
      <c r="K206" s="132"/>
      <c r="L206" s="132"/>
      <c r="M206" s="132"/>
      <c r="N206" s="132"/>
      <c r="O206" s="132"/>
      <c r="P206" s="132"/>
      <c r="Q206" s="132"/>
    </row>
    <row r="207" spans="1:17" ht="4.5" customHeight="1" x14ac:dyDescent="0.35"/>
    <row r="208" spans="1:17" ht="21.75" customHeight="1" x14ac:dyDescent="0.35">
      <c r="A208" s="84" t="s">
        <v>232</v>
      </c>
      <c r="B208" s="128" t="str">
        <f>IFERROR(IF('Open 30M - Bracket'!DH6="","TBD",'Open 30M - Bracket'!DH6),"TBD")</f>
        <v>Joseph Nesortado Naoe</v>
      </c>
      <c r="C208" s="128"/>
      <c r="D208" s="128"/>
      <c r="E208" s="128"/>
      <c r="F208" s="128"/>
      <c r="G208" s="128"/>
      <c r="H208" s="128"/>
      <c r="I208" s="84" t="s">
        <v>233</v>
      </c>
      <c r="J208" s="128" t="str">
        <f>IFERROR(IF('Open 30M - Bracket'!DH8="","TBD",'Open 30M - Bracket'!DH8),"TBD")</f>
        <v>TBD</v>
      </c>
      <c r="K208" s="128"/>
      <c r="L208" s="128"/>
      <c r="M208" s="128"/>
      <c r="N208" s="128"/>
      <c r="O208" s="128"/>
      <c r="P208" s="128"/>
      <c r="Q208" s="84" t="s">
        <v>232</v>
      </c>
    </row>
    <row r="209" spans="1:17" ht="13.5" customHeight="1" x14ac:dyDescent="0.35">
      <c r="A209" s="85" t="s">
        <v>234</v>
      </c>
      <c r="B209" s="129" t="str">
        <f>IFERROR('Open 30M - Bracket'!DG6,"")</f>
        <v>"W-QF1"</v>
      </c>
      <c r="C209" s="129"/>
      <c r="D209" s="129"/>
      <c r="E209" s="129"/>
      <c r="F209" s="129"/>
      <c r="G209" s="129"/>
      <c r="H209" s="129"/>
      <c r="I209" s="86"/>
      <c r="J209" s="129" t="str">
        <f>IFERROR('Open 30M - Bracket'!DG8,"")</f>
        <v>"W-QF2"</v>
      </c>
      <c r="K209" s="129"/>
      <c r="L209" s="129"/>
      <c r="M209" s="129"/>
      <c r="N209" s="129"/>
      <c r="O209" s="129"/>
      <c r="P209" s="129"/>
      <c r="Q209" s="85" t="s">
        <v>234</v>
      </c>
    </row>
    <row r="210" spans="1:17" ht="19.5" customHeight="1" x14ac:dyDescent="0.35">
      <c r="A210" s="87" t="s">
        <v>235</v>
      </c>
      <c r="B210" s="88" t="s">
        <v>83</v>
      </c>
      <c r="C210" s="88" t="s">
        <v>84</v>
      </c>
      <c r="D210" s="88" t="s">
        <v>85</v>
      </c>
      <c r="E210" s="88" t="s">
        <v>86</v>
      </c>
      <c r="F210" s="88" t="s">
        <v>87</v>
      </c>
      <c r="G210" s="88" t="s">
        <v>88</v>
      </c>
      <c r="H210" s="24" t="s">
        <v>236</v>
      </c>
      <c r="I210" s="89"/>
      <c r="J210" s="24" t="s">
        <v>236</v>
      </c>
      <c r="K210" s="88" t="s">
        <v>88</v>
      </c>
      <c r="L210" s="88" t="s">
        <v>87</v>
      </c>
      <c r="M210" s="88" t="s">
        <v>86</v>
      </c>
      <c r="N210" s="88" t="s">
        <v>85</v>
      </c>
      <c r="O210" s="88" t="s">
        <v>84</v>
      </c>
      <c r="P210" s="88" t="s">
        <v>83</v>
      </c>
      <c r="Q210" s="87" t="s">
        <v>235</v>
      </c>
    </row>
    <row r="211" spans="1:17" ht="21.75" customHeight="1" x14ac:dyDescent="0.35">
      <c r="A211" s="84" t="s">
        <v>222</v>
      </c>
      <c r="B211" s="90" t="str">
        <f>IFERROR(IF('Open 30M - Bracket'!DN6="","",'Open 30M - Bracket'!DN6),"")</f>
        <v/>
      </c>
      <c r="C211" s="90" t="str">
        <f>IFERROR(IF('Open 30M - Bracket'!DO6="","",'Open 30M - Bracket'!DO6),"")</f>
        <v/>
      </c>
      <c r="D211" s="90" t="str">
        <f>IFERROR(IF('Open 30M - Bracket'!DP6="","",'Open 30M - Bracket'!DP6),"")</f>
        <v/>
      </c>
      <c r="E211" s="90" t="str">
        <f>IFERROR(IF('Open 30M - Bracket'!DQ6="","",'Open 30M - Bracket'!DQ6),"")</f>
        <v/>
      </c>
      <c r="F211" s="90" t="str">
        <f>IFERROR(IF('Open 30M - Bracket'!DR6="","",'Open 30M - Bracket'!DR6),"")</f>
        <v/>
      </c>
      <c r="G211" s="90" t="str">
        <f>IFERROR(IF('Open 30M - Bracket'!DS6="","",'Open 30M - Bracket'!DS6),"")</f>
        <v/>
      </c>
      <c r="H211" s="32">
        <f>IFERROR(IF(ISNUMBER('Open 30M - Bracket'!DT6),'Open 30M - Bracket'!DT6,0),0)</f>
        <v>0</v>
      </c>
      <c r="I211" s="91" t="str">
        <f>IF(AND(ISNUMBER('Open 30M - Bracket'!DT6),ISNUMBER('Open 30M - Bracket'!DT8)),IF('Open 30M - Bracket'!DT6&gt;'Open 30M - Bracket'!DT8,"2-0",IF('Open 30M - Bracket'!DT6='Open 30M - Bracket'!DT8,"1-1","0-2")),"—")</f>
        <v>—</v>
      </c>
      <c r="J211" s="32">
        <f>IFERROR(IF(ISNUMBER('Open 30M - Bracket'!DT8),'Open 30M - Bracket'!DT8,0),0)</f>
        <v>0</v>
      </c>
      <c r="K211" s="90" t="str">
        <f>IFERROR(IF('Open 30M - Bracket'!DS8="","",'Open 30M - Bracket'!DS8),"")</f>
        <v/>
      </c>
      <c r="L211" s="90" t="str">
        <f>IFERROR(IF('Open 30M - Bracket'!DR8="","",'Open 30M - Bracket'!DR8),"")</f>
        <v/>
      </c>
      <c r="M211" s="90" t="str">
        <f>IFERROR(IF('Open 30M - Bracket'!DQ8="","",'Open 30M - Bracket'!DQ8),"")</f>
        <v/>
      </c>
      <c r="N211" s="90" t="str">
        <f>IFERROR(IF('Open 30M - Bracket'!DP8="","",'Open 30M - Bracket'!DP8),"")</f>
        <v/>
      </c>
      <c r="O211" s="90" t="str">
        <f>IFERROR(IF('Open 30M - Bracket'!DO8="","",'Open 30M - Bracket'!DO8),"")</f>
        <v/>
      </c>
      <c r="P211" s="90" t="str">
        <f>IFERROR(IF('Open 30M - Bracket'!DN8="","",'Open 30M - Bracket'!DN8),"")</f>
        <v/>
      </c>
      <c r="Q211" s="84" t="s">
        <v>222</v>
      </c>
    </row>
    <row r="212" spans="1:17" ht="21.75" customHeight="1" x14ac:dyDescent="0.35">
      <c r="A212" s="84" t="s">
        <v>223</v>
      </c>
      <c r="B212" s="90" t="str">
        <f>IFERROR(IF('Open 30M - Bracket'!DU6="","",'Open 30M - Bracket'!DU6),"")</f>
        <v/>
      </c>
      <c r="C212" s="90" t="str">
        <f>IFERROR(IF('Open 30M - Bracket'!DV6="","",'Open 30M - Bracket'!DV6),"")</f>
        <v/>
      </c>
      <c r="D212" s="90" t="str">
        <f>IFERROR(IF('Open 30M - Bracket'!DW6="","",'Open 30M - Bracket'!DW6),"")</f>
        <v/>
      </c>
      <c r="E212" s="90" t="str">
        <f>IFERROR(IF('Open 30M - Bracket'!DX6="","",'Open 30M - Bracket'!DX6),"")</f>
        <v/>
      </c>
      <c r="F212" s="90" t="str">
        <f>IFERROR(IF('Open 30M - Bracket'!DY6="","",'Open 30M - Bracket'!DY6),"")</f>
        <v/>
      </c>
      <c r="G212" s="90" t="str">
        <f>IFERROR(IF('Open 30M - Bracket'!DZ6="","",'Open 30M - Bracket'!DZ6),"")</f>
        <v/>
      </c>
      <c r="H212" s="32">
        <f>IFERROR(IF(ISNUMBER('Open 30M - Bracket'!EA6),'Open 30M - Bracket'!EA6,0),0)</f>
        <v>0</v>
      </c>
      <c r="I212" s="91" t="str">
        <f>IF(AND(ISNUMBER('Open 30M - Bracket'!EA6),ISNUMBER('Open 30M - Bracket'!EA8)),IF('Open 30M - Bracket'!EA6&gt;'Open 30M - Bracket'!EA8,"2-0",IF('Open 30M - Bracket'!EA6='Open 30M - Bracket'!EA8,"1-1","0-2")),"—")</f>
        <v>—</v>
      </c>
      <c r="J212" s="32">
        <f>IFERROR(IF(ISNUMBER('Open 30M - Bracket'!EA8),'Open 30M - Bracket'!EA8,0),0)</f>
        <v>0</v>
      </c>
      <c r="K212" s="90" t="str">
        <f>IFERROR(IF('Open 30M - Bracket'!DZ8="","",'Open 30M - Bracket'!DZ8),"")</f>
        <v/>
      </c>
      <c r="L212" s="90" t="str">
        <f>IFERROR(IF('Open 30M - Bracket'!DY8="","",'Open 30M - Bracket'!DY8),"")</f>
        <v/>
      </c>
      <c r="M212" s="90" t="str">
        <f>IFERROR(IF('Open 30M - Bracket'!DX8="","",'Open 30M - Bracket'!DX8),"")</f>
        <v/>
      </c>
      <c r="N212" s="90" t="str">
        <f>IFERROR(IF('Open 30M - Bracket'!DW8="","",'Open 30M - Bracket'!DW8),"")</f>
        <v/>
      </c>
      <c r="O212" s="90" t="str">
        <f>IFERROR(IF('Open 30M - Bracket'!DV8="","",'Open 30M - Bracket'!DV8),"")</f>
        <v/>
      </c>
      <c r="P212" s="90" t="str">
        <f>IFERROR(IF('Open 30M - Bracket'!DU8="","",'Open 30M - Bracket'!DU8),"")</f>
        <v/>
      </c>
      <c r="Q212" s="84" t="s">
        <v>223</v>
      </c>
    </row>
    <row r="213" spans="1:17" ht="21.75" customHeight="1" x14ac:dyDescent="0.35">
      <c r="A213" s="84" t="s">
        <v>224</v>
      </c>
      <c r="B213" s="90" t="str">
        <f>IFERROR(IF('Open 30M - Bracket'!EB6="","",'Open 30M - Bracket'!EB6),"")</f>
        <v/>
      </c>
      <c r="C213" s="90" t="str">
        <f>IFERROR(IF('Open 30M - Bracket'!EC6="","",'Open 30M - Bracket'!EC6),"")</f>
        <v/>
      </c>
      <c r="D213" s="90" t="str">
        <f>IFERROR(IF('Open 30M - Bracket'!ED6="","",'Open 30M - Bracket'!ED6),"")</f>
        <v/>
      </c>
      <c r="E213" s="90" t="str">
        <f>IFERROR(IF('Open 30M - Bracket'!EE6="","",'Open 30M - Bracket'!EE6),"")</f>
        <v/>
      </c>
      <c r="F213" s="90" t="str">
        <f>IFERROR(IF('Open 30M - Bracket'!EF6="","",'Open 30M - Bracket'!EF6),"")</f>
        <v/>
      </c>
      <c r="G213" s="90" t="str">
        <f>IFERROR(IF('Open 30M - Bracket'!EG6="","",'Open 30M - Bracket'!EG6),"")</f>
        <v/>
      </c>
      <c r="H213" s="32">
        <f>IFERROR(IF(ISNUMBER('Open 30M - Bracket'!EH6),'Open 30M - Bracket'!EH6,0),0)</f>
        <v>0</v>
      </c>
      <c r="I213" s="91" t="str">
        <f>IF(AND(ISNUMBER('Open 30M - Bracket'!EH6),ISNUMBER('Open 30M - Bracket'!EH8)),IF('Open 30M - Bracket'!EH6&gt;'Open 30M - Bracket'!EH8,"2-0",IF('Open 30M - Bracket'!EH6='Open 30M - Bracket'!EH8,"1-1","0-2")),"—")</f>
        <v>—</v>
      </c>
      <c r="J213" s="32">
        <f>IFERROR(IF(ISNUMBER('Open 30M - Bracket'!EH8),'Open 30M - Bracket'!EH8,0),0)</f>
        <v>0</v>
      </c>
      <c r="K213" s="90" t="str">
        <f>IFERROR(IF('Open 30M - Bracket'!EG8="","",'Open 30M - Bracket'!EG8),"")</f>
        <v/>
      </c>
      <c r="L213" s="90" t="str">
        <f>IFERROR(IF('Open 30M - Bracket'!EF8="","",'Open 30M - Bracket'!EF8),"")</f>
        <v/>
      </c>
      <c r="M213" s="90" t="str">
        <f>IFERROR(IF('Open 30M - Bracket'!EE8="","",'Open 30M - Bracket'!EE8),"")</f>
        <v/>
      </c>
      <c r="N213" s="90" t="str">
        <f>IFERROR(IF('Open 30M - Bracket'!ED8="","",'Open 30M - Bracket'!ED8),"")</f>
        <v/>
      </c>
      <c r="O213" s="90" t="str">
        <f>IFERROR(IF('Open 30M - Bracket'!EC8="","",'Open 30M - Bracket'!EC8),"")</f>
        <v/>
      </c>
      <c r="P213" s="90" t="str">
        <f>IFERROR(IF('Open 30M - Bracket'!EB8="","",'Open 30M - Bracket'!EB8),"")</f>
        <v/>
      </c>
      <c r="Q213" s="84" t="s">
        <v>224</v>
      </c>
    </row>
    <row r="214" spans="1:17" ht="21.75" customHeight="1" x14ac:dyDescent="0.35">
      <c r="A214" s="84" t="s">
        <v>227</v>
      </c>
      <c r="B214" s="90" t="str">
        <f>IFERROR(IF('Open 30M - Bracket'!EI6="","",'Open 30M - Bracket'!EI6),"")</f>
        <v/>
      </c>
      <c r="C214" s="90" t="str">
        <f>IFERROR(IF('Open 30M - Bracket'!EJ6="","",'Open 30M - Bracket'!EJ6),"")</f>
        <v/>
      </c>
      <c r="D214" s="90" t="str">
        <f>IFERROR(IF('Open 30M - Bracket'!EK6="","",'Open 30M - Bracket'!EK6),"")</f>
        <v/>
      </c>
      <c r="E214" s="90" t="str">
        <f>IFERROR(IF('Open 30M - Bracket'!EL6="","",'Open 30M - Bracket'!EL6),"")</f>
        <v/>
      </c>
      <c r="F214" s="90" t="str">
        <f>IFERROR(IF('Open 30M - Bracket'!EM6="","",'Open 30M - Bracket'!EM6),"")</f>
        <v/>
      </c>
      <c r="G214" s="90" t="str">
        <f>IFERROR(IF('Open 30M - Bracket'!EN6="","",'Open 30M - Bracket'!EN6),"")</f>
        <v/>
      </c>
      <c r="H214" s="32">
        <f>IFERROR(IF(ISNUMBER('Open 30M - Bracket'!EO6),'Open 30M - Bracket'!EO6,0),0)</f>
        <v>0</v>
      </c>
      <c r="I214" s="91" t="str">
        <f>IF(AND(ISNUMBER('Open 30M - Bracket'!EO6),ISNUMBER('Open 30M - Bracket'!EO8)),IF('Open 30M - Bracket'!EO6&gt;'Open 30M - Bracket'!EO8,"2-0",IF('Open 30M - Bracket'!EO6='Open 30M - Bracket'!EO8,"1-1","0-2")),"—")</f>
        <v>—</v>
      </c>
      <c r="J214" s="32">
        <f>IFERROR(IF(ISNUMBER('Open 30M - Bracket'!EO8),'Open 30M - Bracket'!EO8,0),0)</f>
        <v>0</v>
      </c>
      <c r="K214" s="90" t="str">
        <f>IFERROR(IF('Open 30M - Bracket'!EN8="","",'Open 30M - Bracket'!EN8),"")</f>
        <v/>
      </c>
      <c r="L214" s="90" t="str">
        <f>IFERROR(IF('Open 30M - Bracket'!EM8="","",'Open 30M - Bracket'!EM8),"")</f>
        <v/>
      </c>
      <c r="M214" s="90" t="str">
        <f>IFERROR(IF('Open 30M - Bracket'!EL8="","",'Open 30M - Bracket'!EL8),"")</f>
        <v/>
      </c>
      <c r="N214" s="90" t="str">
        <f>IFERROR(IF('Open 30M - Bracket'!EK8="","",'Open 30M - Bracket'!EK8),"")</f>
        <v/>
      </c>
      <c r="O214" s="90" t="str">
        <f>IFERROR(IF('Open 30M - Bracket'!EJ8="","",'Open 30M - Bracket'!EJ8),"")</f>
        <v/>
      </c>
      <c r="P214" s="90" t="str">
        <f>IFERROR(IF('Open 30M - Bracket'!EI8="","",'Open 30M - Bracket'!EI8),"")</f>
        <v/>
      </c>
      <c r="Q214" s="84" t="s">
        <v>227</v>
      </c>
    </row>
    <row r="215" spans="1:17" ht="21.75" customHeight="1" x14ac:dyDescent="0.35">
      <c r="A215" s="84" t="s">
        <v>228</v>
      </c>
      <c r="B215" s="90" t="str">
        <f>IFERROR(IF('Open 30M - Bracket'!EP6="","",'Open 30M - Bracket'!EP6),"")</f>
        <v/>
      </c>
      <c r="C215" s="90" t="str">
        <f>IFERROR(IF('Open 30M - Bracket'!EQ6="","",'Open 30M - Bracket'!EQ6),"")</f>
        <v/>
      </c>
      <c r="D215" s="90" t="str">
        <f>IFERROR(IF('Open 30M - Bracket'!ER6="","",'Open 30M - Bracket'!ER6),"")</f>
        <v/>
      </c>
      <c r="E215" s="90" t="str">
        <f>IFERROR(IF('Open 30M - Bracket'!ES6="","",'Open 30M - Bracket'!ES6),"")</f>
        <v/>
      </c>
      <c r="F215" s="90" t="str">
        <f>IFERROR(IF('Open 30M - Bracket'!ET6="","",'Open 30M - Bracket'!ET6),"")</f>
        <v/>
      </c>
      <c r="G215" s="90" t="str">
        <f>IFERROR(IF('Open 30M - Bracket'!EU6="","",'Open 30M - Bracket'!EU6),"")</f>
        <v/>
      </c>
      <c r="H215" s="32">
        <f>IFERROR(IF(ISNUMBER('Open 30M - Bracket'!EV6),'Open 30M - Bracket'!EV6,0),0)</f>
        <v>0</v>
      </c>
      <c r="I215" s="91" t="str">
        <f>IF(AND(ISNUMBER('Open 30M - Bracket'!EV6),ISNUMBER('Open 30M - Bracket'!EV8)),IF('Open 30M - Bracket'!EV6&gt;'Open 30M - Bracket'!EV8,"2-0",IF('Open 30M - Bracket'!EV6='Open 30M - Bracket'!EV8,"1-1","0-2")),"—")</f>
        <v>—</v>
      </c>
      <c r="J215" s="32">
        <f>IFERROR(IF(ISNUMBER('Open 30M - Bracket'!EV8),'Open 30M - Bracket'!EV8,0),0)</f>
        <v>0</v>
      </c>
      <c r="K215" s="90" t="str">
        <f>IFERROR(IF('Open 30M - Bracket'!EU8="","",'Open 30M - Bracket'!EU8),"")</f>
        <v/>
      </c>
      <c r="L215" s="90" t="str">
        <f>IFERROR(IF('Open 30M - Bracket'!ET8="","",'Open 30M - Bracket'!ET8),"")</f>
        <v/>
      </c>
      <c r="M215" s="90" t="str">
        <f>IFERROR(IF('Open 30M - Bracket'!ES8="","",'Open 30M - Bracket'!ES8),"")</f>
        <v/>
      </c>
      <c r="N215" s="90" t="str">
        <f>IFERROR(IF('Open 30M - Bracket'!ER8="","",'Open 30M - Bracket'!ER8),"")</f>
        <v/>
      </c>
      <c r="O215" s="90" t="str">
        <f>IFERROR(IF('Open 30M - Bracket'!EQ8="","",'Open 30M - Bracket'!EQ8),"")</f>
        <v/>
      </c>
      <c r="P215" s="90" t="str">
        <f>IFERROR(IF('Open 30M - Bracket'!EP8="","",'Open 30M - Bracket'!EP8),"")</f>
        <v/>
      </c>
      <c r="Q215" s="84" t="s">
        <v>228</v>
      </c>
    </row>
    <row r="216" spans="1:17" ht="21.75" customHeight="1" x14ac:dyDescent="0.35">
      <c r="A216" s="92" t="s">
        <v>237</v>
      </c>
      <c r="B216" s="93" t="str">
        <f>IFERROR(IF('Open 30M - Bracket'!EW6="","",'Open 30M - Bracket'!EW6),"")</f>
        <v/>
      </c>
      <c r="C216" s="93" t="str">
        <f>IFERROR(IF('Open 30M - Bracket'!EX6="","",'Open 30M - Bracket'!EX6),"")</f>
        <v/>
      </c>
      <c r="D216" s="93" t="str">
        <f>IFERROR(IF('Open 30M - Bracket'!EY6="","",'Open 30M - Bracket'!EY6),"")</f>
        <v/>
      </c>
      <c r="E216" s="93" t="str">
        <f>IFERROR(IF('Open 30M - Bracket'!EZ6="","",'Open 30M - Bracket'!EZ6),"")</f>
        <v/>
      </c>
      <c r="F216" s="93" t="str">
        <f>IFERROR(IF('Open 30M - Bracket'!FA6="","",'Open 30M - Bracket'!FA6),"")</f>
        <v/>
      </c>
      <c r="G216" s="93" t="str">
        <f>IFERROR(IF('Open 30M - Bracket'!FB6="","",'Open 30M - Bracket'!FB6),"")</f>
        <v/>
      </c>
      <c r="H216" s="32">
        <f>IFERROR(IF(ISNUMBER('Open 30M - Bracket'!FC6),'Open 30M - Bracket'!FC6,0),0)</f>
        <v>0</v>
      </c>
      <c r="I216" s="91" t="str">
        <f>IF(AND(ISNUMBER('Open 30M - Bracket'!FC6),ISNUMBER('Open 30M - Bracket'!FC8)),IF('Open 30M - Bracket'!FC6&gt;'Open 30M - Bracket'!FC8,"2-0",IF('Open 30M - Bracket'!FC6='Open 30M - Bracket'!FC8,"1-1","0-2")),"—")</f>
        <v>—</v>
      </c>
      <c r="J216" s="32">
        <f>IFERROR(IF(ISNUMBER('Open 30M - Bracket'!FC8),'Open 30M - Bracket'!FC8,0),0)</f>
        <v>0</v>
      </c>
      <c r="K216" s="93" t="str">
        <f>IFERROR(IF('Open 30M - Bracket'!FB8="","",'Open 30M - Bracket'!FB8),"")</f>
        <v/>
      </c>
      <c r="L216" s="93" t="str">
        <f>IFERROR(IF('Open 30M - Bracket'!FA8="","",'Open 30M - Bracket'!FA8),"")</f>
        <v/>
      </c>
      <c r="M216" s="93" t="str">
        <f>IFERROR(IF('Open 30M - Bracket'!EZ8="","",'Open 30M - Bracket'!EZ8),"")</f>
        <v/>
      </c>
      <c r="N216" s="93" t="str">
        <f>IFERROR(IF('Open 30M - Bracket'!EY8="","",'Open 30M - Bracket'!EY8),"")</f>
        <v/>
      </c>
      <c r="O216" s="93" t="str">
        <f>IFERROR(IF('Open 30M - Bracket'!EX8="","",'Open 30M - Bracket'!EX8),"")</f>
        <v/>
      </c>
      <c r="P216" s="93" t="str">
        <f>IFERROR(IF('Open 30M - Bracket'!EW8="","",'Open 30M - Bracket'!EW8),"")</f>
        <v/>
      </c>
      <c r="Q216" s="92" t="s">
        <v>237</v>
      </c>
    </row>
    <row r="217" spans="1:17" ht="4.5" customHeight="1" x14ac:dyDescent="0.35"/>
    <row r="218" spans="1:17" ht="31.5" customHeight="1" x14ac:dyDescent="0.35">
      <c r="A218" s="130">
        <f>IFERROR(IF(ISNUMBER('Open 30M - Bracket'!FD6),'Open 30M - Bracket'!FD6,0),0)</f>
        <v>0</v>
      </c>
      <c r="B218" s="130"/>
      <c r="C218" s="130"/>
      <c r="D218" s="130"/>
      <c r="E218" s="130"/>
      <c r="F218" s="130"/>
      <c r="G218" s="130"/>
      <c r="H218" s="94" t="str">
        <f>IFERROR('Open 30M - Bracket'!FG6,"")</f>
        <v>&gt;&gt; Advance</v>
      </c>
      <c r="I218" s="86"/>
      <c r="J218" s="94" t="str">
        <f>IFERROR('Open 30M - Bracket'!FG8,"")</f>
        <v>BYE</v>
      </c>
      <c r="K218" s="130">
        <f>IFERROR(IF(ISNUMBER('Open 30M - Bracket'!FD8),'Open 30M - Bracket'!FD8,0),0)</f>
        <v>0</v>
      </c>
      <c r="L218" s="130"/>
      <c r="M218" s="130"/>
      <c r="N218" s="130"/>
      <c r="O218" s="130"/>
      <c r="P218" s="130"/>
      <c r="Q218" s="130"/>
    </row>
    <row r="219" spans="1:17" ht="21.75" customHeight="1" x14ac:dyDescent="0.35">
      <c r="A219" s="130"/>
      <c r="B219" s="130"/>
      <c r="C219" s="130"/>
      <c r="D219" s="130"/>
      <c r="E219" s="130"/>
      <c r="F219" s="130"/>
      <c r="G219" s="130"/>
      <c r="K219" s="130"/>
      <c r="L219" s="130"/>
      <c r="M219" s="130"/>
      <c r="N219" s="130"/>
      <c r="O219" s="130"/>
      <c r="P219" s="130"/>
      <c r="Q219" s="130"/>
    </row>
    <row r="220" spans="1:17" ht="4.5" customHeight="1" x14ac:dyDescent="0.35"/>
    <row r="221" spans="1:17" ht="12" customHeight="1" x14ac:dyDescent="0.35">
      <c r="A221" s="126"/>
      <c r="B221" s="126"/>
      <c r="C221" s="126"/>
      <c r="D221" s="126"/>
      <c r="E221" s="126"/>
      <c r="F221" s="126"/>
      <c r="G221" s="126"/>
      <c r="H221" s="126"/>
      <c r="I221" s="126"/>
      <c r="J221" s="126"/>
      <c r="K221" s="126"/>
      <c r="L221" s="126"/>
      <c r="M221" s="126"/>
      <c r="N221" s="126"/>
      <c r="O221" s="126"/>
      <c r="P221" s="126"/>
      <c r="Q221" s="126"/>
    </row>
    <row r="222" spans="1:17" ht="7.5" customHeight="1" x14ac:dyDescent="0.35"/>
    <row r="223" spans="1:17" ht="19.5" customHeight="1" x14ac:dyDescent="0.35">
      <c r="A223" s="132" t="s">
        <v>250</v>
      </c>
      <c r="B223" s="132"/>
      <c r="C223" s="132"/>
      <c r="D223" s="132"/>
      <c r="E223" s="132"/>
      <c r="F223" s="132"/>
      <c r="G223" s="132"/>
      <c r="H223" s="132"/>
      <c r="I223" s="132"/>
      <c r="J223" s="132"/>
      <c r="K223" s="132"/>
      <c r="L223" s="132"/>
      <c r="M223" s="132"/>
      <c r="N223" s="132"/>
      <c r="O223" s="132"/>
      <c r="P223" s="132"/>
      <c r="Q223" s="132"/>
    </row>
    <row r="224" spans="1:17" ht="4.5" customHeight="1" x14ac:dyDescent="0.35"/>
    <row r="225" spans="1:17" ht="21.75" customHeight="1" x14ac:dyDescent="0.35">
      <c r="A225" s="84" t="s">
        <v>232</v>
      </c>
      <c r="B225" s="128" t="str">
        <f>IFERROR(IF('Open 30M - Bracket'!DH11="","TBD",'Open 30M - Bracket'!DH11),"TBD")</f>
        <v>TBD</v>
      </c>
      <c r="C225" s="128"/>
      <c r="D225" s="128"/>
      <c r="E225" s="128"/>
      <c r="F225" s="128"/>
      <c r="G225" s="128"/>
      <c r="H225" s="128"/>
      <c r="I225" s="84" t="s">
        <v>233</v>
      </c>
      <c r="J225" s="128" t="str">
        <f>IFERROR(IF('Open 30M - Bracket'!DH13="","TBD",'Open 30M - Bracket'!DH13),"TBD")</f>
        <v>TBD</v>
      </c>
      <c r="K225" s="128"/>
      <c r="L225" s="128"/>
      <c r="M225" s="128"/>
      <c r="N225" s="128"/>
      <c r="O225" s="128"/>
      <c r="P225" s="128"/>
      <c r="Q225" s="84" t="s">
        <v>232</v>
      </c>
    </row>
    <row r="226" spans="1:17" ht="13.5" customHeight="1" x14ac:dyDescent="0.35">
      <c r="A226" s="85" t="s">
        <v>234</v>
      </c>
      <c r="B226" s="129" t="str">
        <f>IFERROR('Open 30M - Bracket'!DG11,"")</f>
        <v>"W-QF3"</v>
      </c>
      <c r="C226" s="129"/>
      <c r="D226" s="129"/>
      <c r="E226" s="129"/>
      <c r="F226" s="129"/>
      <c r="G226" s="129"/>
      <c r="H226" s="129"/>
      <c r="I226" s="86"/>
      <c r="J226" s="129" t="str">
        <f>IFERROR('Open 30M - Bracket'!DG13,"")</f>
        <v>"W-QF4"</v>
      </c>
      <c r="K226" s="129"/>
      <c r="L226" s="129"/>
      <c r="M226" s="129"/>
      <c r="N226" s="129"/>
      <c r="O226" s="129"/>
      <c r="P226" s="129"/>
      <c r="Q226" s="85" t="s">
        <v>234</v>
      </c>
    </row>
    <row r="227" spans="1:17" ht="19.5" customHeight="1" x14ac:dyDescent="0.35">
      <c r="A227" s="87" t="s">
        <v>235</v>
      </c>
      <c r="B227" s="88" t="s">
        <v>83</v>
      </c>
      <c r="C227" s="88" t="s">
        <v>84</v>
      </c>
      <c r="D227" s="88" t="s">
        <v>85</v>
      </c>
      <c r="E227" s="88" t="s">
        <v>86</v>
      </c>
      <c r="F227" s="88" t="s">
        <v>87</v>
      </c>
      <c r="G227" s="88" t="s">
        <v>88</v>
      </c>
      <c r="H227" s="24" t="s">
        <v>236</v>
      </c>
      <c r="I227" s="89"/>
      <c r="J227" s="24" t="s">
        <v>236</v>
      </c>
      <c r="K227" s="88" t="s">
        <v>88</v>
      </c>
      <c r="L227" s="88" t="s">
        <v>87</v>
      </c>
      <c r="M227" s="88" t="s">
        <v>86</v>
      </c>
      <c r="N227" s="88" t="s">
        <v>85</v>
      </c>
      <c r="O227" s="88" t="s">
        <v>84</v>
      </c>
      <c r="P227" s="88" t="s">
        <v>83</v>
      </c>
      <c r="Q227" s="87" t="s">
        <v>235</v>
      </c>
    </row>
    <row r="228" spans="1:17" ht="21.75" customHeight="1" x14ac:dyDescent="0.35">
      <c r="A228" s="84" t="s">
        <v>222</v>
      </c>
      <c r="B228" s="90" t="str">
        <f>IFERROR(IF('Open 30M - Bracket'!DN11="","",'Open 30M - Bracket'!DN11),"")</f>
        <v/>
      </c>
      <c r="C228" s="90" t="str">
        <f>IFERROR(IF('Open 30M - Bracket'!DO11="","",'Open 30M - Bracket'!DO11),"")</f>
        <v/>
      </c>
      <c r="D228" s="90" t="str">
        <f>IFERROR(IF('Open 30M - Bracket'!DP11="","",'Open 30M - Bracket'!DP11),"")</f>
        <v/>
      </c>
      <c r="E228" s="90" t="str">
        <f>IFERROR(IF('Open 30M - Bracket'!DQ11="","",'Open 30M - Bracket'!DQ11),"")</f>
        <v/>
      </c>
      <c r="F228" s="90" t="str">
        <f>IFERROR(IF('Open 30M - Bracket'!DR11="","",'Open 30M - Bracket'!DR11),"")</f>
        <v/>
      </c>
      <c r="G228" s="90" t="str">
        <f>IFERROR(IF('Open 30M - Bracket'!DS11="","",'Open 30M - Bracket'!DS11),"")</f>
        <v/>
      </c>
      <c r="H228" s="32">
        <f>IFERROR(IF(ISNUMBER('Open 30M - Bracket'!DT11),'Open 30M - Bracket'!DT11,0),0)</f>
        <v>0</v>
      </c>
      <c r="I228" s="91" t="str">
        <f>IF(AND(ISNUMBER('Open 30M - Bracket'!DT11),ISNUMBER('Open 30M - Bracket'!DT13)),IF('Open 30M - Bracket'!DT11&gt;'Open 30M - Bracket'!DT13,"2-0",IF('Open 30M - Bracket'!DT11='Open 30M - Bracket'!DT13,"1-1","0-2")),"—")</f>
        <v>—</v>
      </c>
      <c r="J228" s="32">
        <f>IFERROR(IF(ISNUMBER('Open 30M - Bracket'!DT13),'Open 30M - Bracket'!DT13,0),0)</f>
        <v>0</v>
      </c>
      <c r="K228" s="90" t="str">
        <f>IFERROR(IF('Open 30M - Bracket'!DS13="","",'Open 30M - Bracket'!DS13),"")</f>
        <v/>
      </c>
      <c r="L228" s="90" t="str">
        <f>IFERROR(IF('Open 30M - Bracket'!DR13="","",'Open 30M - Bracket'!DR13),"")</f>
        <v/>
      </c>
      <c r="M228" s="90" t="str">
        <f>IFERROR(IF('Open 30M - Bracket'!DQ13="","",'Open 30M - Bracket'!DQ13),"")</f>
        <v/>
      </c>
      <c r="N228" s="90" t="str">
        <f>IFERROR(IF('Open 30M - Bracket'!DP13="","",'Open 30M - Bracket'!DP13),"")</f>
        <v/>
      </c>
      <c r="O228" s="90" t="str">
        <f>IFERROR(IF('Open 30M - Bracket'!DO13="","",'Open 30M - Bracket'!DO13),"")</f>
        <v/>
      </c>
      <c r="P228" s="90" t="str">
        <f>IFERROR(IF('Open 30M - Bracket'!DN13="","",'Open 30M - Bracket'!DN13),"")</f>
        <v/>
      </c>
      <c r="Q228" s="84" t="s">
        <v>222</v>
      </c>
    </row>
    <row r="229" spans="1:17" ht="21.75" customHeight="1" x14ac:dyDescent="0.35">
      <c r="A229" s="84" t="s">
        <v>223</v>
      </c>
      <c r="B229" s="90" t="str">
        <f>IFERROR(IF('Open 30M - Bracket'!DU11="","",'Open 30M - Bracket'!DU11),"")</f>
        <v/>
      </c>
      <c r="C229" s="90" t="str">
        <f>IFERROR(IF('Open 30M - Bracket'!DV11="","",'Open 30M - Bracket'!DV11),"")</f>
        <v/>
      </c>
      <c r="D229" s="90" t="str">
        <f>IFERROR(IF('Open 30M - Bracket'!DW11="","",'Open 30M - Bracket'!DW11),"")</f>
        <v/>
      </c>
      <c r="E229" s="90" t="str">
        <f>IFERROR(IF('Open 30M - Bracket'!DX11="","",'Open 30M - Bracket'!DX11),"")</f>
        <v/>
      </c>
      <c r="F229" s="90" t="str">
        <f>IFERROR(IF('Open 30M - Bracket'!DY11="","",'Open 30M - Bracket'!DY11),"")</f>
        <v/>
      </c>
      <c r="G229" s="90" t="str">
        <f>IFERROR(IF('Open 30M - Bracket'!DZ11="","",'Open 30M - Bracket'!DZ11),"")</f>
        <v/>
      </c>
      <c r="H229" s="32">
        <f>IFERROR(IF(ISNUMBER('Open 30M - Bracket'!EA11),'Open 30M - Bracket'!EA11,0),0)</f>
        <v>0</v>
      </c>
      <c r="I229" s="91" t="str">
        <f>IF(AND(ISNUMBER('Open 30M - Bracket'!EA11),ISNUMBER('Open 30M - Bracket'!EA13)),IF('Open 30M - Bracket'!EA11&gt;'Open 30M - Bracket'!EA13,"2-0",IF('Open 30M - Bracket'!EA11='Open 30M - Bracket'!EA13,"1-1","0-2")),"—")</f>
        <v>—</v>
      </c>
      <c r="J229" s="32">
        <f>IFERROR(IF(ISNUMBER('Open 30M - Bracket'!EA13),'Open 30M - Bracket'!EA13,0),0)</f>
        <v>0</v>
      </c>
      <c r="K229" s="90" t="str">
        <f>IFERROR(IF('Open 30M - Bracket'!DZ13="","",'Open 30M - Bracket'!DZ13),"")</f>
        <v/>
      </c>
      <c r="L229" s="90" t="str">
        <f>IFERROR(IF('Open 30M - Bracket'!DY13="","",'Open 30M - Bracket'!DY13),"")</f>
        <v/>
      </c>
      <c r="M229" s="90" t="str">
        <f>IFERROR(IF('Open 30M - Bracket'!DX13="","",'Open 30M - Bracket'!DX13),"")</f>
        <v/>
      </c>
      <c r="N229" s="90" t="str">
        <f>IFERROR(IF('Open 30M - Bracket'!DW13="","",'Open 30M - Bracket'!DW13),"")</f>
        <v/>
      </c>
      <c r="O229" s="90" t="str">
        <f>IFERROR(IF('Open 30M - Bracket'!DV13="","",'Open 30M - Bracket'!DV13),"")</f>
        <v/>
      </c>
      <c r="P229" s="90" t="str">
        <f>IFERROR(IF('Open 30M - Bracket'!DU13="","",'Open 30M - Bracket'!DU13),"")</f>
        <v/>
      </c>
      <c r="Q229" s="84" t="s">
        <v>223</v>
      </c>
    </row>
    <row r="230" spans="1:17" ht="21.75" customHeight="1" x14ac:dyDescent="0.35">
      <c r="A230" s="84" t="s">
        <v>224</v>
      </c>
      <c r="B230" s="90" t="str">
        <f>IFERROR(IF('Open 30M - Bracket'!EB11="","",'Open 30M - Bracket'!EB11),"")</f>
        <v/>
      </c>
      <c r="C230" s="90" t="str">
        <f>IFERROR(IF('Open 30M - Bracket'!EC11="","",'Open 30M - Bracket'!EC11),"")</f>
        <v/>
      </c>
      <c r="D230" s="90" t="str">
        <f>IFERROR(IF('Open 30M - Bracket'!ED11="","",'Open 30M - Bracket'!ED11),"")</f>
        <v/>
      </c>
      <c r="E230" s="90" t="str">
        <f>IFERROR(IF('Open 30M - Bracket'!EE11="","",'Open 30M - Bracket'!EE11),"")</f>
        <v/>
      </c>
      <c r="F230" s="90" t="str">
        <f>IFERROR(IF('Open 30M - Bracket'!EF11="","",'Open 30M - Bracket'!EF11),"")</f>
        <v/>
      </c>
      <c r="G230" s="90" t="str">
        <f>IFERROR(IF('Open 30M - Bracket'!EG11="","",'Open 30M - Bracket'!EG11),"")</f>
        <v/>
      </c>
      <c r="H230" s="32">
        <f>IFERROR(IF(ISNUMBER('Open 30M - Bracket'!EH11),'Open 30M - Bracket'!EH11,0),0)</f>
        <v>0</v>
      </c>
      <c r="I230" s="91" t="str">
        <f>IF(AND(ISNUMBER('Open 30M - Bracket'!EH11),ISNUMBER('Open 30M - Bracket'!EH13)),IF('Open 30M - Bracket'!EH11&gt;'Open 30M - Bracket'!EH13,"2-0",IF('Open 30M - Bracket'!EH11='Open 30M - Bracket'!EH13,"1-1","0-2")),"—")</f>
        <v>—</v>
      </c>
      <c r="J230" s="32">
        <f>IFERROR(IF(ISNUMBER('Open 30M - Bracket'!EH13),'Open 30M - Bracket'!EH13,0),0)</f>
        <v>0</v>
      </c>
      <c r="K230" s="90" t="str">
        <f>IFERROR(IF('Open 30M - Bracket'!EG13="","",'Open 30M - Bracket'!EG13),"")</f>
        <v/>
      </c>
      <c r="L230" s="90" t="str">
        <f>IFERROR(IF('Open 30M - Bracket'!EF13="","",'Open 30M - Bracket'!EF13),"")</f>
        <v/>
      </c>
      <c r="M230" s="90" t="str">
        <f>IFERROR(IF('Open 30M - Bracket'!EE13="","",'Open 30M - Bracket'!EE13),"")</f>
        <v/>
      </c>
      <c r="N230" s="90" t="str">
        <f>IFERROR(IF('Open 30M - Bracket'!ED13="","",'Open 30M - Bracket'!ED13),"")</f>
        <v/>
      </c>
      <c r="O230" s="90" t="str">
        <f>IFERROR(IF('Open 30M - Bracket'!EC13="","",'Open 30M - Bracket'!EC13),"")</f>
        <v/>
      </c>
      <c r="P230" s="90" t="str">
        <f>IFERROR(IF('Open 30M - Bracket'!EB13="","",'Open 30M - Bracket'!EB13),"")</f>
        <v/>
      </c>
      <c r="Q230" s="84" t="s">
        <v>224</v>
      </c>
    </row>
    <row r="231" spans="1:17" ht="21.75" customHeight="1" x14ac:dyDescent="0.35">
      <c r="A231" s="84" t="s">
        <v>227</v>
      </c>
      <c r="B231" s="90" t="str">
        <f>IFERROR(IF('Open 30M - Bracket'!EI11="","",'Open 30M - Bracket'!EI11),"")</f>
        <v/>
      </c>
      <c r="C231" s="90" t="str">
        <f>IFERROR(IF('Open 30M - Bracket'!EJ11="","",'Open 30M - Bracket'!EJ11),"")</f>
        <v/>
      </c>
      <c r="D231" s="90" t="str">
        <f>IFERROR(IF('Open 30M - Bracket'!EK11="","",'Open 30M - Bracket'!EK11),"")</f>
        <v/>
      </c>
      <c r="E231" s="90" t="str">
        <f>IFERROR(IF('Open 30M - Bracket'!EL11="","",'Open 30M - Bracket'!EL11),"")</f>
        <v/>
      </c>
      <c r="F231" s="90" t="str">
        <f>IFERROR(IF('Open 30M - Bracket'!EM11="","",'Open 30M - Bracket'!EM11),"")</f>
        <v/>
      </c>
      <c r="G231" s="90" t="str">
        <f>IFERROR(IF('Open 30M - Bracket'!EN11="","",'Open 30M - Bracket'!EN11),"")</f>
        <v/>
      </c>
      <c r="H231" s="32">
        <f>IFERROR(IF(ISNUMBER('Open 30M - Bracket'!EO11),'Open 30M - Bracket'!EO11,0),0)</f>
        <v>0</v>
      </c>
      <c r="I231" s="91" t="str">
        <f>IF(AND(ISNUMBER('Open 30M - Bracket'!EO11),ISNUMBER('Open 30M - Bracket'!EO13)),IF('Open 30M - Bracket'!EO11&gt;'Open 30M - Bracket'!EO13,"2-0",IF('Open 30M - Bracket'!EO11='Open 30M - Bracket'!EO13,"1-1","0-2")),"—")</f>
        <v>—</v>
      </c>
      <c r="J231" s="32">
        <f>IFERROR(IF(ISNUMBER('Open 30M - Bracket'!EO13),'Open 30M - Bracket'!EO13,0),0)</f>
        <v>0</v>
      </c>
      <c r="K231" s="90" t="str">
        <f>IFERROR(IF('Open 30M - Bracket'!EN13="","",'Open 30M - Bracket'!EN13),"")</f>
        <v/>
      </c>
      <c r="L231" s="90" t="str">
        <f>IFERROR(IF('Open 30M - Bracket'!EM13="","",'Open 30M - Bracket'!EM13),"")</f>
        <v/>
      </c>
      <c r="M231" s="90" t="str">
        <f>IFERROR(IF('Open 30M - Bracket'!EL13="","",'Open 30M - Bracket'!EL13),"")</f>
        <v/>
      </c>
      <c r="N231" s="90" t="str">
        <f>IFERROR(IF('Open 30M - Bracket'!EK13="","",'Open 30M - Bracket'!EK13),"")</f>
        <v/>
      </c>
      <c r="O231" s="90" t="str">
        <f>IFERROR(IF('Open 30M - Bracket'!EJ13="","",'Open 30M - Bracket'!EJ13),"")</f>
        <v/>
      </c>
      <c r="P231" s="90" t="str">
        <f>IFERROR(IF('Open 30M - Bracket'!EI13="","",'Open 30M - Bracket'!EI13),"")</f>
        <v/>
      </c>
      <c r="Q231" s="84" t="s">
        <v>227</v>
      </c>
    </row>
    <row r="232" spans="1:17" ht="21.75" customHeight="1" x14ac:dyDescent="0.35">
      <c r="A232" s="84" t="s">
        <v>228</v>
      </c>
      <c r="B232" s="90" t="str">
        <f>IFERROR(IF('Open 30M - Bracket'!EP11="","",'Open 30M - Bracket'!EP11),"")</f>
        <v/>
      </c>
      <c r="C232" s="90" t="str">
        <f>IFERROR(IF('Open 30M - Bracket'!EQ11="","",'Open 30M - Bracket'!EQ11),"")</f>
        <v/>
      </c>
      <c r="D232" s="90" t="str">
        <f>IFERROR(IF('Open 30M - Bracket'!ER11="","",'Open 30M - Bracket'!ER11),"")</f>
        <v/>
      </c>
      <c r="E232" s="90" t="str">
        <f>IFERROR(IF('Open 30M - Bracket'!ES11="","",'Open 30M - Bracket'!ES11),"")</f>
        <v/>
      </c>
      <c r="F232" s="90" t="str">
        <f>IFERROR(IF('Open 30M - Bracket'!ET11="","",'Open 30M - Bracket'!ET11),"")</f>
        <v/>
      </c>
      <c r="G232" s="90" t="str">
        <f>IFERROR(IF('Open 30M - Bracket'!EU11="","",'Open 30M - Bracket'!EU11),"")</f>
        <v/>
      </c>
      <c r="H232" s="32">
        <f>IFERROR(IF(ISNUMBER('Open 30M - Bracket'!EV11),'Open 30M - Bracket'!EV11,0),0)</f>
        <v>0</v>
      </c>
      <c r="I232" s="91" t="str">
        <f>IF(AND(ISNUMBER('Open 30M - Bracket'!EV11),ISNUMBER('Open 30M - Bracket'!EV13)),IF('Open 30M - Bracket'!EV11&gt;'Open 30M - Bracket'!EV13,"2-0",IF('Open 30M - Bracket'!EV11='Open 30M - Bracket'!EV13,"1-1","0-2")),"—")</f>
        <v>—</v>
      </c>
      <c r="J232" s="32">
        <f>IFERROR(IF(ISNUMBER('Open 30M - Bracket'!EV13),'Open 30M - Bracket'!EV13,0),0)</f>
        <v>0</v>
      </c>
      <c r="K232" s="90" t="str">
        <f>IFERROR(IF('Open 30M - Bracket'!EU13="","",'Open 30M - Bracket'!EU13),"")</f>
        <v/>
      </c>
      <c r="L232" s="90" t="str">
        <f>IFERROR(IF('Open 30M - Bracket'!ET13="","",'Open 30M - Bracket'!ET13),"")</f>
        <v/>
      </c>
      <c r="M232" s="90" t="str">
        <f>IFERROR(IF('Open 30M - Bracket'!ES13="","",'Open 30M - Bracket'!ES13),"")</f>
        <v/>
      </c>
      <c r="N232" s="90" t="str">
        <f>IFERROR(IF('Open 30M - Bracket'!ER13="","",'Open 30M - Bracket'!ER13),"")</f>
        <v/>
      </c>
      <c r="O232" s="90" t="str">
        <f>IFERROR(IF('Open 30M - Bracket'!EQ13="","",'Open 30M - Bracket'!EQ13),"")</f>
        <v/>
      </c>
      <c r="P232" s="90" t="str">
        <f>IFERROR(IF('Open 30M - Bracket'!EP13="","",'Open 30M - Bracket'!EP13),"")</f>
        <v/>
      </c>
      <c r="Q232" s="84" t="s">
        <v>228</v>
      </c>
    </row>
    <row r="233" spans="1:17" ht="21.75" customHeight="1" x14ac:dyDescent="0.35">
      <c r="A233" s="92" t="s">
        <v>237</v>
      </c>
      <c r="B233" s="93" t="str">
        <f>IFERROR(IF('Open 30M - Bracket'!EW11="","",'Open 30M - Bracket'!EW11),"")</f>
        <v/>
      </c>
      <c r="C233" s="93" t="str">
        <f>IFERROR(IF('Open 30M - Bracket'!EX11="","",'Open 30M - Bracket'!EX11),"")</f>
        <v/>
      </c>
      <c r="D233" s="93" t="str">
        <f>IFERROR(IF('Open 30M - Bracket'!EY11="","",'Open 30M - Bracket'!EY11),"")</f>
        <v/>
      </c>
      <c r="E233" s="93" t="str">
        <f>IFERROR(IF('Open 30M - Bracket'!EZ11="","",'Open 30M - Bracket'!EZ11),"")</f>
        <v/>
      </c>
      <c r="F233" s="93" t="str">
        <f>IFERROR(IF('Open 30M - Bracket'!FA11="","",'Open 30M - Bracket'!FA11),"")</f>
        <v/>
      </c>
      <c r="G233" s="93" t="str">
        <f>IFERROR(IF('Open 30M - Bracket'!FB11="","",'Open 30M - Bracket'!FB11),"")</f>
        <v/>
      </c>
      <c r="H233" s="32">
        <f>IFERROR(IF(ISNUMBER('Open 30M - Bracket'!FC11),'Open 30M - Bracket'!FC11,0),0)</f>
        <v>0</v>
      </c>
      <c r="I233" s="91" t="str">
        <f>IF(AND(ISNUMBER('Open 30M - Bracket'!FC11),ISNUMBER('Open 30M - Bracket'!FC13)),IF('Open 30M - Bracket'!FC11&gt;'Open 30M - Bracket'!FC13,"2-0",IF('Open 30M - Bracket'!FC11='Open 30M - Bracket'!FC13,"1-1","0-2")),"—")</f>
        <v>—</v>
      </c>
      <c r="J233" s="32">
        <f>IFERROR(IF(ISNUMBER('Open 30M - Bracket'!FC13),'Open 30M - Bracket'!FC13,0),0)</f>
        <v>0</v>
      </c>
      <c r="K233" s="93" t="str">
        <f>IFERROR(IF('Open 30M - Bracket'!FB13="","",'Open 30M - Bracket'!FB13),"")</f>
        <v/>
      </c>
      <c r="L233" s="93" t="str">
        <f>IFERROR(IF('Open 30M - Bracket'!FA13="","",'Open 30M - Bracket'!FA13),"")</f>
        <v/>
      </c>
      <c r="M233" s="93" t="str">
        <f>IFERROR(IF('Open 30M - Bracket'!EZ13="","",'Open 30M - Bracket'!EZ13),"")</f>
        <v/>
      </c>
      <c r="N233" s="93" t="str">
        <f>IFERROR(IF('Open 30M - Bracket'!EY13="","",'Open 30M - Bracket'!EY13),"")</f>
        <v/>
      </c>
      <c r="O233" s="93" t="str">
        <f>IFERROR(IF('Open 30M - Bracket'!EX13="","",'Open 30M - Bracket'!EX13),"")</f>
        <v/>
      </c>
      <c r="P233" s="93" t="str">
        <f>IFERROR(IF('Open 30M - Bracket'!EW13="","",'Open 30M - Bracket'!EW13),"")</f>
        <v/>
      </c>
      <c r="Q233" s="92" t="s">
        <v>237</v>
      </c>
    </row>
    <row r="234" spans="1:17" ht="4.5" customHeight="1" x14ac:dyDescent="0.35"/>
    <row r="235" spans="1:17" ht="31.5" customHeight="1" x14ac:dyDescent="0.35">
      <c r="A235" s="130">
        <f>IFERROR(IF(ISNUMBER('Open 30M - Bracket'!FD11),'Open 30M - Bracket'!FD11,0),0)</f>
        <v>0</v>
      </c>
      <c r="B235" s="130"/>
      <c r="C235" s="130"/>
      <c r="D235" s="130"/>
      <c r="E235" s="130"/>
      <c r="F235" s="130"/>
      <c r="G235" s="130"/>
      <c r="H235" s="94" t="str">
        <f>IFERROR('Open 30M - Bracket'!FG11,"")</f>
        <v>&gt;&gt; Advance</v>
      </c>
      <c r="I235" s="86"/>
      <c r="J235" s="94" t="str">
        <f>IFERROR('Open 30M - Bracket'!FG13,"")</f>
        <v>&gt;&gt; Advance</v>
      </c>
      <c r="K235" s="130">
        <f>IFERROR(IF(ISNUMBER('Open 30M - Bracket'!FD13),'Open 30M - Bracket'!FD13,0),0)</f>
        <v>0</v>
      </c>
      <c r="L235" s="130"/>
      <c r="M235" s="130"/>
      <c r="N235" s="130"/>
      <c r="O235" s="130"/>
      <c r="P235" s="130"/>
      <c r="Q235" s="130"/>
    </row>
    <row r="236" spans="1:17" ht="21.75" customHeight="1" x14ac:dyDescent="0.35">
      <c r="A236" s="130"/>
      <c r="B236" s="130"/>
      <c r="C236" s="130"/>
      <c r="D236" s="130"/>
      <c r="E236" s="130"/>
      <c r="F236" s="130"/>
      <c r="G236" s="130"/>
      <c r="K236" s="130"/>
      <c r="L236" s="130"/>
      <c r="M236" s="130"/>
      <c r="N236" s="130"/>
      <c r="O236" s="130"/>
      <c r="P236" s="130"/>
      <c r="Q236" s="130"/>
    </row>
    <row r="237" spans="1:17" ht="4.5" customHeight="1" x14ac:dyDescent="0.35"/>
    <row r="238" spans="1:17" ht="12" customHeight="1" x14ac:dyDescent="0.35">
      <c r="A238" s="126"/>
      <c r="B238" s="126"/>
      <c r="C238" s="126"/>
      <c r="D238" s="126"/>
      <c r="E238" s="126"/>
      <c r="F238" s="126"/>
      <c r="G238" s="126"/>
      <c r="H238" s="126"/>
      <c r="I238" s="126"/>
      <c r="J238" s="126"/>
      <c r="K238" s="126"/>
      <c r="L238" s="126"/>
      <c r="M238" s="126"/>
      <c r="N238" s="126"/>
      <c r="O238" s="126"/>
      <c r="P238" s="126"/>
      <c r="Q238" s="126"/>
    </row>
    <row r="239" spans="1:17" ht="7.5" customHeight="1" x14ac:dyDescent="0.35"/>
    <row r="240" spans="1:17" ht="19.5" customHeight="1" x14ac:dyDescent="0.35">
      <c r="A240" s="133" t="s">
        <v>251</v>
      </c>
      <c r="B240" s="133"/>
      <c r="C240" s="133"/>
      <c r="D240" s="133"/>
      <c r="E240" s="133"/>
      <c r="F240" s="133"/>
      <c r="G240" s="133"/>
      <c r="H240" s="133"/>
      <c r="I240" s="133"/>
      <c r="J240" s="133"/>
      <c r="K240" s="133"/>
      <c r="L240" s="133"/>
      <c r="M240" s="133"/>
      <c r="N240" s="133"/>
      <c r="O240" s="133"/>
      <c r="P240" s="133"/>
      <c r="Q240" s="133"/>
    </row>
    <row r="241" spans="1:17" ht="4.5" customHeight="1" x14ac:dyDescent="0.35"/>
    <row r="242" spans="1:17" ht="21.75" customHeight="1" x14ac:dyDescent="0.35">
      <c r="A242" s="84" t="s">
        <v>232</v>
      </c>
      <c r="B242" s="128" t="str">
        <f>IFERROR(IF('Open 30M - Bracket'!FK6="","TBD",'Open 30M - Bracket'!FK6),"TBD")</f>
        <v>Joseph Nesortado Naoe</v>
      </c>
      <c r="C242" s="128"/>
      <c r="D242" s="128"/>
      <c r="E242" s="128"/>
      <c r="F242" s="128"/>
      <c r="G242" s="128"/>
      <c r="H242" s="128"/>
      <c r="I242" s="84" t="s">
        <v>233</v>
      </c>
      <c r="J242" s="128" t="str">
        <f>IFERROR(IF('Open 30M - Bracket'!FK8="","TBD",'Open 30M - Bracket'!FK8),"TBD")</f>
        <v>TBD</v>
      </c>
      <c r="K242" s="128"/>
      <c r="L242" s="128"/>
      <c r="M242" s="128"/>
      <c r="N242" s="128"/>
      <c r="O242" s="128"/>
      <c r="P242" s="128"/>
      <c r="Q242" s="84" t="s">
        <v>232</v>
      </c>
    </row>
    <row r="243" spans="1:17" ht="13.5" customHeight="1" x14ac:dyDescent="0.35">
      <c r="A243" s="85" t="s">
        <v>234</v>
      </c>
      <c r="B243" s="129" t="str">
        <f>IFERROR('Open 30M - Bracket'!FJ6,"")</f>
        <v>"W-SF1"</v>
      </c>
      <c r="C243" s="129"/>
      <c r="D243" s="129"/>
      <c r="E243" s="129"/>
      <c r="F243" s="129"/>
      <c r="G243" s="129"/>
      <c r="H243" s="129"/>
      <c r="I243" s="86"/>
      <c r="J243" s="129" t="str">
        <f>IFERROR('Open 30M - Bracket'!FJ8,"")</f>
        <v>"W-SF2"</v>
      </c>
      <c r="K243" s="129"/>
      <c r="L243" s="129"/>
      <c r="M243" s="129"/>
      <c r="N243" s="129"/>
      <c r="O243" s="129"/>
      <c r="P243" s="129"/>
      <c r="Q243" s="85" t="s">
        <v>234</v>
      </c>
    </row>
    <row r="244" spans="1:17" ht="19.5" customHeight="1" x14ac:dyDescent="0.35">
      <c r="A244" s="87" t="s">
        <v>235</v>
      </c>
      <c r="B244" s="88" t="s">
        <v>83</v>
      </c>
      <c r="C244" s="88" t="s">
        <v>84</v>
      </c>
      <c r="D244" s="88" t="s">
        <v>85</v>
      </c>
      <c r="E244" s="88" t="s">
        <v>86</v>
      </c>
      <c r="F244" s="88" t="s">
        <v>87</v>
      </c>
      <c r="G244" s="88" t="s">
        <v>88</v>
      </c>
      <c r="H244" s="24" t="s">
        <v>236</v>
      </c>
      <c r="I244" s="89"/>
      <c r="J244" s="24" t="s">
        <v>236</v>
      </c>
      <c r="K244" s="88" t="s">
        <v>88</v>
      </c>
      <c r="L244" s="88" t="s">
        <v>87</v>
      </c>
      <c r="M244" s="88" t="s">
        <v>86</v>
      </c>
      <c r="N244" s="88" t="s">
        <v>85</v>
      </c>
      <c r="O244" s="88" t="s">
        <v>84</v>
      </c>
      <c r="P244" s="88" t="s">
        <v>83</v>
      </c>
      <c r="Q244" s="87" t="s">
        <v>235</v>
      </c>
    </row>
    <row r="245" spans="1:17" ht="21.75" customHeight="1" x14ac:dyDescent="0.35">
      <c r="A245" s="84" t="s">
        <v>222</v>
      </c>
      <c r="B245" s="90" t="str">
        <f>IFERROR(IF('Open 30M - Bracket'!FQ6="","",'Open 30M - Bracket'!FQ6),"")</f>
        <v/>
      </c>
      <c r="C245" s="90" t="str">
        <f>IFERROR(IF('Open 30M - Bracket'!FR6="","",'Open 30M - Bracket'!FR6),"")</f>
        <v/>
      </c>
      <c r="D245" s="90" t="str">
        <f>IFERROR(IF('Open 30M - Bracket'!FS6="","",'Open 30M - Bracket'!FS6),"")</f>
        <v/>
      </c>
      <c r="E245" s="90" t="str">
        <f>IFERROR(IF('Open 30M - Bracket'!FT6="","",'Open 30M - Bracket'!FT6),"")</f>
        <v/>
      </c>
      <c r="F245" s="90" t="str">
        <f>IFERROR(IF('Open 30M - Bracket'!FU6="","",'Open 30M - Bracket'!FU6),"")</f>
        <v/>
      </c>
      <c r="G245" s="90" t="str">
        <f>IFERROR(IF('Open 30M - Bracket'!FV6="","",'Open 30M - Bracket'!FV6),"")</f>
        <v/>
      </c>
      <c r="H245" s="32">
        <f>IFERROR(IF(ISNUMBER('Open 30M - Bracket'!FW6),'Open 30M - Bracket'!FW6,0),0)</f>
        <v>0</v>
      </c>
      <c r="I245" s="91" t="str">
        <f>IF(AND(ISNUMBER('Open 30M - Bracket'!FW6),ISNUMBER('Open 30M - Bracket'!FW8)),IF('Open 30M - Bracket'!FW6&gt;'Open 30M - Bracket'!FW8,"2-0",IF('Open 30M - Bracket'!FW6='Open 30M - Bracket'!FW8,"1-1","0-2")),"—")</f>
        <v>—</v>
      </c>
      <c r="J245" s="32">
        <f>IFERROR(IF(ISNUMBER('Open 30M - Bracket'!FW8),'Open 30M - Bracket'!FW8,0),0)</f>
        <v>0</v>
      </c>
      <c r="K245" s="90" t="str">
        <f>IFERROR(IF('Open 30M - Bracket'!FV8="","",'Open 30M - Bracket'!FV8),"")</f>
        <v/>
      </c>
      <c r="L245" s="90" t="str">
        <f>IFERROR(IF('Open 30M - Bracket'!FU8="","",'Open 30M - Bracket'!FU8),"")</f>
        <v/>
      </c>
      <c r="M245" s="90" t="str">
        <f>IFERROR(IF('Open 30M - Bracket'!FT8="","",'Open 30M - Bracket'!FT8),"")</f>
        <v/>
      </c>
      <c r="N245" s="90" t="str">
        <f>IFERROR(IF('Open 30M - Bracket'!FS8="","",'Open 30M - Bracket'!FS8),"")</f>
        <v/>
      </c>
      <c r="O245" s="90" t="str">
        <f>IFERROR(IF('Open 30M - Bracket'!FR8="","",'Open 30M - Bracket'!FR8),"")</f>
        <v/>
      </c>
      <c r="P245" s="90" t="str">
        <f>IFERROR(IF('Open 30M - Bracket'!FQ8="","",'Open 30M - Bracket'!FQ8),"")</f>
        <v/>
      </c>
      <c r="Q245" s="84" t="s">
        <v>222</v>
      </c>
    </row>
    <row r="246" spans="1:17" ht="21.75" customHeight="1" x14ac:dyDescent="0.35">
      <c r="A246" s="84" t="s">
        <v>223</v>
      </c>
      <c r="B246" s="90" t="str">
        <f>IFERROR(IF('Open 30M - Bracket'!FX6="","",'Open 30M - Bracket'!FX6),"")</f>
        <v/>
      </c>
      <c r="C246" s="90" t="str">
        <f>IFERROR(IF('Open 30M - Bracket'!FY6="","",'Open 30M - Bracket'!FY6),"")</f>
        <v/>
      </c>
      <c r="D246" s="90" t="str">
        <f>IFERROR(IF('Open 30M - Bracket'!FZ6="","",'Open 30M - Bracket'!FZ6),"")</f>
        <v/>
      </c>
      <c r="E246" s="90" t="str">
        <f>IFERROR(IF('Open 30M - Bracket'!GA6="","",'Open 30M - Bracket'!GA6),"")</f>
        <v/>
      </c>
      <c r="F246" s="90" t="str">
        <f>IFERROR(IF('Open 30M - Bracket'!GB6="","",'Open 30M - Bracket'!GB6),"")</f>
        <v/>
      </c>
      <c r="G246" s="90" t="str">
        <f>IFERROR(IF('Open 30M - Bracket'!GC6="","",'Open 30M - Bracket'!GC6),"")</f>
        <v/>
      </c>
      <c r="H246" s="32">
        <f>IFERROR(IF(ISNUMBER('Open 30M - Bracket'!GD6),'Open 30M - Bracket'!GD6,0),0)</f>
        <v>0</v>
      </c>
      <c r="I246" s="91" t="str">
        <f>IF(AND(ISNUMBER('Open 30M - Bracket'!GD6),ISNUMBER('Open 30M - Bracket'!GD8)),IF('Open 30M - Bracket'!GD6&gt;'Open 30M - Bracket'!GD8,"2-0",IF('Open 30M - Bracket'!GD6='Open 30M - Bracket'!GD8,"1-1","0-2")),"—")</f>
        <v>—</v>
      </c>
      <c r="J246" s="32">
        <f>IFERROR(IF(ISNUMBER('Open 30M - Bracket'!GD8),'Open 30M - Bracket'!GD8,0),0)</f>
        <v>0</v>
      </c>
      <c r="K246" s="90" t="str">
        <f>IFERROR(IF('Open 30M - Bracket'!GC8="","",'Open 30M - Bracket'!GC8),"")</f>
        <v/>
      </c>
      <c r="L246" s="90" t="str">
        <f>IFERROR(IF('Open 30M - Bracket'!GB8="","",'Open 30M - Bracket'!GB8),"")</f>
        <v/>
      </c>
      <c r="M246" s="90" t="str">
        <f>IFERROR(IF('Open 30M - Bracket'!GA8="","",'Open 30M - Bracket'!GA8),"")</f>
        <v/>
      </c>
      <c r="N246" s="90" t="str">
        <f>IFERROR(IF('Open 30M - Bracket'!FZ8="","",'Open 30M - Bracket'!FZ8),"")</f>
        <v/>
      </c>
      <c r="O246" s="90" t="str">
        <f>IFERROR(IF('Open 30M - Bracket'!FY8="","",'Open 30M - Bracket'!FY8),"")</f>
        <v/>
      </c>
      <c r="P246" s="90" t="str">
        <f>IFERROR(IF('Open 30M - Bracket'!FX8="","",'Open 30M - Bracket'!FX8),"")</f>
        <v/>
      </c>
      <c r="Q246" s="84" t="s">
        <v>223</v>
      </c>
    </row>
    <row r="247" spans="1:17" ht="21.75" customHeight="1" x14ac:dyDescent="0.35">
      <c r="A247" s="84" t="s">
        <v>224</v>
      </c>
      <c r="B247" s="90" t="str">
        <f>IFERROR(IF('Open 30M - Bracket'!GE6="","",'Open 30M - Bracket'!GE6),"")</f>
        <v/>
      </c>
      <c r="C247" s="90" t="str">
        <f>IFERROR(IF('Open 30M - Bracket'!GF6="","",'Open 30M - Bracket'!GF6),"")</f>
        <v/>
      </c>
      <c r="D247" s="90" t="str">
        <f>IFERROR(IF('Open 30M - Bracket'!GG6="","",'Open 30M - Bracket'!GG6),"")</f>
        <v/>
      </c>
      <c r="E247" s="90" t="str">
        <f>IFERROR(IF('Open 30M - Bracket'!GH6="","",'Open 30M - Bracket'!GH6),"")</f>
        <v/>
      </c>
      <c r="F247" s="90" t="str">
        <f>IFERROR(IF('Open 30M - Bracket'!GI6="","",'Open 30M - Bracket'!GI6),"")</f>
        <v/>
      </c>
      <c r="G247" s="90" t="str">
        <f>IFERROR(IF('Open 30M - Bracket'!GJ6="","",'Open 30M - Bracket'!GJ6),"")</f>
        <v/>
      </c>
      <c r="H247" s="32">
        <f>IFERROR(IF(ISNUMBER('Open 30M - Bracket'!GK6),'Open 30M - Bracket'!GK6,0),0)</f>
        <v>0</v>
      </c>
      <c r="I247" s="91" t="str">
        <f>IF(AND(ISNUMBER('Open 30M - Bracket'!GK6),ISNUMBER('Open 30M - Bracket'!GK8)),IF('Open 30M - Bracket'!GK6&gt;'Open 30M - Bracket'!GK8,"2-0",IF('Open 30M - Bracket'!GK6='Open 30M - Bracket'!GK8,"1-1","0-2")),"—")</f>
        <v>—</v>
      </c>
      <c r="J247" s="32">
        <f>IFERROR(IF(ISNUMBER('Open 30M - Bracket'!GK8),'Open 30M - Bracket'!GK8,0),0)</f>
        <v>0</v>
      </c>
      <c r="K247" s="90" t="str">
        <f>IFERROR(IF('Open 30M - Bracket'!GJ8="","",'Open 30M - Bracket'!GJ8),"")</f>
        <v/>
      </c>
      <c r="L247" s="90" t="str">
        <f>IFERROR(IF('Open 30M - Bracket'!GI8="","",'Open 30M - Bracket'!GI8),"")</f>
        <v/>
      </c>
      <c r="M247" s="90" t="str">
        <f>IFERROR(IF('Open 30M - Bracket'!GH8="","",'Open 30M - Bracket'!GH8),"")</f>
        <v/>
      </c>
      <c r="N247" s="90" t="str">
        <f>IFERROR(IF('Open 30M - Bracket'!GG8="","",'Open 30M - Bracket'!GG8),"")</f>
        <v/>
      </c>
      <c r="O247" s="90" t="str">
        <f>IFERROR(IF('Open 30M - Bracket'!GF8="","",'Open 30M - Bracket'!GF8),"")</f>
        <v/>
      </c>
      <c r="P247" s="90" t="str">
        <f>IFERROR(IF('Open 30M - Bracket'!GE8="","",'Open 30M - Bracket'!GE8),"")</f>
        <v/>
      </c>
      <c r="Q247" s="84" t="s">
        <v>224</v>
      </c>
    </row>
    <row r="248" spans="1:17" ht="21.75" customHeight="1" x14ac:dyDescent="0.35">
      <c r="A248" s="84" t="s">
        <v>227</v>
      </c>
      <c r="B248" s="90" t="str">
        <f>IFERROR(IF('Open 30M - Bracket'!GL6="","",'Open 30M - Bracket'!GL6),"")</f>
        <v/>
      </c>
      <c r="C248" s="90" t="str">
        <f>IFERROR(IF('Open 30M - Bracket'!GM6="","",'Open 30M - Bracket'!GM6),"")</f>
        <v/>
      </c>
      <c r="D248" s="90" t="str">
        <f>IFERROR(IF('Open 30M - Bracket'!GN6="","",'Open 30M - Bracket'!GN6),"")</f>
        <v/>
      </c>
      <c r="E248" s="90" t="str">
        <f>IFERROR(IF('Open 30M - Bracket'!GO6="","",'Open 30M - Bracket'!GO6),"")</f>
        <v/>
      </c>
      <c r="F248" s="90" t="str">
        <f>IFERROR(IF('Open 30M - Bracket'!GP6="","",'Open 30M - Bracket'!GP6),"")</f>
        <v/>
      </c>
      <c r="G248" s="90" t="str">
        <f>IFERROR(IF('Open 30M - Bracket'!GQ6="","",'Open 30M - Bracket'!GQ6),"")</f>
        <v/>
      </c>
      <c r="H248" s="32">
        <f>IFERROR(IF(ISNUMBER('Open 30M - Bracket'!GR6),'Open 30M - Bracket'!GR6,0),0)</f>
        <v>0</v>
      </c>
      <c r="I248" s="91" t="str">
        <f>IF(AND(ISNUMBER('Open 30M - Bracket'!GR6),ISNUMBER('Open 30M - Bracket'!GR8)),IF('Open 30M - Bracket'!GR6&gt;'Open 30M - Bracket'!GR8,"2-0",IF('Open 30M - Bracket'!GR6='Open 30M - Bracket'!GR8,"1-1","0-2")),"—")</f>
        <v>—</v>
      </c>
      <c r="J248" s="32">
        <f>IFERROR(IF(ISNUMBER('Open 30M - Bracket'!GR8),'Open 30M - Bracket'!GR8,0),0)</f>
        <v>0</v>
      </c>
      <c r="K248" s="90" t="str">
        <f>IFERROR(IF('Open 30M - Bracket'!GQ8="","",'Open 30M - Bracket'!GQ8),"")</f>
        <v/>
      </c>
      <c r="L248" s="90" t="str">
        <f>IFERROR(IF('Open 30M - Bracket'!GP8="","",'Open 30M - Bracket'!GP8),"")</f>
        <v/>
      </c>
      <c r="M248" s="90" t="str">
        <f>IFERROR(IF('Open 30M - Bracket'!GO8="","",'Open 30M - Bracket'!GO8),"")</f>
        <v/>
      </c>
      <c r="N248" s="90" t="str">
        <f>IFERROR(IF('Open 30M - Bracket'!GN8="","",'Open 30M - Bracket'!GN8),"")</f>
        <v/>
      </c>
      <c r="O248" s="90" t="str">
        <f>IFERROR(IF('Open 30M - Bracket'!GM8="","",'Open 30M - Bracket'!GM8),"")</f>
        <v/>
      </c>
      <c r="P248" s="90" t="str">
        <f>IFERROR(IF('Open 30M - Bracket'!GL8="","",'Open 30M - Bracket'!GL8),"")</f>
        <v/>
      </c>
      <c r="Q248" s="84" t="s">
        <v>227</v>
      </c>
    </row>
    <row r="249" spans="1:17" ht="21.75" customHeight="1" x14ac:dyDescent="0.35">
      <c r="A249" s="84" t="s">
        <v>228</v>
      </c>
      <c r="B249" s="90" t="str">
        <f>IFERROR(IF('Open 30M - Bracket'!GS6="","",'Open 30M - Bracket'!GS6),"")</f>
        <v/>
      </c>
      <c r="C249" s="90" t="str">
        <f>IFERROR(IF('Open 30M - Bracket'!GT6="","",'Open 30M - Bracket'!GT6),"")</f>
        <v/>
      </c>
      <c r="D249" s="90" t="str">
        <f>IFERROR(IF('Open 30M - Bracket'!GU6="","",'Open 30M - Bracket'!GU6),"")</f>
        <v/>
      </c>
      <c r="E249" s="90" t="str">
        <f>IFERROR(IF('Open 30M - Bracket'!GV6="","",'Open 30M - Bracket'!GV6),"")</f>
        <v/>
      </c>
      <c r="F249" s="90" t="str">
        <f>IFERROR(IF('Open 30M - Bracket'!GW6="","",'Open 30M - Bracket'!GW6),"")</f>
        <v/>
      </c>
      <c r="G249" s="90" t="str">
        <f>IFERROR(IF('Open 30M - Bracket'!GX6="","",'Open 30M - Bracket'!GX6),"")</f>
        <v/>
      </c>
      <c r="H249" s="32">
        <f>IFERROR(IF(ISNUMBER('Open 30M - Bracket'!GY6),'Open 30M - Bracket'!GY6,0),0)</f>
        <v>0</v>
      </c>
      <c r="I249" s="91" t="str">
        <f>IF(AND(ISNUMBER('Open 30M - Bracket'!GY6),ISNUMBER('Open 30M - Bracket'!GY8)),IF('Open 30M - Bracket'!GY6&gt;'Open 30M - Bracket'!GY8,"2-0",IF('Open 30M - Bracket'!GY6='Open 30M - Bracket'!GY8,"1-1","0-2")),"—")</f>
        <v>—</v>
      </c>
      <c r="J249" s="32">
        <f>IFERROR(IF(ISNUMBER('Open 30M - Bracket'!GY8),'Open 30M - Bracket'!GY8,0),0)</f>
        <v>0</v>
      </c>
      <c r="K249" s="90" t="str">
        <f>IFERROR(IF('Open 30M - Bracket'!GX8="","",'Open 30M - Bracket'!GX8),"")</f>
        <v/>
      </c>
      <c r="L249" s="90" t="str">
        <f>IFERROR(IF('Open 30M - Bracket'!GW8="","",'Open 30M - Bracket'!GW8),"")</f>
        <v/>
      </c>
      <c r="M249" s="90" t="str">
        <f>IFERROR(IF('Open 30M - Bracket'!GV8="","",'Open 30M - Bracket'!GV8),"")</f>
        <v/>
      </c>
      <c r="N249" s="90" t="str">
        <f>IFERROR(IF('Open 30M - Bracket'!GU8="","",'Open 30M - Bracket'!GU8),"")</f>
        <v/>
      </c>
      <c r="O249" s="90" t="str">
        <f>IFERROR(IF('Open 30M - Bracket'!GT8="","",'Open 30M - Bracket'!GT8),"")</f>
        <v/>
      </c>
      <c r="P249" s="90" t="str">
        <f>IFERROR(IF('Open 30M - Bracket'!GS8="","",'Open 30M - Bracket'!GS8),"")</f>
        <v/>
      </c>
      <c r="Q249" s="84" t="s">
        <v>228</v>
      </c>
    </row>
    <row r="250" spans="1:17" ht="21.75" customHeight="1" x14ac:dyDescent="0.35">
      <c r="A250" s="92" t="s">
        <v>237</v>
      </c>
      <c r="B250" s="93" t="str">
        <f>IFERROR(IF('Open 30M - Bracket'!GZ6="","",'Open 30M - Bracket'!GZ6),"")</f>
        <v/>
      </c>
      <c r="C250" s="93" t="str">
        <f>IFERROR(IF('Open 30M - Bracket'!HA6="","",'Open 30M - Bracket'!HA6),"")</f>
        <v/>
      </c>
      <c r="D250" s="93" t="str">
        <f>IFERROR(IF('Open 30M - Bracket'!HB6="","",'Open 30M - Bracket'!HB6),"")</f>
        <v/>
      </c>
      <c r="E250" s="93" t="str">
        <f>IFERROR(IF('Open 30M - Bracket'!HC6="","",'Open 30M - Bracket'!HC6),"")</f>
        <v/>
      </c>
      <c r="F250" s="93" t="str">
        <f>IFERROR(IF('Open 30M - Bracket'!HD6="","",'Open 30M - Bracket'!HD6),"")</f>
        <v/>
      </c>
      <c r="G250" s="93" t="str">
        <f>IFERROR(IF('Open 30M - Bracket'!HE6="","",'Open 30M - Bracket'!HE6),"")</f>
        <v/>
      </c>
      <c r="H250" s="32">
        <f>IFERROR(IF(ISNUMBER('Open 30M - Bracket'!HF6),'Open 30M - Bracket'!HF6,0),0)</f>
        <v>0</v>
      </c>
      <c r="I250" s="91" t="str">
        <f>IF(AND(ISNUMBER('Open 30M - Bracket'!HF6),ISNUMBER('Open 30M - Bracket'!HF8)),IF('Open 30M - Bracket'!HF6&gt;'Open 30M - Bracket'!HF8,"2-0",IF('Open 30M - Bracket'!HF6='Open 30M - Bracket'!HF8,"1-1","0-2")),"—")</f>
        <v>—</v>
      </c>
      <c r="J250" s="32">
        <f>IFERROR(IF(ISNUMBER('Open 30M - Bracket'!HF8),'Open 30M - Bracket'!HF8,0),0)</f>
        <v>0</v>
      </c>
      <c r="K250" s="93" t="str">
        <f>IFERROR(IF('Open 30M - Bracket'!HE8="","",'Open 30M - Bracket'!HE8),"")</f>
        <v/>
      </c>
      <c r="L250" s="93" t="str">
        <f>IFERROR(IF('Open 30M - Bracket'!HD8="","",'Open 30M - Bracket'!HD8),"")</f>
        <v/>
      </c>
      <c r="M250" s="93" t="str">
        <f>IFERROR(IF('Open 30M - Bracket'!HC8="","",'Open 30M - Bracket'!HC8),"")</f>
        <v/>
      </c>
      <c r="N250" s="93" t="str">
        <f>IFERROR(IF('Open 30M - Bracket'!HB8="","",'Open 30M - Bracket'!HB8),"")</f>
        <v/>
      </c>
      <c r="O250" s="93" t="str">
        <f>IFERROR(IF('Open 30M - Bracket'!HA8="","",'Open 30M - Bracket'!HA8),"")</f>
        <v/>
      </c>
      <c r="P250" s="93" t="str">
        <f>IFERROR(IF('Open 30M - Bracket'!GZ8="","",'Open 30M - Bracket'!GZ8),"")</f>
        <v/>
      </c>
      <c r="Q250" s="92" t="s">
        <v>237</v>
      </c>
    </row>
    <row r="251" spans="1:17" ht="4.5" customHeight="1" x14ac:dyDescent="0.35"/>
    <row r="252" spans="1:17" ht="31.5" customHeight="1" x14ac:dyDescent="0.35">
      <c r="A252" s="130">
        <f>IFERROR(IF(ISNUMBER('Open 30M - Bracket'!HG6),'Open 30M - Bracket'!HG6,0),0)</f>
        <v>0</v>
      </c>
      <c r="B252" s="130"/>
      <c r="C252" s="130"/>
      <c r="D252" s="130"/>
      <c r="E252" s="130"/>
      <c r="F252" s="130"/>
      <c r="G252" s="130"/>
      <c r="H252" s="94" t="str">
        <f>IFERROR('Open 30M - Bracket'!HJ6,"")</f>
        <v>&gt;&gt; Advance</v>
      </c>
      <c r="I252" s="86"/>
      <c r="J252" s="94" t="str">
        <f>IFERROR('Open 30M - Bracket'!HJ8,"")</f>
        <v>BYE</v>
      </c>
      <c r="K252" s="130">
        <f>IFERROR(IF(ISNUMBER('Open 30M - Bracket'!HG8),'Open 30M - Bracket'!HG8,0),0)</f>
        <v>0</v>
      </c>
      <c r="L252" s="130"/>
      <c r="M252" s="130"/>
      <c r="N252" s="130"/>
      <c r="O252" s="130"/>
      <c r="P252" s="130"/>
      <c r="Q252" s="130"/>
    </row>
    <row r="253" spans="1:17" ht="21.75" customHeight="1" x14ac:dyDescent="0.35">
      <c r="A253" s="130"/>
      <c r="B253" s="130"/>
      <c r="C253" s="130"/>
      <c r="D253" s="130"/>
      <c r="E253" s="130"/>
      <c r="F253" s="130"/>
      <c r="G253" s="130"/>
      <c r="K253" s="130"/>
      <c r="L253" s="130"/>
      <c r="M253" s="130"/>
      <c r="N253" s="130"/>
      <c r="O253" s="130"/>
      <c r="P253" s="130"/>
      <c r="Q253" s="130"/>
    </row>
    <row r="254" spans="1:17" ht="4.5" customHeight="1" x14ac:dyDescent="0.35"/>
    <row r="255" spans="1:17" ht="12" customHeight="1" x14ac:dyDescent="0.35">
      <c r="A255" s="126"/>
      <c r="B255" s="126"/>
      <c r="C255" s="126"/>
      <c r="D255" s="126"/>
      <c r="E255" s="126"/>
      <c r="F255" s="126"/>
      <c r="G255" s="126"/>
      <c r="H255" s="126"/>
      <c r="I255" s="126"/>
      <c r="J255" s="126"/>
      <c r="K255" s="126"/>
      <c r="L255" s="126"/>
      <c r="M255" s="126"/>
      <c r="N255" s="126"/>
      <c r="O255" s="126"/>
      <c r="P255" s="126"/>
      <c r="Q255" s="126"/>
    </row>
    <row r="256" spans="1:17" ht="7.5" customHeight="1" x14ac:dyDescent="0.35"/>
    <row r="257" spans="1:17" ht="19.5" customHeight="1" x14ac:dyDescent="0.35">
      <c r="A257" s="134" t="s">
        <v>252</v>
      </c>
      <c r="B257" s="134"/>
      <c r="C257" s="134"/>
      <c r="D257" s="134"/>
      <c r="E257" s="134"/>
      <c r="F257" s="134"/>
      <c r="G257" s="134"/>
      <c r="H257" s="134"/>
      <c r="I257" s="134"/>
      <c r="J257" s="134"/>
      <c r="K257" s="134"/>
      <c r="L257" s="134"/>
      <c r="M257" s="134"/>
      <c r="N257" s="134"/>
      <c r="O257" s="134"/>
      <c r="P257" s="134"/>
      <c r="Q257" s="134"/>
    </row>
    <row r="258" spans="1:17" ht="4.5" customHeight="1" x14ac:dyDescent="0.35"/>
    <row r="259" spans="1:17" ht="21.75" customHeight="1" x14ac:dyDescent="0.35">
      <c r="A259" s="84" t="s">
        <v>232</v>
      </c>
      <c r="B259" s="128" t="str">
        <f>IFERROR(IF('Open 30M - Bracket'!B11="","TBD",'Open 30M - Bracket'!B11),"TBD")</f>
        <v>TBD</v>
      </c>
      <c r="C259" s="128"/>
      <c r="D259" s="128"/>
      <c r="E259" s="128"/>
      <c r="F259" s="128"/>
      <c r="G259" s="128"/>
      <c r="H259" s="128"/>
      <c r="I259" s="84" t="s">
        <v>233</v>
      </c>
      <c r="J259" s="128" t="str">
        <f>IFERROR(IF('Open 30M - Bracket'!B13="","TBD",'Open 30M - Bracket'!B13),"TBD")</f>
        <v>TBD</v>
      </c>
      <c r="K259" s="128"/>
      <c r="L259" s="128"/>
      <c r="M259" s="128"/>
      <c r="N259" s="128"/>
      <c r="O259" s="128"/>
      <c r="P259" s="128"/>
      <c r="Q259" s="84" t="s">
        <v>232</v>
      </c>
    </row>
    <row r="260" spans="1:17" ht="13.5" customHeight="1" x14ac:dyDescent="0.35">
      <c r="A260" s="85" t="s">
        <v>234</v>
      </c>
      <c r="B260" s="129" t="str">
        <f>IFERROR('Open 30M - Bracket'!A11,"")</f>
        <v>BYE</v>
      </c>
      <c r="C260" s="129"/>
      <c r="D260" s="129"/>
      <c r="E260" s="129"/>
      <c r="F260" s="129"/>
      <c r="G260" s="129"/>
      <c r="H260" s="129"/>
      <c r="I260" s="86"/>
      <c r="J260" s="129" t="str">
        <f>IFERROR('Open 30M - Bracket'!A13,"")</f>
        <v>BYE</v>
      </c>
      <c r="K260" s="129"/>
      <c r="L260" s="129"/>
      <c r="M260" s="129"/>
      <c r="N260" s="129"/>
      <c r="O260" s="129"/>
      <c r="P260" s="129"/>
      <c r="Q260" s="85" t="s">
        <v>234</v>
      </c>
    </row>
    <row r="261" spans="1:17" ht="19.5" customHeight="1" x14ac:dyDescent="0.35">
      <c r="A261" s="87" t="s">
        <v>235</v>
      </c>
      <c r="B261" s="88" t="s">
        <v>83</v>
      </c>
      <c r="C261" s="88" t="s">
        <v>84</v>
      </c>
      <c r="D261" s="88" t="s">
        <v>85</v>
      </c>
      <c r="E261" s="88" t="s">
        <v>86</v>
      </c>
      <c r="F261" s="88" t="s">
        <v>87</v>
      </c>
      <c r="G261" s="88" t="s">
        <v>88</v>
      </c>
      <c r="H261" s="24" t="s">
        <v>236</v>
      </c>
      <c r="I261" s="89"/>
      <c r="J261" s="24" t="s">
        <v>236</v>
      </c>
      <c r="K261" s="88" t="s">
        <v>88</v>
      </c>
      <c r="L261" s="88" t="s">
        <v>87</v>
      </c>
      <c r="M261" s="88" t="s">
        <v>86</v>
      </c>
      <c r="N261" s="88" t="s">
        <v>85</v>
      </c>
      <c r="O261" s="88" t="s">
        <v>84</v>
      </c>
      <c r="P261" s="88" t="s">
        <v>83</v>
      </c>
      <c r="Q261" s="87" t="s">
        <v>235</v>
      </c>
    </row>
    <row r="262" spans="1:17" ht="21.75" customHeight="1" x14ac:dyDescent="0.35">
      <c r="A262" s="84" t="s">
        <v>222</v>
      </c>
      <c r="B262" s="90" t="str">
        <f>IFERROR(IF('Open 30M - Bracket'!H11="","",'Open 30M - Bracket'!H11),"")</f>
        <v/>
      </c>
      <c r="C262" s="90" t="str">
        <f>IFERROR(IF('Open 30M - Bracket'!I11="","",'Open 30M - Bracket'!I11),"")</f>
        <v/>
      </c>
      <c r="D262" s="90" t="str">
        <f>IFERROR(IF('Open 30M - Bracket'!J11="","",'Open 30M - Bracket'!J11),"")</f>
        <v/>
      </c>
      <c r="E262" s="90" t="str">
        <f>IFERROR(IF('Open 30M - Bracket'!K11="","",'Open 30M - Bracket'!K11),"")</f>
        <v/>
      </c>
      <c r="F262" s="90" t="str">
        <f>IFERROR(IF('Open 30M - Bracket'!L11="","",'Open 30M - Bracket'!L11),"")</f>
        <v/>
      </c>
      <c r="G262" s="90" t="str">
        <f>IFERROR(IF('Open 30M - Bracket'!M11="","",'Open 30M - Bracket'!M11),"")</f>
        <v/>
      </c>
      <c r="H262" s="32">
        <f>IFERROR(IF(ISNUMBER('Open 30M - Bracket'!N11),'Open 30M - Bracket'!N11,0),0)</f>
        <v>0</v>
      </c>
      <c r="I262" s="91" t="str">
        <f>IF(AND(ISNUMBER('Open 30M - Bracket'!N11),ISNUMBER('Open 30M - Bracket'!N13)),IF('Open 30M - Bracket'!N11&gt;'Open 30M - Bracket'!N13,"2-0",IF('Open 30M - Bracket'!N11='Open 30M - Bracket'!N13,"1-1","0-2")),"—")</f>
        <v>—</v>
      </c>
      <c r="J262" s="32">
        <f>IFERROR(IF(ISNUMBER('Open 30M - Bracket'!N13),'Open 30M - Bracket'!N13,0),0)</f>
        <v>0</v>
      </c>
      <c r="K262" s="90" t="str">
        <f>IFERROR(IF('Open 30M - Bracket'!M13="","",'Open 30M - Bracket'!M13),"")</f>
        <v/>
      </c>
      <c r="L262" s="90" t="str">
        <f>IFERROR(IF('Open 30M - Bracket'!L13="","",'Open 30M - Bracket'!L13),"")</f>
        <v/>
      </c>
      <c r="M262" s="90" t="str">
        <f>IFERROR(IF('Open 30M - Bracket'!K13="","",'Open 30M - Bracket'!K13),"")</f>
        <v/>
      </c>
      <c r="N262" s="90" t="str">
        <f>IFERROR(IF('Open 30M - Bracket'!J13="","",'Open 30M - Bracket'!J13),"")</f>
        <v/>
      </c>
      <c r="O262" s="90" t="str">
        <f>IFERROR(IF('Open 30M - Bracket'!I13="","",'Open 30M - Bracket'!I13),"")</f>
        <v/>
      </c>
      <c r="P262" s="90" t="str">
        <f>IFERROR(IF('Open 30M - Bracket'!H13="","",'Open 30M - Bracket'!H13),"")</f>
        <v/>
      </c>
      <c r="Q262" s="84" t="s">
        <v>222</v>
      </c>
    </row>
    <row r="263" spans="1:17" ht="21.75" customHeight="1" x14ac:dyDescent="0.35">
      <c r="A263" s="84" t="s">
        <v>223</v>
      </c>
      <c r="B263" s="90" t="str">
        <f>IFERROR(IF('Open 30M - Bracket'!O11="","",'Open 30M - Bracket'!O11),"")</f>
        <v/>
      </c>
      <c r="C263" s="90" t="str">
        <f>IFERROR(IF('Open 30M - Bracket'!P11="","",'Open 30M - Bracket'!P11),"")</f>
        <v/>
      </c>
      <c r="D263" s="90" t="str">
        <f>IFERROR(IF('Open 30M - Bracket'!Q11="","",'Open 30M - Bracket'!Q11),"")</f>
        <v/>
      </c>
      <c r="E263" s="90" t="str">
        <f>IFERROR(IF('Open 30M - Bracket'!R11="","",'Open 30M - Bracket'!R11),"")</f>
        <v/>
      </c>
      <c r="F263" s="90" t="str">
        <f>IFERROR(IF('Open 30M - Bracket'!S11="","",'Open 30M - Bracket'!S11),"")</f>
        <v/>
      </c>
      <c r="G263" s="90" t="str">
        <f>IFERROR(IF('Open 30M - Bracket'!T11="","",'Open 30M - Bracket'!T11),"")</f>
        <v/>
      </c>
      <c r="H263" s="32">
        <f>IFERROR(IF(ISNUMBER('Open 30M - Bracket'!U11),'Open 30M - Bracket'!U11,0),0)</f>
        <v>0</v>
      </c>
      <c r="I263" s="91" t="str">
        <f>IF(AND(ISNUMBER('Open 30M - Bracket'!U11),ISNUMBER('Open 30M - Bracket'!U13)),IF('Open 30M - Bracket'!U11&gt;'Open 30M - Bracket'!U13,"2-0",IF('Open 30M - Bracket'!U11='Open 30M - Bracket'!U13,"1-1","0-2")),"—")</f>
        <v>—</v>
      </c>
      <c r="J263" s="32">
        <f>IFERROR(IF(ISNUMBER('Open 30M - Bracket'!U13),'Open 30M - Bracket'!U13,0),0)</f>
        <v>0</v>
      </c>
      <c r="K263" s="90" t="str">
        <f>IFERROR(IF('Open 30M - Bracket'!T13="","",'Open 30M - Bracket'!T13),"")</f>
        <v/>
      </c>
      <c r="L263" s="90" t="str">
        <f>IFERROR(IF('Open 30M - Bracket'!S13="","",'Open 30M - Bracket'!S13),"")</f>
        <v/>
      </c>
      <c r="M263" s="90" t="str">
        <f>IFERROR(IF('Open 30M - Bracket'!R13="","",'Open 30M - Bracket'!R13),"")</f>
        <v/>
      </c>
      <c r="N263" s="90" t="str">
        <f>IFERROR(IF('Open 30M - Bracket'!Q13="","",'Open 30M - Bracket'!Q13),"")</f>
        <v/>
      </c>
      <c r="O263" s="90" t="str">
        <f>IFERROR(IF('Open 30M - Bracket'!P13="","",'Open 30M - Bracket'!P13),"")</f>
        <v/>
      </c>
      <c r="P263" s="90" t="str">
        <f>IFERROR(IF('Open 30M - Bracket'!O13="","",'Open 30M - Bracket'!O13),"")</f>
        <v/>
      </c>
      <c r="Q263" s="84" t="s">
        <v>223</v>
      </c>
    </row>
    <row r="264" spans="1:17" ht="21.75" customHeight="1" x14ac:dyDescent="0.35">
      <c r="A264" s="84" t="s">
        <v>224</v>
      </c>
      <c r="B264" s="90" t="str">
        <f>IFERROR(IF('Open 30M - Bracket'!V11="","",'Open 30M - Bracket'!V11),"")</f>
        <v/>
      </c>
      <c r="C264" s="90" t="str">
        <f>IFERROR(IF('Open 30M - Bracket'!W11="","",'Open 30M - Bracket'!W11),"")</f>
        <v/>
      </c>
      <c r="D264" s="90" t="str">
        <f>IFERROR(IF('Open 30M - Bracket'!X11="","",'Open 30M - Bracket'!X11),"")</f>
        <v/>
      </c>
      <c r="E264" s="90" t="str">
        <f>IFERROR(IF('Open 30M - Bracket'!Y11="","",'Open 30M - Bracket'!Y11),"")</f>
        <v/>
      </c>
      <c r="F264" s="90" t="str">
        <f>IFERROR(IF('Open 30M - Bracket'!Z11="","",'Open 30M - Bracket'!Z11),"")</f>
        <v/>
      </c>
      <c r="G264" s="90" t="str">
        <f>IFERROR(IF('Open 30M - Bracket'!AA11="","",'Open 30M - Bracket'!AA11),"")</f>
        <v/>
      </c>
      <c r="H264" s="32">
        <f>IFERROR(IF(ISNUMBER('Open 30M - Bracket'!AB11),'Open 30M - Bracket'!AB11,0),0)</f>
        <v>0</v>
      </c>
      <c r="I264" s="91" t="str">
        <f>IF(AND(ISNUMBER('Open 30M - Bracket'!AB11),ISNUMBER('Open 30M - Bracket'!AB13)),IF('Open 30M - Bracket'!AB11&gt;'Open 30M - Bracket'!AB13,"2-0",IF('Open 30M - Bracket'!AB11='Open 30M - Bracket'!AB13,"1-1","0-2")),"—")</f>
        <v>—</v>
      </c>
      <c r="J264" s="32">
        <f>IFERROR(IF(ISNUMBER('Open 30M - Bracket'!AB13),'Open 30M - Bracket'!AB13,0),0)</f>
        <v>0</v>
      </c>
      <c r="K264" s="90" t="str">
        <f>IFERROR(IF('Open 30M - Bracket'!AA13="","",'Open 30M - Bracket'!AA13),"")</f>
        <v/>
      </c>
      <c r="L264" s="90" t="str">
        <f>IFERROR(IF('Open 30M - Bracket'!Z13="","",'Open 30M - Bracket'!Z13),"")</f>
        <v/>
      </c>
      <c r="M264" s="90" t="str">
        <f>IFERROR(IF('Open 30M - Bracket'!Y13="","",'Open 30M - Bracket'!Y13),"")</f>
        <v/>
      </c>
      <c r="N264" s="90" t="str">
        <f>IFERROR(IF('Open 30M - Bracket'!X13="","",'Open 30M - Bracket'!X13),"")</f>
        <v/>
      </c>
      <c r="O264" s="90" t="str">
        <f>IFERROR(IF('Open 30M - Bracket'!W13="","",'Open 30M - Bracket'!W13),"")</f>
        <v/>
      </c>
      <c r="P264" s="90" t="str">
        <f>IFERROR(IF('Open 30M - Bracket'!V13="","",'Open 30M - Bracket'!V13),"")</f>
        <v/>
      </c>
      <c r="Q264" s="84" t="s">
        <v>224</v>
      </c>
    </row>
    <row r="265" spans="1:17" ht="21.75" customHeight="1" x14ac:dyDescent="0.35">
      <c r="A265" s="84" t="s">
        <v>227</v>
      </c>
      <c r="B265" s="90" t="str">
        <f>IFERROR(IF('Open 30M - Bracket'!AC11="","",'Open 30M - Bracket'!AC11),"")</f>
        <v/>
      </c>
      <c r="C265" s="90" t="str">
        <f>IFERROR(IF('Open 30M - Bracket'!AD11="","",'Open 30M - Bracket'!AD11),"")</f>
        <v/>
      </c>
      <c r="D265" s="90" t="str">
        <f>IFERROR(IF('Open 30M - Bracket'!AE11="","",'Open 30M - Bracket'!AE11),"")</f>
        <v/>
      </c>
      <c r="E265" s="90" t="str">
        <f>IFERROR(IF('Open 30M - Bracket'!AF11="","",'Open 30M - Bracket'!AF11),"")</f>
        <v/>
      </c>
      <c r="F265" s="90" t="str">
        <f>IFERROR(IF('Open 30M - Bracket'!AG11="","",'Open 30M - Bracket'!AG11),"")</f>
        <v/>
      </c>
      <c r="G265" s="90" t="str">
        <f>IFERROR(IF('Open 30M - Bracket'!AH11="","",'Open 30M - Bracket'!AH11),"")</f>
        <v/>
      </c>
      <c r="H265" s="32">
        <f>IFERROR(IF(ISNUMBER('Open 30M - Bracket'!AI11),'Open 30M - Bracket'!AI11,0),0)</f>
        <v>0</v>
      </c>
      <c r="I265" s="91" t="str">
        <f>IF(AND(ISNUMBER('Open 30M - Bracket'!AI11),ISNUMBER('Open 30M - Bracket'!AI13)),IF('Open 30M - Bracket'!AI11&gt;'Open 30M - Bracket'!AI13,"2-0",IF('Open 30M - Bracket'!AI11='Open 30M - Bracket'!AI13,"1-1","0-2")),"—")</f>
        <v>—</v>
      </c>
      <c r="J265" s="32">
        <f>IFERROR(IF(ISNUMBER('Open 30M - Bracket'!AI13),'Open 30M - Bracket'!AI13,0),0)</f>
        <v>0</v>
      </c>
      <c r="K265" s="90" t="str">
        <f>IFERROR(IF('Open 30M - Bracket'!AH13="","",'Open 30M - Bracket'!AH13),"")</f>
        <v/>
      </c>
      <c r="L265" s="90" t="str">
        <f>IFERROR(IF('Open 30M - Bracket'!AG13="","",'Open 30M - Bracket'!AG13),"")</f>
        <v/>
      </c>
      <c r="M265" s="90" t="str">
        <f>IFERROR(IF('Open 30M - Bracket'!AF13="","",'Open 30M - Bracket'!AF13),"")</f>
        <v/>
      </c>
      <c r="N265" s="90" t="str">
        <f>IFERROR(IF('Open 30M - Bracket'!AE13="","",'Open 30M - Bracket'!AE13),"")</f>
        <v/>
      </c>
      <c r="O265" s="90" t="str">
        <f>IFERROR(IF('Open 30M - Bracket'!AD13="","",'Open 30M - Bracket'!AD13),"")</f>
        <v/>
      </c>
      <c r="P265" s="90" t="str">
        <f>IFERROR(IF('Open 30M - Bracket'!AC13="","",'Open 30M - Bracket'!AC13),"")</f>
        <v/>
      </c>
      <c r="Q265" s="84" t="s">
        <v>227</v>
      </c>
    </row>
    <row r="266" spans="1:17" ht="21.75" customHeight="1" x14ac:dyDescent="0.35">
      <c r="A266" s="84" t="s">
        <v>228</v>
      </c>
      <c r="B266" s="90" t="str">
        <f>IFERROR(IF('Open 30M - Bracket'!AJ11="","",'Open 30M - Bracket'!AJ11),"")</f>
        <v/>
      </c>
      <c r="C266" s="90" t="str">
        <f>IFERROR(IF('Open 30M - Bracket'!AK11="","",'Open 30M - Bracket'!AK11),"")</f>
        <v/>
      </c>
      <c r="D266" s="90" t="str">
        <f>IFERROR(IF('Open 30M - Bracket'!AL11="","",'Open 30M - Bracket'!AL11),"")</f>
        <v/>
      </c>
      <c r="E266" s="90" t="str">
        <f>IFERROR(IF('Open 30M - Bracket'!AM11="","",'Open 30M - Bracket'!AM11),"")</f>
        <v/>
      </c>
      <c r="F266" s="90" t="str">
        <f>IFERROR(IF('Open 30M - Bracket'!AN11="","",'Open 30M - Bracket'!AN11),"")</f>
        <v/>
      </c>
      <c r="G266" s="90" t="str">
        <f>IFERROR(IF('Open 30M - Bracket'!AO11="","",'Open 30M - Bracket'!AO11),"")</f>
        <v/>
      </c>
      <c r="H266" s="32">
        <f>IFERROR(IF(ISNUMBER('Open 30M - Bracket'!AP11),'Open 30M - Bracket'!AP11,0),0)</f>
        <v>0</v>
      </c>
      <c r="I266" s="91" t="str">
        <f>IF(AND(ISNUMBER('Open 30M - Bracket'!AP11),ISNUMBER('Open 30M - Bracket'!AP13)),IF('Open 30M - Bracket'!AP11&gt;'Open 30M - Bracket'!AP13,"2-0",IF('Open 30M - Bracket'!AP11='Open 30M - Bracket'!AP13,"1-1","0-2")),"—")</f>
        <v>—</v>
      </c>
      <c r="J266" s="32">
        <f>IFERROR(IF(ISNUMBER('Open 30M - Bracket'!AP13),'Open 30M - Bracket'!AP13,0),0)</f>
        <v>0</v>
      </c>
      <c r="K266" s="90" t="str">
        <f>IFERROR(IF('Open 30M - Bracket'!AO13="","",'Open 30M - Bracket'!AO13),"")</f>
        <v/>
      </c>
      <c r="L266" s="90" t="str">
        <f>IFERROR(IF('Open 30M - Bracket'!AN13="","",'Open 30M - Bracket'!AN13),"")</f>
        <v/>
      </c>
      <c r="M266" s="90" t="str">
        <f>IFERROR(IF('Open 30M - Bracket'!AM13="","",'Open 30M - Bracket'!AM13),"")</f>
        <v/>
      </c>
      <c r="N266" s="90" t="str">
        <f>IFERROR(IF('Open 30M - Bracket'!AL13="","",'Open 30M - Bracket'!AL13),"")</f>
        <v/>
      </c>
      <c r="O266" s="90" t="str">
        <f>IFERROR(IF('Open 30M - Bracket'!AK13="","",'Open 30M - Bracket'!AK13),"")</f>
        <v/>
      </c>
      <c r="P266" s="90" t="str">
        <f>IFERROR(IF('Open 30M - Bracket'!AJ13="","",'Open 30M - Bracket'!AJ13),"")</f>
        <v/>
      </c>
      <c r="Q266" s="84" t="s">
        <v>228</v>
      </c>
    </row>
    <row r="267" spans="1:17" ht="21.75" customHeight="1" x14ac:dyDescent="0.35">
      <c r="A267" s="92" t="s">
        <v>237</v>
      </c>
      <c r="B267" s="93" t="str">
        <f>IFERROR(IF('Open 30M - Bracket'!AQ11="","",'Open 30M - Bracket'!AQ11),"")</f>
        <v/>
      </c>
      <c r="C267" s="93" t="str">
        <f>IFERROR(IF('Open 30M - Bracket'!AR11="","",'Open 30M - Bracket'!AR11),"")</f>
        <v/>
      </c>
      <c r="D267" s="93" t="str">
        <f>IFERROR(IF('Open 30M - Bracket'!AS11="","",'Open 30M - Bracket'!AS11),"")</f>
        <v/>
      </c>
      <c r="E267" s="93" t="str">
        <f>IFERROR(IF('Open 30M - Bracket'!AT11="","",'Open 30M - Bracket'!AT11),"")</f>
        <v/>
      </c>
      <c r="F267" s="93" t="str">
        <f>IFERROR(IF('Open 30M - Bracket'!AU11="","",'Open 30M - Bracket'!AU11),"")</f>
        <v/>
      </c>
      <c r="G267" s="93" t="str">
        <f>IFERROR(IF('Open 30M - Bracket'!AV11="","",'Open 30M - Bracket'!AV11),"")</f>
        <v/>
      </c>
      <c r="H267" s="32">
        <f>IFERROR(IF(ISNUMBER('Open 30M - Bracket'!AW11),'Open 30M - Bracket'!AW11,0),0)</f>
        <v>0</v>
      </c>
      <c r="I267" s="91" t="str">
        <f>IF(AND(ISNUMBER('Open 30M - Bracket'!AW11),ISNUMBER('Open 30M - Bracket'!AW13)),IF('Open 30M - Bracket'!AW11&gt;'Open 30M - Bracket'!AW13,"2-0",IF('Open 30M - Bracket'!AW11='Open 30M - Bracket'!AW13,"1-1","0-2")),"—")</f>
        <v>—</v>
      </c>
      <c r="J267" s="32">
        <f>IFERROR(IF(ISNUMBER('Open 30M - Bracket'!AW13),'Open 30M - Bracket'!AW13,0),0)</f>
        <v>0</v>
      </c>
      <c r="K267" s="93" t="str">
        <f>IFERROR(IF('Open 30M - Bracket'!AV13="","",'Open 30M - Bracket'!AV13),"")</f>
        <v/>
      </c>
      <c r="L267" s="93" t="str">
        <f>IFERROR(IF('Open 30M - Bracket'!AU13="","",'Open 30M - Bracket'!AU13),"")</f>
        <v/>
      </c>
      <c r="M267" s="93" t="str">
        <f>IFERROR(IF('Open 30M - Bracket'!AT13="","",'Open 30M - Bracket'!AT13),"")</f>
        <v/>
      </c>
      <c r="N267" s="93" t="str">
        <f>IFERROR(IF('Open 30M - Bracket'!AS13="","",'Open 30M - Bracket'!AS13),"")</f>
        <v/>
      </c>
      <c r="O267" s="93" t="str">
        <f>IFERROR(IF('Open 30M - Bracket'!AR13="","",'Open 30M - Bracket'!AR13),"")</f>
        <v/>
      </c>
      <c r="P267" s="93" t="str">
        <f>IFERROR(IF('Open 30M - Bracket'!AQ13="","",'Open 30M - Bracket'!AQ13),"")</f>
        <v/>
      </c>
      <c r="Q267" s="92" t="s">
        <v>237</v>
      </c>
    </row>
    <row r="268" spans="1:17" ht="4.5" customHeight="1" x14ac:dyDescent="0.35"/>
    <row r="269" spans="1:17" ht="31.5" customHeight="1" x14ac:dyDescent="0.35">
      <c r="A269" s="130">
        <f>IFERROR(IF(ISNUMBER('Open 30M - Bracket'!AX11),'Open 30M - Bracket'!AX11,0),0)</f>
        <v>0</v>
      </c>
      <c r="B269" s="130"/>
      <c r="C269" s="130"/>
      <c r="D269" s="130"/>
      <c r="E269" s="130"/>
      <c r="F269" s="130"/>
      <c r="G269" s="130"/>
      <c r="H269" s="94" t="str">
        <f>IFERROR('Open 30M - Bracket'!BA11,"")</f>
        <v>&gt;&gt; Advance</v>
      </c>
      <c r="I269" s="86"/>
      <c r="J269" s="94" t="str">
        <f>IFERROR('Open 30M - Bracket'!BA13,"")</f>
        <v>&gt;&gt; Advance</v>
      </c>
      <c r="K269" s="130">
        <f>IFERROR(IF(ISNUMBER('Open 30M - Bracket'!AX13),'Open 30M - Bracket'!AX13,0),0)</f>
        <v>0</v>
      </c>
      <c r="L269" s="130"/>
      <c r="M269" s="130"/>
      <c r="N269" s="130"/>
      <c r="O269" s="130"/>
      <c r="P269" s="130"/>
      <c r="Q269" s="130"/>
    </row>
    <row r="270" spans="1:17" ht="21.75" customHeight="1" x14ac:dyDescent="0.35">
      <c r="A270" s="130"/>
      <c r="B270" s="130"/>
      <c r="C270" s="130"/>
      <c r="D270" s="130"/>
      <c r="E270" s="130"/>
      <c r="F270" s="130"/>
      <c r="G270" s="130"/>
      <c r="K270" s="130"/>
      <c r="L270" s="130"/>
      <c r="M270" s="130"/>
      <c r="N270" s="130"/>
      <c r="O270" s="130"/>
      <c r="P270" s="130"/>
      <c r="Q270" s="130"/>
    </row>
    <row r="271" spans="1:17" ht="4.5" customHeight="1" x14ac:dyDescent="0.35"/>
    <row r="272" spans="1:17" ht="12" customHeight="1" x14ac:dyDescent="0.35">
      <c r="A272" s="126"/>
      <c r="B272" s="126"/>
      <c r="C272" s="126"/>
      <c r="D272" s="126"/>
      <c r="E272" s="126"/>
      <c r="F272" s="126"/>
      <c r="G272" s="126"/>
      <c r="H272" s="126"/>
      <c r="I272" s="126"/>
      <c r="J272" s="126"/>
      <c r="K272" s="126"/>
      <c r="L272" s="126"/>
      <c r="M272" s="126"/>
      <c r="N272" s="126"/>
      <c r="O272" s="126"/>
      <c r="P272" s="126"/>
      <c r="Q272" s="126"/>
    </row>
  </sheetData>
  <mergeCells count="128">
    <mergeCell ref="A269:G270"/>
    <mergeCell ref="K269:Q270"/>
    <mergeCell ref="A272:Q272"/>
    <mergeCell ref="B243:H243"/>
    <mergeCell ref="J243:P243"/>
    <mergeCell ref="A252:G253"/>
    <mergeCell ref="K252:Q253"/>
    <mergeCell ref="A255:Q255"/>
    <mergeCell ref="A257:Q257"/>
    <mergeCell ref="B259:H259"/>
    <mergeCell ref="J259:P259"/>
    <mergeCell ref="B260:H260"/>
    <mergeCell ref="J260:P260"/>
    <mergeCell ref="B225:H225"/>
    <mergeCell ref="J225:P225"/>
    <mergeCell ref="B226:H226"/>
    <mergeCell ref="J226:P226"/>
    <mergeCell ref="A235:G236"/>
    <mergeCell ref="K235:Q236"/>
    <mergeCell ref="A238:Q238"/>
    <mergeCell ref="A240:Q240"/>
    <mergeCell ref="B242:H242"/>
    <mergeCell ref="J242:P242"/>
    <mergeCell ref="A206:Q206"/>
    <mergeCell ref="B208:H208"/>
    <mergeCell ref="J208:P208"/>
    <mergeCell ref="B209:H209"/>
    <mergeCell ref="J209:P209"/>
    <mergeCell ref="A218:G219"/>
    <mergeCell ref="K218:Q219"/>
    <mergeCell ref="A221:Q221"/>
    <mergeCell ref="A223:Q223"/>
    <mergeCell ref="A187:Q187"/>
    <mergeCell ref="A189:Q189"/>
    <mergeCell ref="B191:H191"/>
    <mergeCell ref="J191:P191"/>
    <mergeCell ref="B192:H192"/>
    <mergeCell ref="J192:P192"/>
    <mergeCell ref="A201:G202"/>
    <mergeCell ref="K201:Q202"/>
    <mergeCell ref="A204:Q204"/>
    <mergeCell ref="A167:G168"/>
    <mergeCell ref="K167:Q168"/>
    <mergeCell ref="A170:Q170"/>
    <mergeCell ref="A172:Q172"/>
    <mergeCell ref="B174:H174"/>
    <mergeCell ref="J174:P174"/>
    <mergeCell ref="B175:H175"/>
    <mergeCell ref="J175:P175"/>
    <mergeCell ref="A184:G185"/>
    <mergeCell ref="K184:Q185"/>
    <mergeCell ref="B141:H141"/>
    <mergeCell ref="J141:P141"/>
    <mergeCell ref="A150:G151"/>
    <mergeCell ref="K150:Q151"/>
    <mergeCell ref="A153:Q153"/>
    <mergeCell ref="A155:Q155"/>
    <mergeCell ref="B157:H157"/>
    <mergeCell ref="J157:P157"/>
    <mergeCell ref="B158:H158"/>
    <mergeCell ref="J158:P158"/>
    <mergeCell ref="B123:H123"/>
    <mergeCell ref="J123:P123"/>
    <mergeCell ref="B124:H124"/>
    <mergeCell ref="J124:P124"/>
    <mergeCell ref="A133:G134"/>
    <mergeCell ref="K133:Q134"/>
    <mergeCell ref="A136:Q136"/>
    <mergeCell ref="A138:Q138"/>
    <mergeCell ref="B140:H140"/>
    <mergeCell ref="J140:P140"/>
    <mergeCell ref="A104:Q104"/>
    <mergeCell ref="B106:H106"/>
    <mergeCell ref="J106:P106"/>
    <mergeCell ref="B107:H107"/>
    <mergeCell ref="J107:P107"/>
    <mergeCell ref="A116:G117"/>
    <mergeCell ref="K116:Q117"/>
    <mergeCell ref="A119:Q119"/>
    <mergeCell ref="A121:Q121"/>
    <mergeCell ref="A85:Q85"/>
    <mergeCell ref="A87:Q87"/>
    <mergeCell ref="B89:H89"/>
    <mergeCell ref="J89:P89"/>
    <mergeCell ref="B90:H90"/>
    <mergeCell ref="J90:P90"/>
    <mergeCell ref="A99:G100"/>
    <mergeCell ref="K99:Q100"/>
    <mergeCell ref="A102:Q102"/>
    <mergeCell ref="A65:G66"/>
    <mergeCell ref="K65:Q66"/>
    <mergeCell ref="A68:Q68"/>
    <mergeCell ref="A70:Q70"/>
    <mergeCell ref="B72:H72"/>
    <mergeCell ref="J72:P72"/>
    <mergeCell ref="B73:H73"/>
    <mergeCell ref="J73:P73"/>
    <mergeCell ref="A82:G83"/>
    <mergeCell ref="K82:Q83"/>
    <mergeCell ref="B39:H39"/>
    <mergeCell ref="J39:P39"/>
    <mergeCell ref="A48:G49"/>
    <mergeCell ref="K48:Q49"/>
    <mergeCell ref="A51:Q51"/>
    <mergeCell ref="A53:Q53"/>
    <mergeCell ref="B55:H55"/>
    <mergeCell ref="J55:P55"/>
    <mergeCell ref="B56:H56"/>
    <mergeCell ref="J56:P56"/>
    <mergeCell ref="B21:H21"/>
    <mergeCell ref="J21:P21"/>
    <mergeCell ref="B22:H22"/>
    <mergeCell ref="J22:P22"/>
    <mergeCell ref="A31:G32"/>
    <mergeCell ref="K31:Q32"/>
    <mergeCell ref="A34:Q34"/>
    <mergeCell ref="A36:Q36"/>
    <mergeCell ref="B38:H38"/>
    <mergeCell ref="J38:P38"/>
    <mergeCell ref="A2:Q2"/>
    <mergeCell ref="B4:H4"/>
    <mergeCell ref="J4:P4"/>
    <mergeCell ref="B5:H5"/>
    <mergeCell ref="J5:P5"/>
    <mergeCell ref="A14:G15"/>
    <mergeCell ref="K14:Q15"/>
    <mergeCell ref="A17:Q17"/>
    <mergeCell ref="A19:Q19"/>
  </mergeCells>
  <printOptions horizontalCentered="1"/>
  <pageMargins left="0.75" right="0.75" top="1" bottom="1" header="0.511811023622047" footer="0.511811023622047"/>
  <pageSetup paperSize="9" fitToHeight="0" orientation="portrait" horizontalDpi="300" verticalDpi="300"/>
  <rowBreaks count="15" manualBreakCount="15">
    <brk id="1" max="16383" man="1"/>
    <brk id="2" max="16383" man="1"/>
    <brk id="3" max="16383" man="1"/>
    <brk id="4" max="16383" man="1"/>
    <brk id="5" max="16383" man="1"/>
    <brk id="6" max="16383" man="1"/>
    <brk id="7" max="16383" man="1"/>
    <brk id="8" max="16383" man="1"/>
    <brk id="9" max="16383" man="1"/>
    <brk id="10" max="16383" man="1"/>
    <brk id="11" max="16383" man="1"/>
    <brk id="12" max="16383" man="1"/>
    <brk id="13" max="16383" man="1"/>
    <brk id="14" max="16383" man="1"/>
    <brk id="1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277BD"/>
  </sheetPr>
  <dimension ref="A1:BC71"/>
  <sheetViews>
    <sheetView zoomScaleNormal="100" workbookViewId="0">
      <pane xSplit="5" ySplit="5" topLeftCell="F6" activePane="bottomRight" state="frozen"/>
      <selection pane="topRight" activeCell="F1" sqref="F1"/>
      <selection pane="bottomLeft" activeCell="A6" sqref="A6"/>
      <selection pane="bottomRight"/>
    </sheetView>
  </sheetViews>
  <sheetFormatPr defaultColWidth="8.6328125" defaultRowHeight="14.5" x14ac:dyDescent="0.35"/>
  <cols>
    <col min="1" max="1" width="4" customWidth="1"/>
    <col min="2" max="2" width="28" customWidth="1"/>
    <col min="3" max="3" width="16" customWidth="1"/>
    <col min="4" max="4" width="22" customWidth="1"/>
    <col min="5" max="5" width="8" customWidth="1"/>
    <col min="6" max="41" width="5" customWidth="1"/>
    <col min="42" max="47" width="8" customWidth="1"/>
    <col min="48" max="48" width="10" customWidth="1"/>
    <col min="49" max="51" width="8" customWidth="1"/>
    <col min="52" max="52" width="9" customWidth="1"/>
    <col min="53" max="53" width="13" customWidth="1"/>
    <col min="54" max="54" width="10" customWidth="1"/>
  </cols>
  <sheetData>
    <row r="1" spans="1:55" ht="15" customHeight="1" x14ac:dyDescent="0.35">
      <c r="A1" s="11" t="s">
        <v>253</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row>
    <row r="2" spans="1:55" ht="15" customHeight="1" x14ac:dyDescent="0.35">
      <c r="A2" s="10" t="s">
        <v>254</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row>
    <row r="3" spans="1:55" ht="15" customHeight="1" x14ac:dyDescent="0.35">
      <c r="A3" s="9" t="s">
        <v>73</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row>
    <row r="4" spans="1:55" ht="21.75" customHeight="1" x14ac:dyDescent="0.35">
      <c r="A4" s="21" t="s">
        <v>2</v>
      </c>
      <c r="B4" s="21" t="s">
        <v>3</v>
      </c>
      <c r="C4" s="21" t="s">
        <v>6</v>
      </c>
      <c r="D4" s="21" t="s">
        <v>7</v>
      </c>
      <c r="E4" s="21" t="s">
        <v>8</v>
      </c>
      <c r="F4" s="10" t="s">
        <v>74</v>
      </c>
      <c r="G4" s="10"/>
      <c r="H4" s="10"/>
      <c r="I4" s="10"/>
      <c r="J4" s="10"/>
      <c r="K4" s="10"/>
      <c r="L4" s="8" t="s">
        <v>75</v>
      </c>
      <c r="M4" s="8"/>
      <c r="N4" s="8"/>
      <c r="O4" s="8"/>
      <c r="P4" s="8"/>
      <c r="Q4" s="8"/>
      <c r="R4" s="10" t="s">
        <v>76</v>
      </c>
      <c r="S4" s="10"/>
      <c r="T4" s="10"/>
      <c r="U4" s="10"/>
      <c r="V4" s="10"/>
      <c r="W4" s="10"/>
      <c r="X4" s="8" t="s">
        <v>77</v>
      </c>
      <c r="Y4" s="8"/>
      <c r="Z4" s="8"/>
      <c r="AA4" s="8"/>
      <c r="AB4" s="8"/>
      <c r="AC4" s="8"/>
      <c r="AD4" s="10" t="s">
        <v>78</v>
      </c>
      <c r="AE4" s="10"/>
      <c r="AF4" s="10"/>
      <c r="AG4" s="10"/>
      <c r="AH4" s="10"/>
      <c r="AI4" s="10"/>
      <c r="AJ4" s="8" t="s">
        <v>79</v>
      </c>
      <c r="AK4" s="8"/>
      <c r="AL4" s="8"/>
      <c r="AM4" s="8"/>
      <c r="AN4" s="8"/>
      <c r="AO4" s="8"/>
      <c r="AP4" s="10" t="s">
        <v>80</v>
      </c>
      <c r="AQ4" s="10"/>
      <c r="AR4" s="10"/>
      <c r="AS4" s="10"/>
      <c r="AT4" s="10"/>
      <c r="AU4" s="10"/>
      <c r="AV4" s="7" t="s">
        <v>81</v>
      </c>
      <c r="AW4" s="7"/>
      <c r="AX4" s="7"/>
      <c r="AY4" s="7"/>
      <c r="AZ4" s="7"/>
      <c r="BA4" s="7"/>
      <c r="BB4" s="7"/>
    </row>
    <row r="5" spans="1:55" ht="30" customHeight="1" x14ac:dyDescent="0.35">
      <c r="A5" s="6" t="s">
        <v>82</v>
      </c>
      <c r="B5" s="6"/>
      <c r="C5" s="6"/>
      <c r="D5" s="22">
        <v>3</v>
      </c>
      <c r="E5" s="22">
        <v>6</v>
      </c>
      <c r="F5" s="23" t="s">
        <v>83</v>
      </c>
      <c r="G5" s="23" t="s">
        <v>84</v>
      </c>
      <c r="H5" s="23" t="s">
        <v>85</v>
      </c>
      <c r="I5" s="23" t="s">
        <v>86</v>
      </c>
      <c r="J5" s="23" t="s">
        <v>87</v>
      </c>
      <c r="K5" s="23" t="s">
        <v>88</v>
      </c>
      <c r="L5" s="23" t="s">
        <v>89</v>
      </c>
      <c r="M5" s="23" t="s">
        <v>90</v>
      </c>
      <c r="N5" s="23" t="s">
        <v>91</v>
      </c>
      <c r="O5" s="23" t="s">
        <v>92</v>
      </c>
      <c r="P5" s="23" t="s">
        <v>93</v>
      </c>
      <c r="Q5" s="23" t="s">
        <v>94</v>
      </c>
      <c r="R5" s="23" t="s">
        <v>95</v>
      </c>
      <c r="S5" s="23" t="s">
        <v>96</v>
      </c>
      <c r="T5" s="23" t="s">
        <v>97</v>
      </c>
      <c r="U5" s="23" t="s">
        <v>98</v>
      </c>
      <c r="V5" s="23" t="s">
        <v>99</v>
      </c>
      <c r="W5" s="23" t="s">
        <v>100</v>
      </c>
      <c r="X5" s="23" t="s">
        <v>101</v>
      </c>
      <c r="Y5" s="23" t="s">
        <v>102</v>
      </c>
      <c r="Z5" s="23" t="s">
        <v>103</v>
      </c>
      <c r="AA5" s="23" t="s">
        <v>104</v>
      </c>
      <c r="AB5" s="23" t="s">
        <v>105</v>
      </c>
      <c r="AC5" s="23" t="s">
        <v>106</v>
      </c>
      <c r="AD5" s="23" t="s">
        <v>107</v>
      </c>
      <c r="AE5" s="23" t="s">
        <v>108</v>
      </c>
      <c r="AF5" s="23" t="s">
        <v>109</v>
      </c>
      <c r="AG5" s="23" t="s">
        <v>110</v>
      </c>
      <c r="AH5" s="23" t="s">
        <v>111</v>
      </c>
      <c r="AI5" s="23" t="s">
        <v>112</v>
      </c>
      <c r="AJ5" s="23" t="s">
        <v>113</v>
      </c>
      <c r="AK5" s="23" t="s">
        <v>114</v>
      </c>
      <c r="AL5" s="23" t="s">
        <v>115</v>
      </c>
      <c r="AM5" s="23" t="s">
        <v>116</v>
      </c>
      <c r="AN5" s="23" t="s">
        <v>117</v>
      </c>
      <c r="AO5" s="23" t="s">
        <v>118</v>
      </c>
      <c r="AP5" s="23" t="s">
        <v>119</v>
      </c>
      <c r="AQ5" s="23" t="s">
        <v>120</v>
      </c>
      <c r="AR5" s="23" t="s">
        <v>121</v>
      </c>
      <c r="AS5" s="23" t="s">
        <v>122</v>
      </c>
      <c r="AT5" s="23" t="s">
        <v>123</v>
      </c>
      <c r="AU5" s="23" t="s">
        <v>124</v>
      </c>
      <c r="AV5" s="24" t="s">
        <v>125</v>
      </c>
      <c r="AW5" s="25" t="s">
        <v>126</v>
      </c>
      <c r="AX5" s="25" t="s">
        <v>127</v>
      </c>
      <c r="AY5" s="25" t="s">
        <v>128</v>
      </c>
      <c r="AZ5" s="26" t="s">
        <v>129</v>
      </c>
      <c r="BA5" s="25" t="s">
        <v>130</v>
      </c>
      <c r="BB5" s="26" t="s">
        <v>131</v>
      </c>
    </row>
    <row r="6" spans="1:55" ht="21.75" customHeight="1" x14ac:dyDescent="0.35">
      <c r="A6" s="27">
        <f>IF(B6&lt;&gt;"",COUNTA($B$6:B6),"")</f>
        <v>1</v>
      </c>
      <c r="B6" s="28" t="s">
        <v>24</v>
      </c>
      <c r="C6" s="16" t="s">
        <v>22</v>
      </c>
      <c r="D6" s="17" t="s">
        <v>25</v>
      </c>
      <c r="E6" s="29" t="str">
        <f>IF(B6="","",IF(COUNTA($B$6:$B$69)&lt;=(E5-D5+1),(D5+MOD(A6-1,(E5-D5+1))),(D5+MOD(A6-1,(E5-D5+1)))&amp;CHAR(65+FLOOR((A6-1)/(E5-D5+1),1))))</f>
        <v>3A</v>
      </c>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1">
        <f t="shared" ref="AP6:AP37" si="0">IF(B6&lt;&gt;"",IF(F6="X",10,IF(F6="M",0,IF(ISNUMBER(F6),F6,0)))+IF(G6="X",10,IF(G6="M",0,IF(ISNUMBER(G6),G6,0)))+IF(H6="X",10,IF(H6="M",0,IF(ISNUMBER(H6),H6,0)))+IF(I6="X",10,IF(I6="M",0,IF(ISNUMBER(I6),I6,0)))+IF(J6="X",10,IF(J6="M",0,IF(ISNUMBER(J6),J6,0)))+IF(K6="X",10,IF(K6="M",0,IF(ISNUMBER(K6),K6,0))),"")</f>
        <v>0</v>
      </c>
      <c r="AQ6" s="31">
        <f t="shared" ref="AQ6:AQ37" si="1">IF(B6&lt;&gt;"",IF(L6="X",10,IF(L6="M",0,IF(ISNUMBER(L6),L6,0)))+IF(M6="X",10,IF(M6="M",0,IF(ISNUMBER(M6),M6,0)))+IF(N6="X",10,IF(N6="M",0,IF(ISNUMBER(N6),N6,0)))+IF(O6="X",10,IF(O6="M",0,IF(ISNUMBER(O6),O6,0)))+IF(P6="X",10,IF(P6="M",0,IF(ISNUMBER(P6),P6,0)))+IF(Q6="X",10,IF(Q6="M",0,IF(ISNUMBER(Q6),Q6,0))),"")</f>
        <v>0</v>
      </c>
      <c r="AR6" s="31">
        <f t="shared" ref="AR6:AR37" si="2">IF(B6&lt;&gt;"",IF(R6="X",10,IF(R6="M",0,IF(ISNUMBER(R6),R6,0)))+IF(S6="X",10,IF(S6="M",0,IF(ISNUMBER(S6),S6,0)))+IF(T6="X",10,IF(T6="M",0,IF(ISNUMBER(T6),T6,0)))+IF(U6="X",10,IF(U6="M",0,IF(ISNUMBER(U6),U6,0)))+IF(V6="X",10,IF(V6="M",0,IF(ISNUMBER(V6),V6,0)))+IF(W6="X",10,IF(W6="M",0,IF(ISNUMBER(W6),W6,0))),"")</f>
        <v>0</v>
      </c>
      <c r="AS6" s="31">
        <f t="shared" ref="AS6:AS37" si="3">IF(B6&lt;&gt;"",IF(X6="X",10,IF(X6="M",0,IF(ISNUMBER(X6),X6,0)))+IF(Y6="X",10,IF(Y6="M",0,IF(ISNUMBER(Y6),Y6,0)))+IF(Z6="X",10,IF(Z6="M",0,IF(ISNUMBER(Z6),Z6,0)))+IF(AA6="X",10,IF(AA6="M",0,IF(ISNUMBER(AA6),AA6,0)))+IF(AB6="X",10,IF(AB6="M",0,IF(ISNUMBER(AB6),AB6,0)))+IF(AC6="X",10,IF(AC6="M",0,IF(ISNUMBER(AC6),AC6,0))),"")</f>
        <v>0</v>
      </c>
      <c r="AT6" s="31">
        <f t="shared" ref="AT6:AT37" si="4">IF(B6&lt;&gt;"",IF(AD6="X",10,IF(AD6="M",0,IF(ISNUMBER(AD6),AD6,0)))+IF(AE6="X",10,IF(AE6="M",0,IF(ISNUMBER(AE6),AE6,0)))+IF(AF6="X",10,IF(AF6="M",0,IF(ISNUMBER(AF6),AF6,0)))+IF(AG6="X",10,IF(AG6="M",0,IF(ISNUMBER(AG6),AG6,0)))+IF(AH6="X",10,IF(AH6="M",0,IF(ISNUMBER(AH6),AH6,0)))+IF(AI6="X",10,IF(AI6="M",0,IF(ISNUMBER(AI6),AI6,0))),"")</f>
        <v>0</v>
      </c>
      <c r="AU6" s="31">
        <f t="shared" ref="AU6:AU37" si="5">IF(B6&lt;&gt;"",IF(AJ6="X",10,IF(AJ6="M",0,IF(ISNUMBER(AJ6),AJ6,0)))+IF(AK6="X",10,IF(AK6="M",0,IF(ISNUMBER(AK6),AK6,0)))+IF(AL6="X",10,IF(AL6="M",0,IF(ISNUMBER(AL6),AL6,0)))+IF(AM6="X",10,IF(AM6="M",0,IF(ISNUMBER(AM6),AM6,0)))+IF(AN6="X",10,IF(AN6="M",0,IF(ISNUMBER(AN6),AN6,0)))+IF(AO6="X",10,IF(AO6="M",0,IF(ISNUMBER(AO6),AO6,0))),"")</f>
        <v>0</v>
      </c>
      <c r="AV6" s="32">
        <f t="shared" ref="AV6:AV37" si="6">IF(B6&lt;&gt;"",AP6+AQ6+AR6+AS6+AT6+AU6,"")</f>
        <v>0</v>
      </c>
      <c r="AW6" s="33">
        <f t="shared" ref="AW6:AW37" si="7">IF(B6&lt;&gt;"",IF(F6="X",1,0)+IF(G6="X",1,0)+IF(H6="X",1,0)+IF(I6="X",1,0)+IF(J6="X",1,0)+IF(K6="X",1,0)+IF(L6="X",1,0)+IF(M6="X",1,0)+IF(N6="X",1,0)+IF(O6="X",1,0)+IF(P6="X",1,0)+IF(Q6="X",1,0)+IF(R6="X",1,0)+IF(S6="X",1,0)+IF(T6="X",1,0)+IF(U6="X",1,0)+IF(V6="X",1,0)+IF(W6="X",1,0)+IF(X6="X",1,0)+IF(Y6="X",1,0)+IF(Z6="X",1,0)+IF(AA6="X",1,0)+IF(AB6="X",1,0)+IF(AC6="X",1,0)+IF(AD6="X",1,0)+IF(AE6="X",1,0)+IF(AF6="X",1,0)+IF(AG6="X",1,0)+IF(AH6="X",1,0)+IF(AI6="X",1,0)+IF(AJ6="X",1,0)+IF(AK6="X",1,0)+IF(AL6="X",1,0)+IF(AM6="X",1,0)+IF(AN6="X",1,0)+IF(AO6="X",1,0),"")</f>
        <v>0</v>
      </c>
      <c r="AX6" s="34">
        <f t="shared" ref="AX6:AX37" si="8">IF(B6&lt;&gt;"",IF(OR(F6="X",F6=10),1,0)+IF(OR(G6="X",G6=10),1,0)+IF(OR(H6="X",H6=10),1,0)+IF(OR(I6="X",I6=10),1,0)+IF(OR(J6="X",J6=10),1,0)+IF(OR(K6="X",K6=10),1,0)+IF(OR(L6="X",L6=10),1,0)+IF(OR(M6="X",M6=10),1,0)+IF(OR(N6="X",N6=10),1,0)+IF(OR(O6="X",O6=10),1,0)+IF(OR(P6="X",P6=10),1,0)+IF(OR(Q6="X",Q6=10),1,0)+IF(OR(R6="X",R6=10),1,0)+IF(OR(S6="X",S6=10),1,0)+IF(OR(T6="X",T6=10),1,0)+IF(OR(U6="X",U6=10),1,0)+IF(OR(V6="X",V6=10),1,0)+IF(OR(W6="X",W6=10),1,0)+IF(OR(X6="X",X6=10),1,0)+IF(OR(Y6="X",Y6=10),1,0)+IF(OR(Z6="X",Z6=10),1,0)+IF(OR(AA6="X",AA6=10),1,0)+IF(OR(AB6="X",AB6=10),1,0)+IF(OR(AC6="X",AC6=10),1,0)+IF(OR(AD6="X",AD6=10),1,0)+IF(OR(AE6="X",AE6=10),1,0)+IF(OR(AF6="X",AF6=10),1,0)+IF(OR(AG6="X",AG6=10),1,0)+IF(OR(AH6="X",AH6=10),1,0)+IF(OR(AI6="X",AI6=10),1,0)+IF(OR(AJ6="X",AJ6=10),1,0)+IF(OR(AK6="X",AK6=10),1,0)+IF(OR(AL6="X",AL6=10),1,0)+IF(OR(AM6="X",AM6=10),1,0)+IF(OR(AN6="X",AN6=10),1,0)+IF(OR(AO6="X",AO6=10),1,0),"")</f>
        <v>0</v>
      </c>
      <c r="AY6" s="34">
        <f t="shared" ref="AY6:AY37" si="9">IF(B6&lt;&gt;"",IF(F6=9,1,0)+IF(G6=9,1,0)+IF(H6=9,1,0)+IF(I6=9,1,0)+IF(J6=9,1,0)+IF(K6=9,1,0)+IF(L6=9,1,0)+IF(M6=9,1,0)+IF(N6=9,1,0)+IF(O6=9,1,0)+IF(P6=9,1,0)+IF(Q6=9,1,0)+IF(R6=9,1,0)+IF(S6=9,1,0)+IF(T6=9,1,0)+IF(U6=9,1,0)+IF(V6=9,1,0)+IF(W6=9,1,0)+IF(X6=9,1,0)+IF(Y6=9,1,0)+IF(Z6=9,1,0)+IF(AA6=9,1,0)+IF(AB6=9,1,0)+IF(AC6=9,1,0)+IF(AD6=9,1,0)+IF(AE6=9,1,0)+IF(AF6=9,1,0)+IF(AG6=9,1,0)+IF(AH6=9,1,0)+IF(AI6=9,1,0)+IF(AJ6=9,1,0)+IF(AK6=9,1,0)+IF(AL6=9,1,0)+IF(AM6=9,1,0)+IF(AN6=9,1,0)+IF(AO6=9,1,0),"")</f>
        <v>0</v>
      </c>
      <c r="AZ6" s="35">
        <f t="shared" ref="AZ6:AZ37" si="10">IF(B6&lt;&gt;"",SUMPRODUCT(($AV$6:$AV$1000&gt;AV6)*ISNUMBER($AV$6:$AV$1000))+1+SUMPRODUCT(($AV$6:$AV$1000=AV6)*($AW$6:$AW$1000&gt;AW6)*ISNUMBER($AV$6:$AV$1000)*ISNUMBER($AW$6:$AW$1000))+SUMPRODUCT(($AV$6:$AV$1000=AV6)*($AW$6:$AW$1000=AW6)*($AX$6:$AX$1000&gt;AX6)*ISNUMBER($AV$6:$AV$1000)*ISNUMBER($AX$6:$AX$1000))+SUMPRODUCT(($AV$6:$AV$1000=AV6)*($AW$6:$AW$1000=AW6)*($AX$6:$AX$1000=AX6)*($AY$6:$AY$1000&gt;AY6)*ISNUMBER($AV$6:$AV$1000)*ISNUMBER($AY$6:$AY$1000)),"")</f>
        <v>1</v>
      </c>
      <c r="BA6" s="36"/>
      <c r="BB6" s="37">
        <f t="shared" ref="BB6:BB37" si="11">IF(B6&lt;&gt;"",SUMPRODUCT(($AV$6:$AV$1000&gt;AV6)*ISNUMBER($AV$6:$AV$1000))+1+SUMPRODUCT(($AV$6:$AV$1000=AV6)*($AW$6:$AW$1000&gt;AW6)*ISNUMBER($AV$6:$AV$1000)*ISNUMBER($AW$6:$AW$1000))+SUMPRODUCT(($AV$6:$AV$1000=AV6)*($AW$6:$AW$1000=AW6)*($AX$6:$AX$1000&gt;AX6)*ISNUMBER($AV$6:$AV$1000)*ISNUMBER($AX$6:$AX$1000))+SUMPRODUCT(($AV$6:$AV$1000=AV6)*($AW$6:$AW$1000=AW6)*($AX$6:$AX$1000=AX6)*($AY$6:$AY$1000&gt;AY6)*ISNUMBER($AV$6:$AV$1000)*ISNUMBER($AY$6:$AY$1000))+SUMPRODUCT(($AV$6:$AV$1000=AV6)*($AW$6:$AW$1000=AW6)*($AX$6:$AX$1000=AX6)*($AY$6:$AY$1000=AY6)*($BA$6:$BA$1000&gt;BA6)*ISNUMBER($AV$6:$AV$1000)*ISNUMBER($BA$6:$BA$1000)),"")</f>
        <v>1</v>
      </c>
    </row>
    <row r="7" spans="1:55" ht="21.75" customHeight="1" x14ac:dyDescent="0.35">
      <c r="A7" s="38">
        <f>IF(B7&lt;&gt;"",COUNTA($B$6:B7),"")</f>
        <v>2</v>
      </c>
      <c r="B7" s="39" t="s">
        <v>28</v>
      </c>
      <c r="C7" s="18" t="s">
        <v>22</v>
      </c>
      <c r="D7" s="19" t="s">
        <v>29</v>
      </c>
      <c r="E7" s="29" t="str">
        <f>IF(B7="","",IF(COUNTA($B$6:$B$69)&lt;=(E5-D5+1),(D5+MOD(A7-1,(E5-D5+1))),(D5+MOD(A7-1,(E5-D5+1)))&amp;CHAR(65+FLOOR((A7-1)/(E5-D5+1),1))))</f>
        <v>4A</v>
      </c>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1">
        <f t="shared" si="0"/>
        <v>0</v>
      </c>
      <c r="AQ7" s="31">
        <f t="shared" si="1"/>
        <v>0</v>
      </c>
      <c r="AR7" s="31">
        <f t="shared" si="2"/>
        <v>0</v>
      </c>
      <c r="AS7" s="31">
        <f t="shared" si="3"/>
        <v>0</v>
      </c>
      <c r="AT7" s="31">
        <f t="shared" si="4"/>
        <v>0</v>
      </c>
      <c r="AU7" s="31">
        <f t="shared" si="5"/>
        <v>0</v>
      </c>
      <c r="AV7" s="32">
        <f t="shared" si="6"/>
        <v>0</v>
      </c>
      <c r="AW7" s="33">
        <f t="shared" si="7"/>
        <v>0</v>
      </c>
      <c r="AX7" s="34">
        <f t="shared" si="8"/>
        <v>0</v>
      </c>
      <c r="AY7" s="34">
        <f t="shared" si="9"/>
        <v>0</v>
      </c>
      <c r="AZ7" s="40">
        <f t="shared" si="10"/>
        <v>1</v>
      </c>
      <c r="BA7" s="36"/>
      <c r="BB7" s="41">
        <f t="shared" si="11"/>
        <v>1</v>
      </c>
    </row>
    <row r="8" spans="1:55" ht="21.75" customHeight="1" x14ac:dyDescent="0.35">
      <c r="A8" s="27">
        <f>IF(B8&lt;&gt;"",COUNTA($B$6:B8),"")</f>
        <v>3</v>
      </c>
      <c r="B8" s="28" t="s">
        <v>30</v>
      </c>
      <c r="C8" s="16" t="s">
        <v>22</v>
      </c>
      <c r="D8" s="17" t="s">
        <v>31</v>
      </c>
      <c r="E8" s="29" t="str">
        <f>IF(B8="","",IF(COUNTA($B$6:$B$69)&lt;=(E5-D5+1),(D5+MOD(A8-1,(E5-D5+1))),(D5+MOD(A8-1,(E5-D5+1)))&amp;CHAR(65+FLOOR((A8-1)/(E5-D5+1),1))))</f>
        <v>5A</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1">
        <f t="shared" si="0"/>
        <v>0</v>
      </c>
      <c r="AQ8" s="31">
        <f t="shared" si="1"/>
        <v>0</v>
      </c>
      <c r="AR8" s="31">
        <f t="shared" si="2"/>
        <v>0</v>
      </c>
      <c r="AS8" s="31">
        <f t="shared" si="3"/>
        <v>0</v>
      </c>
      <c r="AT8" s="31">
        <f t="shared" si="4"/>
        <v>0</v>
      </c>
      <c r="AU8" s="31">
        <f t="shared" si="5"/>
        <v>0</v>
      </c>
      <c r="AV8" s="32">
        <f t="shared" si="6"/>
        <v>0</v>
      </c>
      <c r="AW8" s="33">
        <f t="shared" si="7"/>
        <v>0</v>
      </c>
      <c r="AX8" s="34">
        <f t="shared" si="8"/>
        <v>0</v>
      </c>
      <c r="AY8" s="34">
        <f t="shared" si="9"/>
        <v>0</v>
      </c>
      <c r="AZ8" s="35">
        <f t="shared" si="10"/>
        <v>1</v>
      </c>
      <c r="BA8" s="36"/>
      <c r="BB8" s="37">
        <f t="shared" si="11"/>
        <v>1</v>
      </c>
    </row>
    <row r="9" spans="1:55" ht="21.75" customHeight="1" x14ac:dyDescent="0.35">
      <c r="A9" s="38">
        <f>IF(B9&lt;&gt;"",COUNTA($B$6:B9),"")</f>
        <v>4</v>
      </c>
      <c r="B9" s="39" t="s">
        <v>37</v>
      </c>
      <c r="C9" s="18" t="s">
        <v>17</v>
      </c>
      <c r="D9" s="19" t="s">
        <v>38</v>
      </c>
      <c r="E9" s="29" t="str">
        <f>IF(B9="","",IF(COUNTA($B$6:$B$69)&lt;=(E5-D5+1),(D5+MOD(A9-1,(E5-D5+1))),(D5+MOD(A9-1,(E5-D5+1)))&amp;CHAR(65+FLOOR((A9-1)/(E5-D5+1),1))))</f>
        <v>6A</v>
      </c>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1">
        <f t="shared" si="0"/>
        <v>0</v>
      </c>
      <c r="AQ9" s="31">
        <f t="shared" si="1"/>
        <v>0</v>
      </c>
      <c r="AR9" s="31">
        <f t="shared" si="2"/>
        <v>0</v>
      </c>
      <c r="AS9" s="31">
        <f t="shared" si="3"/>
        <v>0</v>
      </c>
      <c r="AT9" s="31">
        <f t="shared" si="4"/>
        <v>0</v>
      </c>
      <c r="AU9" s="31">
        <f t="shared" si="5"/>
        <v>0</v>
      </c>
      <c r="AV9" s="32">
        <f t="shared" si="6"/>
        <v>0</v>
      </c>
      <c r="AW9" s="33">
        <f t="shared" si="7"/>
        <v>0</v>
      </c>
      <c r="AX9" s="34">
        <f t="shared" si="8"/>
        <v>0</v>
      </c>
      <c r="AY9" s="34">
        <f t="shared" si="9"/>
        <v>0</v>
      </c>
      <c r="AZ9" s="40">
        <f t="shared" si="10"/>
        <v>1</v>
      </c>
      <c r="BA9" s="36"/>
      <c r="BB9" s="41">
        <f t="shared" si="11"/>
        <v>1</v>
      </c>
    </row>
    <row r="10" spans="1:55" ht="21.75" customHeight="1" x14ac:dyDescent="0.35">
      <c r="A10" s="27">
        <f>IF(B10&lt;&gt;"",COUNTA($B$6:B10),"")</f>
        <v>5</v>
      </c>
      <c r="B10" s="28" t="s">
        <v>32</v>
      </c>
      <c r="C10" s="16" t="s">
        <v>22</v>
      </c>
      <c r="D10" s="17" t="s">
        <v>33</v>
      </c>
      <c r="E10" s="29" t="str">
        <f>IF(B10="","",IF(COUNTA($B$6:$B$69)&lt;=(E5-D5+1),(D5+MOD(A10-1,(E5-D5+1))),(D5+MOD(A10-1,(E5-D5+1)))&amp;CHAR(65+FLOOR((A10-1)/(E5-D5+1),1))))</f>
        <v>3B</v>
      </c>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1">
        <f t="shared" si="0"/>
        <v>0</v>
      </c>
      <c r="AQ10" s="31">
        <f t="shared" si="1"/>
        <v>0</v>
      </c>
      <c r="AR10" s="31">
        <f t="shared" si="2"/>
        <v>0</v>
      </c>
      <c r="AS10" s="31">
        <f t="shared" si="3"/>
        <v>0</v>
      </c>
      <c r="AT10" s="31">
        <f t="shared" si="4"/>
        <v>0</v>
      </c>
      <c r="AU10" s="31">
        <f t="shared" si="5"/>
        <v>0</v>
      </c>
      <c r="AV10" s="32">
        <f t="shared" si="6"/>
        <v>0</v>
      </c>
      <c r="AW10" s="33">
        <f t="shared" si="7"/>
        <v>0</v>
      </c>
      <c r="AX10" s="34">
        <f t="shared" si="8"/>
        <v>0</v>
      </c>
      <c r="AY10" s="34">
        <f t="shared" si="9"/>
        <v>0</v>
      </c>
      <c r="AZ10" s="35">
        <f t="shared" si="10"/>
        <v>1</v>
      </c>
      <c r="BA10" s="36"/>
      <c r="BB10" s="37">
        <f t="shared" si="11"/>
        <v>1</v>
      </c>
    </row>
    <row r="11" spans="1:55" ht="21.75" customHeight="1" x14ac:dyDescent="0.35">
      <c r="A11" s="38" t="str">
        <f>IF(B11&lt;&gt;"",COUNTA($B$6:B11),"")</f>
        <v/>
      </c>
      <c r="B11" s="39"/>
      <c r="C11" s="18"/>
      <c r="D11" s="19"/>
      <c r="E11" s="29" t="str">
        <f>IF(B11="","",IF(COUNTA($B$6:$B$69)&lt;=(E5-D5+1),(D5+MOD(A11-1,(E5-D5+1))),(D5+MOD(A11-1,(E5-D5+1)))&amp;CHAR(65+FLOOR((A11-1)/(E5-D5+1),1))))</f>
        <v/>
      </c>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1" t="str">
        <f t="shared" si="0"/>
        <v/>
      </c>
      <c r="AQ11" s="31" t="str">
        <f t="shared" si="1"/>
        <v/>
      </c>
      <c r="AR11" s="31" t="str">
        <f t="shared" si="2"/>
        <v/>
      </c>
      <c r="AS11" s="31" t="str">
        <f t="shared" si="3"/>
        <v/>
      </c>
      <c r="AT11" s="31" t="str">
        <f t="shared" si="4"/>
        <v/>
      </c>
      <c r="AU11" s="31" t="str">
        <f t="shared" si="5"/>
        <v/>
      </c>
      <c r="AV11" s="32" t="str">
        <f t="shared" si="6"/>
        <v/>
      </c>
      <c r="AW11" s="33" t="str">
        <f t="shared" si="7"/>
        <v/>
      </c>
      <c r="AX11" s="34" t="str">
        <f t="shared" si="8"/>
        <v/>
      </c>
      <c r="AY11" s="34" t="str">
        <f t="shared" si="9"/>
        <v/>
      </c>
      <c r="AZ11" s="40" t="str">
        <f t="shared" si="10"/>
        <v/>
      </c>
      <c r="BA11" s="36"/>
      <c r="BB11" s="41" t="str">
        <f t="shared" si="11"/>
        <v/>
      </c>
    </row>
    <row r="12" spans="1:55" ht="21.75" customHeight="1" x14ac:dyDescent="0.35">
      <c r="A12" s="27" t="str">
        <f>IF(B12&lt;&gt;"",COUNTA($B$6:B12),"")</f>
        <v/>
      </c>
      <c r="B12" s="28"/>
      <c r="C12" s="16"/>
      <c r="D12" s="17"/>
      <c r="E12" s="29" t="str">
        <f>IF(B12="","",IF(COUNTA($B$6:$B$69)&lt;=(E5-D5+1),(D5+MOD(A12-1,(E5-D5+1))),(D5+MOD(A12-1,(E5-D5+1)))&amp;CHAR(65+FLOOR((A12-1)/(E5-D5+1),1))))</f>
        <v/>
      </c>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1" t="str">
        <f t="shared" si="0"/>
        <v/>
      </c>
      <c r="AQ12" s="31" t="str">
        <f t="shared" si="1"/>
        <v/>
      </c>
      <c r="AR12" s="31" t="str">
        <f t="shared" si="2"/>
        <v/>
      </c>
      <c r="AS12" s="31" t="str">
        <f t="shared" si="3"/>
        <v/>
      </c>
      <c r="AT12" s="31" t="str">
        <f t="shared" si="4"/>
        <v/>
      </c>
      <c r="AU12" s="31" t="str">
        <f t="shared" si="5"/>
        <v/>
      </c>
      <c r="AV12" s="32" t="str">
        <f t="shared" si="6"/>
        <v/>
      </c>
      <c r="AW12" s="33" t="str">
        <f t="shared" si="7"/>
        <v/>
      </c>
      <c r="AX12" s="34" t="str">
        <f t="shared" si="8"/>
        <v/>
      </c>
      <c r="AY12" s="34" t="str">
        <f t="shared" si="9"/>
        <v/>
      </c>
      <c r="AZ12" s="35" t="str">
        <f t="shared" si="10"/>
        <v/>
      </c>
      <c r="BA12" s="36"/>
      <c r="BB12" s="37" t="str">
        <f t="shared" si="11"/>
        <v/>
      </c>
    </row>
    <row r="13" spans="1:55" ht="21.75" customHeight="1" x14ac:dyDescent="0.35">
      <c r="A13" s="38" t="str">
        <f>IF(B13&lt;&gt;"",COUNTA($B$6:B13),"")</f>
        <v/>
      </c>
      <c r="B13" s="39"/>
      <c r="C13" s="18"/>
      <c r="D13" s="19"/>
      <c r="E13" s="29" t="str">
        <f>IF(B13="","",IF(COUNTA($B$6:$B$69)&lt;=(E5-D5+1),(D5+MOD(A13-1,(E5-D5+1))),(D5+MOD(A13-1,(E5-D5+1)))&amp;CHAR(65+FLOOR((A13-1)/(E5-D5+1),1))))</f>
        <v/>
      </c>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1" t="str">
        <f t="shared" si="0"/>
        <v/>
      </c>
      <c r="AQ13" s="31" t="str">
        <f t="shared" si="1"/>
        <v/>
      </c>
      <c r="AR13" s="31" t="str">
        <f t="shared" si="2"/>
        <v/>
      </c>
      <c r="AS13" s="31" t="str">
        <f t="shared" si="3"/>
        <v/>
      </c>
      <c r="AT13" s="31" t="str">
        <f t="shared" si="4"/>
        <v/>
      </c>
      <c r="AU13" s="31" t="str">
        <f t="shared" si="5"/>
        <v/>
      </c>
      <c r="AV13" s="32" t="str">
        <f t="shared" si="6"/>
        <v/>
      </c>
      <c r="AW13" s="33" t="str">
        <f t="shared" si="7"/>
        <v/>
      </c>
      <c r="AX13" s="34" t="str">
        <f t="shared" si="8"/>
        <v/>
      </c>
      <c r="AY13" s="34" t="str">
        <f t="shared" si="9"/>
        <v/>
      </c>
      <c r="AZ13" s="40" t="str">
        <f t="shared" si="10"/>
        <v/>
      </c>
      <c r="BA13" s="36"/>
      <c r="BB13" s="41" t="str">
        <f t="shared" si="11"/>
        <v/>
      </c>
    </row>
    <row r="14" spans="1:55" ht="21.75" customHeight="1" x14ac:dyDescent="0.35">
      <c r="A14" s="27" t="str">
        <f>IF(B14&lt;&gt;"",COUNTA($B$6:B14),"")</f>
        <v/>
      </c>
      <c r="B14" s="28"/>
      <c r="C14" s="16"/>
      <c r="D14" s="17"/>
      <c r="E14" s="29" t="str">
        <f>IF(B14="","",IF(COUNTA($B$6:$B$69)&lt;=(E5-D5+1),(D5+MOD(A14-1,(E5-D5+1))),(D5+MOD(A14-1,(E5-D5+1)))&amp;CHAR(65+FLOOR((A14-1)/(E5-D5+1),1))))</f>
        <v/>
      </c>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1" t="str">
        <f t="shared" si="0"/>
        <v/>
      </c>
      <c r="AQ14" s="31" t="str">
        <f t="shared" si="1"/>
        <v/>
      </c>
      <c r="AR14" s="31" t="str">
        <f t="shared" si="2"/>
        <v/>
      </c>
      <c r="AS14" s="31" t="str">
        <f t="shared" si="3"/>
        <v/>
      </c>
      <c r="AT14" s="31" t="str">
        <f t="shared" si="4"/>
        <v/>
      </c>
      <c r="AU14" s="31" t="str">
        <f t="shared" si="5"/>
        <v/>
      </c>
      <c r="AV14" s="32" t="str">
        <f t="shared" si="6"/>
        <v/>
      </c>
      <c r="AW14" s="33" t="str">
        <f t="shared" si="7"/>
        <v/>
      </c>
      <c r="AX14" s="34" t="str">
        <f t="shared" si="8"/>
        <v/>
      </c>
      <c r="AY14" s="34" t="str">
        <f t="shared" si="9"/>
        <v/>
      </c>
      <c r="AZ14" s="35" t="str">
        <f t="shared" si="10"/>
        <v/>
      </c>
      <c r="BA14" s="36"/>
      <c r="BB14" s="37" t="str">
        <f t="shared" si="11"/>
        <v/>
      </c>
    </row>
    <row r="15" spans="1:55" ht="21.75" customHeight="1" x14ac:dyDescent="0.35">
      <c r="A15" s="38" t="str">
        <f>IF(B15&lt;&gt;"",COUNTA($B$6:B15),"")</f>
        <v/>
      </c>
      <c r="B15" s="39"/>
      <c r="C15" s="18"/>
      <c r="D15" s="19"/>
      <c r="E15" s="29" t="str">
        <f>IF(B15="","",IF(COUNTA($B$6:$B$69)&lt;=(E5-D5+1),(D5+MOD(A15-1,(E5-D5+1))),(D5+MOD(A15-1,(E5-D5+1)))&amp;CHAR(65+FLOOR((A15-1)/(E5-D5+1),1))))</f>
        <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1" t="str">
        <f t="shared" si="0"/>
        <v/>
      </c>
      <c r="AQ15" s="31" t="str">
        <f t="shared" si="1"/>
        <v/>
      </c>
      <c r="AR15" s="31" t="str">
        <f t="shared" si="2"/>
        <v/>
      </c>
      <c r="AS15" s="31" t="str">
        <f t="shared" si="3"/>
        <v/>
      </c>
      <c r="AT15" s="31" t="str">
        <f t="shared" si="4"/>
        <v/>
      </c>
      <c r="AU15" s="31" t="str">
        <f t="shared" si="5"/>
        <v/>
      </c>
      <c r="AV15" s="32" t="str">
        <f t="shared" si="6"/>
        <v/>
      </c>
      <c r="AW15" s="33" t="str">
        <f t="shared" si="7"/>
        <v/>
      </c>
      <c r="AX15" s="34" t="str">
        <f t="shared" si="8"/>
        <v/>
      </c>
      <c r="AY15" s="34" t="str">
        <f t="shared" si="9"/>
        <v/>
      </c>
      <c r="AZ15" s="40" t="str">
        <f t="shared" si="10"/>
        <v/>
      </c>
      <c r="BA15" s="36"/>
      <c r="BB15" s="41" t="str">
        <f t="shared" si="11"/>
        <v/>
      </c>
    </row>
    <row r="16" spans="1:55" ht="21.75" customHeight="1" x14ac:dyDescent="0.35">
      <c r="A16" s="27" t="str">
        <f>IF(B16&lt;&gt;"",COUNTA($B$6:B16),"")</f>
        <v/>
      </c>
      <c r="B16" s="28"/>
      <c r="C16" s="16"/>
      <c r="D16" s="17"/>
      <c r="E16" s="29" t="str">
        <f>IF(B16="","",IF(COUNTA($B$6:$B$69)&lt;=(E5-D5+1),(D5+MOD(A16-1,(E5-D5+1))),(D5+MOD(A16-1,(E5-D5+1)))&amp;CHAR(65+FLOOR((A16-1)/(E5-D5+1),1))))</f>
        <v/>
      </c>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1" t="str">
        <f t="shared" si="0"/>
        <v/>
      </c>
      <c r="AQ16" s="31" t="str">
        <f t="shared" si="1"/>
        <v/>
      </c>
      <c r="AR16" s="31" t="str">
        <f t="shared" si="2"/>
        <v/>
      </c>
      <c r="AS16" s="31" t="str">
        <f t="shared" si="3"/>
        <v/>
      </c>
      <c r="AT16" s="31" t="str">
        <f t="shared" si="4"/>
        <v/>
      </c>
      <c r="AU16" s="31" t="str">
        <f t="shared" si="5"/>
        <v/>
      </c>
      <c r="AV16" s="32" t="str">
        <f t="shared" si="6"/>
        <v/>
      </c>
      <c r="AW16" s="33" t="str">
        <f t="shared" si="7"/>
        <v/>
      </c>
      <c r="AX16" s="34" t="str">
        <f t="shared" si="8"/>
        <v/>
      </c>
      <c r="AY16" s="34" t="str">
        <f t="shared" si="9"/>
        <v/>
      </c>
      <c r="AZ16" s="35" t="str">
        <f t="shared" si="10"/>
        <v/>
      </c>
      <c r="BA16" s="36"/>
      <c r="BB16" s="37" t="str">
        <f t="shared" si="11"/>
        <v/>
      </c>
    </row>
    <row r="17" spans="1:54" ht="21.75" customHeight="1" x14ac:dyDescent="0.35">
      <c r="A17" s="38" t="str">
        <f>IF(B17&lt;&gt;"",COUNTA($B$6:B17),"")</f>
        <v/>
      </c>
      <c r="B17" s="39"/>
      <c r="C17" s="18"/>
      <c r="D17" s="19"/>
      <c r="E17" s="29" t="str">
        <f>IF(B17="","",IF(COUNTA($B$6:$B$69)&lt;=(E5-D5+1),(D5+MOD(A17-1,(E5-D5+1))),(D5+MOD(A17-1,(E5-D5+1)))&amp;CHAR(65+FLOOR((A17-1)/(E5-D5+1),1))))</f>
        <v/>
      </c>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1" t="str">
        <f t="shared" si="0"/>
        <v/>
      </c>
      <c r="AQ17" s="31" t="str">
        <f t="shared" si="1"/>
        <v/>
      </c>
      <c r="AR17" s="31" t="str">
        <f t="shared" si="2"/>
        <v/>
      </c>
      <c r="AS17" s="31" t="str">
        <f t="shared" si="3"/>
        <v/>
      </c>
      <c r="AT17" s="31" t="str">
        <f t="shared" si="4"/>
        <v/>
      </c>
      <c r="AU17" s="31" t="str">
        <f t="shared" si="5"/>
        <v/>
      </c>
      <c r="AV17" s="32" t="str">
        <f t="shared" si="6"/>
        <v/>
      </c>
      <c r="AW17" s="33" t="str">
        <f t="shared" si="7"/>
        <v/>
      </c>
      <c r="AX17" s="34" t="str">
        <f t="shared" si="8"/>
        <v/>
      </c>
      <c r="AY17" s="34" t="str">
        <f t="shared" si="9"/>
        <v/>
      </c>
      <c r="AZ17" s="40" t="str">
        <f t="shared" si="10"/>
        <v/>
      </c>
      <c r="BA17" s="36"/>
      <c r="BB17" s="41" t="str">
        <f t="shared" si="11"/>
        <v/>
      </c>
    </row>
    <row r="18" spans="1:54" ht="21.75" customHeight="1" x14ac:dyDescent="0.35">
      <c r="A18" s="27" t="str">
        <f>IF(B18&lt;&gt;"",COUNTA($B$6:B18),"")</f>
        <v/>
      </c>
      <c r="B18" s="28"/>
      <c r="C18" s="16"/>
      <c r="D18" s="17"/>
      <c r="E18" s="29" t="str">
        <f>IF(B18="","",IF(COUNTA($B$6:$B$69)&lt;=(E5-D5+1),(D5+MOD(A18-1,(E5-D5+1))),(D5+MOD(A18-1,(E5-D5+1)))&amp;CHAR(65+FLOOR((A18-1)/(E5-D5+1),1))))</f>
        <v/>
      </c>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1" t="str">
        <f t="shared" si="0"/>
        <v/>
      </c>
      <c r="AQ18" s="31" t="str">
        <f t="shared" si="1"/>
        <v/>
      </c>
      <c r="AR18" s="31" t="str">
        <f t="shared" si="2"/>
        <v/>
      </c>
      <c r="AS18" s="31" t="str">
        <f t="shared" si="3"/>
        <v/>
      </c>
      <c r="AT18" s="31" t="str">
        <f t="shared" si="4"/>
        <v/>
      </c>
      <c r="AU18" s="31" t="str">
        <f t="shared" si="5"/>
        <v/>
      </c>
      <c r="AV18" s="32" t="str">
        <f t="shared" si="6"/>
        <v/>
      </c>
      <c r="AW18" s="33" t="str">
        <f t="shared" si="7"/>
        <v/>
      </c>
      <c r="AX18" s="34" t="str">
        <f t="shared" si="8"/>
        <v/>
      </c>
      <c r="AY18" s="34" t="str">
        <f t="shared" si="9"/>
        <v/>
      </c>
      <c r="AZ18" s="35" t="str">
        <f t="shared" si="10"/>
        <v/>
      </c>
      <c r="BA18" s="36"/>
      <c r="BB18" s="37" t="str">
        <f t="shared" si="11"/>
        <v/>
      </c>
    </row>
    <row r="19" spans="1:54" ht="21.75" customHeight="1" x14ac:dyDescent="0.35">
      <c r="A19" s="38" t="str">
        <f>IF(B19&lt;&gt;"",COUNTA($B$6:B19),"")</f>
        <v/>
      </c>
      <c r="B19" s="39"/>
      <c r="C19" s="18"/>
      <c r="D19" s="19"/>
      <c r="E19" s="29" t="str">
        <f>IF(B19="","",IF(COUNTA($B$6:$B$69)&lt;=(E5-D5+1),(D5+MOD(A19-1,(E5-D5+1))),(D5+MOD(A19-1,(E5-D5+1)))&amp;CHAR(65+FLOOR((A19-1)/(E5-D5+1),1))))</f>
        <v/>
      </c>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1" t="str">
        <f t="shared" si="0"/>
        <v/>
      </c>
      <c r="AQ19" s="31" t="str">
        <f t="shared" si="1"/>
        <v/>
      </c>
      <c r="AR19" s="31" t="str">
        <f t="shared" si="2"/>
        <v/>
      </c>
      <c r="AS19" s="31" t="str">
        <f t="shared" si="3"/>
        <v/>
      </c>
      <c r="AT19" s="31" t="str">
        <f t="shared" si="4"/>
        <v/>
      </c>
      <c r="AU19" s="31" t="str">
        <f t="shared" si="5"/>
        <v/>
      </c>
      <c r="AV19" s="32" t="str">
        <f t="shared" si="6"/>
        <v/>
      </c>
      <c r="AW19" s="33" t="str">
        <f t="shared" si="7"/>
        <v/>
      </c>
      <c r="AX19" s="34" t="str">
        <f t="shared" si="8"/>
        <v/>
      </c>
      <c r="AY19" s="34" t="str">
        <f t="shared" si="9"/>
        <v/>
      </c>
      <c r="AZ19" s="40" t="str">
        <f t="shared" si="10"/>
        <v/>
      </c>
      <c r="BA19" s="36"/>
      <c r="BB19" s="41" t="str">
        <f t="shared" si="11"/>
        <v/>
      </c>
    </row>
    <row r="20" spans="1:54" ht="21.75" customHeight="1" x14ac:dyDescent="0.35">
      <c r="A20" s="27" t="str">
        <f>IF(B20&lt;&gt;"",COUNTA($B$6:B20),"")</f>
        <v/>
      </c>
      <c r="B20" s="28"/>
      <c r="C20" s="16"/>
      <c r="D20" s="17"/>
      <c r="E20" s="29" t="str">
        <f>IF(B20="","",IF(COUNTA($B$6:$B$69)&lt;=(E5-D5+1),(D5+MOD(A20-1,(E5-D5+1))),(D5+MOD(A20-1,(E5-D5+1)))&amp;CHAR(65+FLOOR((A20-1)/(E5-D5+1),1))))</f>
        <v/>
      </c>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1" t="str">
        <f t="shared" si="0"/>
        <v/>
      </c>
      <c r="AQ20" s="31" t="str">
        <f t="shared" si="1"/>
        <v/>
      </c>
      <c r="AR20" s="31" t="str">
        <f t="shared" si="2"/>
        <v/>
      </c>
      <c r="AS20" s="31" t="str">
        <f t="shared" si="3"/>
        <v/>
      </c>
      <c r="AT20" s="31" t="str">
        <f t="shared" si="4"/>
        <v/>
      </c>
      <c r="AU20" s="31" t="str">
        <f t="shared" si="5"/>
        <v/>
      </c>
      <c r="AV20" s="32" t="str">
        <f t="shared" si="6"/>
        <v/>
      </c>
      <c r="AW20" s="33" t="str">
        <f t="shared" si="7"/>
        <v/>
      </c>
      <c r="AX20" s="34" t="str">
        <f t="shared" si="8"/>
        <v/>
      </c>
      <c r="AY20" s="34" t="str">
        <f t="shared" si="9"/>
        <v/>
      </c>
      <c r="AZ20" s="35" t="str">
        <f t="shared" si="10"/>
        <v/>
      </c>
      <c r="BA20" s="36"/>
      <c r="BB20" s="37" t="str">
        <f t="shared" si="11"/>
        <v/>
      </c>
    </row>
    <row r="21" spans="1:54" ht="21.75" customHeight="1" x14ac:dyDescent="0.35">
      <c r="A21" s="38" t="str">
        <f>IF(B21&lt;&gt;"",COUNTA($B$6:B21),"")</f>
        <v/>
      </c>
      <c r="B21" s="39"/>
      <c r="C21" s="18"/>
      <c r="D21" s="19"/>
      <c r="E21" s="29" t="str">
        <f>IF(B21="","",IF(COUNTA($B$6:$B$69)&lt;=(E5-D5+1),(D5+MOD(A21-1,(E5-D5+1))),(D5+MOD(A21-1,(E5-D5+1)))&amp;CHAR(65+FLOOR((A21-1)/(E5-D5+1),1))))</f>
        <v/>
      </c>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1" t="str">
        <f t="shared" si="0"/>
        <v/>
      </c>
      <c r="AQ21" s="31" t="str">
        <f t="shared" si="1"/>
        <v/>
      </c>
      <c r="AR21" s="31" t="str">
        <f t="shared" si="2"/>
        <v/>
      </c>
      <c r="AS21" s="31" t="str">
        <f t="shared" si="3"/>
        <v/>
      </c>
      <c r="AT21" s="31" t="str">
        <f t="shared" si="4"/>
        <v/>
      </c>
      <c r="AU21" s="31" t="str">
        <f t="shared" si="5"/>
        <v/>
      </c>
      <c r="AV21" s="32" t="str">
        <f t="shared" si="6"/>
        <v/>
      </c>
      <c r="AW21" s="33" t="str">
        <f t="shared" si="7"/>
        <v/>
      </c>
      <c r="AX21" s="34" t="str">
        <f t="shared" si="8"/>
        <v/>
      </c>
      <c r="AY21" s="34" t="str">
        <f t="shared" si="9"/>
        <v/>
      </c>
      <c r="AZ21" s="40" t="str">
        <f t="shared" si="10"/>
        <v/>
      </c>
      <c r="BA21" s="36"/>
      <c r="BB21" s="41" t="str">
        <f t="shared" si="11"/>
        <v/>
      </c>
    </row>
    <row r="22" spans="1:54" ht="21.75" customHeight="1" x14ac:dyDescent="0.35">
      <c r="A22" s="27" t="str">
        <f>IF(B22&lt;&gt;"",COUNTA($B$6:B22),"")</f>
        <v/>
      </c>
      <c r="B22" s="28"/>
      <c r="C22" s="16"/>
      <c r="D22" s="17"/>
      <c r="E22" s="29" t="str">
        <f>IF(B22="","",IF(COUNTA($B$6:$B$69)&lt;=(E5-D5+1),(D5+MOD(A22-1,(E5-D5+1))),(D5+MOD(A22-1,(E5-D5+1)))&amp;CHAR(65+FLOOR((A22-1)/(E5-D5+1),1))))</f>
        <v/>
      </c>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1" t="str">
        <f t="shared" si="0"/>
        <v/>
      </c>
      <c r="AQ22" s="31" t="str">
        <f t="shared" si="1"/>
        <v/>
      </c>
      <c r="AR22" s="31" t="str">
        <f t="shared" si="2"/>
        <v/>
      </c>
      <c r="AS22" s="31" t="str">
        <f t="shared" si="3"/>
        <v/>
      </c>
      <c r="AT22" s="31" t="str">
        <f t="shared" si="4"/>
        <v/>
      </c>
      <c r="AU22" s="31" t="str">
        <f t="shared" si="5"/>
        <v/>
      </c>
      <c r="AV22" s="32" t="str">
        <f t="shared" si="6"/>
        <v/>
      </c>
      <c r="AW22" s="33" t="str">
        <f t="shared" si="7"/>
        <v/>
      </c>
      <c r="AX22" s="34" t="str">
        <f t="shared" si="8"/>
        <v/>
      </c>
      <c r="AY22" s="34" t="str">
        <f t="shared" si="9"/>
        <v/>
      </c>
      <c r="AZ22" s="35" t="str">
        <f t="shared" si="10"/>
        <v/>
      </c>
      <c r="BA22" s="36"/>
      <c r="BB22" s="37" t="str">
        <f t="shared" si="11"/>
        <v/>
      </c>
    </row>
    <row r="23" spans="1:54" ht="21.75" customHeight="1" x14ac:dyDescent="0.35">
      <c r="A23" s="38" t="str">
        <f>IF(B23&lt;&gt;"",COUNTA($B$6:B23),"")</f>
        <v/>
      </c>
      <c r="B23" s="39"/>
      <c r="C23" s="18"/>
      <c r="D23" s="19"/>
      <c r="E23" s="29" t="str">
        <f>IF(B23="","",IF(COUNTA($B$6:$B$69)&lt;=(E5-D5+1),(D5+MOD(A23-1,(E5-D5+1))),(D5+MOD(A23-1,(E5-D5+1)))&amp;CHAR(65+FLOOR((A23-1)/(E5-D5+1),1))))</f>
        <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1" t="str">
        <f t="shared" si="0"/>
        <v/>
      </c>
      <c r="AQ23" s="31" t="str">
        <f t="shared" si="1"/>
        <v/>
      </c>
      <c r="AR23" s="31" t="str">
        <f t="shared" si="2"/>
        <v/>
      </c>
      <c r="AS23" s="31" t="str">
        <f t="shared" si="3"/>
        <v/>
      </c>
      <c r="AT23" s="31" t="str">
        <f t="shared" si="4"/>
        <v/>
      </c>
      <c r="AU23" s="31" t="str">
        <f t="shared" si="5"/>
        <v/>
      </c>
      <c r="AV23" s="32" t="str">
        <f t="shared" si="6"/>
        <v/>
      </c>
      <c r="AW23" s="33" t="str">
        <f t="shared" si="7"/>
        <v/>
      </c>
      <c r="AX23" s="34" t="str">
        <f t="shared" si="8"/>
        <v/>
      </c>
      <c r="AY23" s="34" t="str">
        <f t="shared" si="9"/>
        <v/>
      </c>
      <c r="AZ23" s="40" t="str">
        <f t="shared" si="10"/>
        <v/>
      </c>
      <c r="BA23" s="36"/>
      <c r="BB23" s="41" t="str">
        <f t="shared" si="11"/>
        <v/>
      </c>
    </row>
    <row r="24" spans="1:54" ht="21.75" customHeight="1" x14ac:dyDescent="0.35">
      <c r="A24" s="27" t="str">
        <f>IF(B24&lt;&gt;"",COUNTA($B$6:B24),"")</f>
        <v/>
      </c>
      <c r="B24" s="28"/>
      <c r="C24" s="16"/>
      <c r="D24" s="17"/>
      <c r="E24" s="29" t="str">
        <f>IF(B24="","",IF(COUNTA($B$6:$B$69)&lt;=(E5-D5+1),(D5+MOD(A24-1,(E5-D5+1))),(D5+MOD(A24-1,(E5-D5+1)))&amp;CHAR(65+FLOOR((A24-1)/(E5-D5+1),1))))</f>
        <v/>
      </c>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1" t="str">
        <f t="shared" si="0"/>
        <v/>
      </c>
      <c r="AQ24" s="31" t="str">
        <f t="shared" si="1"/>
        <v/>
      </c>
      <c r="AR24" s="31" t="str">
        <f t="shared" si="2"/>
        <v/>
      </c>
      <c r="AS24" s="31" t="str">
        <f t="shared" si="3"/>
        <v/>
      </c>
      <c r="AT24" s="31" t="str">
        <f t="shared" si="4"/>
        <v/>
      </c>
      <c r="AU24" s="31" t="str">
        <f t="shared" si="5"/>
        <v/>
      </c>
      <c r="AV24" s="32" t="str">
        <f t="shared" si="6"/>
        <v/>
      </c>
      <c r="AW24" s="33" t="str">
        <f t="shared" si="7"/>
        <v/>
      </c>
      <c r="AX24" s="34" t="str">
        <f t="shared" si="8"/>
        <v/>
      </c>
      <c r="AY24" s="34" t="str">
        <f t="shared" si="9"/>
        <v/>
      </c>
      <c r="AZ24" s="35" t="str">
        <f t="shared" si="10"/>
        <v/>
      </c>
      <c r="BA24" s="36"/>
      <c r="BB24" s="37" t="str">
        <f t="shared" si="11"/>
        <v/>
      </c>
    </row>
    <row r="25" spans="1:54" ht="21.75" customHeight="1" x14ac:dyDescent="0.35">
      <c r="A25" s="38" t="str">
        <f>IF(B25&lt;&gt;"",COUNTA($B$6:B25),"")</f>
        <v/>
      </c>
      <c r="B25" s="39"/>
      <c r="C25" s="18"/>
      <c r="D25" s="19"/>
      <c r="E25" s="29" t="str">
        <f>IF(B25="","",IF(COUNTA($B$6:$B$69)&lt;=(E5-D5+1),(D5+MOD(A25-1,(E5-D5+1))),(D5+MOD(A25-1,(E5-D5+1)))&amp;CHAR(65+FLOOR((A25-1)/(E5-D5+1),1))))</f>
        <v/>
      </c>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1" t="str">
        <f t="shared" si="0"/>
        <v/>
      </c>
      <c r="AQ25" s="31" t="str">
        <f t="shared" si="1"/>
        <v/>
      </c>
      <c r="AR25" s="31" t="str">
        <f t="shared" si="2"/>
        <v/>
      </c>
      <c r="AS25" s="31" t="str">
        <f t="shared" si="3"/>
        <v/>
      </c>
      <c r="AT25" s="31" t="str">
        <f t="shared" si="4"/>
        <v/>
      </c>
      <c r="AU25" s="31" t="str">
        <f t="shared" si="5"/>
        <v/>
      </c>
      <c r="AV25" s="32" t="str">
        <f t="shared" si="6"/>
        <v/>
      </c>
      <c r="AW25" s="33" t="str">
        <f t="shared" si="7"/>
        <v/>
      </c>
      <c r="AX25" s="34" t="str">
        <f t="shared" si="8"/>
        <v/>
      </c>
      <c r="AY25" s="34" t="str">
        <f t="shared" si="9"/>
        <v/>
      </c>
      <c r="AZ25" s="40" t="str">
        <f t="shared" si="10"/>
        <v/>
      </c>
      <c r="BA25" s="36"/>
      <c r="BB25" s="41" t="str">
        <f t="shared" si="11"/>
        <v/>
      </c>
    </row>
    <row r="26" spans="1:54" ht="21.75" customHeight="1" x14ac:dyDescent="0.35">
      <c r="A26" s="27" t="str">
        <f>IF(B26&lt;&gt;"",COUNTA($B$6:B26),"")</f>
        <v/>
      </c>
      <c r="B26" s="28"/>
      <c r="C26" s="16"/>
      <c r="D26" s="17"/>
      <c r="E26" s="29" t="str">
        <f>IF(B26="","",IF(COUNTA($B$6:$B$69)&lt;=(E5-D5+1),(D5+MOD(A26-1,(E5-D5+1))),(D5+MOD(A26-1,(E5-D5+1)))&amp;CHAR(65+FLOOR((A26-1)/(E5-D5+1),1))))</f>
        <v/>
      </c>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1" t="str">
        <f t="shared" si="0"/>
        <v/>
      </c>
      <c r="AQ26" s="31" t="str">
        <f t="shared" si="1"/>
        <v/>
      </c>
      <c r="AR26" s="31" t="str">
        <f t="shared" si="2"/>
        <v/>
      </c>
      <c r="AS26" s="31" t="str">
        <f t="shared" si="3"/>
        <v/>
      </c>
      <c r="AT26" s="31" t="str">
        <f t="shared" si="4"/>
        <v/>
      </c>
      <c r="AU26" s="31" t="str">
        <f t="shared" si="5"/>
        <v/>
      </c>
      <c r="AV26" s="32" t="str">
        <f t="shared" si="6"/>
        <v/>
      </c>
      <c r="AW26" s="33" t="str">
        <f t="shared" si="7"/>
        <v/>
      </c>
      <c r="AX26" s="34" t="str">
        <f t="shared" si="8"/>
        <v/>
      </c>
      <c r="AY26" s="34" t="str">
        <f t="shared" si="9"/>
        <v/>
      </c>
      <c r="AZ26" s="35" t="str">
        <f t="shared" si="10"/>
        <v/>
      </c>
      <c r="BA26" s="36"/>
      <c r="BB26" s="37" t="str">
        <f t="shared" si="11"/>
        <v/>
      </c>
    </row>
    <row r="27" spans="1:54" ht="21.75" customHeight="1" x14ac:dyDescent="0.35">
      <c r="A27" s="38" t="str">
        <f>IF(B27&lt;&gt;"",COUNTA($B$6:B27),"")</f>
        <v/>
      </c>
      <c r="B27" s="39"/>
      <c r="C27" s="18"/>
      <c r="D27" s="19"/>
      <c r="E27" s="29" t="str">
        <f>IF(B27="","",IF(COUNTA($B$6:$B$69)&lt;=(E5-D5+1),(D5+MOD(A27-1,(E5-D5+1))),(D5+MOD(A27-1,(E5-D5+1)))&amp;CHAR(65+FLOOR((A27-1)/(E5-D5+1),1))))</f>
        <v/>
      </c>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1" t="str">
        <f t="shared" si="0"/>
        <v/>
      </c>
      <c r="AQ27" s="31" t="str">
        <f t="shared" si="1"/>
        <v/>
      </c>
      <c r="AR27" s="31" t="str">
        <f t="shared" si="2"/>
        <v/>
      </c>
      <c r="AS27" s="31" t="str">
        <f t="shared" si="3"/>
        <v/>
      </c>
      <c r="AT27" s="31" t="str">
        <f t="shared" si="4"/>
        <v/>
      </c>
      <c r="AU27" s="31" t="str">
        <f t="shared" si="5"/>
        <v/>
      </c>
      <c r="AV27" s="32" t="str">
        <f t="shared" si="6"/>
        <v/>
      </c>
      <c r="AW27" s="33" t="str">
        <f t="shared" si="7"/>
        <v/>
      </c>
      <c r="AX27" s="34" t="str">
        <f t="shared" si="8"/>
        <v/>
      </c>
      <c r="AY27" s="34" t="str">
        <f t="shared" si="9"/>
        <v/>
      </c>
      <c r="AZ27" s="40" t="str">
        <f t="shared" si="10"/>
        <v/>
      </c>
      <c r="BA27" s="36"/>
      <c r="BB27" s="41" t="str">
        <f t="shared" si="11"/>
        <v/>
      </c>
    </row>
    <row r="28" spans="1:54" ht="21.75" customHeight="1" x14ac:dyDescent="0.35">
      <c r="A28" s="27" t="str">
        <f>IF(B28&lt;&gt;"",COUNTA($B$6:B28),"")</f>
        <v/>
      </c>
      <c r="B28" s="28"/>
      <c r="C28" s="16"/>
      <c r="D28" s="17"/>
      <c r="E28" s="29" t="str">
        <f>IF(B28="","",IF(COUNTA($B$6:$B$69)&lt;=(E5-D5+1),(D5+MOD(A28-1,(E5-D5+1))),(D5+MOD(A28-1,(E5-D5+1)))&amp;CHAR(65+FLOOR((A28-1)/(E5-D5+1),1))))</f>
        <v/>
      </c>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1" t="str">
        <f t="shared" si="0"/>
        <v/>
      </c>
      <c r="AQ28" s="31" t="str">
        <f t="shared" si="1"/>
        <v/>
      </c>
      <c r="AR28" s="31" t="str">
        <f t="shared" si="2"/>
        <v/>
      </c>
      <c r="AS28" s="31" t="str">
        <f t="shared" si="3"/>
        <v/>
      </c>
      <c r="AT28" s="31" t="str">
        <f t="shared" si="4"/>
        <v/>
      </c>
      <c r="AU28" s="31" t="str">
        <f t="shared" si="5"/>
        <v/>
      </c>
      <c r="AV28" s="32" t="str">
        <f t="shared" si="6"/>
        <v/>
      </c>
      <c r="AW28" s="33" t="str">
        <f t="shared" si="7"/>
        <v/>
      </c>
      <c r="AX28" s="34" t="str">
        <f t="shared" si="8"/>
        <v/>
      </c>
      <c r="AY28" s="34" t="str">
        <f t="shared" si="9"/>
        <v/>
      </c>
      <c r="AZ28" s="35" t="str">
        <f t="shared" si="10"/>
        <v/>
      </c>
      <c r="BA28" s="36"/>
      <c r="BB28" s="37" t="str">
        <f t="shared" si="11"/>
        <v/>
      </c>
    </row>
    <row r="29" spans="1:54" ht="21.75" customHeight="1" x14ac:dyDescent="0.35">
      <c r="A29" s="38" t="str">
        <f>IF(B29&lt;&gt;"",COUNTA($B$6:B29),"")</f>
        <v/>
      </c>
      <c r="B29" s="39"/>
      <c r="C29" s="18"/>
      <c r="D29" s="19"/>
      <c r="E29" s="29" t="str">
        <f>IF(B29="","",IF(COUNTA($B$6:$B$69)&lt;=(E5-D5+1),(D5+MOD(A29-1,(E5-D5+1))),(D5+MOD(A29-1,(E5-D5+1)))&amp;CHAR(65+FLOOR((A29-1)/(E5-D5+1),1))))</f>
        <v/>
      </c>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1" t="str">
        <f t="shared" si="0"/>
        <v/>
      </c>
      <c r="AQ29" s="31" t="str">
        <f t="shared" si="1"/>
        <v/>
      </c>
      <c r="AR29" s="31" t="str">
        <f t="shared" si="2"/>
        <v/>
      </c>
      <c r="AS29" s="31" t="str">
        <f t="shared" si="3"/>
        <v/>
      </c>
      <c r="AT29" s="31" t="str">
        <f t="shared" si="4"/>
        <v/>
      </c>
      <c r="AU29" s="31" t="str">
        <f t="shared" si="5"/>
        <v/>
      </c>
      <c r="AV29" s="32" t="str">
        <f t="shared" si="6"/>
        <v/>
      </c>
      <c r="AW29" s="33" t="str">
        <f t="shared" si="7"/>
        <v/>
      </c>
      <c r="AX29" s="34" t="str">
        <f t="shared" si="8"/>
        <v/>
      </c>
      <c r="AY29" s="34" t="str">
        <f t="shared" si="9"/>
        <v/>
      </c>
      <c r="AZ29" s="40" t="str">
        <f t="shared" si="10"/>
        <v/>
      </c>
      <c r="BA29" s="36"/>
      <c r="BB29" s="41" t="str">
        <f t="shared" si="11"/>
        <v/>
      </c>
    </row>
    <row r="30" spans="1:54" ht="21.75" customHeight="1" x14ac:dyDescent="0.35">
      <c r="A30" s="27" t="str">
        <f>IF(B30&lt;&gt;"",COUNTA($B$6:B30),"")</f>
        <v/>
      </c>
      <c r="B30" s="28"/>
      <c r="C30" s="16"/>
      <c r="D30" s="17"/>
      <c r="E30" s="29" t="str">
        <f>IF(B30="","",IF(COUNTA($B$6:$B$69)&lt;=(E5-D5+1),(D5+MOD(A30-1,(E5-D5+1))),(D5+MOD(A30-1,(E5-D5+1)))&amp;CHAR(65+FLOOR((A30-1)/(E5-D5+1),1))))</f>
        <v/>
      </c>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1" t="str">
        <f t="shared" si="0"/>
        <v/>
      </c>
      <c r="AQ30" s="31" t="str">
        <f t="shared" si="1"/>
        <v/>
      </c>
      <c r="AR30" s="31" t="str">
        <f t="shared" si="2"/>
        <v/>
      </c>
      <c r="AS30" s="31" t="str">
        <f t="shared" si="3"/>
        <v/>
      </c>
      <c r="AT30" s="31" t="str">
        <f t="shared" si="4"/>
        <v/>
      </c>
      <c r="AU30" s="31" t="str">
        <f t="shared" si="5"/>
        <v/>
      </c>
      <c r="AV30" s="32" t="str">
        <f t="shared" si="6"/>
        <v/>
      </c>
      <c r="AW30" s="33" t="str">
        <f t="shared" si="7"/>
        <v/>
      </c>
      <c r="AX30" s="34" t="str">
        <f t="shared" si="8"/>
        <v/>
      </c>
      <c r="AY30" s="34" t="str">
        <f t="shared" si="9"/>
        <v/>
      </c>
      <c r="AZ30" s="35" t="str">
        <f t="shared" si="10"/>
        <v/>
      </c>
      <c r="BA30" s="36"/>
      <c r="BB30" s="37" t="str">
        <f t="shared" si="11"/>
        <v/>
      </c>
    </row>
    <row r="31" spans="1:54" ht="21.75" customHeight="1" x14ac:dyDescent="0.35">
      <c r="A31" s="38" t="str">
        <f>IF(B31&lt;&gt;"",COUNTA($B$6:B31),"")</f>
        <v/>
      </c>
      <c r="B31" s="39"/>
      <c r="C31" s="18"/>
      <c r="D31" s="19"/>
      <c r="E31" s="29" t="str">
        <f>IF(B31="","",IF(COUNTA($B$6:$B$69)&lt;=(E5-D5+1),(D5+MOD(A31-1,(E5-D5+1))),(D5+MOD(A31-1,(E5-D5+1)))&amp;CHAR(65+FLOOR((A31-1)/(E5-D5+1),1))))</f>
        <v/>
      </c>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1" t="str">
        <f t="shared" si="0"/>
        <v/>
      </c>
      <c r="AQ31" s="31" t="str">
        <f t="shared" si="1"/>
        <v/>
      </c>
      <c r="AR31" s="31" t="str">
        <f t="shared" si="2"/>
        <v/>
      </c>
      <c r="AS31" s="31" t="str">
        <f t="shared" si="3"/>
        <v/>
      </c>
      <c r="AT31" s="31" t="str">
        <f t="shared" si="4"/>
        <v/>
      </c>
      <c r="AU31" s="31" t="str">
        <f t="shared" si="5"/>
        <v/>
      </c>
      <c r="AV31" s="32" t="str">
        <f t="shared" si="6"/>
        <v/>
      </c>
      <c r="AW31" s="33" t="str">
        <f t="shared" si="7"/>
        <v/>
      </c>
      <c r="AX31" s="34" t="str">
        <f t="shared" si="8"/>
        <v/>
      </c>
      <c r="AY31" s="34" t="str">
        <f t="shared" si="9"/>
        <v/>
      </c>
      <c r="AZ31" s="40" t="str">
        <f t="shared" si="10"/>
        <v/>
      </c>
      <c r="BA31" s="36"/>
      <c r="BB31" s="41" t="str">
        <f t="shared" si="11"/>
        <v/>
      </c>
    </row>
    <row r="32" spans="1:54" ht="21.75" customHeight="1" x14ac:dyDescent="0.35">
      <c r="A32" s="27" t="str">
        <f>IF(B32&lt;&gt;"",COUNTA($B$6:B32),"")</f>
        <v/>
      </c>
      <c r="B32" s="28"/>
      <c r="C32" s="16"/>
      <c r="D32" s="17"/>
      <c r="E32" s="29" t="str">
        <f>IF(B32="","",IF(COUNTA($B$6:$B$69)&lt;=(E5-D5+1),(D5+MOD(A32-1,(E5-D5+1))),(D5+MOD(A32-1,(E5-D5+1)))&amp;CHAR(65+FLOOR((A32-1)/(E5-D5+1),1))))</f>
        <v/>
      </c>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1" t="str">
        <f t="shared" si="0"/>
        <v/>
      </c>
      <c r="AQ32" s="31" t="str">
        <f t="shared" si="1"/>
        <v/>
      </c>
      <c r="AR32" s="31" t="str">
        <f t="shared" si="2"/>
        <v/>
      </c>
      <c r="AS32" s="31" t="str">
        <f t="shared" si="3"/>
        <v/>
      </c>
      <c r="AT32" s="31" t="str">
        <f t="shared" si="4"/>
        <v/>
      </c>
      <c r="AU32" s="31" t="str">
        <f t="shared" si="5"/>
        <v/>
      </c>
      <c r="AV32" s="32" t="str">
        <f t="shared" si="6"/>
        <v/>
      </c>
      <c r="AW32" s="33" t="str">
        <f t="shared" si="7"/>
        <v/>
      </c>
      <c r="AX32" s="34" t="str">
        <f t="shared" si="8"/>
        <v/>
      </c>
      <c r="AY32" s="34" t="str">
        <f t="shared" si="9"/>
        <v/>
      </c>
      <c r="AZ32" s="35" t="str">
        <f t="shared" si="10"/>
        <v/>
      </c>
      <c r="BA32" s="36"/>
      <c r="BB32" s="37" t="str">
        <f t="shared" si="11"/>
        <v/>
      </c>
    </row>
    <row r="33" spans="1:54" ht="21.75" customHeight="1" x14ac:dyDescent="0.35">
      <c r="A33" s="38" t="str">
        <f>IF(B33&lt;&gt;"",COUNTA($B$6:B33),"")</f>
        <v/>
      </c>
      <c r="B33" s="39"/>
      <c r="C33" s="18"/>
      <c r="D33" s="19"/>
      <c r="E33" s="29" t="str">
        <f>IF(B33="","",IF(COUNTA($B$6:$B$69)&lt;=(E5-D5+1),(D5+MOD(A33-1,(E5-D5+1))),(D5+MOD(A33-1,(E5-D5+1)))&amp;CHAR(65+FLOOR((A33-1)/(E5-D5+1),1))))</f>
        <v/>
      </c>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1" t="str">
        <f t="shared" si="0"/>
        <v/>
      </c>
      <c r="AQ33" s="31" t="str">
        <f t="shared" si="1"/>
        <v/>
      </c>
      <c r="AR33" s="31" t="str">
        <f t="shared" si="2"/>
        <v/>
      </c>
      <c r="AS33" s="31" t="str">
        <f t="shared" si="3"/>
        <v/>
      </c>
      <c r="AT33" s="31" t="str">
        <f t="shared" si="4"/>
        <v/>
      </c>
      <c r="AU33" s="31" t="str">
        <f t="shared" si="5"/>
        <v/>
      </c>
      <c r="AV33" s="32" t="str">
        <f t="shared" si="6"/>
        <v/>
      </c>
      <c r="AW33" s="33" t="str">
        <f t="shared" si="7"/>
        <v/>
      </c>
      <c r="AX33" s="34" t="str">
        <f t="shared" si="8"/>
        <v/>
      </c>
      <c r="AY33" s="34" t="str">
        <f t="shared" si="9"/>
        <v/>
      </c>
      <c r="AZ33" s="40" t="str">
        <f t="shared" si="10"/>
        <v/>
      </c>
      <c r="BA33" s="36"/>
      <c r="BB33" s="41" t="str">
        <f t="shared" si="11"/>
        <v/>
      </c>
    </row>
    <row r="34" spans="1:54" ht="21.75" customHeight="1" x14ac:dyDescent="0.35">
      <c r="A34" s="27" t="str">
        <f>IF(B34&lt;&gt;"",COUNTA($B$6:B34),"")</f>
        <v/>
      </c>
      <c r="B34" s="28"/>
      <c r="C34" s="16"/>
      <c r="D34" s="17"/>
      <c r="E34" s="29" t="str">
        <f>IF(B34="","",IF(COUNTA($B$6:$B$69)&lt;=(E5-D5+1),(D5+MOD(A34-1,(E5-D5+1))),(D5+MOD(A34-1,(E5-D5+1)))&amp;CHAR(65+FLOOR((A34-1)/(E5-D5+1),1))))</f>
        <v/>
      </c>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1" t="str">
        <f t="shared" si="0"/>
        <v/>
      </c>
      <c r="AQ34" s="31" t="str">
        <f t="shared" si="1"/>
        <v/>
      </c>
      <c r="AR34" s="31" t="str">
        <f t="shared" si="2"/>
        <v/>
      </c>
      <c r="AS34" s="31" t="str">
        <f t="shared" si="3"/>
        <v/>
      </c>
      <c r="AT34" s="31" t="str">
        <f t="shared" si="4"/>
        <v/>
      </c>
      <c r="AU34" s="31" t="str">
        <f t="shared" si="5"/>
        <v/>
      </c>
      <c r="AV34" s="32" t="str">
        <f t="shared" si="6"/>
        <v/>
      </c>
      <c r="AW34" s="33" t="str">
        <f t="shared" si="7"/>
        <v/>
      </c>
      <c r="AX34" s="34" t="str">
        <f t="shared" si="8"/>
        <v/>
      </c>
      <c r="AY34" s="34" t="str">
        <f t="shared" si="9"/>
        <v/>
      </c>
      <c r="AZ34" s="35" t="str">
        <f t="shared" si="10"/>
        <v/>
      </c>
      <c r="BA34" s="36"/>
      <c r="BB34" s="37" t="str">
        <f t="shared" si="11"/>
        <v/>
      </c>
    </row>
    <row r="35" spans="1:54" ht="21.75" customHeight="1" x14ac:dyDescent="0.35">
      <c r="A35" s="38" t="str">
        <f>IF(B35&lt;&gt;"",COUNTA($B$6:B35),"")</f>
        <v/>
      </c>
      <c r="B35" s="39"/>
      <c r="C35" s="18"/>
      <c r="D35" s="19"/>
      <c r="E35" s="29" t="str">
        <f>IF(B35="","",IF(COUNTA($B$6:$B$69)&lt;=(E5-D5+1),(D5+MOD(A35-1,(E5-D5+1))),(D5+MOD(A35-1,(E5-D5+1)))&amp;CHAR(65+FLOOR((A35-1)/(E5-D5+1),1))))</f>
        <v/>
      </c>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1" t="str">
        <f t="shared" si="0"/>
        <v/>
      </c>
      <c r="AQ35" s="31" t="str">
        <f t="shared" si="1"/>
        <v/>
      </c>
      <c r="AR35" s="31" t="str">
        <f t="shared" si="2"/>
        <v/>
      </c>
      <c r="AS35" s="31" t="str">
        <f t="shared" si="3"/>
        <v/>
      </c>
      <c r="AT35" s="31" t="str">
        <f t="shared" si="4"/>
        <v/>
      </c>
      <c r="AU35" s="31" t="str">
        <f t="shared" si="5"/>
        <v/>
      </c>
      <c r="AV35" s="32" t="str">
        <f t="shared" si="6"/>
        <v/>
      </c>
      <c r="AW35" s="33" t="str">
        <f t="shared" si="7"/>
        <v/>
      </c>
      <c r="AX35" s="34" t="str">
        <f t="shared" si="8"/>
        <v/>
      </c>
      <c r="AY35" s="34" t="str">
        <f t="shared" si="9"/>
        <v/>
      </c>
      <c r="AZ35" s="40" t="str">
        <f t="shared" si="10"/>
        <v/>
      </c>
      <c r="BA35" s="36"/>
      <c r="BB35" s="41" t="str">
        <f t="shared" si="11"/>
        <v/>
      </c>
    </row>
    <row r="36" spans="1:54" ht="21.75" customHeight="1" x14ac:dyDescent="0.35">
      <c r="A36" s="27" t="str">
        <f>IF(B36&lt;&gt;"",COUNTA($B$6:B36),"")</f>
        <v/>
      </c>
      <c r="B36" s="28"/>
      <c r="C36" s="16"/>
      <c r="D36" s="17"/>
      <c r="E36" s="29" t="str">
        <f>IF(B36="","",IF(COUNTA($B$6:$B$69)&lt;=(E5-D5+1),(D5+MOD(A36-1,(E5-D5+1))),(D5+MOD(A36-1,(E5-D5+1)))&amp;CHAR(65+FLOOR((A36-1)/(E5-D5+1),1))))</f>
        <v/>
      </c>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1" t="str">
        <f t="shared" si="0"/>
        <v/>
      </c>
      <c r="AQ36" s="31" t="str">
        <f t="shared" si="1"/>
        <v/>
      </c>
      <c r="AR36" s="31" t="str">
        <f t="shared" si="2"/>
        <v/>
      </c>
      <c r="AS36" s="31" t="str">
        <f t="shared" si="3"/>
        <v/>
      </c>
      <c r="AT36" s="31" t="str">
        <f t="shared" si="4"/>
        <v/>
      </c>
      <c r="AU36" s="31" t="str">
        <f t="shared" si="5"/>
        <v/>
      </c>
      <c r="AV36" s="32" t="str">
        <f t="shared" si="6"/>
        <v/>
      </c>
      <c r="AW36" s="33" t="str">
        <f t="shared" si="7"/>
        <v/>
      </c>
      <c r="AX36" s="34" t="str">
        <f t="shared" si="8"/>
        <v/>
      </c>
      <c r="AY36" s="34" t="str">
        <f t="shared" si="9"/>
        <v/>
      </c>
      <c r="AZ36" s="35" t="str">
        <f t="shared" si="10"/>
        <v/>
      </c>
      <c r="BA36" s="36"/>
      <c r="BB36" s="37" t="str">
        <f t="shared" si="11"/>
        <v/>
      </c>
    </row>
    <row r="37" spans="1:54" ht="21.75" customHeight="1" x14ac:dyDescent="0.35">
      <c r="A37" s="38" t="str">
        <f>IF(B37&lt;&gt;"",COUNTA($B$6:B37),"")</f>
        <v/>
      </c>
      <c r="B37" s="39"/>
      <c r="C37" s="18"/>
      <c r="D37" s="19"/>
      <c r="E37" s="29" t="str">
        <f>IF(B37="","",IF(COUNTA($B$6:$B$69)&lt;=(E5-D5+1),(D5+MOD(A37-1,(E5-D5+1))),(D5+MOD(A37-1,(E5-D5+1)))&amp;CHAR(65+FLOOR((A37-1)/(E5-D5+1),1))))</f>
        <v/>
      </c>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1" t="str">
        <f t="shared" si="0"/>
        <v/>
      </c>
      <c r="AQ37" s="31" t="str">
        <f t="shared" si="1"/>
        <v/>
      </c>
      <c r="AR37" s="31" t="str">
        <f t="shared" si="2"/>
        <v/>
      </c>
      <c r="AS37" s="31" t="str">
        <f t="shared" si="3"/>
        <v/>
      </c>
      <c r="AT37" s="31" t="str">
        <f t="shared" si="4"/>
        <v/>
      </c>
      <c r="AU37" s="31" t="str">
        <f t="shared" si="5"/>
        <v/>
      </c>
      <c r="AV37" s="32" t="str">
        <f t="shared" si="6"/>
        <v/>
      </c>
      <c r="AW37" s="33" t="str">
        <f t="shared" si="7"/>
        <v/>
      </c>
      <c r="AX37" s="34" t="str">
        <f t="shared" si="8"/>
        <v/>
      </c>
      <c r="AY37" s="34" t="str">
        <f t="shared" si="9"/>
        <v/>
      </c>
      <c r="AZ37" s="40" t="str">
        <f t="shared" si="10"/>
        <v/>
      </c>
      <c r="BA37" s="36"/>
      <c r="BB37" s="41" t="str">
        <f t="shared" si="11"/>
        <v/>
      </c>
    </row>
    <row r="38" spans="1:54" ht="21.75" customHeight="1" x14ac:dyDescent="0.35">
      <c r="A38" s="27" t="str">
        <f>IF(B38&lt;&gt;"",COUNTA($B$6:B38),"")</f>
        <v/>
      </c>
      <c r="B38" s="28"/>
      <c r="C38" s="16"/>
      <c r="D38" s="17"/>
      <c r="E38" s="29" t="str">
        <f>IF(B38="","",IF(COUNTA($B$6:$B$69)&lt;=(E5-D5+1),(D5+MOD(A38-1,(E5-D5+1))),(D5+MOD(A38-1,(E5-D5+1)))&amp;CHAR(65+FLOOR((A38-1)/(E5-D5+1),1))))</f>
        <v/>
      </c>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1" t="str">
        <f t="shared" ref="AP38:AP69" si="12">IF(B38&lt;&gt;"",IF(F38="X",10,IF(F38="M",0,IF(ISNUMBER(F38),F38,0)))+IF(G38="X",10,IF(G38="M",0,IF(ISNUMBER(G38),G38,0)))+IF(H38="X",10,IF(H38="M",0,IF(ISNUMBER(H38),H38,0)))+IF(I38="X",10,IF(I38="M",0,IF(ISNUMBER(I38),I38,0)))+IF(J38="X",10,IF(J38="M",0,IF(ISNUMBER(J38),J38,0)))+IF(K38="X",10,IF(K38="M",0,IF(ISNUMBER(K38),K38,0))),"")</f>
        <v/>
      </c>
      <c r="AQ38" s="31" t="str">
        <f t="shared" ref="AQ38:AQ69" si="13">IF(B38&lt;&gt;"",IF(L38="X",10,IF(L38="M",0,IF(ISNUMBER(L38),L38,0)))+IF(M38="X",10,IF(M38="M",0,IF(ISNUMBER(M38),M38,0)))+IF(N38="X",10,IF(N38="M",0,IF(ISNUMBER(N38),N38,0)))+IF(O38="X",10,IF(O38="M",0,IF(ISNUMBER(O38),O38,0)))+IF(P38="X",10,IF(P38="M",0,IF(ISNUMBER(P38),P38,0)))+IF(Q38="X",10,IF(Q38="M",0,IF(ISNUMBER(Q38),Q38,0))),"")</f>
        <v/>
      </c>
      <c r="AR38" s="31" t="str">
        <f t="shared" ref="AR38:AR69" si="14">IF(B38&lt;&gt;"",IF(R38="X",10,IF(R38="M",0,IF(ISNUMBER(R38),R38,0)))+IF(S38="X",10,IF(S38="M",0,IF(ISNUMBER(S38),S38,0)))+IF(T38="X",10,IF(T38="M",0,IF(ISNUMBER(T38),T38,0)))+IF(U38="X",10,IF(U38="M",0,IF(ISNUMBER(U38),U38,0)))+IF(V38="X",10,IF(V38="M",0,IF(ISNUMBER(V38),V38,0)))+IF(W38="X",10,IF(W38="M",0,IF(ISNUMBER(W38),W38,0))),"")</f>
        <v/>
      </c>
      <c r="AS38" s="31" t="str">
        <f t="shared" ref="AS38:AS69" si="15">IF(B38&lt;&gt;"",IF(X38="X",10,IF(X38="M",0,IF(ISNUMBER(X38),X38,0)))+IF(Y38="X",10,IF(Y38="M",0,IF(ISNUMBER(Y38),Y38,0)))+IF(Z38="X",10,IF(Z38="M",0,IF(ISNUMBER(Z38),Z38,0)))+IF(AA38="X",10,IF(AA38="M",0,IF(ISNUMBER(AA38),AA38,0)))+IF(AB38="X",10,IF(AB38="M",0,IF(ISNUMBER(AB38),AB38,0)))+IF(AC38="X",10,IF(AC38="M",0,IF(ISNUMBER(AC38),AC38,0))),"")</f>
        <v/>
      </c>
      <c r="AT38" s="31" t="str">
        <f t="shared" ref="AT38:AT69" si="16">IF(B38&lt;&gt;"",IF(AD38="X",10,IF(AD38="M",0,IF(ISNUMBER(AD38),AD38,0)))+IF(AE38="X",10,IF(AE38="M",0,IF(ISNUMBER(AE38),AE38,0)))+IF(AF38="X",10,IF(AF38="M",0,IF(ISNUMBER(AF38),AF38,0)))+IF(AG38="X",10,IF(AG38="M",0,IF(ISNUMBER(AG38),AG38,0)))+IF(AH38="X",10,IF(AH38="M",0,IF(ISNUMBER(AH38),AH38,0)))+IF(AI38="X",10,IF(AI38="M",0,IF(ISNUMBER(AI38),AI38,0))),"")</f>
        <v/>
      </c>
      <c r="AU38" s="31" t="str">
        <f t="shared" ref="AU38:AU69" si="17">IF(B38&lt;&gt;"",IF(AJ38="X",10,IF(AJ38="M",0,IF(ISNUMBER(AJ38),AJ38,0)))+IF(AK38="X",10,IF(AK38="M",0,IF(ISNUMBER(AK38),AK38,0)))+IF(AL38="X",10,IF(AL38="M",0,IF(ISNUMBER(AL38),AL38,0)))+IF(AM38="X",10,IF(AM38="M",0,IF(ISNUMBER(AM38),AM38,0)))+IF(AN38="X",10,IF(AN38="M",0,IF(ISNUMBER(AN38),AN38,0)))+IF(AO38="X",10,IF(AO38="M",0,IF(ISNUMBER(AO38),AO38,0))),"")</f>
        <v/>
      </c>
      <c r="AV38" s="32" t="str">
        <f t="shared" ref="AV38:AV69" si="18">IF(B38&lt;&gt;"",AP38+AQ38+AR38+AS38+AT38+AU38,"")</f>
        <v/>
      </c>
      <c r="AW38" s="33" t="str">
        <f t="shared" ref="AW38:AW69" si="19">IF(B38&lt;&gt;"",IF(F38="X",1,0)+IF(G38="X",1,0)+IF(H38="X",1,0)+IF(I38="X",1,0)+IF(J38="X",1,0)+IF(K38="X",1,0)+IF(L38="X",1,0)+IF(M38="X",1,0)+IF(N38="X",1,0)+IF(O38="X",1,0)+IF(P38="X",1,0)+IF(Q38="X",1,0)+IF(R38="X",1,0)+IF(S38="X",1,0)+IF(T38="X",1,0)+IF(U38="X",1,0)+IF(V38="X",1,0)+IF(W38="X",1,0)+IF(X38="X",1,0)+IF(Y38="X",1,0)+IF(Z38="X",1,0)+IF(AA38="X",1,0)+IF(AB38="X",1,0)+IF(AC38="X",1,0)+IF(AD38="X",1,0)+IF(AE38="X",1,0)+IF(AF38="X",1,0)+IF(AG38="X",1,0)+IF(AH38="X",1,0)+IF(AI38="X",1,0)+IF(AJ38="X",1,0)+IF(AK38="X",1,0)+IF(AL38="X",1,0)+IF(AM38="X",1,0)+IF(AN38="X",1,0)+IF(AO38="X",1,0),"")</f>
        <v/>
      </c>
      <c r="AX38" s="34" t="str">
        <f t="shared" ref="AX38:AX69" si="20">IF(B38&lt;&gt;"",IF(OR(F38="X",F38=10),1,0)+IF(OR(G38="X",G38=10),1,0)+IF(OR(H38="X",H38=10),1,0)+IF(OR(I38="X",I38=10),1,0)+IF(OR(J38="X",J38=10),1,0)+IF(OR(K38="X",K38=10),1,0)+IF(OR(L38="X",L38=10),1,0)+IF(OR(M38="X",M38=10),1,0)+IF(OR(N38="X",N38=10),1,0)+IF(OR(O38="X",O38=10),1,0)+IF(OR(P38="X",P38=10),1,0)+IF(OR(Q38="X",Q38=10),1,0)+IF(OR(R38="X",R38=10),1,0)+IF(OR(S38="X",S38=10),1,0)+IF(OR(T38="X",T38=10),1,0)+IF(OR(U38="X",U38=10),1,0)+IF(OR(V38="X",V38=10),1,0)+IF(OR(W38="X",W38=10),1,0)+IF(OR(X38="X",X38=10),1,0)+IF(OR(Y38="X",Y38=10),1,0)+IF(OR(Z38="X",Z38=10),1,0)+IF(OR(AA38="X",AA38=10),1,0)+IF(OR(AB38="X",AB38=10),1,0)+IF(OR(AC38="X",AC38=10),1,0)+IF(OR(AD38="X",AD38=10),1,0)+IF(OR(AE38="X",AE38=10),1,0)+IF(OR(AF38="X",AF38=10),1,0)+IF(OR(AG38="X",AG38=10),1,0)+IF(OR(AH38="X",AH38=10),1,0)+IF(OR(AI38="X",AI38=10),1,0)+IF(OR(AJ38="X",AJ38=10),1,0)+IF(OR(AK38="X",AK38=10),1,0)+IF(OR(AL38="X",AL38=10),1,0)+IF(OR(AM38="X",AM38=10),1,0)+IF(OR(AN38="X",AN38=10),1,0)+IF(OR(AO38="X",AO38=10),1,0),"")</f>
        <v/>
      </c>
      <c r="AY38" s="34" t="str">
        <f t="shared" ref="AY38:AY69" si="21">IF(B38&lt;&gt;"",IF(F38=9,1,0)+IF(G38=9,1,0)+IF(H38=9,1,0)+IF(I38=9,1,0)+IF(J38=9,1,0)+IF(K38=9,1,0)+IF(L38=9,1,0)+IF(M38=9,1,0)+IF(N38=9,1,0)+IF(O38=9,1,0)+IF(P38=9,1,0)+IF(Q38=9,1,0)+IF(R38=9,1,0)+IF(S38=9,1,0)+IF(T38=9,1,0)+IF(U38=9,1,0)+IF(V38=9,1,0)+IF(W38=9,1,0)+IF(X38=9,1,0)+IF(Y38=9,1,0)+IF(Z38=9,1,0)+IF(AA38=9,1,0)+IF(AB38=9,1,0)+IF(AC38=9,1,0)+IF(AD38=9,1,0)+IF(AE38=9,1,0)+IF(AF38=9,1,0)+IF(AG38=9,1,0)+IF(AH38=9,1,0)+IF(AI38=9,1,0)+IF(AJ38=9,1,0)+IF(AK38=9,1,0)+IF(AL38=9,1,0)+IF(AM38=9,1,0)+IF(AN38=9,1,0)+IF(AO38=9,1,0),"")</f>
        <v/>
      </c>
      <c r="AZ38" s="35" t="str">
        <f t="shared" ref="AZ38:AZ69" si="22">IF(B38&lt;&gt;"",SUMPRODUCT(($AV$6:$AV$1000&gt;AV38)*ISNUMBER($AV$6:$AV$1000))+1+SUMPRODUCT(($AV$6:$AV$1000=AV38)*($AW$6:$AW$1000&gt;AW38)*ISNUMBER($AV$6:$AV$1000)*ISNUMBER($AW$6:$AW$1000))+SUMPRODUCT(($AV$6:$AV$1000=AV38)*($AW$6:$AW$1000=AW38)*($AX$6:$AX$1000&gt;AX38)*ISNUMBER($AV$6:$AV$1000)*ISNUMBER($AX$6:$AX$1000))+SUMPRODUCT(($AV$6:$AV$1000=AV38)*($AW$6:$AW$1000=AW38)*($AX$6:$AX$1000=AX38)*($AY$6:$AY$1000&gt;AY38)*ISNUMBER($AV$6:$AV$1000)*ISNUMBER($AY$6:$AY$1000)),"")</f>
        <v/>
      </c>
      <c r="BA38" s="36"/>
      <c r="BB38" s="37" t="str">
        <f t="shared" ref="BB38:BB69" si="23">IF(B38&lt;&gt;"",SUMPRODUCT(($AV$6:$AV$1000&gt;AV38)*ISNUMBER($AV$6:$AV$1000))+1+SUMPRODUCT(($AV$6:$AV$1000=AV38)*($AW$6:$AW$1000&gt;AW38)*ISNUMBER($AV$6:$AV$1000)*ISNUMBER($AW$6:$AW$1000))+SUMPRODUCT(($AV$6:$AV$1000=AV38)*($AW$6:$AW$1000=AW38)*($AX$6:$AX$1000&gt;AX38)*ISNUMBER($AV$6:$AV$1000)*ISNUMBER($AX$6:$AX$1000))+SUMPRODUCT(($AV$6:$AV$1000=AV38)*($AW$6:$AW$1000=AW38)*($AX$6:$AX$1000=AX38)*($AY$6:$AY$1000&gt;AY38)*ISNUMBER($AV$6:$AV$1000)*ISNUMBER($AY$6:$AY$1000))+SUMPRODUCT(($AV$6:$AV$1000=AV38)*($AW$6:$AW$1000=AW38)*($AX$6:$AX$1000=AX38)*($AY$6:$AY$1000=AY38)*($BA$6:$BA$1000&gt;BA38)*ISNUMBER($AV$6:$AV$1000)*ISNUMBER($BA$6:$BA$1000)),"")</f>
        <v/>
      </c>
    </row>
    <row r="39" spans="1:54" ht="21.75" customHeight="1" x14ac:dyDescent="0.35">
      <c r="A39" s="38" t="str">
        <f>IF(B39&lt;&gt;"",COUNTA($B$6:B39),"")</f>
        <v/>
      </c>
      <c r="B39" s="39"/>
      <c r="C39" s="18"/>
      <c r="D39" s="19"/>
      <c r="E39" s="29" t="str">
        <f>IF(B39="","",IF(COUNTA($B$6:$B$69)&lt;=(E5-D5+1),(D5+MOD(A39-1,(E5-D5+1))),(D5+MOD(A39-1,(E5-D5+1)))&amp;CHAR(65+FLOOR((A39-1)/(E5-D5+1),1))))</f>
        <v/>
      </c>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1" t="str">
        <f t="shared" si="12"/>
        <v/>
      </c>
      <c r="AQ39" s="31" t="str">
        <f t="shared" si="13"/>
        <v/>
      </c>
      <c r="AR39" s="31" t="str">
        <f t="shared" si="14"/>
        <v/>
      </c>
      <c r="AS39" s="31" t="str">
        <f t="shared" si="15"/>
        <v/>
      </c>
      <c r="AT39" s="31" t="str">
        <f t="shared" si="16"/>
        <v/>
      </c>
      <c r="AU39" s="31" t="str">
        <f t="shared" si="17"/>
        <v/>
      </c>
      <c r="AV39" s="32" t="str">
        <f t="shared" si="18"/>
        <v/>
      </c>
      <c r="AW39" s="33" t="str">
        <f t="shared" si="19"/>
        <v/>
      </c>
      <c r="AX39" s="34" t="str">
        <f t="shared" si="20"/>
        <v/>
      </c>
      <c r="AY39" s="34" t="str">
        <f t="shared" si="21"/>
        <v/>
      </c>
      <c r="AZ39" s="40" t="str">
        <f t="shared" si="22"/>
        <v/>
      </c>
      <c r="BA39" s="36"/>
      <c r="BB39" s="41" t="str">
        <f t="shared" si="23"/>
        <v/>
      </c>
    </row>
    <row r="40" spans="1:54" ht="21.75" customHeight="1" x14ac:dyDescent="0.35">
      <c r="A40" s="27" t="str">
        <f>IF(B40&lt;&gt;"",COUNTA($B$6:B40),"")</f>
        <v/>
      </c>
      <c r="B40" s="28"/>
      <c r="C40" s="16"/>
      <c r="D40" s="17"/>
      <c r="E40" s="29" t="str">
        <f>IF(B40="","",IF(COUNTA($B$6:$B$69)&lt;=(E5-D5+1),(D5+MOD(A40-1,(E5-D5+1))),(D5+MOD(A40-1,(E5-D5+1)))&amp;CHAR(65+FLOOR((A40-1)/(E5-D5+1),1))))</f>
        <v/>
      </c>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1" t="str">
        <f t="shared" si="12"/>
        <v/>
      </c>
      <c r="AQ40" s="31" t="str">
        <f t="shared" si="13"/>
        <v/>
      </c>
      <c r="AR40" s="31" t="str">
        <f t="shared" si="14"/>
        <v/>
      </c>
      <c r="AS40" s="31" t="str">
        <f t="shared" si="15"/>
        <v/>
      </c>
      <c r="AT40" s="31" t="str">
        <f t="shared" si="16"/>
        <v/>
      </c>
      <c r="AU40" s="31" t="str">
        <f t="shared" si="17"/>
        <v/>
      </c>
      <c r="AV40" s="32" t="str">
        <f t="shared" si="18"/>
        <v/>
      </c>
      <c r="AW40" s="33" t="str">
        <f t="shared" si="19"/>
        <v/>
      </c>
      <c r="AX40" s="34" t="str">
        <f t="shared" si="20"/>
        <v/>
      </c>
      <c r="AY40" s="34" t="str">
        <f t="shared" si="21"/>
        <v/>
      </c>
      <c r="AZ40" s="35" t="str">
        <f t="shared" si="22"/>
        <v/>
      </c>
      <c r="BA40" s="36"/>
      <c r="BB40" s="37" t="str">
        <f t="shared" si="23"/>
        <v/>
      </c>
    </row>
    <row r="41" spans="1:54" ht="21.75" customHeight="1" x14ac:dyDescent="0.35">
      <c r="A41" s="38" t="str">
        <f>IF(B41&lt;&gt;"",COUNTA($B$6:B41),"")</f>
        <v/>
      </c>
      <c r="B41" s="39"/>
      <c r="C41" s="18"/>
      <c r="D41" s="19"/>
      <c r="E41" s="29" t="str">
        <f>IF(B41="","",IF(COUNTA($B$6:$B$69)&lt;=(E5-D5+1),(D5+MOD(A41-1,(E5-D5+1))),(D5+MOD(A41-1,(E5-D5+1)))&amp;CHAR(65+FLOOR((A41-1)/(E5-D5+1),1))))</f>
        <v/>
      </c>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1" t="str">
        <f t="shared" si="12"/>
        <v/>
      </c>
      <c r="AQ41" s="31" t="str">
        <f t="shared" si="13"/>
        <v/>
      </c>
      <c r="AR41" s="31" t="str">
        <f t="shared" si="14"/>
        <v/>
      </c>
      <c r="AS41" s="31" t="str">
        <f t="shared" si="15"/>
        <v/>
      </c>
      <c r="AT41" s="31" t="str">
        <f t="shared" si="16"/>
        <v/>
      </c>
      <c r="AU41" s="31" t="str">
        <f t="shared" si="17"/>
        <v/>
      </c>
      <c r="AV41" s="32" t="str">
        <f t="shared" si="18"/>
        <v/>
      </c>
      <c r="AW41" s="33" t="str">
        <f t="shared" si="19"/>
        <v/>
      </c>
      <c r="AX41" s="34" t="str">
        <f t="shared" si="20"/>
        <v/>
      </c>
      <c r="AY41" s="34" t="str">
        <f t="shared" si="21"/>
        <v/>
      </c>
      <c r="AZ41" s="40" t="str">
        <f t="shared" si="22"/>
        <v/>
      </c>
      <c r="BA41" s="36"/>
      <c r="BB41" s="41" t="str">
        <f t="shared" si="23"/>
        <v/>
      </c>
    </row>
    <row r="42" spans="1:54" ht="21.75" customHeight="1" x14ac:dyDescent="0.35">
      <c r="A42" s="27" t="str">
        <f>IF(B42&lt;&gt;"",COUNTA($B$6:B42),"")</f>
        <v/>
      </c>
      <c r="B42" s="28"/>
      <c r="C42" s="16"/>
      <c r="D42" s="17"/>
      <c r="E42" s="29" t="str">
        <f>IF(B42="","",IF(COUNTA($B$6:$B$69)&lt;=(E5-D5+1),(D5+MOD(A42-1,(E5-D5+1))),(D5+MOD(A42-1,(E5-D5+1)))&amp;CHAR(65+FLOOR((A42-1)/(E5-D5+1),1))))</f>
        <v/>
      </c>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1" t="str">
        <f t="shared" si="12"/>
        <v/>
      </c>
      <c r="AQ42" s="31" t="str">
        <f t="shared" si="13"/>
        <v/>
      </c>
      <c r="AR42" s="31" t="str">
        <f t="shared" si="14"/>
        <v/>
      </c>
      <c r="AS42" s="31" t="str">
        <f t="shared" si="15"/>
        <v/>
      </c>
      <c r="AT42" s="31" t="str">
        <f t="shared" si="16"/>
        <v/>
      </c>
      <c r="AU42" s="31" t="str">
        <f t="shared" si="17"/>
        <v/>
      </c>
      <c r="AV42" s="32" t="str">
        <f t="shared" si="18"/>
        <v/>
      </c>
      <c r="AW42" s="33" t="str">
        <f t="shared" si="19"/>
        <v/>
      </c>
      <c r="AX42" s="34" t="str">
        <f t="shared" si="20"/>
        <v/>
      </c>
      <c r="AY42" s="34" t="str">
        <f t="shared" si="21"/>
        <v/>
      </c>
      <c r="AZ42" s="35" t="str">
        <f t="shared" si="22"/>
        <v/>
      </c>
      <c r="BA42" s="36"/>
      <c r="BB42" s="37" t="str">
        <f t="shared" si="23"/>
        <v/>
      </c>
    </row>
    <row r="43" spans="1:54" ht="21.75" customHeight="1" x14ac:dyDescent="0.35">
      <c r="A43" s="38" t="str">
        <f>IF(B43&lt;&gt;"",COUNTA($B$6:B43),"")</f>
        <v/>
      </c>
      <c r="B43" s="39"/>
      <c r="C43" s="18"/>
      <c r="D43" s="19"/>
      <c r="E43" s="29" t="str">
        <f>IF(B43="","",IF(COUNTA($B$6:$B$69)&lt;=(E5-D5+1),(D5+MOD(A43-1,(E5-D5+1))),(D5+MOD(A43-1,(E5-D5+1)))&amp;CHAR(65+FLOOR((A43-1)/(E5-D5+1),1))))</f>
        <v/>
      </c>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1" t="str">
        <f t="shared" si="12"/>
        <v/>
      </c>
      <c r="AQ43" s="31" t="str">
        <f t="shared" si="13"/>
        <v/>
      </c>
      <c r="AR43" s="31" t="str">
        <f t="shared" si="14"/>
        <v/>
      </c>
      <c r="AS43" s="31" t="str">
        <f t="shared" si="15"/>
        <v/>
      </c>
      <c r="AT43" s="31" t="str">
        <f t="shared" si="16"/>
        <v/>
      </c>
      <c r="AU43" s="31" t="str">
        <f t="shared" si="17"/>
        <v/>
      </c>
      <c r="AV43" s="32" t="str">
        <f t="shared" si="18"/>
        <v/>
      </c>
      <c r="AW43" s="33" t="str">
        <f t="shared" si="19"/>
        <v/>
      </c>
      <c r="AX43" s="34" t="str">
        <f t="shared" si="20"/>
        <v/>
      </c>
      <c r="AY43" s="34" t="str">
        <f t="shared" si="21"/>
        <v/>
      </c>
      <c r="AZ43" s="40" t="str">
        <f t="shared" si="22"/>
        <v/>
      </c>
      <c r="BA43" s="36"/>
      <c r="BB43" s="41" t="str">
        <f t="shared" si="23"/>
        <v/>
      </c>
    </row>
    <row r="44" spans="1:54" ht="21.75" customHeight="1" x14ac:dyDescent="0.35">
      <c r="A44" s="27" t="str">
        <f>IF(B44&lt;&gt;"",COUNTA($B$6:B44),"")</f>
        <v/>
      </c>
      <c r="B44" s="28"/>
      <c r="C44" s="16"/>
      <c r="D44" s="17"/>
      <c r="E44" s="29" t="str">
        <f>IF(B44="","",IF(COUNTA($B$6:$B$69)&lt;=(E5-D5+1),(D5+MOD(A44-1,(E5-D5+1))),(D5+MOD(A44-1,(E5-D5+1)))&amp;CHAR(65+FLOOR((A44-1)/(E5-D5+1),1))))</f>
        <v/>
      </c>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1" t="str">
        <f t="shared" si="12"/>
        <v/>
      </c>
      <c r="AQ44" s="31" t="str">
        <f t="shared" si="13"/>
        <v/>
      </c>
      <c r="AR44" s="31" t="str">
        <f t="shared" si="14"/>
        <v/>
      </c>
      <c r="AS44" s="31" t="str">
        <f t="shared" si="15"/>
        <v/>
      </c>
      <c r="AT44" s="31" t="str">
        <f t="shared" si="16"/>
        <v/>
      </c>
      <c r="AU44" s="31" t="str">
        <f t="shared" si="17"/>
        <v/>
      </c>
      <c r="AV44" s="32" t="str">
        <f t="shared" si="18"/>
        <v/>
      </c>
      <c r="AW44" s="33" t="str">
        <f t="shared" si="19"/>
        <v/>
      </c>
      <c r="AX44" s="34" t="str">
        <f t="shared" si="20"/>
        <v/>
      </c>
      <c r="AY44" s="34" t="str">
        <f t="shared" si="21"/>
        <v/>
      </c>
      <c r="AZ44" s="35" t="str">
        <f t="shared" si="22"/>
        <v/>
      </c>
      <c r="BA44" s="36"/>
      <c r="BB44" s="37" t="str">
        <f t="shared" si="23"/>
        <v/>
      </c>
    </row>
    <row r="45" spans="1:54" ht="21.75" customHeight="1" x14ac:dyDescent="0.35">
      <c r="A45" s="38" t="str">
        <f>IF(B45&lt;&gt;"",COUNTA($B$6:B45),"")</f>
        <v/>
      </c>
      <c r="B45" s="39"/>
      <c r="C45" s="18"/>
      <c r="D45" s="19"/>
      <c r="E45" s="29" t="str">
        <f>IF(B45="","",IF(COUNTA($B$6:$B$69)&lt;=(E5-D5+1),(D5+MOD(A45-1,(E5-D5+1))),(D5+MOD(A45-1,(E5-D5+1)))&amp;CHAR(65+FLOOR((A45-1)/(E5-D5+1),1))))</f>
        <v/>
      </c>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1" t="str">
        <f t="shared" si="12"/>
        <v/>
      </c>
      <c r="AQ45" s="31" t="str">
        <f t="shared" si="13"/>
        <v/>
      </c>
      <c r="AR45" s="31" t="str">
        <f t="shared" si="14"/>
        <v/>
      </c>
      <c r="AS45" s="31" t="str">
        <f t="shared" si="15"/>
        <v/>
      </c>
      <c r="AT45" s="31" t="str">
        <f t="shared" si="16"/>
        <v/>
      </c>
      <c r="AU45" s="31" t="str">
        <f t="shared" si="17"/>
        <v/>
      </c>
      <c r="AV45" s="32" t="str">
        <f t="shared" si="18"/>
        <v/>
      </c>
      <c r="AW45" s="33" t="str">
        <f t="shared" si="19"/>
        <v/>
      </c>
      <c r="AX45" s="34" t="str">
        <f t="shared" si="20"/>
        <v/>
      </c>
      <c r="AY45" s="34" t="str">
        <f t="shared" si="21"/>
        <v/>
      </c>
      <c r="AZ45" s="40" t="str">
        <f t="shared" si="22"/>
        <v/>
      </c>
      <c r="BA45" s="36"/>
      <c r="BB45" s="41" t="str">
        <f t="shared" si="23"/>
        <v/>
      </c>
    </row>
    <row r="46" spans="1:54" ht="21.75" customHeight="1" x14ac:dyDescent="0.35">
      <c r="A46" s="27" t="str">
        <f>IF(B46&lt;&gt;"",COUNTA($B$6:B46),"")</f>
        <v/>
      </c>
      <c r="B46" s="28"/>
      <c r="C46" s="16"/>
      <c r="D46" s="17"/>
      <c r="E46" s="29" t="str">
        <f>IF(B46="","",IF(COUNTA($B$6:$B$69)&lt;=(E5-D5+1),(D5+MOD(A46-1,(E5-D5+1))),(D5+MOD(A46-1,(E5-D5+1)))&amp;CHAR(65+FLOOR((A46-1)/(E5-D5+1),1))))</f>
        <v/>
      </c>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1" t="str">
        <f t="shared" si="12"/>
        <v/>
      </c>
      <c r="AQ46" s="31" t="str">
        <f t="shared" si="13"/>
        <v/>
      </c>
      <c r="AR46" s="31" t="str">
        <f t="shared" si="14"/>
        <v/>
      </c>
      <c r="AS46" s="31" t="str">
        <f t="shared" si="15"/>
        <v/>
      </c>
      <c r="AT46" s="31" t="str">
        <f t="shared" si="16"/>
        <v/>
      </c>
      <c r="AU46" s="31" t="str">
        <f t="shared" si="17"/>
        <v/>
      </c>
      <c r="AV46" s="32" t="str">
        <f t="shared" si="18"/>
        <v/>
      </c>
      <c r="AW46" s="33" t="str">
        <f t="shared" si="19"/>
        <v/>
      </c>
      <c r="AX46" s="34" t="str">
        <f t="shared" si="20"/>
        <v/>
      </c>
      <c r="AY46" s="34" t="str">
        <f t="shared" si="21"/>
        <v/>
      </c>
      <c r="AZ46" s="35" t="str">
        <f t="shared" si="22"/>
        <v/>
      </c>
      <c r="BA46" s="36"/>
      <c r="BB46" s="37" t="str">
        <f t="shared" si="23"/>
        <v/>
      </c>
    </row>
    <row r="47" spans="1:54" ht="21.75" customHeight="1" x14ac:dyDescent="0.35">
      <c r="A47" s="38" t="str">
        <f>IF(B47&lt;&gt;"",COUNTA($B$6:B47),"")</f>
        <v/>
      </c>
      <c r="B47" s="39"/>
      <c r="C47" s="18"/>
      <c r="D47" s="19"/>
      <c r="E47" s="29" t="str">
        <f>IF(B47="","",IF(COUNTA($B$6:$B$69)&lt;=(E5-D5+1),(D5+MOD(A47-1,(E5-D5+1))),(D5+MOD(A47-1,(E5-D5+1)))&amp;CHAR(65+FLOOR((A47-1)/(E5-D5+1),1))))</f>
        <v/>
      </c>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1" t="str">
        <f t="shared" si="12"/>
        <v/>
      </c>
      <c r="AQ47" s="31" t="str">
        <f t="shared" si="13"/>
        <v/>
      </c>
      <c r="AR47" s="31" t="str">
        <f t="shared" si="14"/>
        <v/>
      </c>
      <c r="AS47" s="31" t="str">
        <f t="shared" si="15"/>
        <v/>
      </c>
      <c r="AT47" s="31" t="str">
        <f t="shared" si="16"/>
        <v/>
      </c>
      <c r="AU47" s="31" t="str">
        <f t="shared" si="17"/>
        <v/>
      </c>
      <c r="AV47" s="32" t="str">
        <f t="shared" si="18"/>
        <v/>
      </c>
      <c r="AW47" s="33" t="str">
        <f t="shared" si="19"/>
        <v/>
      </c>
      <c r="AX47" s="34" t="str">
        <f t="shared" si="20"/>
        <v/>
      </c>
      <c r="AY47" s="34" t="str">
        <f t="shared" si="21"/>
        <v/>
      </c>
      <c r="AZ47" s="40" t="str">
        <f t="shared" si="22"/>
        <v/>
      </c>
      <c r="BA47" s="36"/>
      <c r="BB47" s="41" t="str">
        <f t="shared" si="23"/>
        <v/>
      </c>
    </row>
    <row r="48" spans="1:54" ht="21.75" customHeight="1" x14ac:dyDescent="0.35">
      <c r="A48" s="27" t="str">
        <f>IF(B48&lt;&gt;"",COUNTA($B$6:B48),"")</f>
        <v/>
      </c>
      <c r="B48" s="28"/>
      <c r="C48" s="16"/>
      <c r="D48" s="17"/>
      <c r="E48" s="29" t="str">
        <f>IF(B48="","",IF(COUNTA($B$6:$B$69)&lt;=(E5-D5+1),(D5+MOD(A48-1,(E5-D5+1))),(D5+MOD(A48-1,(E5-D5+1)))&amp;CHAR(65+FLOOR((A48-1)/(E5-D5+1),1))))</f>
        <v/>
      </c>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1" t="str">
        <f t="shared" si="12"/>
        <v/>
      </c>
      <c r="AQ48" s="31" t="str">
        <f t="shared" si="13"/>
        <v/>
      </c>
      <c r="AR48" s="31" t="str">
        <f t="shared" si="14"/>
        <v/>
      </c>
      <c r="AS48" s="31" t="str">
        <f t="shared" si="15"/>
        <v/>
      </c>
      <c r="AT48" s="31" t="str">
        <f t="shared" si="16"/>
        <v/>
      </c>
      <c r="AU48" s="31" t="str">
        <f t="shared" si="17"/>
        <v/>
      </c>
      <c r="AV48" s="32" t="str">
        <f t="shared" si="18"/>
        <v/>
      </c>
      <c r="AW48" s="33" t="str">
        <f t="shared" si="19"/>
        <v/>
      </c>
      <c r="AX48" s="34" t="str">
        <f t="shared" si="20"/>
        <v/>
      </c>
      <c r="AY48" s="34" t="str">
        <f t="shared" si="21"/>
        <v/>
      </c>
      <c r="AZ48" s="35" t="str">
        <f t="shared" si="22"/>
        <v/>
      </c>
      <c r="BA48" s="36"/>
      <c r="BB48" s="37" t="str">
        <f t="shared" si="23"/>
        <v/>
      </c>
    </row>
    <row r="49" spans="1:54" ht="21.75" customHeight="1" x14ac:dyDescent="0.35">
      <c r="A49" s="38" t="str">
        <f>IF(B49&lt;&gt;"",COUNTA($B$6:B49),"")</f>
        <v/>
      </c>
      <c r="B49" s="39"/>
      <c r="C49" s="18"/>
      <c r="D49" s="19"/>
      <c r="E49" s="29" t="str">
        <f>IF(B49="","",IF(COUNTA($B$6:$B$69)&lt;=(E5-D5+1),(D5+MOD(A49-1,(E5-D5+1))),(D5+MOD(A49-1,(E5-D5+1)))&amp;CHAR(65+FLOOR((A49-1)/(E5-D5+1),1))))</f>
        <v/>
      </c>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1" t="str">
        <f t="shared" si="12"/>
        <v/>
      </c>
      <c r="AQ49" s="31" t="str">
        <f t="shared" si="13"/>
        <v/>
      </c>
      <c r="AR49" s="31" t="str">
        <f t="shared" si="14"/>
        <v/>
      </c>
      <c r="AS49" s="31" t="str">
        <f t="shared" si="15"/>
        <v/>
      </c>
      <c r="AT49" s="31" t="str">
        <f t="shared" si="16"/>
        <v/>
      </c>
      <c r="AU49" s="31" t="str">
        <f t="shared" si="17"/>
        <v/>
      </c>
      <c r="AV49" s="32" t="str">
        <f t="shared" si="18"/>
        <v/>
      </c>
      <c r="AW49" s="33" t="str">
        <f t="shared" si="19"/>
        <v/>
      </c>
      <c r="AX49" s="34" t="str">
        <f t="shared" si="20"/>
        <v/>
      </c>
      <c r="AY49" s="34" t="str">
        <f t="shared" si="21"/>
        <v/>
      </c>
      <c r="AZ49" s="40" t="str">
        <f t="shared" si="22"/>
        <v/>
      </c>
      <c r="BA49" s="36"/>
      <c r="BB49" s="41" t="str">
        <f t="shared" si="23"/>
        <v/>
      </c>
    </row>
    <row r="50" spans="1:54" ht="21.75" customHeight="1" x14ac:dyDescent="0.35">
      <c r="A50" s="27" t="str">
        <f>IF(B50&lt;&gt;"",COUNTA($B$6:B50),"")</f>
        <v/>
      </c>
      <c r="B50" s="28"/>
      <c r="C50" s="16"/>
      <c r="D50" s="17"/>
      <c r="E50" s="29" t="str">
        <f>IF(B50="","",IF(COUNTA($B$6:$B$69)&lt;=(E5-D5+1),(D5+MOD(A50-1,(E5-D5+1))),(D5+MOD(A50-1,(E5-D5+1)))&amp;CHAR(65+FLOOR((A50-1)/(E5-D5+1),1))))</f>
        <v/>
      </c>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1" t="str">
        <f t="shared" si="12"/>
        <v/>
      </c>
      <c r="AQ50" s="31" t="str">
        <f t="shared" si="13"/>
        <v/>
      </c>
      <c r="AR50" s="31" t="str">
        <f t="shared" si="14"/>
        <v/>
      </c>
      <c r="AS50" s="31" t="str">
        <f t="shared" si="15"/>
        <v/>
      </c>
      <c r="AT50" s="31" t="str">
        <f t="shared" si="16"/>
        <v/>
      </c>
      <c r="AU50" s="31" t="str">
        <f t="shared" si="17"/>
        <v/>
      </c>
      <c r="AV50" s="32" t="str">
        <f t="shared" si="18"/>
        <v/>
      </c>
      <c r="AW50" s="33" t="str">
        <f t="shared" si="19"/>
        <v/>
      </c>
      <c r="AX50" s="34" t="str">
        <f t="shared" si="20"/>
        <v/>
      </c>
      <c r="AY50" s="34" t="str">
        <f t="shared" si="21"/>
        <v/>
      </c>
      <c r="AZ50" s="35" t="str">
        <f t="shared" si="22"/>
        <v/>
      </c>
      <c r="BA50" s="36"/>
      <c r="BB50" s="37" t="str">
        <f t="shared" si="23"/>
        <v/>
      </c>
    </row>
    <row r="51" spans="1:54" ht="21.75" customHeight="1" x14ac:dyDescent="0.35">
      <c r="A51" s="38" t="str">
        <f>IF(B51&lt;&gt;"",COUNTA($B$6:B51),"")</f>
        <v/>
      </c>
      <c r="B51" s="39"/>
      <c r="C51" s="18"/>
      <c r="D51" s="19"/>
      <c r="E51" s="29" t="str">
        <f>IF(B51="","",IF(COUNTA($B$6:$B$69)&lt;=(E5-D5+1),(D5+MOD(A51-1,(E5-D5+1))),(D5+MOD(A51-1,(E5-D5+1)))&amp;CHAR(65+FLOOR((A51-1)/(E5-D5+1),1))))</f>
        <v/>
      </c>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1" t="str">
        <f t="shared" si="12"/>
        <v/>
      </c>
      <c r="AQ51" s="31" t="str">
        <f t="shared" si="13"/>
        <v/>
      </c>
      <c r="AR51" s="31" t="str">
        <f t="shared" si="14"/>
        <v/>
      </c>
      <c r="AS51" s="31" t="str">
        <f t="shared" si="15"/>
        <v/>
      </c>
      <c r="AT51" s="31" t="str">
        <f t="shared" si="16"/>
        <v/>
      </c>
      <c r="AU51" s="31" t="str">
        <f t="shared" si="17"/>
        <v/>
      </c>
      <c r="AV51" s="32" t="str">
        <f t="shared" si="18"/>
        <v/>
      </c>
      <c r="AW51" s="33" t="str">
        <f t="shared" si="19"/>
        <v/>
      </c>
      <c r="AX51" s="34" t="str">
        <f t="shared" si="20"/>
        <v/>
      </c>
      <c r="AY51" s="34" t="str">
        <f t="shared" si="21"/>
        <v/>
      </c>
      <c r="AZ51" s="40" t="str">
        <f t="shared" si="22"/>
        <v/>
      </c>
      <c r="BA51" s="36"/>
      <c r="BB51" s="41" t="str">
        <f t="shared" si="23"/>
        <v/>
      </c>
    </row>
    <row r="52" spans="1:54" ht="21.75" customHeight="1" x14ac:dyDescent="0.35">
      <c r="A52" s="27" t="str">
        <f>IF(B52&lt;&gt;"",COUNTA($B$6:B52),"")</f>
        <v/>
      </c>
      <c r="B52" s="28"/>
      <c r="C52" s="16"/>
      <c r="D52" s="17"/>
      <c r="E52" s="29" t="str">
        <f>IF(B52="","",IF(COUNTA($B$6:$B$69)&lt;=(E5-D5+1),(D5+MOD(A52-1,(E5-D5+1))),(D5+MOD(A52-1,(E5-D5+1)))&amp;CHAR(65+FLOOR((A52-1)/(E5-D5+1),1))))</f>
        <v/>
      </c>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1" t="str">
        <f t="shared" si="12"/>
        <v/>
      </c>
      <c r="AQ52" s="31" t="str">
        <f t="shared" si="13"/>
        <v/>
      </c>
      <c r="AR52" s="31" t="str">
        <f t="shared" si="14"/>
        <v/>
      </c>
      <c r="AS52" s="31" t="str">
        <f t="shared" si="15"/>
        <v/>
      </c>
      <c r="AT52" s="31" t="str">
        <f t="shared" si="16"/>
        <v/>
      </c>
      <c r="AU52" s="31" t="str">
        <f t="shared" si="17"/>
        <v/>
      </c>
      <c r="AV52" s="32" t="str">
        <f t="shared" si="18"/>
        <v/>
      </c>
      <c r="AW52" s="33" t="str">
        <f t="shared" si="19"/>
        <v/>
      </c>
      <c r="AX52" s="34" t="str">
        <f t="shared" si="20"/>
        <v/>
      </c>
      <c r="AY52" s="34" t="str">
        <f t="shared" si="21"/>
        <v/>
      </c>
      <c r="AZ52" s="35" t="str">
        <f t="shared" si="22"/>
        <v/>
      </c>
      <c r="BA52" s="36"/>
      <c r="BB52" s="37" t="str">
        <f t="shared" si="23"/>
        <v/>
      </c>
    </row>
    <row r="53" spans="1:54" ht="21.75" customHeight="1" x14ac:dyDescent="0.35">
      <c r="A53" s="38" t="str">
        <f>IF(B53&lt;&gt;"",COUNTA($B$6:B53),"")</f>
        <v/>
      </c>
      <c r="B53" s="39"/>
      <c r="C53" s="18"/>
      <c r="D53" s="19"/>
      <c r="E53" s="29" t="str">
        <f>IF(B53="","",IF(COUNTA($B$6:$B$69)&lt;=(E5-D5+1),(D5+MOD(A53-1,(E5-D5+1))),(D5+MOD(A53-1,(E5-D5+1)))&amp;CHAR(65+FLOOR((A53-1)/(E5-D5+1),1))))</f>
        <v/>
      </c>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1" t="str">
        <f t="shared" si="12"/>
        <v/>
      </c>
      <c r="AQ53" s="31" t="str">
        <f t="shared" si="13"/>
        <v/>
      </c>
      <c r="AR53" s="31" t="str">
        <f t="shared" si="14"/>
        <v/>
      </c>
      <c r="AS53" s="31" t="str">
        <f t="shared" si="15"/>
        <v/>
      </c>
      <c r="AT53" s="31" t="str">
        <f t="shared" si="16"/>
        <v/>
      </c>
      <c r="AU53" s="31" t="str">
        <f t="shared" si="17"/>
        <v/>
      </c>
      <c r="AV53" s="32" t="str">
        <f t="shared" si="18"/>
        <v/>
      </c>
      <c r="AW53" s="33" t="str">
        <f t="shared" si="19"/>
        <v/>
      </c>
      <c r="AX53" s="34" t="str">
        <f t="shared" si="20"/>
        <v/>
      </c>
      <c r="AY53" s="34" t="str">
        <f t="shared" si="21"/>
        <v/>
      </c>
      <c r="AZ53" s="40" t="str">
        <f t="shared" si="22"/>
        <v/>
      </c>
      <c r="BA53" s="36"/>
      <c r="BB53" s="41" t="str">
        <f t="shared" si="23"/>
        <v/>
      </c>
    </row>
    <row r="54" spans="1:54" ht="21.75" customHeight="1" x14ac:dyDescent="0.35">
      <c r="A54" s="27" t="str">
        <f>IF(B54&lt;&gt;"",COUNTA($B$6:B54),"")</f>
        <v/>
      </c>
      <c r="B54" s="28"/>
      <c r="C54" s="16"/>
      <c r="D54" s="17"/>
      <c r="E54" s="29" t="str">
        <f>IF(B54="","",IF(COUNTA($B$6:$B$69)&lt;=(E5-D5+1),(D5+MOD(A54-1,(E5-D5+1))),(D5+MOD(A54-1,(E5-D5+1)))&amp;CHAR(65+FLOOR((A54-1)/(E5-D5+1),1))))</f>
        <v/>
      </c>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1" t="str">
        <f t="shared" si="12"/>
        <v/>
      </c>
      <c r="AQ54" s="31" t="str">
        <f t="shared" si="13"/>
        <v/>
      </c>
      <c r="AR54" s="31" t="str">
        <f t="shared" si="14"/>
        <v/>
      </c>
      <c r="AS54" s="31" t="str">
        <f t="shared" si="15"/>
        <v/>
      </c>
      <c r="AT54" s="31" t="str">
        <f t="shared" si="16"/>
        <v/>
      </c>
      <c r="AU54" s="31" t="str">
        <f t="shared" si="17"/>
        <v/>
      </c>
      <c r="AV54" s="32" t="str">
        <f t="shared" si="18"/>
        <v/>
      </c>
      <c r="AW54" s="33" t="str">
        <f t="shared" si="19"/>
        <v/>
      </c>
      <c r="AX54" s="34" t="str">
        <f t="shared" si="20"/>
        <v/>
      </c>
      <c r="AY54" s="34" t="str">
        <f t="shared" si="21"/>
        <v/>
      </c>
      <c r="AZ54" s="35" t="str">
        <f t="shared" si="22"/>
        <v/>
      </c>
      <c r="BA54" s="36"/>
      <c r="BB54" s="37" t="str">
        <f t="shared" si="23"/>
        <v/>
      </c>
    </row>
    <row r="55" spans="1:54" ht="21.75" customHeight="1" x14ac:dyDescent="0.35">
      <c r="A55" s="38" t="str">
        <f>IF(B55&lt;&gt;"",COUNTA($B$6:B55),"")</f>
        <v/>
      </c>
      <c r="B55" s="39"/>
      <c r="C55" s="18"/>
      <c r="D55" s="19"/>
      <c r="E55" s="29" t="str">
        <f>IF(B55="","",IF(COUNTA($B$6:$B$69)&lt;=(E5-D5+1),(D5+MOD(A55-1,(E5-D5+1))),(D5+MOD(A55-1,(E5-D5+1)))&amp;CHAR(65+FLOOR((A55-1)/(E5-D5+1),1))))</f>
        <v/>
      </c>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1" t="str">
        <f t="shared" si="12"/>
        <v/>
      </c>
      <c r="AQ55" s="31" t="str">
        <f t="shared" si="13"/>
        <v/>
      </c>
      <c r="AR55" s="31" t="str">
        <f t="shared" si="14"/>
        <v/>
      </c>
      <c r="AS55" s="31" t="str">
        <f t="shared" si="15"/>
        <v/>
      </c>
      <c r="AT55" s="31" t="str">
        <f t="shared" si="16"/>
        <v/>
      </c>
      <c r="AU55" s="31" t="str">
        <f t="shared" si="17"/>
        <v/>
      </c>
      <c r="AV55" s="32" t="str">
        <f t="shared" si="18"/>
        <v/>
      </c>
      <c r="AW55" s="33" t="str">
        <f t="shared" si="19"/>
        <v/>
      </c>
      <c r="AX55" s="34" t="str">
        <f t="shared" si="20"/>
        <v/>
      </c>
      <c r="AY55" s="34" t="str">
        <f t="shared" si="21"/>
        <v/>
      </c>
      <c r="AZ55" s="40" t="str">
        <f t="shared" si="22"/>
        <v/>
      </c>
      <c r="BA55" s="36"/>
      <c r="BB55" s="41" t="str">
        <f t="shared" si="23"/>
        <v/>
      </c>
    </row>
    <row r="56" spans="1:54" ht="21.75" customHeight="1" x14ac:dyDescent="0.35">
      <c r="A56" s="27" t="str">
        <f>IF(B56&lt;&gt;"",COUNTA($B$6:B56),"")</f>
        <v/>
      </c>
      <c r="B56" s="28"/>
      <c r="C56" s="16"/>
      <c r="D56" s="17"/>
      <c r="E56" s="29" t="str">
        <f>IF(B56="","",IF(COUNTA($B$6:$B$69)&lt;=(E5-D5+1),(D5+MOD(A56-1,(E5-D5+1))),(D5+MOD(A56-1,(E5-D5+1)))&amp;CHAR(65+FLOOR((A56-1)/(E5-D5+1),1))))</f>
        <v/>
      </c>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1" t="str">
        <f t="shared" si="12"/>
        <v/>
      </c>
      <c r="AQ56" s="31" t="str">
        <f t="shared" si="13"/>
        <v/>
      </c>
      <c r="AR56" s="31" t="str">
        <f t="shared" si="14"/>
        <v/>
      </c>
      <c r="AS56" s="31" t="str">
        <f t="shared" si="15"/>
        <v/>
      </c>
      <c r="AT56" s="31" t="str">
        <f t="shared" si="16"/>
        <v/>
      </c>
      <c r="AU56" s="31" t="str">
        <f t="shared" si="17"/>
        <v/>
      </c>
      <c r="AV56" s="32" t="str">
        <f t="shared" si="18"/>
        <v/>
      </c>
      <c r="AW56" s="33" t="str">
        <f t="shared" si="19"/>
        <v/>
      </c>
      <c r="AX56" s="34" t="str">
        <f t="shared" si="20"/>
        <v/>
      </c>
      <c r="AY56" s="34" t="str">
        <f t="shared" si="21"/>
        <v/>
      </c>
      <c r="AZ56" s="35" t="str">
        <f t="shared" si="22"/>
        <v/>
      </c>
      <c r="BA56" s="36"/>
      <c r="BB56" s="37" t="str">
        <f t="shared" si="23"/>
        <v/>
      </c>
    </row>
    <row r="57" spans="1:54" ht="21.75" customHeight="1" x14ac:dyDescent="0.35">
      <c r="A57" s="38" t="str">
        <f>IF(B57&lt;&gt;"",COUNTA($B$6:B57),"")</f>
        <v/>
      </c>
      <c r="B57" s="39"/>
      <c r="C57" s="18"/>
      <c r="D57" s="19"/>
      <c r="E57" s="29" t="str">
        <f>IF(B57="","",IF(COUNTA($B$6:$B$69)&lt;=(E5-D5+1),(D5+MOD(A57-1,(E5-D5+1))),(D5+MOD(A57-1,(E5-D5+1)))&amp;CHAR(65+FLOOR((A57-1)/(E5-D5+1),1))))</f>
        <v/>
      </c>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1" t="str">
        <f t="shared" si="12"/>
        <v/>
      </c>
      <c r="AQ57" s="31" t="str">
        <f t="shared" si="13"/>
        <v/>
      </c>
      <c r="AR57" s="31" t="str">
        <f t="shared" si="14"/>
        <v/>
      </c>
      <c r="AS57" s="31" t="str">
        <f t="shared" si="15"/>
        <v/>
      </c>
      <c r="AT57" s="31" t="str">
        <f t="shared" si="16"/>
        <v/>
      </c>
      <c r="AU57" s="31" t="str">
        <f t="shared" si="17"/>
        <v/>
      </c>
      <c r="AV57" s="32" t="str">
        <f t="shared" si="18"/>
        <v/>
      </c>
      <c r="AW57" s="33" t="str">
        <f t="shared" si="19"/>
        <v/>
      </c>
      <c r="AX57" s="34" t="str">
        <f t="shared" si="20"/>
        <v/>
      </c>
      <c r="AY57" s="34" t="str">
        <f t="shared" si="21"/>
        <v/>
      </c>
      <c r="AZ57" s="40" t="str">
        <f t="shared" si="22"/>
        <v/>
      </c>
      <c r="BA57" s="36"/>
      <c r="BB57" s="41" t="str">
        <f t="shared" si="23"/>
        <v/>
      </c>
    </row>
    <row r="58" spans="1:54" ht="21.75" customHeight="1" x14ac:dyDescent="0.35">
      <c r="A58" s="27" t="str">
        <f>IF(B58&lt;&gt;"",COUNTA($B$6:B58),"")</f>
        <v/>
      </c>
      <c r="B58" s="28"/>
      <c r="C58" s="16"/>
      <c r="D58" s="17"/>
      <c r="E58" s="29" t="str">
        <f>IF(B58="","",IF(COUNTA($B$6:$B$69)&lt;=(E5-D5+1),(D5+MOD(A58-1,(E5-D5+1))),(D5+MOD(A58-1,(E5-D5+1)))&amp;CHAR(65+FLOOR((A58-1)/(E5-D5+1),1))))</f>
        <v/>
      </c>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1" t="str">
        <f t="shared" si="12"/>
        <v/>
      </c>
      <c r="AQ58" s="31" t="str">
        <f t="shared" si="13"/>
        <v/>
      </c>
      <c r="AR58" s="31" t="str">
        <f t="shared" si="14"/>
        <v/>
      </c>
      <c r="AS58" s="31" t="str">
        <f t="shared" si="15"/>
        <v/>
      </c>
      <c r="AT58" s="31" t="str">
        <f t="shared" si="16"/>
        <v/>
      </c>
      <c r="AU58" s="31" t="str">
        <f t="shared" si="17"/>
        <v/>
      </c>
      <c r="AV58" s="32" t="str">
        <f t="shared" si="18"/>
        <v/>
      </c>
      <c r="AW58" s="33" t="str">
        <f t="shared" si="19"/>
        <v/>
      </c>
      <c r="AX58" s="34" t="str">
        <f t="shared" si="20"/>
        <v/>
      </c>
      <c r="AY58" s="34" t="str">
        <f t="shared" si="21"/>
        <v/>
      </c>
      <c r="AZ58" s="35" t="str">
        <f t="shared" si="22"/>
        <v/>
      </c>
      <c r="BA58" s="36"/>
      <c r="BB58" s="37" t="str">
        <f t="shared" si="23"/>
        <v/>
      </c>
    </row>
    <row r="59" spans="1:54" ht="21.75" customHeight="1" x14ac:dyDescent="0.35">
      <c r="A59" s="38" t="str">
        <f>IF(B59&lt;&gt;"",COUNTA($B$6:B59),"")</f>
        <v/>
      </c>
      <c r="B59" s="39"/>
      <c r="C59" s="18"/>
      <c r="D59" s="19"/>
      <c r="E59" s="29" t="str">
        <f>IF(B59="","",IF(COUNTA($B$6:$B$69)&lt;=(E5-D5+1),(D5+MOD(A59-1,(E5-D5+1))),(D5+MOD(A59-1,(E5-D5+1)))&amp;CHAR(65+FLOOR((A59-1)/(E5-D5+1),1))))</f>
        <v/>
      </c>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1" t="str">
        <f t="shared" si="12"/>
        <v/>
      </c>
      <c r="AQ59" s="31" t="str">
        <f t="shared" si="13"/>
        <v/>
      </c>
      <c r="AR59" s="31" t="str">
        <f t="shared" si="14"/>
        <v/>
      </c>
      <c r="AS59" s="31" t="str">
        <f t="shared" si="15"/>
        <v/>
      </c>
      <c r="AT59" s="31" t="str">
        <f t="shared" si="16"/>
        <v/>
      </c>
      <c r="AU59" s="31" t="str">
        <f t="shared" si="17"/>
        <v/>
      </c>
      <c r="AV59" s="32" t="str">
        <f t="shared" si="18"/>
        <v/>
      </c>
      <c r="AW59" s="33" t="str">
        <f t="shared" si="19"/>
        <v/>
      </c>
      <c r="AX59" s="34" t="str">
        <f t="shared" si="20"/>
        <v/>
      </c>
      <c r="AY59" s="34" t="str">
        <f t="shared" si="21"/>
        <v/>
      </c>
      <c r="AZ59" s="40" t="str">
        <f t="shared" si="22"/>
        <v/>
      </c>
      <c r="BA59" s="36"/>
      <c r="BB59" s="41" t="str">
        <f t="shared" si="23"/>
        <v/>
      </c>
    </row>
    <row r="60" spans="1:54" ht="21.75" customHeight="1" x14ac:dyDescent="0.35">
      <c r="A60" s="27" t="str">
        <f>IF(B60&lt;&gt;"",COUNTA($B$6:B60),"")</f>
        <v/>
      </c>
      <c r="B60" s="28"/>
      <c r="C60" s="16"/>
      <c r="D60" s="17"/>
      <c r="E60" s="29" t="str">
        <f>IF(B60="","",IF(COUNTA($B$6:$B$69)&lt;=(E5-D5+1),(D5+MOD(A60-1,(E5-D5+1))),(D5+MOD(A60-1,(E5-D5+1)))&amp;CHAR(65+FLOOR((A60-1)/(E5-D5+1),1))))</f>
        <v/>
      </c>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1" t="str">
        <f t="shared" si="12"/>
        <v/>
      </c>
      <c r="AQ60" s="31" t="str">
        <f t="shared" si="13"/>
        <v/>
      </c>
      <c r="AR60" s="31" t="str">
        <f t="shared" si="14"/>
        <v/>
      </c>
      <c r="AS60" s="31" t="str">
        <f t="shared" si="15"/>
        <v/>
      </c>
      <c r="AT60" s="31" t="str">
        <f t="shared" si="16"/>
        <v/>
      </c>
      <c r="AU60" s="31" t="str">
        <f t="shared" si="17"/>
        <v/>
      </c>
      <c r="AV60" s="32" t="str">
        <f t="shared" si="18"/>
        <v/>
      </c>
      <c r="AW60" s="33" t="str">
        <f t="shared" si="19"/>
        <v/>
      </c>
      <c r="AX60" s="34" t="str">
        <f t="shared" si="20"/>
        <v/>
      </c>
      <c r="AY60" s="34" t="str">
        <f t="shared" si="21"/>
        <v/>
      </c>
      <c r="AZ60" s="35" t="str">
        <f t="shared" si="22"/>
        <v/>
      </c>
      <c r="BA60" s="36"/>
      <c r="BB60" s="37" t="str">
        <f t="shared" si="23"/>
        <v/>
      </c>
    </row>
    <row r="61" spans="1:54" ht="21.75" customHeight="1" x14ac:dyDescent="0.35">
      <c r="A61" s="38" t="str">
        <f>IF(B61&lt;&gt;"",COUNTA($B$6:B61),"")</f>
        <v/>
      </c>
      <c r="B61" s="39"/>
      <c r="C61" s="18"/>
      <c r="D61" s="19"/>
      <c r="E61" s="29" t="str">
        <f>IF(B61="","",IF(COUNTA($B$6:$B$69)&lt;=(E5-D5+1),(D5+MOD(A61-1,(E5-D5+1))),(D5+MOD(A61-1,(E5-D5+1)))&amp;CHAR(65+FLOOR((A61-1)/(E5-D5+1),1))))</f>
        <v/>
      </c>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1" t="str">
        <f t="shared" si="12"/>
        <v/>
      </c>
      <c r="AQ61" s="31" t="str">
        <f t="shared" si="13"/>
        <v/>
      </c>
      <c r="AR61" s="31" t="str">
        <f t="shared" si="14"/>
        <v/>
      </c>
      <c r="AS61" s="31" t="str">
        <f t="shared" si="15"/>
        <v/>
      </c>
      <c r="AT61" s="31" t="str">
        <f t="shared" si="16"/>
        <v/>
      </c>
      <c r="AU61" s="31" t="str">
        <f t="shared" si="17"/>
        <v/>
      </c>
      <c r="AV61" s="32" t="str">
        <f t="shared" si="18"/>
        <v/>
      </c>
      <c r="AW61" s="33" t="str">
        <f t="shared" si="19"/>
        <v/>
      </c>
      <c r="AX61" s="34" t="str">
        <f t="shared" si="20"/>
        <v/>
      </c>
      <c r="AY61" s="34" t="str">
        <f t="shared" si="21"/>
        <v/>
      </c>
      <c r="AZ61" s="40" t="str">
        <f t="shared" si="22"/>
        <v/>
      </c>
      <c r="BA61" s="36"/>
      <c r="BB61" s="41" t="str">
        <f t="shared" si="23"/>
        <v/>
      </c>
    </row>
    <row r="62" spans="1:54" ht="21.75" customHeight="1" x14ac:dyDescent="0.35">
      <c r="A62" s="27" t="str">
        <f>IF(B62&lt;&gt;"",COUNTA($B$6:B62),"")</f>
        <v/>
      </c>
      <c r="B62" s="28"/>
      <c r="C62" s="16"/>
      <c r="D62" s="17"/>
      <c r="E62" s="29" t="str">
        <f>IF(B62="","",IF(COUNTA($B$6:$B$69)&lt;=(E5-D5+1),(D5+MOD(A62-1,(E5-D5+1))),(D5+MOD(A62-1,(E5-D5+1)))&amp;CHAR(65+FLOOR((A62-1)/(E5-D5+1),1))))</f>
        <v/>
      </c>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1" t="str">
        <f t="shared" si="12"/>
        <v/>
      </c>
      <c r="AQ62" s="31" t="str">
        <f t="shared" si="13"/>
        <v/>
      </c>
      <c r="AR62" s="31" t="str">
        <f t="shared" si="14"/>
        <v/>
      </c>
      <c r="AS62" s="31" t="str">
        <f t="shared" si="15"/>
        <v/>
      </c>
      <c r="AT62" s="31" t="str">
        <f t="shared" si="16"/>
        <v/>
      </c>
      <c r="AU62" s="31" t="str">
        <f t="shared" si="17"/>
        <v/>
      </c>
      <c r="AV62" s="32" t="str">
        <f t="shared" si="18"/>
        <v/>
      </c>
      <c r="AW62" s="33" t="str">
        <f t="shared" si="19"/>
        <v/>
      </c>
      <c r="AX62" s="34" t="str">
        <f t="shared" si="20"/>
        <v/>
      </c>
      <c r="AY62" s="34" t="str">
        <f t="shared" si="21"/>
        <v/>
      </c>
      <c r="AZ62" s="35" t="str">
        <f t="shared" si="22"/>
        <v/>
      </c>
      <c r="BA62" s="36"/>
      <c r="BB62" s="37" t="str">
        <f t="shared" si="23"/>
        <v/>
      </c>
    </row>
    <row r="63" spans="1:54" ht="21.75" customHeight="1" x14ac:dyDescent="0.35">
      <c r="A63" s="38" t="str">
        <f>IF(B63&lt;&gt;"",COUNTA($B$6:B63),"")</f>
        <v/>
      </c>
      <c r="B63" s="39"/>
      <c r="C63" s="18"/>
      <c r="D63" s="19"/>
      <c r="E63" s="29" t="str">
        <f>IF(B63="","",IF(COUNTA($B$6:$B$69)&lt;=(E5-D5+1),(D5+MOD(A63-1,(E5-D5+1))),(D5+MOD(A63-1,(E5-D5+1)))&amp;CHAR(65+FLOOR((A63-1)/(E5-D5+1),1))))</f>
        <v/>
      </c>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1" t="str">
        <f t="shared" si="12"/>
        <v/>
      </c>
      <c r="AQ63" s="31" t="str">
        <f t="shared" si="13"/>
        <v/>
      </c>
      <c r="AR63" s="31" t="str">
        <f t="shared" si="14"/>
        <v/>
      </c>
      <c r="AS63" s="31" t="str">
        <f t="shared" si="15"/>
        <v/>
      </c>
      <c r="AT63" s="31" t="str">
        <f t="shared" si="16"/>
        <v/>
      </c>
      <c r="AU63" s="31" t="str">
        <f t="shared" si="17"/>
        <v/>
      </c>
      <c r="AV63" s="32" t="str">
        <f t="shared" si="18"/>
        <v/>
      </c>
      <c r="AW63" s="33" t="str">
        <f t="shared" si="19"/>
        <v/>
      </c>
      <c r="AX63" s="34" t="str">
        <f t="shared" si="20"/>
        <v/>
      </c>
      <c r="AY63" s="34" t="str">
        <f t="shared" si="21"/>
        <v/>
      </c>
      <c r="AZ63" s="40" t="str">
        <f t="shared" si="22"/>
        <v/>
      </c>
      <c r="BA63" s="36"/>
      <c r="BB63" s="41" t="str">
        <f t="shared" si="23"/>
        <v/>
      </c>
    </row>
    <row r="64" spans="1:54" ht="21.75" customHeight="1" x14ac:dyDescent="0.35">
      <c r="A64" s="27" t="str">
        <f>IF(B64&lt;&gt;"",COUNTA($B$6:B64),"")</f>
        <v/>
      </c>
      <c r="B64" s="28"/>
      <c r="C64" s="16"/>
      <c r="D64" s="17"/>
      <c r="E64" s="29" t="str">
        <f>IF(B64="","",IF(COUNTA($B$6:$B$69)&lt;=(E5-D5+1),(D5+MOD(A64-1,(E5-D5+1))),(D5+MOD(A64-1,(E5-D5+1)))&amp;CHAR(65+FLOOR((A64-1)/(E5-D5+1),1))))</f>
        <v/>
      </c>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1" t="str">
        <f t="shared" si="12"/>
        <v/>
      </c>
      <c r="AQ64" s="31" t="str">
        <f t="shared" si="13"/>
        <v/>
      </c>
      <c r="AR64" s="31" t="str">
        <f t="shared" si="14"/>
        <v/>
      </c>
      <c r="AS64" s="31" t="str">
        <f t="shared" si="15"/>
        <v/>
      </c>
      <c r="AT64" s="31" t="str">
        <f t="shared" si="16"/>
        <v/>
      </c>
      <c r="AU64" s="31" t="str">
        <f t="shared" si="17"/>
        <v/>
      </c>
      <c r="AV64" s="32" t="str">
        <f t="shared" si="18"/>
        <v/>
      </c>
      <c r="AW64" s="33" t="str">
        <f t="shared" si="19"/>
        <v/>
      </c>
      <c r="AX64" s="34" t="str">
        <f t="shared" si="20"/>
        <v/>
      </c>
      <c r="AY64" s="34" t="str">
        <f t="shared" si="21"/>
        <v/>
      </c>
      <c r="AZ64" s="35" t="str">
        <f t="shared" si="22"/>
        <v/>
      </c>
      <c r="BA64" s="36"/>
      <c r="BB64" s="37" t="str">
        <f t="shared" si="23"/>
        <v/>
      </c>
    </row>
    <row r="65" spans="1:55" ht="21.75" customHeight="1" x14ac:dyDescent="0.35">
      <c r="A65" s="38" t="str">
        <f>IF(B65&lt;&gt;"",COUNTA($B$6:B65),"")</f>
        <v/>
      </c>
      <c r="B65" s="39"/>
      <c r="C65" s="18"/>
      <c r="D65" s="19"/>
      <c r="E65" s="29" t="str">
        <f>IF(B65="","",IF(COUNTA($B$6:$B$69)&lt;=(E5-D5+1),(D5+MOD(A65-1,(E5-D5+1))),(D5+MOD(A65-1,(E5-D5+1)))&amp;CHAR(65+FLOOR((A65-1)/(E5-D5+1),1))))</f>
        <v/>
      </c>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1" t="str">
        <f t="shared" si="12"/>
        <v/>
      </c>
      <c r="AQ65" s="31" t="str">
        <f t="shared" si="13"/>
        <v/>
      </c>
      <c r="AR65" s="31" t="str">
        <f t="shared" si="14"/>
        <v/>
      </c>
      <c r="AS65" s="31" t="str">
        <f t="shared" si="15"/>
        <v/>
      </c>
      <c r="AT65" s="31" t="str">
        <f t="shared" si="16"/>
        <v/>
      </c>
      <c r="AU65" s="31" t="str">
        <f t="shared" si="17"/>
        <v/>
      </c>
      <c r="AV65" s="32" t="str">
        <f t="shared" si="18"/>
        <v/>
      </c>
      <c r="AW65" s="33" t="str">
        <f t="shared" si="19"/>
        <v/>
      </c>
      <c r="AX65" s="34" t="str">
        <f t="shared" si="20"/>
        <v/>
      </c>
      <c r="AY65" s="34" t="str">
        <f t="shared" si="21"/>
        <v/>
      </c>
      <c r="AZ65" s="40" t="str">
        <f t="shared" si="22"/>
        <v/>
      </c>
      <c r="BA65" s="36"/>
      <c r="BB65" s="41" t="str">
        <f t="shared" si="23"/>
        <v/>
      </c>
    </row>
    <row r="66" spans="1:55" ht="21.75" customHeight="1" x14ac:dyDescent="0.35">
      <c r="A66" s="27" t="str">
        <f>IF(B66&lt;&gt;"",COUNTA($B$6:B66),"")</f>
        <v/>
      </c>
      <c r="B66" s="28"/>
      <c r="C66" s="16"/>
      <c r="D66" s="17"/>
      <c r="E66" s="29" t="str">
        <f>IF(B66="","",IF(COUNTA($B$6:$B$69)&lt;=(E5-D5+1),(D5+MOD(A66-1,(E5-D5+1))),(D5+MOD(A66-1,(E5-D5+1)))&amp;CHAR(65+FLOOR((A66-1)/(E5-D5+1),1))))</f>
        <v/>
      </c>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1" t="str">
        <f t="shared" si="12"/>
        <v/>
      </c>
      <c r="AQ66" s="31" t="str">
        <f t="shared" si="13"/>
        <v/>
      </c>
      <c r="AR66" s="31" t="str">
        <f t="shared" si="14"/>
        <v/>
      </c>
      <c r="AS66" s="31" t="str">
        <f t="shared" si="15"/>
        <v/>
      </c>
      <c r="AT66" s="31" t="str">
        <f t="shared" si="16"/>
        <v/>
      </c>
      <c r="AU66" s="31" t="str">
        <f t="shared" si="17"/>
        <v/>
      </c>
      <c r="AV66" s="32" t="str">
        <f t="shared" si="18"/>
        <v/>
      </c>
      <c r="AW66" s="33" t="str">
        <f t="shared" si="19"/>
        <v/>
      </c>
      <c r="AX66" s="34" t="str">
        <f t="shared" si="20"/>
        <v/>
      </c>
      <c r="AY66" s="34" t="str">
        <f t="shared" si="21"/>
        <v/>
      </c>
      <c r="AZ66" s="35" t="str">
        <f t="shared" si="22"/>
        <v/>
      </c>
      <c r="BA66" s="36"/>
      <c r="BB66" s="37" t="str">
        <f t="shared" si="23"/>
        <v/>
      </c>
    </row>
    <row r="67" spans="1:55" ht="21.75" customHeight="1" x14ac:dyDescent="0.35">
      <c r="A67" s="38" t="str">
        <f>IF(B67&lt;&gt;"",COUNTA($B$6:B67),"")</f>
        <v/>
      </c>
      <c r="B67" s="39"/>
      <c r="C67" s="18"/>
      <c r="D67" s="19"/>
      <c r="E67" s="29" t="str">
        <f>IF(B67="","",IF(COUNTA($B$6:$B$69)&lt;=(E5-D5+1),(D5+MOD(A67-1,(E5-D5+1))),(D5+MOD(A67-1,(E5-D5+1)))&amp;CHAR(65+FLOOR((A67-1)/(E5-D5+1),1))))</f>
        <v/>
      </c>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1" t="str">
        <f t="shared" si="12"/>
        <v/>
      </c>
      <c r="AQ67" s="31" t="str">
        <f t="shared" si="13"/>
        <v/>
      </c>
      <c r="AR67" s="31" t="str">
        <f t="shared" si="14"/>
        <v/>
      </c>
      <c r="AS67" s="31" t="str">
        <f t="shared" si="15"/>
        <v/>
      </c>
      <c r="AT67" s="31" t="str">
        <f t="shared" si="16"/>
        <v/>
      </c>
      <c r="AU67" s="31" t="str">
        <f t="shared" si="17"/>
        <v/>
      </c>
      <c r="AV67" s="32" t="str">
        <f t="shared" si="18"/>
        <v/>
      </c>
      <c r="AW67" s="33" t="str">
        <f t="shared" si="19"/>
        <v/>
      </c>
      <c r="AX67" s="34" t="str">
        <f t="shared" si="20"/>
        <v/>
      </c>
      <c r="AY67" s="34" t="str">
        <f t="shared" si="21"/>
        <v/>
      </c>
      <c r="AZ67" s="40" t="str">
        <f t="shared" si="22"/>
        <v/>
      </c>
      <c r="BA67" s="36"/>
      <c r="BB67" s="41" t="str">
        <f t="shared" si="23"/>
        <v/>
      </c>
    </row>
    <row r="68" spans="1:55" ht="21.75" customHeight="1" x14ac:dyDescent="0.35">
      <c r="A68" s="27" t="str">
        <f>IF(B68&lt;&gt;"",COUNTA($B$6:B68),"")</f>
        <v/>
      </c>
      <c r="B68" s="28"/>
      <c r="C68" s="16"/>
      <c r="D68" s="17"/>
      <c r="E68" s="29" t="str">
        <f>IF(B68="","",IF(COUNTA($B$6:$B$69)&lt;=(E5-D5+1),(D5+MOD(A68-1,(E5-D5+1))),(D5+MOD(A68-1,(E5-D5+1)))&amp;CHAR(65+FLOOR((A68-1)/(E5-D5+1),1))))</f>
        <v/>
      </c>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1" t="str">
        <f t="shared" si="12"/>
        <v/>
      </c>
      <c r="AQ68" s="31" t="str">
        <f t="shared" si="13"/>
        <v/>
      </c>
      <c r="AR68" s="31" t="str">
        <f t="shared" si="14"/>
        <v/>
      </c>
      <c r="AS68" s="31" t="str">
        <f t="shared" si="15"/>
        <v/>
      </c>
      <c r="AT68" s="31" t="str">
        <f t="shared" si="16"/>
        <v/>
      </c>
      <c r="AU68" s="31" t="str">
        <f t="shared" si="17"/>
        <v/>
      </c>
      <c r="AV68" s="32" t="str">
        <f t="shared" si="18"/>
        <v/>
      </c>
      <c r="AW68" s="33" t="str">
        <f t="shared" si="19"/>
        <v/>
      </c>
      <c r="AX68" s="34" t="str">
        <f t="shared" si="20"/>
        <v/>
      </c>
      <c r="AY68" s="34" t="str">
        <f t="shared" si="21"/>
        <v/>
      </c>
      <c r="AZ68" s="35" t="str">
        <f t="shared" si="22"/>
        <v/>
      </c>
      <c r="BA68" s="36"/>
      <c r="BB68" s="37" t="str">
        <f t="shared" si="23"/>
        <v/>
      </c>
    </row>
    <row r="69" spans="1:55" ht="21.75" customHeight="1" x14ac:dyDescent="0.35">
      <c r="A69" s="38" t="str">
        <f>IF(B69&lt;&gt;"",COUNTA($B$6:B69),"")</f>
        <v/>
      </c>
      <c r="B69" s="39"/>
      <c r="C69" s="18"/>
      <c r="D69" s="19"/>
      <c r="E69" s="29" t="str">
        <f>IF(B69="","",IF(COUNTA($B$6:$B$69)&lt;=(E5-D5+1),(D5+MOD(A69-1,(E5-D5+1))),(D5+MOD(A69-1,(E5-D5+1)))&amp;CHAR(65+FLOOR((A69-1)/(E5-D5+1),1))))</f>
        <v/>
      </c>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1" t="str">
        <f t="shared" si="12"/>
        <v/>
      </c>
      <c r="AQ69" s="31" t="str">
        <f t="shared" si="13"/>
        <v/>
      </c>
      <c r="AR69" s="31" t="str">
        <f t="shared" si="14"/>
        <v/>
      </c>
      <c r="AS69" s="31" t="str">
        <f t="shared" si="15"/>
        <v/>
      </c>
      <c r="AT69" s="31" t="str">
        <f t="shared" si="16"/>
        <v/>
      </c>
      <c r="AU69" s="31" t="str">
        <f t="shared" si="17"/>
        <v/>
      </c>
      <c r="AV69" s="32" t="str">
        <f t="shared" si="18"/>
        <v/>
      </c>
      <c r="AW69" s="33" t="str">
        <f t="shared" si="19"/>
        <v/>
      </c>
      <c r="AX69" s="34" t="str">
        <f t="shared" si="20"/>
        <v/>
      </c>
      <c r="AY69" s="34" t="str">
        <f t="shared" si="21"/>
        <v/>
      </c>
      <c r="AZ69" s="40" t="str">
        <f t="shared" si="22"/>
        <v/>
      </c>
      <c r="BA69" s="36"/>
      <c r="BB69" s="41" t="str">
        <f t="shared" si="23"/>
        <v/>
      </c>
    </row>
    <row r="71" spans="1:55" ht="15" customHeight="1" x14ac:dyDescent="0.35">
      <c r="A71" s="5" t="s">
        <v>132</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row>
  </sheetData>
  <mergeCells count="13">
    <mergeCell ref="A5:C5"/>
    <mergeCell ref="A71:BC71"/>
    <mergeCell ref="A1:BC1"/>
    <mergeCell ref="A2:BC2"/>
    <mergeCell ref="A3:BC3"/>
    <mergeCell ref="F4:K4"/>
    <mergeCell ref="L4:Q4"/>
    <mergeCell ref="R4:W4"/>
    <mergeCell ref="X4:AC4"/>
    <mergeCell ref="AD4:AI4"/>
    <mergeCell ref="AJ4:AO4"/>
    <mergeCell ref="AP4:AU4"/>
    <mergeCell ref="AV4:BB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9A825"/>
  </sheetPr>
  <dimension ref="A1:N39"/>
  <sheetViews>
    <sheetView zoomScaleNormal="100" workbookViewId="0">
      <pane ySplit="4" topLeftCell="A5" activePane="bottomLeft" state="frozen"/>
      <selection pane="bottomLeft"/>
    </sheetView>
  </sheetViews>
  <sheetFormatPr defaultColWidth="8.6328125" defaultRowHeight="14.5" x14ac:dyDescent="0.35"/>
  <cols>
    <col min="1" max="1" width="6" customWidth="1"/>
    <col min="2" max="2" width="30" customWidth="1"/>
    <col min="3" max="3" width="20" customWidth="1"/>
    <col min="4" max="6" width="28" customWidth="1"/>
    <col min="7" max="9" width="9" customWidth="1"/>
    <col min="10" max="10" width="11" customWidth="1"/>
    <col min="11" max="12" width="9" customWidth="1"/>
    <col min="13" max="13" width="8" customWidth="1"/>
    <col min="14" max="14" width="16" customWidth="1"/>
  </cols>
  <sheetData>
    <row r="1" spans="1:14" ht="15" customHeight="1" x14ac:dyDescent="0.35">
      <c r="A1" s="11" t="s">
        <v>255</v>
      </c>
      <c r="B1" s="11"/>
      <c r="C1" s="11"/>
      <c r="D1" s="11"/>
      <c r="E1" s="11"/>
      <c r="F1" s="11"/>
      <c r="G1" s="11"/>
      <c r="H1" s="11"/>
      <c r="I1" s="11"/>
      <c r="J1" s="11"/>
      <c r="K1" s="11"/>
      <c r="L1" s="11"/>
      <c r="M1" s="11"/>
      <c r="N1" s="11"/>
    </row>
    <row r="2" spans="1:14" ht="15" customHeight="1" x14ac:dyDescent="0.35">
      <c r="A2" s="10" t="s">
        <v>134</v>
      </c>
      <c r="B2" s="10"/>
      <c r="C2" s="10"/>
      <c r="D2" s="10"/>
      <c r="E2" s="10"/>
      <c r="F2" s="10"/>
      <c r="G2" s="10"/>
      <c r="H2" s="10"/>
      <c r="I2" s="10"/>
      <c r="J2" s="10"/>
      <c r="K2" s="10"/>
      <c r="L2" s="10"/>
      <c r="M2" s="10"/>
      <c r="N2" s="10"/>
    </row>
    <row r="3" spans="1:14" ht="15" customHeight="1" x14ac:dyDescent="0.35">
      <c r="A3" s="8" t="s">
        <v>135</v>
      </c>
      <c r="B3" s="8"/>
      <c r="C3" s="8"/>
      <c r="D3" s="42" t="s">
        <v>136</v>
      </c>
      <c r="E3" s="4" t="s">
        <v>137</v>
      </c>
      <c r="F3" s="4"/>
      <c r="G3" s="4"/>
      <c r="H3" s="4"/>
      <c r="I3" s="4"/>
      <c r="J3" s="4"/>
      <c r="K3" s="4"/>
      <c r="L3" s="4"/>
      <c r="M3" s="4"/>
      <c r="N3" s="4"/>
    </row>
    <row r="4" spans="1:14" ht="15" customHeight="1" x14ac:dyDescent="0.35">
      <c r="A4" s="8" t="s">
        <v>138</v>
      </c>
      <c r="B4" s="8"/>
      <c r="C4" s="8"/>
      <c r="D4" s="42" t="s">
        <v>139</v>
      </c>
      <c r="E4" s="4" t="s">
        <v>140</v>
      </c>
      <c r="F4" s="4"/>
      <c r="G4" s="4"/>
      <c r="H4" s="4"/>
      <c r="I4" s="4"/>
      <c r="J4" s="4"/>
      <c r="K4" s="4"/>
      <c r="L4" s="4"/>
      <c r="M4" s="4"/>
      <c r="N4" s="4"/>
    </row>
    <row r="5" spans="1:14" ht="42" customHeight="1" x14ac:dyDescent="0.35">
      <c r="A5" s="43" t="s">
        <v>141</v>
      </c>
      <c r="B5" s="43" t="s">
        <v>142</v>
      </c>
      <c r="C5" s="23" t="s">
        <v>143</v>
      </c>
      <c r="D5" s="23" t="s">
        <v>144</v>
      </c>
      <c r="E5" s="23" t="s">
        <v>145</v>
      </c>
      <c r="F5" s="23" t="s">
        <v>146</v>
      </c>
      <c r="G5" s="23" t="s">
        <v>147</v>
      </c>
      <c r="H5" s="23" t="s">
        <v>148</v>
      </c>
      <c r="I5" s="23" t="s">
        <v>149</v>
      </c>
      <c r="J5" s="44" t="s">
        <v>150</v>
      </c>
      <c r="K5" s="25" t="s">
        <v>151</v>
      </c>
      <c r="L5" s="26" t="s">
        <v>152</v>
      </c>
      <c r="M5" s="23" t="s">
        <v>153</v>
      </c>
      <c r="N5" s="45" t="s">
        <v>154</v>
      </c>
    </row>
    <row r="6" spans="1:14" ht="21.75" customHeight="1" x14ac:dyDescent="0.35">
      <c r="A6" s="46">
        <f>IF($D$3="Individual",IFERROR(VLOOKUP(D6,'Beginner Adv 15M - Scoring'!$B:$BB,53,0),99),IF(J6&lt;&gt;"",SUMPRODUCT((J$6:J$1000&gt;J6)*ISNUMBER(J$6:J$1000))+1+SUMPRODUCT((J$6:J$1000=J6)*(K$6:K$1000&gt;K6)*ISNUMBER(J$6:J$1000)*ISNUMBER(K$6:K$1000))+SUMPRODUCT((J$6:J$1000=J6)*(K$6:K$1000=K6)*(ROW(J$6:J$1000)&lt;6)*ISNUMBER(J$6:J$1000)),""))</f>
        <v>1</v>
      </c>
      <c r="B6" s="20" t="str">
        <f t="shared" ref="B6:B37" si="0">IF($D$3="Individual",D6,IF(N6&lt;&gt;"",N6,IF($D$3="Double",IF(AND(D6&lt;&gt;"",E6&lt;&gt;""),D6&amp;" &amp; "&amp;E6,""),IF(AND(D6&lt;&gt;"",E6&lt;&gt;"",F6&lt;&gt;""),D6&amp;" &amp; "&amp;E6&amp;" &amp; "&amp;F6,""))))</f>
        <v>Sheena Marie Monico</v>
      </c>
      <c r="C6" s="47" t="str">
        <f>IFERROR(IF(D6&lt;&gt;"",VLOOKUP(D6,'Beginner Adv 15M - Scoring'!$B:$D,3,0),""),"")</f>
        <v>Pasig AC</v>
      </c>
      <c r="D6" s="48" t="str">
        <f>IF($D$4="By Club",IFERROR(IFERROR(INDEX('Beginner Adv 15M - Scoring'!$B:$B,MATCH(_xludf.aggregate(15,6,IF('Beginner Adv 15M - Scoring'!$D$2:$D$1000="Brgy Rosario",'Beginner Adv 15M - Scoring'!$BB$2:$BB$1000),1),'Beginner Adv 15M - Scoring'!$BB:$BB,0)),'Beginner Adv 15M - Scoring'!B9),""),IF($D$3="Individual",IF(1&lt;=COUNTA('Beginner Adv 15M - Scoring'!$B$6:$B$1000),IFERROR(IF(ISNUMBER(MATCH(1,'Beginner Adv 15M - Scoring'!$BB:$BB,0)),IFERROR(INDEX('Beginner Adv 15M - Scoring'!$B:$B,MATCH(1,'Beginner Adv 15M - Scoring'!$BB:$BB,0)),""),'Beginner Adv 15M - Scoring'!B6),""),""),IF($D$3="Double",IF(1&lt;=INT(COUNTA('Beginner Adv 15M - Scoring'!$B$6:$B$1000)/2),IFERROR(IF(ISNUMBER(MATCH(1,'Beginner Adv 15M - Scoring'!$BB:$BB,0)),IFERROR(INDEX('Beginner Adv 15M - Scoring'!$B:$B,MATCH(1,'Beginner Adv 15M - Scoring'!$BB:$BB,0)),""),'Beginner Adv 15M - Scoring'!B6),""),""),IF(1&lt;=INT(COUNTA('Beginner Adv 15M - Scoring'!$B$6:$B$1000)/3),IFERROR(IF(ISNUMBER(MATCH(1,'Beginner Adv 15M - Scoring'!$BB:$BB,0)),IFERROR(INDEX('Beginner Adv 15M - Scoring'!$B:$B,MATCH(1,'Beginner Adv 15M - Scoring'!$BB:$BB,0)),""),'Beginner Adv 15M - Scoring'!B6),""),""))))</f>
        <v>Sheena Marie Monico</v>
      </c>
      <c r="E6" s="49" t="str">
        <f>IF($D$3="Individual","",IF($D$4="By Club",IFERROR("",""),IF($D$3="Double",IF(1&lt;=INT(COUNTA('Beginner Adv 15M - Scoring'!$B$6:$B$1000)/2),IFERROR(IF(ISNUMBER(MATCH((COUNTA('Beginner Adv 15M - Scoring'!$B$6:$B$1000)-MOD(COUNTA('Beginner Adv 15M - Scoring'!$B$6:$B$1000),2))+1-1,'Beginner Adv 15M - Scoring'!$BB:$BB,0)),IFERROR(INDEX('Beginner Adv 15M - Scoring'!$B:$B,MATCH((COUNTA('Beginner Adv 15M - Scoring'!$B$6:$B$1000)-MOD(COUNTA('Beginner Adv 15M - Scoring'!$B$6:$B$1000),2))+1-1,'Beginner Adv 15M - Scoring'!$BB:$BB,0)),""),'Beginner Adv 15M - Scoring'!B9),""),""),IF(1&lt;=INT(COUNTA('Beginner Adv 15M - Scoring'!$B$6:$B$1000)/3),IFERROR(IF(ISNUMBER(MATCH((COUNTA('Beginner Adv 15M - Scoring'!$B$6:$B$1000)-MOD(COUNTA('Beginner Adv 15M - Scoring'!$B$6:$B$1000),3))+1-1,'Beginner Adv 15M - Scoring'!$BB:$BB,0)),IFERROR(INDEX('Beginner Adv 15M - Scoring'!$B:$B,MATCH((COUNTA('Beginner Adv 15M - Scoring'!$B$6:$B$1000)-MOD(COUNTA('Beginner Adv 15M - Scoring'!$B$6:$B$1000),3))+1-1,'Beginner Adv 15M - Scoring'!$BB:$BB,0)),""),'Beginner Adv 15M - Scoring'!B8),""),""))))</f>
        <v/>
      </c>
      <c r="F6" s="49" t="str">
        <f>IF($D$3&lt;&gt;"Team (3 archers)","",IF($D$4="By Club",IFERROR("",""),IF(1&lt;=INT(COUNTA('Beginner Adv 15M - Scoring'!$B$6:$B$1000)/3),IFERROR(IF(ISNUMBER(MATCH(INT((COUNTA('Beginner Adv 15M - Scoring'!$B$6:$B$1000)-MOD(COUNTA('Beginner Adv 15M - Scoring'!$B$6:$B$1000),3))/3)+1,'Beginner Adv 15M - Scoring'!$BB:$BB,0)),IFERROR(INDEX('Beginner Adv 15M - Scoring'!$B:$B,MATCH(INT((COUNTA('Beginner Adv 15M - Scoring'!$B$6:$B$1000)-MOD(COUNTA('Beginner Adv 15M - Scoring'!$B$6:$B$1000),3))/3)+1,'Beginner Adv 15M - Scoring'!$BB:$BB,0)),""),'Beginner Adv 15M - Scoring'!B7),""),"")))</f>
        <v/>
      </c>
      <c r="G6" s="50">
        <f>IFERROR(IF(D6&lt;&gt;"",VLOOKUP(D6,'Beginner Adv 15M - Scoring'!$B:$AV,47,0),0),0)</f>
        <v>0</v>
      </c>
      <c r="H6" s="50">
        <f>IFERROR(IF(AND(OR($D$3="Double",$D$3="Team (3 archers)"),E6&lt;&gt;""),VLOOKUP(E6,'Beginner Adv 15M - Scoring'!$B:$AV,47,0),0),0)</f>
        <v>0</v>
      </c>
      <c r="I6" s="50">
        <f>IFERROR(IF(AND($D$3="Team (3 archers)",F6&lt;&gt;""),VLOOKUP(F6,'Beginner Adv 15M - Scoring'!$B:$AV,47,0),0),0)</f>
        <v>0</v>
      </c>
      <c r="J6" s="51">
        <f t="shared" ref="J6:J37" si="1">IF(D6&lt;&gt;"",G6+H6+I6,"")</f>
        <v>0</v>
      </c>
      <c r="K6" s="52">
        <f>IF(D6&lt;&gt;"",IFERROR(IF(D6&lt;&gt;"",VLOOKUP(D6,'Beginner Adv 15M - Scoring'!$B:$BA,52,0),0),0)+IFERROR(IF(AND(OR($D$3="Double",$D$3="Team (3 archers)"),E6&lt;&gt;""),VLOOKUP(E6,'Beginner Adv 15M - Scoring'!$B:$BA,52,0),0),0)+IFERROR(IF(AND($D$3="Team (3 archers)",F6&lt;&gt;""),VLOOKUP(F6,'Beginner Adv 15M - Scoring'!$B:$BA,52,0),0),0),"")</f>
        <v>0</v>
      </c>
      <c r="L6" s="53" t="s">
        <v>155</v>
      </c>
      <c r="M6" s="54" t="str">
        <f t="shared" ref="M6:M37" si="2">IF(AND($D$4="By Club",D6&lt;&gt;""),C6,"")</f>
        <v/>
      </c>
      <c r="N6" s="55"/>
    </row>
    <row r="7" spans="1:14" ht="21.75" customHeight="1" x14ac:dyDescent="0.35">
      <c r="A7" s="46">
        <f>IF($D$3="Individual",IFERROR(VLOOKUP(D7,'Beginner Adv 15M - Scoring'!$B:$BB,53,0),99),IF(J7&lt;&gt;"",SUMPRODUCT((J$6:J$1000&gt;J7)*ISNUMBER(J$6:J$1000))+1+SUMPRODUCT((J$6:J$1000=J7)*(K$6:K$1000&gt;K7)*ISNUMBER(J$6:J$1000)*ISNUMBER(K$6:K$1000))+SUMPRODUCT((J$6:J$1000=J7)*(K$6:K$1000=K7)*(ROW(J$6:J$1000)&lt;7)*ISNUMBER(J$6:J$1000)),""))</f>
        <v>1</v>
      </c>
      <c r="B7" s="20" t="str">
        <f t="shared" si="0"/>
        <v>Aizen Zainna Quiellan M. Riego</v>
      </c>
      <c r="C7" s="47" t="str">
        <f>IFERROR(IF(D7&lt;&gt;"",VLOOKUP(D7,'Beginner Adv 15M - Scoring'!$B:$D,3,0),""),"")</f>
        <v>PAC Maybunga</v>
      </c>
      <c r="D7" s="48" t="str">
        <f>IF($D$4="By Club",IFERROR(IFERROR(INDEX('Beginner Adv 15M - Scoring'!$B:$B,MATCH(_xludf.aggregate(15,6,IF('Beginner Adv 15M - Scoring'!$D$2:$D$1000="Brgy. Sta Lucia",'Beginner Adv 15M - Scoring'!$BB$2:$BB$1000),1),'Beginner Adv 15M - Scoring'!$BB:$BB,0)),'Beginner Adv 15M - Scoring'!B8),""),IF($D$3="Individual",IF(2&lt;=COUNTA('Beginner Adv 15M - Scoring'!$B$6:$B$1000),IFERROR(IF(ISNUMBER(MATCH(2,'Beginner Adv 15M - Scoring'!$BB:$BB,0)),IFERROR(INDEX('Beginner Adv 15M - Scoring'!$B:$B,MATCH(2,'Beginner Adv 15M - Scoring'!$BB:$BB,0)),""),'Beginner Adv 15M - Scoring'!B7),""),""),IF($D$3="Double",IF(2&lt;=INT(COUNTA('Beginner Adv 15M - Scoring'!$B$6:$B$1000)/2),IFERROR(IF(ISNUMBER(MATCH(2,'Beginner Adv 15M - Scoring'!$BB:$BB,0)),IFERROR(INDEX('Beginner Adv 15M - Scoring'!$B:$B,MATCH(2,'Beginner Adv 15M - Scoring'!$BB:$BB,0)),""),'Beginner Adv 15M - Scoring'!B7),""),""),IF(2&lt;=INT(COUNTA('Beginner Adv 15M - Scoring'!$B$6:$B$1000)/3),IFERROR(IF(ISNUMBER(MATCH(2,'Beginner Adv 15M - Scoring'!$BB:$BB,0)),IFERROR(INDEX('Beginner Adv 15M - Scoring'!$B:$B,MATCH(2,'Beginner Adv 15M - Scoring'!$BB:$BB,0)),""),'Beginner Adv 15M - Scoring'!B7),""),""))))</f>
        <v>Aizen Zainna Quiellan M. Riego</v>
      </c>
      <c r="E7" s="49" t="str">
        <f>IF($D$3="Individual","",IF($D$4="By Club",IFERROR("",""),IF($D$3="Double",IF(2&lt;=INT(COUNTA('Beginner Adv 15M - Scoring'!$B$6:$B$1000)/2),IFERROR(IF(ISNUMBER(MATCH((COUNTA('Beginner Adv 15M - Scoring'!$B$6:$B$1000)-MOD(COUNTA('Beginner Adv 15M - Scoring'!$B$6:$B$1000),2))+1-2,'Beginner Adv 15M - Scoring'!$BB:$BB,0)),IFERROR(INDEX('Beginner Adv 15M - Scoring'!$B:$B,MATCH((COUNTA('Beginner Adv 15M - Scoring'!$B$6:$B$1000)-MOD(COUNTA('Beginner Adv 15M - Scoring'!$B$6:$B$1000),2))+1-2,'Beginner Adv 15M - Scoring'!$BB:$BB,0)),""),'Beginner Adv 15M - Scoring'!B8),""),""),IF(2&lt;=INT(COUNTA('Beginner Adv 15M - Scoring'!$B$6:$B$1000)/3),IFERROR(IF(ISNUMBER(MATCH((COUNTA('Beginner Adv 15M - Scoring'!$B$6:$B$1000)-MOD(COUNTA('Beginner Adv 15M - Scoring'!$B$6:$B$1000),3))+1-2,'Beginner Adv 15M - Scoring'!$BB:$BB,0)),IFERROR(INDEX('Beginner Adv 15M - Scoring'!$B:$B,MATCH((COUNTA('Beginner Adv 15M - Scoring'!$B$6:$B$1000)-MOD(COUNTA('Beginner Adv 15M - Scoring'!$B$6:$B$1000),3))+1-2,'Beginner Adv 15M - Scoring'!$BB:$BB,0)),""),'Beginner Adv 15M - Scoring'!B7),""),""))))</f>
        <v/>
      </c>
      <c r="F7" s="49" t="str">
        <f>IF($D$3&lt;&gt;"Team (3 archers)","",IF($D$4="By Club",IFERROR("",""),IF(2&lt;=INT(COUNTA('Beginner Adv 15M - Scoring'!$B$6:$B$1000)/3),IFERROR(IF(ISNUMBER(MATCH(INT((COUNTA('Beginner Adv 15M - Scoring'!$B$6:$B$1000)-MOD(COUNTA('Beginner Adv 15M - Scoring'!$B$6:$B$1000),3))/3)+2,'Beginner Adv 15M - Scoring'!$BB:$BB,0)),IFERROR(INDEX('Beginner Adv 15M - Scoring'!$B:$B,MATCH(INT((COUNTA('Beginner Adv 15M - Scoring'!$B$6:$B$1000)-MOD(COUNTA('Beginner Adv 15M - Scoring'!$B$6:$B$1000),3))/3)+2,'Beginner Adv 15M - Scoring'!$BB:$BB,0)),""),'Beginner Adv 15M - Scoring'!B8),""),"")))</f>
        <v/>
      </c>
      <c r="G7" s="50">
        <f>IFERROR(IF(D7&lt;&gt;"",VLOOKUP(D7,'Beginner Adv 15M - Scoring'!$B:$AV,47,0),0),0)</f>
        <v>0</v>
      </c>
      <c r="H7" s="50">
        <f>IFERROR(IF(AND(OR($D$3="Double",$D$3="Team (3 archers)"),E7&lt;&gt;""),VLOOKUP(E7,'Beginner Adv 15M - Scoring'!$B:$AV,47,0),0),0)</f>
        <v>0</v>
      </c>
      <c r="I7" s="50">
        <f>IFERROR(IF(AND($D$3="Team (3 archers)",F7&lt;&gt;""),VLOOKUP(F7,'Beginner Adv 15M - Scoring'!$B:$AV,47,0),0),0)</f>
        <v>0</v>
      </c>
      <c r="J7" s="51">
        <f t="shared" si="1"/>
        <v>0</v>
      </c>
      <c r="K7" s="52">
        <f>IF(D7&lt;&gt;"",IFERROR(IF(D7&lt;&gt;"",VLOOKUP(D7,'Beginner Adv 15M - Scoring'!$B:$BA,52,0),0),0)+IFERROR(IF(AND(OR($D$3="Double",$D$3="Team (3 archers)"),E7&lt;&gt;""),VLOOKUP(E7,'Beginner Adv 15M - Scoring'!$B:$BA,52,0),0),0)+IFERROR(IF(AND($D$3="Team (3 archers)",F7&lt;&gt;""),VLOOKUP(F7,'Beginner Adv 15M - Scoring'!$B:$BA,52,0),0),0),"")</f>
        <v>0</v>
      </c>
      <c r="L7" s="40" t="s">
        <v>155</v>
      </c>
      <c r="M7" s="54" t="str">
        <f t="shared" si="2"/>
        <v/>
      </c>
      <c r="N7" s="55"/>
    </row>
    <row r="8" spans="1:14" ht="21.75" customHeight="1" x14ac:dyDescent="0.35">
      <c r="A8" s="46">
        <f>IF($D$3="Individual",IFERROR(VLOOKUP(D8,'Beginner Adv 15M - Scoring'!$B:$BB,53,0),99),IF(J8&lt;&gt;"",SUMPRODUCT((J$6:J$1000&gt;J8)*ISNUMBER(J$6:J$1000))+1+SUMPRODUCT((J$6:J$1000=J8)*(K$6:K$1000&gt;K8)*ISNUMBER(J$6:J$1000)*ISNUMBER(K$6:K$1000))+SUMPRODUCT((J$6:J$1000=J8)*(K$6:K$1000=K8)*(ROW(J$6:J$1000)&lt;8)*ISNUMBER(J$6:J$1000)),""))</f>
        <v>1</v>
      </c>
      <c r="B8" s="20" t="str">
        <f t="shared" si="0"/>
        <v>Leira Maxene Lagrimas</v>
      </c>
      <c r="C8" s="47" t="str">
        <f>IFERROR(IF(D8&lt;&gt;"",VLOOKUP(D8,'Beginner Adv 15M - Scoring'!$B:$D,3,0),""),"")</f>
        <v>Brgy. Sta Lucia</v>
      </c>
      <c r="D8" s="48" t="str">
        <f>IF($D$4="By Club",IFERROR(IFERROR(INDEX('Beginner Adv 15M - Scoring'!$B:$B,MATCH(_xludf.aggregate(15,6,IF('Beginner Adv 15M - Scoring'!$D$2:$D$1000="N/A",'Beginner Adv 15M - Scoring'!$BB$2:$BB$1000),1),'Beginner Adv 15M - Scoring'!$BB:$BB,0)),'Beginner Adv 15M - Scoring'!B10),""),IF($D$3="Individual",IF(3&lt;=COUNTA('Beginner Adv 15M - Scoring'!$B$6:$B$1000),IFERROR(IF(ISNUMBER(MATCH(3,'Beginner Adv 15M - Scoring'!$BB:$BB,0)),IFERROR(INDEX('Beginner Adv 15M - Scoring'!$B:$B,MATCH(3,'Beginner Adv 15M - Scoring'!$BB:$BB,0)),""),'Beginner Adv 15M - Scoring'!B8),""),""),IF($D$3="Double",IF(3&lt;=INT(COUNTA('Beginner Adv 15M - Scoring'!$B$6:$B$1000)/2),IFERROR(IF(ISNUMBER(MATCH(3,'Beginner Adv 15M - Scoring'!$BB:$BB,0)),IFERROR(INDEX('Beginner Adv 15M - Scoring'!$B:$B,MATCH(3,'Beginner Adv 15M - Scoring'!$BB:$BB,0)),""),'Beginner Adv 15M - Scoring'!B8),""),""),IF(3&lt;=INT(COUNTA('Beginner Adv 15M - Scoring'!$B$6:$B$1000)/3),IFERROR(IF(ISNUMBER(MATCH(3,'Beginner Adv 15M - Scoring'!$BB:$BB,0)),IFERROR(INDEX('Beginner Adv 15M - Scoring'!$B:$B,MATCH(3,'Beginner Adv 15M - Scoring'!$BB:$BB,0)),""),'Beginner Adv 15M - Scoring'!B8),""),""))))</f>
        <v>Leira Maxene Lagrimas</v>
      </c>
      <c r="E8" s="49" t="str">
        <f>IF($D$3="Individual","",IF($D$4="By Club",IFERROR("",""),IF($D$3="Double",IF(3&lt;=INT(COUNTA('Beginner Adv 15M - Scoring'!$B$6:$B$1000)/2),IFERROR(IF(ISNUMBER(MATCH((COUNTA('Beginner Adv 15M - Scoring'!$B$6:$B$1000)-MOD(COUNTA('Beginner Adv 15M - Scoring'!$B$6:$B$1000),2))+1-3,'Beginner Adv 15M - Scoring'!$BB:$BB,0)),IFERROR(INDEX('Beginner Adv 15M - Scoring'!$B:$B,MATCH((COUNTA('Beginner Adv 15M - Scoring'!$B$6:$B$1000)-MOD(COUNTA('Beginner Adv 15M - Scoring'!$B$6:$B$1000),2))+1-3,'Beginner Adv 15M - Scoring'!$BB:$BB,0)),""),'Beginner Adv 15M - Scoring'!B7),""),""),IF(3&lt;=INT(COUNTA('Beginner Adv 15M - Scoring'!$B$6:$B$1000)/3),IFERROR(IF(ISNUMBER(MATCH((COUNTA('Beginner Adv 15M - Scoring'!$B$6:$B$1000)-MOD(COUNTA('Beginner Adv 15M - Scoring'!$B$6:$B$1000),3))+1-3,'Beginner Adv 15M - Scoring'!$BB:$BB,0)),IFERROR(INDEX('Beginner Adv 15M - Scoring'!$B:$B,MATCH((COUNTA('Beginner Adv 15M - Scoring'!$B$6:$B$1000)-MOD(COUNTA('Beginner Adv 15M - Scoring'!$B$6:$B$1000),3))+1-3,'Beginner Adv 15M - Scoring'!$BB:$BB,0)),""),'Beginner Adv 15M - Scoring'!B6),""),""))))</f>
        <v/>
      </c>
      <c r="F8" s="49" t="str">
        <f>IF($D$3&lt;&gt;"Team (3 archers)","",IF($D$4="By Club",IFERROR("",""),IF(3&lt;=INT(COUNTA('Beginner Adv 15M - Scoring'!$B$6:$B$1000)/3),IFERROR(IF(ISNUMBER(MATCH(INT((COUNTA('Beginner Adv 15M - Scoring'!$B$6:$B$1000)-MOD(COUNTA('Beginner Adv 15M - Scoring'!$B$6:$B$1000),3))/3)+3,'Beginner Adv 15M - Scoring'!$BB:$BB,0)),IFERROR(INDEX('Beginner Adv 15M - Scoring'!$B:$B,MATCH(INT((COUNTA('Beginner Adv 15M - Scoring'!$B$6:$B$1000)-MOD(COUNTA('Beginner Adv 15M - Scoring'!$B$6:$B$1000),3))/3)+3,'Beginner Adv 15M - Scoring'!$BB:$BB,0)),""),'Beginner Adv 15M - Scoring'!B9),""),"")))</f>
        <v/>
      </c>
      <c r="G8" s="50">
        <f>IFERROR(IF(D8&lt;&gt;"",VLOOKUP(D8,'Beginner Adv 15M - Scoring'!$B:$AV,47,0),0),0)</f>
        <v>0</v>
      </c>
      <c r="H8" s="50">
        <f>IFERROR(IF(AND(OR($D$3="Double",$D$3="Team (3 archers)"),E8&lt;&gt;""),VLOOKUP(E8,'Beginner Adv 15M - Scoring'!$B:$AV,47,0),0),0)</f>
        <v>0</v>
      </c>
      <c r="I8" s="50">
        <f>IFERROR(IF(AND($D$3="Team (3 archers)",F8&lt;&gt;""),VLOOKUP(F8,'Beginner Adv 15M - Scoring'!$B:$AV,47,0),0),0)</f>
        <v>0</v>
      </c>
      <c r="J8" s="51">
        <f t="shared" si="1"/>
        <v>0</v>
      </c>
      <c r="K8" s="52">
        <f>IF(D8&lt;&gt;"",IFERROR(IF(D8&lt;&gt;"",VLOOKUP(D8,'Beginner Adv 15M - Scoring'!$B:$BA,52,0),0),0)+IFERROR(IF(AND(OR($D$3="Double",$D$3="Team (3 archers)"),E8&lt;&gt;""),VLOOKUP(E8,'Beginner Adv 15M - Scoring'!$B:$BA,52,0),0),0)+IFERROR(IF(AND($D$3="Team (3 archers)",F8&lt;&gt;""),VLOOKUP(F8,'Beginner Adv 15M - Scoring'!$B:$BA,52,0),0),0),"")</f>
        <v>0</v>
      </c>
      <c r="L8" s="53" t="s">
        <v>155</v>
      </c>
      <c r="M8" s="54" t="str">
        <f t="shared" si="2"/>
        <v/>
      </c>
      <c r="N8" s="55"/>
    </row>
    <row r="9" spans="1:14" ht="21.75" customHeight="1" x14ac:dyDescent="0.35">
      <c r="A9" s="46">
        <f>IF($D$3="Individual",IFERROR(VLOOKUP(D9,'Beginner Adv 15M - Scoring'!$B:$BB,53,0),99),IF(J9&lt;&gt;"",SUMPRODUCT((J$6:J$1000&gt;J9)*ISNUMBER(J$6:J$1000))+1+SUMPRODUCT((J$6:J$1000=J9)*(K$6:K$1000&gt;K9)*ISNUMBER(J$6:J$1000)*ISNUMBER(K$6:K$1000))+SUMPRODUCT((J$6:J$1000=J9)*(K$6:K$1000=K9)*(ROW(J$6:J$1000)&lt;9)*ISNUMBER(J$6:J$1000)),""))</f>
        <v>1</v>
      </c>
      <c r="B9" s="20" t="str">
        <f t="shared" si="0"/>
        <v>Cromwell Dela Rosa</v>
      </c>
      <c r="C9" s="47" t="str">
        <f>IFERROR(IF(D9&lt;&gt;"",VLOOKUP(D9,'Beginner Adv 15M - Scoring'!$B:$D,3,0),""),"")</f>
        <v>Brgy Rosario</v>
      </c>
      <c r="D9" s="48" t="str">
        <f>IF($D$4="By Club",IFERROR(IFERROR(INDEX('Beginner Adv 15M - Scoring'!$B:$B,MATCH(_xludf.aggregate(15,6,IF('Beginner Adv 15M - Scoring'!$D$2:$D$1000="PAC Maybunga",'Beginner Adv 15M - Scoring'!$BB$2:$BB$1000),1),'Beginner Adv 15M - Scoring'!$BB:$BB,0)),'Beginner Adv 15M - Scoring'!B7),""),IF($D$3="Individual",IF(4&lt;=COUNTA('Beginner Adv 15M - Scoring'!$B$6:$B$1000),IFERROR(IF(ISNUMBER(MATCH(4,'Beginner Adv 15M - Scoring'!$BB:$BB,0)),IFERROR(INDEX('Beginner Adv 15M - Scoring'!$B:$B,MATCH(4,'Beginner Adv 15M - Scoring'!$BB:$BB,0)),""),'Beginner Adv 15M - Scoring'!B9),""),""),IF($D$3="Double",IF(4&lt;=INT(COUNTA('Beginner Adv 15M - Scoring'!$B$6:$B$1000)/2),IFERROR(IF(ISNUMBER(MATCH(4,'Beginner Adv 15M - Scoring'!$BB:$BB,0)),IFERROR(INDEX('Beginner Adv 15M - Scoring'!$B:$B,MATCH(4,'Beginner Adv 15M - Scoring'!$BB:$BB,0)),""),'Beginner Adv 15M - Scoring'!B9),""),""),IF(4&lt;=INT(COUNTA('Beginner Adv 15M - Scoring'!$B$6:$B$1000)/3),IFERROR(IF(ISNUMBER(MATCH(4,'Beginner Adv 15M - Scoring'!$BB:$BB,0)),IFERROR(INDEX('Beginner Adv 15M - Scoring'!$B:$B,MATCH(4,'Beginner Adv 15M - Scoring'!$BB:$BB,0)),""),'Beginner Adv 15M - Scoring'!B9),""),""))))</f>
        <v>Cromwell Dela Rosa</v>
      </c>
      <c r="E9" s="49" t="str">
        <f>IF($D$3="Individual","",IF($D$4="By Club",IFERROR("",""),IF($D$3="Double",IF(4&lt;=INT(COUNTA('Beginner Adv 15M - Scoring'!$B$6:$B$1000)/2),IFERROR(IF(ISNUMBER(MATCH((COUNTA('Beginner Adv 15M - Scoring'!$B$6:$B$1000)-MOD(COUNTA('Beginner Adv 15M - Scoring'!$B$6:$B$1000),2))+1-4,'Beginner Adv 15M - Scoring'!$BB:$BB,0)),IFERROR(INDEX('Beginner Adv 15M - Scoring'!$B:$B,MATCH((COUNTA('Beginner Adv 15M - Scoring'!$B$6:$B$1000)-MOD(COUNTA('Beginner Adv 15M - Scoring'!$B$6:$B$1000),2))+1-4,'Beginner Adv 15M - Scoring'!$BB:$BB,0)),""),'Beginner Adv 15M - Scoring'!B6),""),""),IF(4&lt;=INT(COUNTA('Beginner Adv 15M - Scoring'!$B$6:$B$1000)/3),IFERROR(IF(ISNUMBER(MATCH((COUNTA('Beginner Adv 15M - Scoring'!$B$6:$B$1000)-MOD(COUNTA('Beginner Adv 15M - Scoring'!$B$6:$B$1000),3))+1-4,'Beginner Adv 15M - Scoring'!$BB:$BB,0)),IFERROR(INDEX('Beginner Adv 15M - Scoring'!$B:$B,MATCH((COUNTA('Beginner Adv 15M - Scoring'!$B$6:$B$1000)-MOD(COUNTA('Beginner Adv 15M - Scoring'!$B$6:$B$1000),3))+1-4,'Beginner Adv 15M - Scoring'!$BB:$BB,0)),""),""),""),""))))</f>
        <v/>
      </c>
      <c r="F9" s="49" t="str">
        <f>IF($D$3&lt;&gt;"Team (3 archers)","",IF($D$4="By Club",IFERROR("",""),IF(4&lt;=INT(COUNTA('Beginner Adv 15M - Scoring'!$B$6:$B$1000)/3),IFERROR(IF(ISNUMBER(MATCH(INT((COUNTA('Beginner Adv 15M - Scoring'!$B$6:$B$1000)-MOD(COUNTA('Beginner Adv 15M - Scoring'!$B$6:$B$1000),3))/3)+4,'Beginner Adv 15M - Scoring'!$BB:$BB,0)),IFERROR(INDEX('Beginner Adv 15M - Scoring'!$B:$B,MATCH(INT((COUNTA('Beginner Adv 15M - Scoring'!$B$6:$B$1000)-MOD(COUNTA('Beginner Adv 15M - Scoring'!$B$6:$B$1000),3))/3)+4,'Beginner Adv 15M - Scoring'!$BB:$BB,0)),""),'Beginner Adv 15M - Scoring'!B10),""),"")))</f>
        <v/>
      </c>
      <c r="G9" s="50">
        <f>IFERROR(IF(D9&lt;&gt;"",VLOOKUP(D9,'Beginner Adv 15M - Scoring'!$B:$AV,47,0),0),0)</f>
        <v>0</v>
      </c>
      <c r="H9" s="50">
        <f>IFERROR(IF(AND(OR($D$3="Double",$D$3="Team (3 archers)"),E9&lt;&gt;""),VLOOKUP(E9,'Beginner Adv 15M - Scoring'!$B:$AV,47,0),0),0)</f>
        <v>0</v>
      </c>
      <c r="I9" s="50">
        <f>IFERROR(IF(AND($D$3="Team (3 archers)",F9&lt;&gt;""),VLOOKUP(F9,'Beginner Adv 15M - Scoring'!$B:$AV,47,0),0),0)</f>
        <v>0</v>
      </c>
      <c r="J9" s="51">
        <f t="shared" si="1"/>
        <v>0</v>
      </c>
      <c r="K9" s="52">
        <f>IF(D9&lt;&gt;"",IFERROR(IF(D9&lt;&gt;"",VLOOKUP(D9,'Beginner Adv 15M - Scoring'!$B:$BA,52,0),0),0)+IFERROR(IF(AND(OR($D$3="Double",$D$3="Team (3 archers)"),E9&lt;&gt;""),VLOOKUP(E9,'Beginner Adv 15M - Scoring'!$B:$BA,52,0),0),0)+IFERROR(IF(AND($D$3="Team (3 archers)",F9&lt;&gt;""),VLOOKUP(F9,'Beginner Adv 15M - Scoring'!$B:$BA,52,0),0),0),"")</f>
        <v>0</v>
      </c>
      <c r="L9" s="40" t="s">
        <v>155</v>
      </c>
      <c r="M9" s="54" t="str">
        <f t="shared" si="2"/>
        <v/>
      </c>
      <c r="N9" s="55"/>
    </row>
    <row r="10" spans="1:14" ht="21.75" customHeight="1" x14ac:dyDescent="0.35">
      <c r="A10" s="46">
        <f>IF($D$3="Individual",IFERROR(VLOOKUP(D10,'Beginner Adv 15M - Scoring'!$B:$BB,53,0),99),IF(J10&lt;&gt;"",SUMPRODUCT((J$6:J$1000&gt;J10)*ISNUMBER(J$6:J$1000))+1+SUMPRODUCT((J$6:J$1000=J10)*(K$6:K$1000&gt;K10)*ISNUMBER(J$6:J$1000)*ISNUMBER(K$6:K$1000))+SUMPRODUCT((J$6:J$1000=J10)*(K$6:K$1000=K10)*(ROW(J$6:J$1000)&lt;10)*ISNUMBER(J$6:J$1000)),""))</f>
        <v>1</v>
      </c>
      <c r="B10" s="20" t="str">
        <f t="shared" si="0"/>
        <v>Jasmine Eizelle P. Dipad</v>
      </c>
      <c r="C10" s="47" t="str">
        <f>IFERROR(IF(D10&lt;&gt;"",VLOOKUP(D10,'Beginner Adv 15M - Scoring'!$B:$D,3,0),""),"")</f>
        <v>N/A</v>
      </c>
      <c r="D10" s="48" t="str">
        <f>IF($D$4="By Club",IFERROR(IFERROR(INDEX('Beginner Adv 15M - Scoring'!$B:$B,MATCH(_xludf.aggregate(15,6,IF('Beginner Adv 15M - Scoring'!$D$2:$D$1000="Pasig AC",'Beginner Adv 15M - Scoring'!$BB$2:$BB$1000),1),'Beginner Adv 15M - Scoring'!$BB:$BB,0)),'Beginner Adv 15M - Scoring'!B6),""),IF($D$3="Individual",IF(5&lt;=COUNTA('Beginner Adv 15M - Scoring'!$B$6:$B$1000),IFERROR(IF(ISNUMBER(MATCH(5,'Beginner Adv 15M - Scoring'!$BB:$BB,0)),IFERROR(INDEX('Beginner Adv 15M - Scoring'!$B:$B,MATCH(5,'Beginner Adv 15M - Scoring'!$BB:$BB,0)),""),'Beginner Adv 15M - Scoring'!B10),""),""),IF($D$3="Double",IF(5&lt;=INT(COUNTA('Beginner Adv 15M - Scoring'!$B$6:$B$1000)/2),IFERROR(IF(ISNUMBER(MATCH(5,'Beginner Adv 15M - Scoring'!$BB:$BB,0)),IFERROR(INDEX('Beginner Adv 15M - Scoring'!$B:$B,MATCH(5,'Beginner Adv 15M - Scoring'!$BB:$BB,0)),""),'Beginner Adv 15M - Scoring'!B10),""),""),IF(5&lt;=INT(COUNTA('Beginner Adv 15M - Scoring'!$B$6:$B$1000)/3),IFERROR(IF(ISNUMBER(MATCH(5,'Beginner Adv 15M - Scoring'!$BB:$BB,0)),IFERROR(INDEX('Beginner Adv 15M - Scoring'!$B:$B,MATCH(5,'Beginner Adv 15M - Scoring'!$BB:$BB,0)),""),'Beginner Adv 15M - Scoring'!B10),""),""))))</f>
        <v>Jasmine Eizelle P. Dipad</v>
      </c>
      <c r="E10" s="49" t="str">
        <f>IF($D$3="Individual","",IF($D$4="By Club",IFERROR("",""),IF($D$3="Double",IF(5&lt;=INT(COUNTA('Beginner Adv 15M - Scoring'!$B$6:$B$1000)/2),IFERROR(IF(ISNUMBER(MATCH((COUNTA('Beginner Adv 15M - Scoring'!$B$6:$B$1000)-MOD(COUNTA('Beginner Adv 15M - Scoring'!$B$6:$B$1000),2))+1-5,'Beginner Adv 15M - Scoring'!$BB:$BB,0)),IFERROR(INDEX('Beginner Adv 15M - Scoring'!$B:$B,MATCH((COUNTA('Beginner Adv 15M - Scoring'!$B$6:$B$1000)-MOD(COUNTA('Beginner Adv 15M - Scoring'!$B$6:$B$1000),2))+1-5,'Beginner Adv 15M - Scoring'!$BB:$BB,0)),""),""),""),""),IF(5&lt;=INT(COUNTA('Beginner Adv 15M - Scoring'!$B$6:$B$1000)/3),IFERROR(IF(ISNUMBER(MATCH((COUNTA('Beginner Adv 15M - Scoring'!$B$6:$B$1000)-MOD(COUNTA('Beginner Adv 15M - Scoring'!$B$6:$B$1000),3))+1-5,'Beginner Adv 15M - Scoring'!$BB:$BB,0)),IFERROR(INDEX('Beginner Adv 15M - Scoring'!$B:$B,MATCH((COUNTA('Beginner Adv 15M - Scoring'!$B$6:$B$1000)-MOD(COUNTA('Beginner Adv 15M - Scoring'!$B$6:$B$1000),3))+1-5,'Beginner Adv 15M - Scoring'!$BB:$BB,0)),""),""),""),""))))</f>
        <v/>
      </c>
      <c r="F10" s="49" t="str">
        <f>IF($D$3&lt;&gt;"Team (3 archers)","",IF($D$4="By Club",IFERROR("",""),IF(5&lt;=INT(COUNTA('Beginner Adv 15M - Scoring'!$B$6:$B$1000)/3),IFERROR(IF(ISNUMBER(MATCH(INT((COUNTA('Beginner Adv 15M - Scoring'!$B$6:$B$1000)-MOD(COUNTA('Beginner Adv 15M - Scoring'!$B$6:$B$1000),3))/3)+5,'Beginner Adv 15M - Scoring'!$BB:$BB,0)),IFERROR(INDEX('Beginner Adv 15M - Scoring'!$B:$B,MATCH(INT((COUNTA('Beginner Adv 15M - Scoring'!$B$6:$B$1000)-MOD(COUNTA('Beginner Adv 15M - Scoring'!$B$6:$B$1000),3))/3)+5,'Beginner Adv 15M - Scoring'!$BB:$BB,0)),""),""),""),"")))</f>
        <v/>
      </c>
      <c r="G10" s="50">
        <f>IFERROR(IF(D10&lt;&gt;"",VLOOKUP(D10,'Beginner Adv 15M - Scoring'!$B:$AV,47,0),0),0)</f>
        <v>0</v>
      </c>
      <c r="H10" s="50">
        <f>IFERROR(IF(AND(OR($D$3="Double",$D$3="Team (3 archers)"),E10&lt;&gt;""),VLOOKUP(E10,'Beginner Adv 15M - Scoring'!$B:$AV,47,0),0),0)</f>
        <v>0</v>
      </c>
      <c r="I10" s="50">
        <f>IFERROR(IF(AND($D$3="Team (3 archers)",F10&lt;&gt;""),VLOOKUP(F10,'Beginner Adv 15M - Scoring'!$B:$AV,47,0),0),0)</f>
        <v>0</v>
      </c>
      <c r="J10" s="51">
        <f t="shared" si="1"/>
        <v>0</v>
      </c>
      <c r="K10" s="52">
        <f>IF(D10&lt;&gt;"",IFERROR(IF(D10&lt;&gt;"",VLOOKUP(D10,'Beginner Adv 15M - Scoring'!$B:$BA,52,0),0),0)+IFERROR(IF(AND(OR($D$3="Double",$D$3="Team (3 archers)"),E10&lt;&gt;""),VLOOKUP(E10,'Beginner Adv 15M - Scoring'!$B:$BA,52,0),0),0)+IFERROR(IF(AND($D$3="Team (3 archers)",F10&lt;&gt;""),VLOOKUP(F10,'Beginner Adv 15M - Scoring'!$B:$BA,52,0),0),0),"")</f>
        <v>0</v>
      </c>
      <c r="L10" s="53" t="s">
        <v>155</v>
      </c>
      <c r="M10" s="54" t="str">
        <f t="shared" si="2"/>
        <v/>
      </c>
      <c r="N10" s="55"/>
    </row>
    <row r="11" spans="1:14" ht="21.75" customHeight="1" x14ac:dyDescent="0.35">
      <c r="A11" s="46">
        <f>IF($D$3="Individual",IFERROR(VLOOKUP(D11,'Beginner Adv 15M - Scoring'!$B:$BB,53,0),99),IF(J11&lt;&gt;"",SUMPRODUCT((J$6:J$1000&gt;J11)*ISNUMBER(J$6:J$1000))+1+SUMPRODUCT((J$6:J$1000=J11)*(K$6:K$1000&gt;K11)*ISNUMBER(J$6:J$1000)*ISNUMBER(K$6:K$1000))+SUMPRODUCT((J$6:J$1000=J11)*(K$6:K$1000=K11)*(ROW(J$6:J$1000)&lt;11)*ISNUMBER(J$6:J$1000)),""))</f>
        <v>99</v>
      </c>
      <c r="B11" s="20" t="str">
        <f t="shared" si="0"/>
        <v/>
      </c>
      <c r="C11" s="47" t="str">
        <f>IFERROR(IF(D11&lt;&gt;"",VLOOKUP(D11,'Beginner Adv 15M - Scoring'!$B:$D,3,0),""),"")</f>
        <v/>
      </c>
      <c r="D11" s="48" t="str">
        <f>IF($D$4="By Club",IFERROR("",""),IF($D$3="Individual",IF(6&lt;=COUNTA('Beginner Adv 15M - Scoring'!$B$6:$B$1000),IFERROR(IF(ISNUMBER(MATCH(6,'Beginner Adv 15M - Scoring'!$BB:$BB,0)),IFERROR(INDEX('Beginner Adv 15M - Scoring'!$B:$B,MATCH(6,'Beginner Adv 15M - Scoring'!$BB:$BB,0)),""),""),""),""),IF($D$3="Double",IF(6&lt;=INT(COUNTA('Beginner Adv 15M - Scoring'!$B$6:$B$1000)/2),IFERROR(IF(ISNUMBER(MATCH(6,'Beginner Adv 15M - Scoring'!$BB:$BB,0)),IFERROR(INDEX('Beginner Adv 15M - Scoring'!$B:$B,MATCH(6,'Beginner Adv 15M - Scoring'!$BB:$BB,0)),""),""),""),""),IF(6&lt;=INT(COUNTA('Beginner Adv 15M - Scoring'!$B$6:$B$1000)/3),IFERROR(IF(ISNUMBER(MATCH(6,'Beginner Adv 15M - Scoring'!$BB:$BB,0)),IFERROR(INDEX('Beginner Adv 15M - Scoring'!$B:$B,MATCH(6,'Beginner Adv 15M - Scoring'!$BB:$BB,0)),""),""),""),""))))</f>
        <v/>
      </c>
      <c r="E11" s="49" t="str">
        <f>IF($D$3="Individual","",IF($D$4="By Club",IFERROR("",""),IF($D$3="Double",IF(6&lt;=INT(COUNTA('Beginner Adv 15M - Scoring'!$B$6:$B$1000)/2),IFERROR(IF(ISNUMBER(MATCH((COUNTA('Beginner Adv 15M - Scoring'!$B$6:$B$1000)-MOD(COUNTA('Beginner Adv 15M - Scoring'!$B$6:$B$1000),2))+1-6,'Beginner Adv 15M - Scoring'!$BB:$BB,0)),IFERROR(INDEX('Beginner Adv 15M - Scoring'!$B:$B,MATCH((COUNTA('Beginner Adv 15M - Scoring'!$B$6:$B$1000)-MOD(COUNTA('Beginner Adv 15M - Scoring'!$B$6:$B$1000),2))+1-6,'Beginner Adv 15M - Scoring'!$BB:$BB,0)),""),""),""),""),IF(6&lt;=INT(COUNTA('Beginner Adv 15M - Scoring'!$B$6:$B$1000)/3),IFERROR(IF(ISNUMBER(MATCH((COUNTA('Beginner Adv 15M - Scoring'!$B$6:$B$1000)-MOD(COUNTA('Beginner Adv 15M - Scoring'!$B$6:$B$1000),3))+1-6,'Beginner Adv 15M - Scoring'!$BB:$BB,0)),IFERROR(INDEX('Beginner Adv 15M - Scoring'!$B:$B,MATCH((COUNTA('Beginner Adv 15M - Scoring'!$B$6:$B$1000)-MOD(COUNTA('Beginner Adv 15M - Scoring'!$B$6:$B$1000),3))+1-6,'Beginner Adv 15M - Scoring'!$BB:$BB,0)),""),""),""),""))))</f>
        <v/>
      </c>
      <c r="F11" s="49" t="str">
        <f>IF($D$3&lt;&gt;"Team (3 archers)","",IF($D$4="By Club",IFERROR("",""),IF(6&lt;=INT(COUNTA('Beginner Adv 15M - Scoring'!$B$6:$B$1000)/3),IFERROR(IF(ISNUMBER(MATCH(INT((COUNTA('Beginner Adv 15M - Scoring'!$B$6:$B$1000)-MOD(COUNTA('Beginner Adv 15M - Scoring'!$B$6:$B$1000),3))/3)+6,'Beginner Adv 15M - Scoring'!$BB:$BB,0)),IFERROR(INDEX('Beginner Adv 15M - Scoring'!$B:$B,MATCH(INT((COUNTA('Beginner Adv 15M - Scoring'!$B$6:$B$1000)-MOD(COUNTA('Beginner Adv 15M - Scoring'!$B$6:$B$1000),3))/3)+6,'Beginner Adv 15M - Scoring'!$BB:$BB,0)),""),""),""),"")))</f>
        <v/>
      </c>
      <c r="G11" s="50">
        <f>IFERROR(IF(D11&lt;&gt;"",VLOOKUP(D11,'Beginner Adv 15M - Scoring'!$B:$AV,47,0),0),0)</f>
        <v>0</v>
      </c>
      <c r="H11" s="50">
        <f>IFERROR(IF(AND(OR($D$3="Double",$D$3="Team (3 archers)"),E11&lt;&gt;""),VLOOKUP(E11,'Beginner Adv 15M - Scoring'!$B:$AV,47,0),0),0)</f>
        <v>0</v>
      </c>
      <c r="I11" s="50">
        <f>IFERROR(IF(AND($D$3="Team (3 archers)",F11&lt;&gt;""),VLOOKUP(F11,'Beginner Adv 15M - Scoring'!$B:$AV,47,0),0),0)</f>
        <v>0</v>
      </c>
      <c r="J11" s="51" t="str">
        <f t="shared" si="1"/>
        <v/>
      </c>
      <c r="K11" s="52" t="str">
        <f>IF(D11&lt;&gt;"",IFERROR(IF(D11&lt;&gt;"",VLOOKUP(D11,'Beginner Adv 15M - Scoring'!$B:$BA,52,0),0),0)+IFERROR(IF(AND(OR($D$3="Double",$D$3="Team (3 archers)"),E11&lt;&gt;""),VLOOKUP(E11,'Beginner Adv 15M - Scoring'!$B:$BA,52,0),0),0)+IFERROR(IF(AND($D$3="Team (3 archers)",F11&lt;&gt;""),VLOOKUP(F11,'Beginner Adv 15M - Scoring'!$B:$BA,52,0),0),0),"")</f>
        <v/>
      </c>
      <c r="L11" s="40" t="s">
        <v>155</v>
      </c>
      <c r="M11" s="54" t="str">
        <f t="shared" si="2"/>
        <v/>
      </c>
      <c r="N11" s="55"/>
    </row>
    <row r="12" spans="1:14" ht="21.75" customHeight="1" x14ac:dyDescent="0.35">
      <c r="A12" s="46">
        <f>IF($D$3="Individual",IFERROR(VLOOKUP(D12,'Beginner Adv 15M - Scoring'!$B:$BB,53,0),99),IF(J12&lt;&gt;"",SUMPRODUCT((J$6:J$1000&gt;J12)*ISNUMBER(J$6:J$1000))+1+SUMPRODUCT((J$6:J$1000=J12)*(K$6:K$1000&gt;K12)*ISNUMBER(J$6:J$1000)*ISNUMBER(K$6:K$1000))+SUMPRODUCT((J$6:J$1000=J12)*(K$6:K$1000=K12)*(ROW(J$6:J$1000)&lt;12)*ISNUMBER(J$6:J$1000)),""))</f>
        <v>99</v>
      </c>
      <c r="B12" s="20" t="str">
        <f t="shared" si="0"/>
        <v/>
      </c>
      <c r="C12" s="47" t="str">
        <f>IFERROR(IF(D12&lt;&gt;"",VLOOKUP(D12,'Beginner Adv 15M - Scoring'!$B:$D,3,0),""),"")</f>
        <v/>
      </c>
      <c r="D12" s="48" t="str">
        <f>IF($D$4="By Club",IFERROR("",""),IF($D$3="Individual",IF(7&lt;=COUNTA('Beginner Adv 15M - Scoring'!$B$6:$B$1000),IFERROR(IF(ISNUMBER(MATCH(7,'Beginner Adv 15M - Scoring'!$BB:$BB,0)),IFERROR(INDEX('Beginner Adv 15M - Scoring'!$B:$B,MATCH(7,'Beginner Adv 15M - Scoring'!$BB:$BB,0)),""),""),""),""),IF($D$3="Double",IF(7&lt;=INT(COUNTA('Beginner Adv 15M - Scoring'!$B$6:$B$1000)/2),IFERROR(IF(ISNUMBER(MATCH(7,'Beginner Adv 15M - Scoring'!$BB:$BB,0)),IFERROR(INDEX('Beginner Adv 15M - Scoring'!$B:$B,MATCH(7,'Beginner Adv 15M - Scoring'!$BB:$BB,0)),""),""),""),""),IF(7&lt;=INT(COUNTA('Beginner Adv 15M - Scoring'!$B$6:$B$1000)/3),IFERROR(IF(ISNUMBER(MATCH(7,'Beginner Adv 15M - Scoring'!$BB:$BB,0)),IFERROR(INDEX('Beginner Adv 15M - Scoring'!$B:$B,MATCH(7,'Beginner Adv 15M - Scoring'!$BB:$BB,0)),""),""),""),""))))</f>
        <v/>
      </c>
      <c r="E12" s="49" t="str">
        <f>IF($D$3="Individual","",IF($D$4="By Club",IFERROR("",""),IF($D$3="Double",IF(7&lt;=INT(COUNTA('Beginner Adv 15M - Scoring'!$B$6:$B$1000)/2),IFERROR(IF(ISNUMBER(MATCH((COUNTA('Beginner Adv 15M - Scoring'!$B$6:$B$1000)-MOD(COUNTA('Beginner Adv 15M - Scoring'!$B$6:$B$1000),2))+1-7,'Beginner Adv 15M - Scoring'!$BB:$BB,0)),IFERROR(INDEX('Beginner Adv 15M - Scoring'!$B:$B,MATCH((COUNTA('Beginner Adv 15M - Scoring'!$B$6:$B$1000)-MOD(COUNTA('Beginner Adv 15M - Scoring'!$B$6:$B$1000),2))+1-7,'Beginner Adv 15M - Scoring'!$BB:$BB,0)),""),""),""),""),IF(7&lt;=INT(COUNTA('Beginner Adv 15M - Scoring'!$B$6:$B$1000)/3),IFERROR(IF(ISNUMBER(MATCH((COUNTA('Beginner Adv 15M - Scoring'!$B$6:$B$1000)-MOD(COUNTA('Beginner Adv 15M - Scoring'!$B$6:$B$1000),3))+1-7,'Beginner Adv 15M - Scoring'!$BB:$BB,0)),IFERROR(INDEX('Beginner Adv 15M - Scoring'!$B:$B,MATCH((COUNTA('Beginner Adv 15M - Scoring'!$B$6:$B$1000)-MOD(COUNTA('Beginner Adv 15M - Scoring'!$B$6:$B$1000),3))+1-7,'Beginner Adv 15M - Scoring'!$BB:$BB,0)),""),""),""),""))))</f>
        <v/>
      </c>
      <c r="F12" s="49" t="str">
        <f>IF($D$3&lt;&gt;"Team (3 archers)","",IF($D$4="By Club",IFERROR("",""),IF(7&lt;=INT(COUNTA('Beginner Adv 15M - Scoring'!$B$6:$B$1000)/3),IFERROR(IF(ISNUMBER(MATCH(INT((COUNTA('Beginner Adv 15M - Scoring'!$B$6:$B$1000)-MOD(COUNTA('Beginner Adv 15M - Scoring'!$B$6:$B$1000),3))/3)+7,'Beginner Adv 15M - Scoring'!$BB:$BB,0)),IFERROR(INDEX('Beginner Adv 15M - Scoring'!$B:$B,MATCH(INT((COUNTA('Beginner Adv 15M - Scoring'!$B$6:$B$1000)-MOD(COUNTA('Beginner Adv 15M - Scoring'!$B$6:$B$1000),3))/3)+7,'Beginner Adv 15M - Scoring'!$BB:$BB,0)),""),""),""),"")))</f>
        <v/>
      </c>
      <c r="G12" s="50">
        <f>IFERROR(IF(D12&lt;&gt;"",VLOOKUP(D12,'Beginner Adv 15M - Scoring'!$B:$AV,47,0),0),0)</f>
        <v>0</v>
      </c>
      <c r="H12" s="50">
        <f>IFERROR(IF(AND(OR($D$3="Double",$D$3="Team (3 archers)"),E12&lt;&gt;""),VLOOKUP(E12,'Beginner Adv 15M - Scoring'!$B:$AV,47,0),0),0)</f>
        <v>0</v>
      </c>
      <c r="I12" s="50">
        <f>IFERROR(IF(AND($D$3="Team (3 archers)",F12&lt;&gt;""),VLOOKUP(F12,'Beginner Adv 15M - Scoring'!$B:$AV,47,0),0),0)</f>
        <v>0</v>
      </c>
      <c r="J12" s="51" t="str">
        <f t="shared" si="1"/>
        <v/>
      </c>
      <c r="K12" s="52" t="str">
        <f>IF(D12&lt;&gt;"",IFERROR(IF(D12&lt;&gt;"",VLOOKUP(D12,'Beginner Adv 15M - Scoring'!$B:$BA,52,0),0),0)+IFERROR(IF(AND(OR($D$3="Double",$D$3="Team (3 archers)"),E12&lt;&gt;""),VLOOKUP(E12,'Beginner Adv 15M - Scoring'!$B:$BA,52,0),0),0)+IFERROR(IF(AND($D$3="Team (3 archers)",F12&lt;&gt;""),VLOOKUP(F12,'Beginner Adv 15M - Scoring'!$B:$BA,52,0),0),0),"")</f>
        <v/>
      </c>
      <c r="L12" s="53" t="s">
        <v>155</v>
      </c>
      <c r="M12" s="54" t="str">
        <f t="shared" si="2"/>
        <v/>
      </c>
      <c r="N12" s="55"/>
    </row>
    <row r="13" spans="1:14" ht="21.75" customHeight="1" x14ac:dyDescent="0.35">
      <c r="A13" s="46">
        <f>IF($D$3="Individual",IFERROR(VLOOKUP(D13,'Beginner Adv 15M - Scoring'!$B:$BB,53,0),99),IF(J13&lt;&gt;"",SUMPRODUCT((J$6:J$1000&gt;J13)*ISNUMBER(J$6:J$1000))+1+SUMPRODUCT((J$6:J$1000=J13)*(K$6:K$1000&gt;K13)*ISNUMBER(J$6:J$1000)*ISNUMBER(K$6:K$1000))+SUMPRODUCT((J$6:J$1000=J13)*(K$6:K$1000=K13)*(ROW(J$6:J$1000)&lt;13)*ISNUMBER(J$6:J$1000)),""))</f>
        <v>99</v>
      </c>
      <c r="B13" s="20" t="str">
        <f t="shared" si="0"/>
        <v/>
      </c>
      <c r="C13" s="47" t="str">
        <f>IFERROR(IF(D13&lt;&gt;"",VLOOKUP(D13,'Beginner Adv 15M - Scoring'!$B:$D,3,0),""),"")</f>
        <v/>
      </c>
      <c r="D13" s="48" t="str">
        <f>IF($D$4="By Club",IFERROR("",""),IF($D$3="Individual",IF(8&lt;=COUNTA('Beginner Adv 15M - Scoring'!$B$6:$B$1000),IFERROR(IF(ISNUMBER(MATCH(8,'Beginner Adv 15M - Scoring'!$BB:$BB,0)),IFERROR(INDEX('Beginner Adv 15M - Scoring'!$B:$B,MATCH(8,'Beginner Adv 15M - Scoring'!$BB:$BB,0)),""),""),""),""),IF($D$3="Double",IF(8&lt;=INT(COUNTA('Beginner Adv 15M - Scoring'!$B$6:$B$1000)/2),IFERROR(IF(ISNUMBER(MATCH(8,'Beginner Adv 15M - Scoring'!$BB:$BB,0)),IFERROR(INDEX('Beginner Adv 15M - Scoring'!$B:$B,MATCH(8,'Beginner Adv 15M - Scoring'!$BB:$BB,0)),""),""),""),""),IF(8&lt;=INT(COUNTA('Beginner Adv 15M - Scoring'!$B$6:$B$1000)/3),IFERROR(IF(ISNUMBER(MATCH(8,'Beginner Adv 15M - Scoring'!$BB:$BB,0)),IFERROR(INDEX('Beginner Adv 15M - Scoring'!$B:$B,MATCH(8,'Beginner Adv 15M - Scoring'!$BB:$BB,0)),""),""),""),""))))</f>
        <v/>
      </c>
      <c r="E13" s="49" t="str">
        <f>IF($D$3="Individual","",IF($D$4="By Club",IFERROR("",""),IF($D$3="Double",IF(8&lt;=INT(COUNTA('Beginner Adv 15M - Scoring'!$B$6:$B$1000)/2),IFERROR(IF(ISNUMBER(MATCH((COUNTA('Beginner Adv 15M - Scoring'!$B$6:$B$1000)-MOD(COUNTA('Beginner Adv 15M - Scoring'!$B$6:$B$1000),2))+1-8,'Beginner Adv 15M - Scoring'!$BB:$BB,0)),IFERROR(INDEX('Beginner Adv 15M - Scoring'!$B:$B,MATCH((COUNTA('Beginner Adv 15M - Scoring'!$B$6:$B$1000)-MOD(COUNTA('Beginner Adv 15M - Scoring'!$B$6:$B$1000),2))+1-8,'Beginner Adv 15M - Scoring'!$BB:$BB,0)),""),""),""),""),IF(8&lt;=INT(COUNTA('Beginner Adv 15M - Scoring'!$B$6:$B$1000)/3),IFERROR(IF(ISNUMBER(MATCH((COUNTA('Beginner Adv 15M - Scoring'!$B$6:$B$1000)-MOD(COUNTA('Beginner Adv 15M - Scoring'!$B$6:$B$1000),3))+1-8,'Beginner Adv 15M - Scoring'!$BB:$BB,0)),IFERROR(INDEX('Beginner Adv 15M - Scoring'!$B:$B,MATCH((COUNTA('Beginner Adv 15M - Scoring'!$B$6:$B$1000)-MOD(COUNTA('Beginner Adv 15M - Scoring'!$B$6:$B$1000),3))+1-8,'Beginner Adv 15M - Scoring'!$BB:$BB,0)),""),""),""),""))))</f>
        <v/>
      </c>
      <c r="F13" s="49" t="str">
        <f>IF($D$3&lt;&gt;"Team (3 archers)","",IF($D$4="By Club",IFERROR("",""),IF(8&lt;=INT(COUNTA('Beginner Adv 15M - Scoring'!$B$6:$B$1000)/3),IFERROR(IF(ISNUMBER(MATCH(INT((COUNTA('Beginner Adv 15M - Scoring'!$B$6:$B$1000)-MOD(COUNTA('Beginner Adv 15M - Scoring'!$B$6:$B$1000),3))/3)+8,'Beginner Adv 15M - Scoring'!$BB:$BB,0)),IFERROR(INDEX('Beginner Adv 15M - Scoring'!$B:$B,MATCH(INT((COUNTA('Beginner Adv 15M - Scoring'!$B$6:$B$1000)-MOD(COUNTA('Beginner Adv 15M - Scoring'!$B$6:$B$1000),3))/3)+8,'Beginner Adv 15M - Scoring'!$BB:$BB,0)),""),""),""),"")))</f>
        <v/>
      </c>
      <c r="G13" s="50">
        <f>IFERROR(IF(D13&lt;&gt;"",VLOOKUP(D13,'Beginner Adv 15M - Scoring'!$B:$AV,47,0),0),0)</f>
        <v>0</v>
      </c>
      <c r="H13" s="50">
        <f>IFERROR(IF(AND(OR($D$3="Double",$D$3="Team (3 archers)"),E13&lt;&gt;""),VLOOKUP(E13,'Beginner Adv 15M - Scoring'!$B:$AV,47,0),0),0)</f>
        <v>0</v>
      </c>
      <c r="I13" s="50">
        <f>IFERROR(IF(AND($D$3="Team (3 archers)",F13&lt;&gt;""),VLOOKUP(F13,'Beginner Adv 15M - Scoring'!$B:$AV,47,0),0),0)</f>
        <v>0</v>
      </c>
      <c r="J13" s="51" t="str">
        <f t="shared" si="1"/>
        <v/>
      </c>
      <c r="K13" s="52" t="str">
        <f>IF(D13&lt;&gt;"",IFERROR(IF(D13&lt;&gt;"",VLOOKUP(D13,'Beginner Adv 15M - Scoring'!$B:$BA,52,0),0),0)+IFERROR(IF(AND(OR($D$3="Double",$D$3="Team (3 archers)"),E13&lt;&gt;""),VLOOKUP(E13,'Beginner Adv 15M - Scoring'!$B:$BA,52,0),0),0)+IFERROR(IF(AND($D$3="Team (3 archers)",F13&lt;&gt;""),VLOOKUP(F13,'Beginner Adv 15M - Scoring'!$B:$BA,52,0),0),0),"")</f>
        <v/>
      </c>
      <c r="L13" s="40" t="s">
        <v>155</v>
      </c>
      <c r="M13" s="54" t="str">
        <f t="shared" si="2"/>
        <v/>
      </c>
      <c r="N13" s="55"/>
    </row>
    <row r="14" spans="1:14" ht="21.75" customHeight="1" x14ac:dyDescent="0.35">
      <c r="A14" s="46">
        <f>IF($D$3="Individual",IFERROR(VLOOKUP(D14,'Beginner Adv 15M - Scoring'!$B:$BB,53,0),99),IF(J14&lt;&gt;"",SUMPRODUCT((J$6:J$1000&gt;J14)*ISNUMBER(J$6:J$1000))+1+SUMPRODUCT((J$6:J$1000=J14)*(K$6:K$1000&gt;K14)*ISNUMBER(J$6:J$1000)*ISNUMBER(K$6:K$1000))+SUMPRODUCT((J$6:J$1000=J14)*(K$6:K$1000=K14)*(ROW(J$6:J$1000)&lt;14)*ISNUMBER(J$6:J$1000)),""))</f>
        <v>99</v>
      </c>
      <c r="B14" s="20" t="str">
        <f t="shared" si="0"/>
        <v/>
      </c>
      <c r="C14" s="47" t="str">
        <f>IFERROR(IF(D14&lt;&gt;"",VLOOKUP(D14,'Beginner Adv 15M - Scoring'!$B:$D,3,0),""),"")</f>
        <v/>
      </c>
      <c r="D14" s="48" t="str">
        <f>IF($D$4="By Club",IFERROR("",""),IF($D$3="Individual",IF(9&lt;=COUNTA('Beginner Adv 15M - Scoring'!$B$6:$B$1000),IFERROR(IF(ISNUMBER(MATCH(9,'Beginner Adv 15M - Scoring'!$BB:$BB,0)),IFERROR(INDEX('Beginner Adv 15M - Scoring'!$B:$B,MATCH(9,'Beginner Adv 15M - Scoring'!$BB:$BB,0)),""),""),""),""),IF($D$3="Double",IF(9&lt;=INT(COUNTA('Beginner Adv 15M - Scoring'!$B$6:$B$1000)/2),IFERROR(IF(ISNUMBER(MATCH(9,'Beginner Adv 15M - Scoring'!$BB:$BB,0)),IFERROR(INDEX('Beginner Adv 15M - Scoring'!$B:$B,MATCH(9,'Beginner Adv 15M - Scoring'!$BB:$BB,0)),""),""),""),""),IF(9&lt;=INT(COUNTA('Beginner Adv 15M - Scoring'!$B$6:$B$1000)/3),IFERROR(IF(ISNUMBER(MATCH(9,'Beginner Adv 15M - Scoring'!$BB:$BB,0)),IFERROR(INDEX('Beginner Adv 15M - Scoring'!$B:$B,MATCH(9,'Beginner Adv 15M - Scoring'!$BB:$BB,0)),""),""),""),""))))</f>
        <v/>
      </c>
      <c r="E14" s="49" t="str">
        <f>IF($D$3="Individual","",IF($D$4="By Club",IFERROR("",""),IF($D$3="Double",IF(9&lt;=INT(COUNTA('Beginner Adv 15M - Scoring'!$B$6:$B$1000)/2),IFERROR(IF(ISNUMBER(MATCH((COUNTA('Beginner Adv 15M - Scoring'!$B$6:$B$1000)-MOD(COUNTA('Beginner Adv 15M - Scoring'!$B$6:$B$1000),2))+1-9,'Beginner Adv 15M - Scoring'!$BB:$BB,0)),IFERROR(INDEX('Beginner Adv 15M - Scoring'!$B:$B,MATCH((COUNTA('Beginner Adv 15M - Scoring'!$B$6:$B$1000)-MOD(COUNTA('Beginner Adv 15M - Scoring'!$B$6:$B$1000),2))+1-9,'Beginner Adv 15M - Scoring'!$BB:$BB,0)),""),""),""),""),IF(9&lt;=INT(COUNTA('Beginner Adv 15M - Scoring'!$B$6:$B$1000)/3),IFERROR(IF(ISNUMBER(MATCH((COUNTA('Beginner Adv 15M - Scoring'!$B$6:$B$1000)-MOD(COUNTA('Beginner Adv 15M - Scoring'!$B$6:$B$1000),3))+1-9,'Beginner Adv 15M - Scoring'!$BB:$BB,0)),IFERROR(INDEX('Beginner Adv 15M - Scoring'!$B:$B,MATCH((COUNTA('Beginner Adv 15M - Scoring'!$B$6:$B$1000)-MOD(COUNTA('Beginner Adv 15M - Scoring'!$B$6:$B$1000),3))+1-9,'Beginner Adv 15M - Scoring'!$BB:$BB,0)),""),""),""),""))))</f>
        <v/>
      </c>
      <c r="F14" s="49" t="str">
        <f>IF($D$3&lt;&gt;"Team (3 archers)","",IF($D$4="By Club",IFERROR("",""),IF(9&lt;=INT(COUNTA('Beginner Adv 15M - Scoring'!$B$6:$B$1000)/3),IFERROR(IF(ISNUMBER(MATCH(INT((COUNTA('Beginner Adv 15M - Scoring'!$B$6:$B$1000)-MOD(COUNTA('Beginner Adv 15M - Scoring'!$B$6:$B$1000),3))/3)+9,'Beginner Adv 15M - Scoring'!$BB:$BB,0)),IFERROR(INDEX('Beginner Adv 15M - Scoring'!$B:$B,MATCH(INT((COUNTA('Beginner Adv 15M - Scoring'!$B$6:$B$1000)-MOD(COUNTA('Beginner Adv 15M - Scoring'!$B$6:$B$1000),3))/3)+9,'Beginner Adv 15M - Scoring'!$BB:$BB,0)),""),""),""),"")))</f>
        <v/>
      </c>
      <c r="G14" s="50">
        <f>IFERROR(IF(D14&lt;&gt;"",VLOOKUP(D14,'Beginner Adv 15M - Scoring'!$B:$AV,47,0),0),0)</f>
        <v>0</v>
      </c>
      <c r="H14" s="50">
        <f>IFERROR(IF(AND(OR($D$3="Double",$D$3="Team (3 archers)"),E14&lt;&gt;""),VLOOKUP(E14,'Beginner Adv 15M - Scoring'!$B:$AV,47,0),0),0)</f>
        <v>0</v>
      </c>
      <c r="I14" s="50">
        <f>IFERROR(IF(AND($D$3="Team (3 archers)",F14&lt;&gt;""),VLOOKUP(F14,'Beginner Adv 15M - Scoring'!$B:$AV,47,0),0),0)</f>
        <v>0</v>
      </c>
      <c r="J14" s="51" t="str">
        <f t="shared" si="1"/>
        <v/>
      </c>
      <c r="K14" s="52" t="str">
        <f>IF(D14&lt;&gt;"",IFERROR(IF(D14&lt;&gt;"",VLOOKUP(D14,'Beginner Adv 15M - Scoring'!$B:$BA,52,0),0),0)+IFERROR(IF(AND(OR($D$3="Double",$D$3="Team (3 archers)"),E14&lt;&gt;""),VLOOKUP(E14,'Beginner Adv 15M - Scoring'!$B:$BA,52,0),0),0)+IFERROR(IF(AND($D$3="Team (3 archers)",F14&lt;&gt;""),VLOOKUP(F14,'Beginner Adv 15M - Scoring'!$B:$BA,52,0),0),0),"")</f>
        <v/>
      </c>
      <c r="L14" s="53" t="s">
        <v>155</v>
      </c>
      <c r="M14" s="54" t="str">
        <f t="shared" si="2"/>
        <v/>
      </c>
      <c r="N14" s="55"/>
    </row>
    <row r="15" spans="1:14" ht="21.75" customHeight="1" x14ac:dyDescent="0.35">
      <c r="A15" s="46">
        <f>IF($D$3="Individual",IFERROR(VLOOKUP(D15,'Beginner Adv 15M - Scoring'!$B:$BB,53,0),99),IF(J15&lt;&gt;"",SUMPRODUCT((J$6:J$1000&gt;J15)*ISNUMBER(J$6:J$1000))+1+SUMPRODUCT((J$6:J$1000=J15)*(K$6:K$1000&gt;K15)*ISNUMBER(J$6:J$1000)*ISNUMBER(K$6:K$1000))+SUMPRODUCT((J$6:J$1000=J15)*(K$6:K$1000=K15)*(ROW(J$6:J$1000)&lt;15)*ISNUMBER(J$6:J$1000)),""))</f>
        <v>99</v>
      </c>
      <c r="B15" s="20" t="str">
        <f t="shared" si="0"/>
        <v/>
      </c>
      <c r="C15" s="47" t="str">
        <f>IFERROR(IF(D15&lt;&gt;"",VLOOKUP(D15,'Beginner Adv 15M - Scoring'!$B:$D,3,0),""),"")</f>
        <v/>
      </c>
      <c r="D15" s="48" t="str">
        <f>IF($D$4="By Club",IFERROR("",""),IF($D$3="Individual",IF(10&lt;=COUNTA('Beginner Adv 15M - Scoring'!$B$6:$B$1000),IFERROR(IF(ISNUMBER(MATCH(10,'Beginner Adv 15M - Scoring'!$BB:$BB,0)),IFERROR(INDEX('Beginner Adv 15M - Scoring'!$B:$B,MATCH(10,'Beginner Adv 15M - Scoring'!$BB:$BB,0)),""),""),""),""),IF($D$3="Double",IF(10&lt;=INT(COUNTA('Beginner Adv 15M - Scoring'!$B$6:$B$1000)/2),IFERROR(IF(ISNUMBER(MATCH(10,'Beginner Adv 15M - Scoring'!$BB:$BB,0)),IFERROR(INDEX('Beginner Adv 15M - Scoring'!$B:$B,MATCH(10,'Beginner Adv 15M - Scoring'!$BB:$BB,0)),""),""),""),""),IF(10&lt;=INT(COUNTA('Beginner Adv 15M - Scoring'!$B$6:$B$1000)/3),IFERROR(IF(ISNUMBER(MATCH(10,'Beginner Adv 15M - Scoring'!$BB:$BB,0)),IFERROR(INDEX('Beginner Adv 15M - Scoring'!$B:$B,MATCH(10,'Beginner Adv 15M - Scoring'!$BB:$BB,0)),""),""),""),""))))</f>
        <v/>
      </c>
      <c r="E15" s="49" t="str">
        <f>IF($D$3="Individual","",IF($D$4="By Club",IFERROR("",""),IF($D$3="Double",IF(10&lt;=INT(COUNTA('Beginner Adv 15M - Scoring'!$B$6:$B$1000)/2),IFERROR(IF(ISNUMBER(MATCH((COUNTA('Beginner Adv 15M - Scoring'!$B$6:$B$1000)-MOD(COUNTA('Beginner Adv 15M - Scoring'!$B$6:$B$1000),2))+1-10,'Beginner Adv 15M - Scoring'!$BB:$BB,0)),IFERROR(INDEX('Beginner Adv 15M - Scoring'!$B:$B,MATCH((COUNTA('Beginner Adv 15M - Scoring'!$B$6:$B$1000)-MOD(COUNTA('Beginner Adv 15M - Scoring'!$B$6:$B$1000),2))+1-10,'Beginner Adv 15M - Scoring'!$BB:$BB,0)),""),""),""),""),IF(10&lt;=INT(COUNTA('Beginner Adv 15M - Scoring'!$B$6:$B$1000)/3),IFERROR(IF(ISNUMBER(MATCH((COUNTA('Beginner Adv 15M - Scoring'!$B$6:$B$1000)-MOD(COUNTA('Beginner Adv 15M - Scoring'!$B$6:$B$1000),3))+1-10,'Beginner Adv 15M - Scoring'!$BB:$BB,0)),IFERROR(INDEX('Beginner Adv 15M - Scoring'!$B:$B,MATCH((COUNTA('Beginner Adv 15M - Scoring'!$B$6:$B$1000)-MOD(COUNTA('Beginner Adv 15M - Scoring'!$B$6:$B$1000),3))+1-10,'Beginner Adv 15M - Scoring'!$BB:$BB,0)),""),""),""),""))))</f>
        <v/>
      </c>
      <c r="F15" s="49" t="str">
        <f>IF($D$3&lt;&gt;"Team (3 archers)","",IF($D$4="By Club",IFERROR("",""),IF(10&lt;=INT(COUNTA('Beginner Adv 15M - Scoring'!$B$6:$B$1000)/3),IFERROR(IF(ISNUMBER(MATCH(INT((COUNTA('Beginner Adv 15M - Scoring'!$B$6:$B$1000)-MOD(COUNTA('Beginner Adv 15M - Scoring'!$B$6:$B$1000),3))/3)+10,'Beginner Adv 15M - Scoring'!$BB:$BB,0)),IFERROR(INDEX('Beginner Adv 15M - Scoring'!$B:$B,MATCH(INT((COUNTA('Beginner Adv 15M - Scoring'!$B$6:$B$1000)-MOD(COUNTA('Beginner Adv 15M - Scoring'!$B$6:$B$1000),3))/3)+10,'Beginner Adv 15M - Scoring'!$BB:$BB,0)),""),""),""),"")))</f>
        <v/>
      </c>
      <c r="G15" s="50">
        <f>IFERROR(IF(D15&lt;&gt;"",VLOOKUP(D15,'Beginner Adv 15M - Scoring'!$B:$AV,47,0),0),0)</f>
        <v>0</v>
      </c>
      <c r="H15" s="50">
        <f>IFERROR(IF(AND(OR($D$3="Double",$D$3="Team (3 archers)"),E15&lt;&gt;""),VLOOKUP(E15,'Beginner Adv 15M - Scoring'!$B:$AV,47,0),0),0)</f>
        <v>0</v>
      </c>
      <c r="I15" s="50">
        <f>IFERROR(IF(AND($D$3="Team (3 archers)",F15&lt;&gt;""),VLOOKUP(F15,'Beginner Adv 15M - Scoring'!$B:$AV,47,0),0),0)</f>
        <v>0</v>
      </c>
      <c r="J15" s="51" t="str">
        <f t="shared" si="1"/>
        <v/>
      </c>
      <c r="K15" s="52" t="str">
        <f>IF(D15&lt;&gt;"",IFERROR(IF(D15&lt;&gt;"",VLOOKUP(D15,'Beginner Adv 15M - Scoring'!$B:$BA,52,0),0),0)+IFERROR(IF(AND(OR($D$3="Double",$D$3="Team (3 archers)"),E15&lt;&gt;""),VLOOKUP(E15,'Beginner Adv 15M - Scoring'!$B:$BA,52,0),0),0)+IFERROR(IF(AND($D$3="Team (3 archers)",F15&lt;&gt;""),VLOOKUP(F15,'Beginner Adv 15M - Scoring'!$B:$BA,52,0),0),0),"")</f>
        <v/>
      </c>
      <c r="L15" s="40" t="s">
        <v>155</v>
      </c>
      <c r="M15" s="54" t="str">
        <f t="shared" si="2"/>
        <v/>
      </c>
      <c r="N15" s="55"/>
    </row>
    <row r="16" spans="1:14" ht="21.75" customHeight="1" x14ac:dyDescent="0.35">
      <c r="A16" s="46">
        <f>IF($D$3="Individual",IFERROR(VLOOKUP(D16,'Beginner Adv 15M - Scoring'!$B:$BB,53,0),99),IF(J16&lt;&gt;"",SUMPRODUCT((J$6:J$1000&gt;J16)*ISNUMBER(J$6:J$1000))+1+SUMPRODUCT((J$6:J$1000=J16)*(K$6:K$1000&gt;K16)*ISNUMBER(J$6:J$1000)*ISNUMBER(K$6:K$1000))+SUMPRODUCT((J$6:J$1000=J16)*(K$6:K$1000=K16)*(ROW(J$6:J$1000)&lt;16)*ISNUMBER(J$6:J$1000)),""))</f>
        <v>99</v>
      </c>
      <c r="B16" s="20" t="str">
        <f t="shared" si="0"/>
        <v/>
      </c>
      <c r="C16" s="47" t="str">
        <f>IFERROR(IF(D16&lt;&gt;"",VLOOKUP(D16,'Beginner Adv 15M - Scoring'!$B:$D,3,0),""),"")</f>
        <v/>
      </c>
      <c r="D16" s="48" t="str">
        <f>IF($D$4="By Club",IFERROR("",""),IF($D$3="Individual",IF(11&lt;=COUNTA('Beginner Adv 15M - Scoring'!$B$6:$B$1000),IFERROR(IF(ISNUMBER(MATCH(11,'Beginner Adv 15M - Scoring'!$BB:$BB,0)),IFERROR(INDEX('Beginner Adv 15M - Scoring'!$B:$B,MATCH(11,'Beginner Adv 15M - Scoring'!$BB:$BB,0)),""),""),""),""),IF($D$3="Double",IF(11&lt;=INT(COUNTA('Beginner Adv 15M - Scoring'!$B$6:$B$1000)/2),IFERROR(IF(ISNUMBER(MATCH(11,'Beginner Adv 15M - Scoring'!$BB:$BB,0)),IFERROR(INDEX('Beginner Adv 15M - Scoring'!$B:$B,MATCH(11,'Beginner Adv 15M - Scoring'!$BB:$BB,0)),""),""),""),""),IF(11&lt;=INT(COUNTA('Beginner Adv 15M - Scoring'!$B$6:$B$1000)/3),IFERROR(IF(ISNUMBER(MATCH(11,'Beginner Adv 15M - Scoring'!$BB:$BB,0)),IFERROR(INDEX('Beginner Adv 15M - Scoring'!$B:$B,MATCH(11,'Beginner Adv 15M - Scoring'!$BB:$BB,0)),""),""),""),""))))</f>
        <v/>
      </c>
      <c r="E16" s="49" t="str">
        <f>IF($D$3="Individual","",IF($D$4="By Club",IFERROR("",""),IF($D$3="Double",IF(11&lt;=INT(COUNTA('Beginner Adv 15M - Scoring'!$B$6:$B$1000)/2),IFERROR(IF(ISNUMBER(MATCH((COUNTA('Beginner Adv 15M - Scoring'!$B$6:$B$1000)-MOD(COUNTA('Beginner Adv 15M - Scoring'!$B$6:$B$1000),2))+1-11,'Beginner Adv 15M - Scoring'!$BB:$BB,0)),IFERROR(INDEX('Beginner Adv 15M - Scoring'!$B:$B,MATCH((COUNTA('Beginner Adv 15M - Scoring'!$B$6:$B$1000)-MOD(COUNTA('Beginner Adv 15M - Scoring'!$B$6:$B$1000),2))+1-11,'Beginner Adv 15M - Scoring'!$BB:$BB,0)),""),""),""),""),IF(11&lt;=INT(COUNTA('Beginner Adv 15M - Scoring'!$B$6:$B$1000)/3),IFERROR(IF(ISNUMBER(MATCH((COUNTA('Beginner Adv 15M - Scoring'!$B$6:$B$1000)-MOD(COUNTA('Beginner Adv 15M - Scoring'!$B$6:$B$1000),3))+1-11,'Beginner Adv 15M - Scoring'!$BB:$BB,0)),IFERROR(INDEX('Beginner Adv 15M - Scoring'!$B:$B,MATCH((COUNTA('Beginner Adv 15M - Scoring'!$B$6:$B$1000)-MOD(COUNTA('Beginner Adv 15M - Scoring'!$B$6:$B$1000),3))+1-11,'Beginner Adv 15M - Scoring'!$BB:$BB,0)),""),""),""),""))))</f>
        <v/>
      </c>
      <c r="F16" s="49" t="str">
        <f>IF($D$3&lt;&gt;"Team (3 archers)","",IF($D$4="By Club",IFERROR("",""),IF(11&lt;=INT(COUNTA('Beginner Adv 15M - Scoring'!$B$6:$B$1000)/3),IFERROR(IF(ISNUMBER(MATCH(INT((COUNTA('Beginner Adv 15M - Scoring'!$B$6:$B$1000)-MOD(COUNTA('Beginner Adv 15M - Scoring'!$B$6:$B$1000),3))/3)+11,'Beginner Adv 15M - Scoring'!$BB:$BB,0)),IFERROR(INDEX('Beginner Adv 15M - Scoring'!$B:$B,MATCH(INT((COUNTA('Beginner Adv 15M - Scoring'!$B$6:$B$1000)-MOD(COUNTA('Beginner Adv 15M - Scoring'!$B$6:$B$1000),3))/3)+11,'Beginner Adv 15M - Scoring'!$BB:$BB,0)),""),""),""),"")))</f>
        <v/>
      </c>
      <c r="G16" s="50">
        <f>IFERROR(IF(D16&lt;&gt;"",VLOOKUP(D16,'Beginner Adv 15M - Scoring'!$B:$AV,47,0),0),0)</f>
        <v>0</v>
      </c>
      <c r="H16" s="50">
        <f>IFERROR(IF(AND(OR($D$3="Double",$D$3="Team (3 archers)"),E16&lt;&gt;""),VLOOKUP(E16,'Beginner Adv 15M - Scoring'!$B:$AV,47,0),0),0)</f>
        <v>0</v>
      </c>
      <c r="I16" s="50">
        <f>IFERROR(IF(AND($D$3="Team (3 archers)",F16&lt;&gt;""),VLOOKUP(F16,'Beginner Adv 15M - Scoring'!$B:$AV,47,0),0),0)</f>
        <v>0</v>
      </c>
      <c r="J16" s="51" t="str">
        <f t="shared" si="1"/>
        <v/>
      </c>
      <c r="K16" s="52" t="str">
        <f>IF(D16&lt;&gt;"",IFERROR(IF(D16&lt;&gt;"",VLOOKUP(D16,'Beginner Adv 15M - Scoring'!$B:$BA,52,0),0),0)+IFERROR(IF(AND(OR($D$3="Double",$D$3="Team (3 archers)"),E16&lt;&gt;""),VLOOKUP(E16,'Beginner Adv 15M - Scoring'!$B:$BA,52,0),0),0)+IFERROR(IF(AND($D$3="Team (3 archers)",F16&lt;&gt;""),VLOOKUP(F16,'Beginner Adv 15M - Scoring'!$B:$BA,52,0),0),0),"")</f>
        <v/>
      </c>
      <c r="L16" s="53" t="s">
        <v>155</v>
      </c>
      <c r="M16" s="54" t="str">
        <f t="shared" si="2"/>
        <v/>
      </c>
      <c r="N16" s="55"/>
    </row>
    <row r="17" spans="1:14" ht="21.75" customHeight="1" x14ac:dyDescent="0.35">
      <c r="A17" s="46">
        <f>IF($D$3="Individual",IFERROR(VLOOKUP(D17,'Beginner Adv 15M - Scoring'!$B:$BB,53,0),99),IF(J17&lt;&gt;"",SUMPRODUCT((J$6:J$1000&gt;J17)*ISNUMBER(J$6:J$1000))+1+SUMPRODUCT((J$6:J$1000=J17)*(K$6:K$1000&gt;K17)*ISNUMBER(J$6:J$1000)*ISNUMBER(K$6:K$1000))+SUMPRODUCT((J$6:J$1000=J17)*(K$6:K$1000=K17)*(ROW(J$6:J$1000)&lt;17)*ISNUMBER(J$6:J$1000)),""))</f>
        <v>99</v>
      </c>
      <c r="B17" s="20" t="str">
        <f t="shared" si="0"/>
        <v/>
      </c>
      <c r="C17" s="47" t="str">
        <f>IFERROR(IF(D17&lt;&gt;"",VLOOKUP(D17,'Beginner Adv 15M - Scoring'!$B:$D,3,0),""),"")</f>
        <v/>
      </c>
      <c r="D17" s="48" t="str">
        <f>IF($D$4="By Club",IFERROR("",""),IF($D$3="Individual",IF(12&lt;=COUNTA('Beginner Adv 15M - Scoring'!$B$6:$B$1000),IFERROR(IF(ISNUMBER(MATCH(12,'Beginner Adv 15M - Scoring'!$BB:$BB,0)),IFERROR(INDEX('Beginner Adv 15M - Scoring'!$B:$B,MATCH(12,'Beginner Adv 15M - Scoring'!$BB:$BB,0)),""),""),""),""),IF($D$3="Double",IF(12&lt;=INT(COUNTA('Beginner Adv 15M - Scoring'!$B$6:$B$1000)/2),IFERROR(IF(ISNUMBER(MATCH(12,'Beginner Adv 15M - Scoring'!$BB:$BB,0)),IFERROR(INDEX('Beginner Adv 15M - Scoring'!$B:$B,MATCH(12,'Beginner Adv 15M - Scoring'!$BB:$BB,0)),""),""),""),""),IF(12&lt;=INT(COUNTA('Beginner Adv 15M - Scoring'!$B$6:$B$1000)/3),IFERROR(IF(ISNUMBER(MATCH(12,'Beginner Adv 15M - Scoring'!$BB:$BB,0)),IFERROR(INDEX('Beginner Adv 15M - Scoring'!$B:$B,MATCH(12,'Beginner Adv 15M - Scoring'!$BB:$BB,0)),""),""),""),""))))</f>
        <v/>
      </c>
      <c r="E17" s="49" t="str">
        <f>IF($D$3="Individual","",IF($D$4="By Club",IFERROR("",""),IF($D$3="Double",IF(12&lt;=INT(COUNTA('Beginner Adv 15M - Scoring'!$B$6:$B$1000)/2),IFERROR(IF(ISNUMBER(MATCH((COUNTA('Beginner Adv 15M - Scoring'!$B$6:$B$1000)-MOD(COUNTA('Beginner Adv 15M - Scoring'!$B$6:$B$1000),2))+1-12,'Beginner Adv 15M - Scoring'!$BB:$BB,0)),IFERROR(INDEX('Beginner Adv 15M - Scoring'!$B:$B,MATCH((COUNTA('Beginner Adv 15M - Scoring'!$B$6:$B$1000)-MOD(COUNTA('Beginner Adv 15M - Scoring'!$B$6:$B$1000),2))+1-12,'Beginner Adv 15M - Scoring'!$BB:$BB,0)),""),""),""),""),IF(12&lt;=INT(COUNTA('Beginner Adv 15M - Scoring'!$B$6:$B$1000)/3),IFERROR(IF(ISNUMBER(MATCH((COUNTA('Beginner Adv 15M - Scoring'!$B$6:$B$1000)-MOD(COUNTA('Beginner Adv 15M - Scoring'!$B$6:$B$1000),3))+1-12,'Beginner Adv 15M - Scoring'!$BB:$BB,0)),IFERROR(INDEX('Beginner Adv 15M - Scoring'!$B:$B,MATCH((COUNTA('Beginner Adv 15M - Scoring'!$B$6:$B$1000)-MOD(COUNTA('Beginner Adv 15M - Scoring'!$B$6:$B$1000),3))+1-12,'Beginner Adv 15M - Scoring'!$BB:$BB,0)),""),""),""),""))))</f>
        <v/>
      </c>
      <c r="F17" s="49" t="str">
        <f>IF($D$3&lt;&gt;"Team (3 archers)","",IF($D$4="By Club",IFERROR("",""),IF(12&lt;=INT(COUNTA('Beginner Adv 15M - Scoring'!$B$6:$B$1000)/3),IFERROR(IF(ISNUMBER(MATCH(INT((COUNTA('Beginner Adv 15M - Scoring'!$B$6:$B$1000)-MOD(COUNTA('Beginner Adv 15M - Scoring'!$B$6:$B$1000),3))/3)+12,'Beginner Adv 15M - Scoring'!$BB:$BB,0)),IFERROR(INDEX('Beginner Adv 15M - Scoring'!$B:$B,MATCH(INT((COUNTA('Beginner Adv 15M - Scoring'!$B$6:$B$1000)-MOD(COUNTA('Beginner Adv 15M - Scoring'!$B$6:$B$1000),3))/3)+12,'Beginner Adv 15M - Scoring'!$BB:$BB,0)),""),""),""),"")))</f>
        <v/>
      </c>
      <c r="G17" s="50">
        <f>IFERROR(IF(D17&lt;&gt;"",VLOOKUP(D17,'Beginner Adv 15M - Scoring'!$B:$AV,47,0),0),0)</f>
        <v>0</v>
      </c>
      <c r="H17" s="50">
        <f>IFERROR(IF(AND(OR($D$3="Double",$D$3="Team (3 archers)"),E17&lt;&gt;""),VLOOKUP(E17,'Beginner Adv 15M - Scoring'!$B:$AV,47,0),0),0)</f>
        <v>0</v>
      </c>
      <c r="I17" s="50">
        <f>IFERROR(IF(AND($D$3="Team (3 archers)",F17&lt;&gt;""),VLOOKUP(F17,'Beginner Adv 15M - Scoring'!$B:$AV,47,0),0),0)</f>
        <v>0</v>
      </c>
      <c r="J17" s="51" t="str">
        <f t="shared" si="1"/>
        <v/>
      </c>
      <c r="K17" s="52" t="str">
        <f>IF(D17&lt;&gt;"",IFERROR(IF(D17&lt;&gt;"",VLOOKUP(D17,'Beginner Adv 15M - Scoring'!$B:$BA,52,0),0),0)+IFERROR(IF(AND(OR($D$3="Double",$D$3="Team (3 archers)"),E17&lt;&gt;""),VLOOKUP(E17,'Beginner Adv 15M - Scoring'!$B:$BA,52,0),0),0)+IFERROR(IF(AND($D$3="Team (3 archers)",F17&lt;&gt;""),VLOOKUP(F17,'Beginner Adv 15M - Scoring'!$B:$BA,52,0),0),0),"")</f>
        <v/>
      </c>
      <c r="L17" s="40" t="s">
        <v>155</v>
      </c>
      <c r="M17" s="54" t="str">
        <f t="shared" si="2"/>
        <v/>
      </c>
      <c r="N17" s="55"/>
    </row>
    <row r="18" spans="1:14" ht="21.75" customHeight="1" x14ac:dyDescent="0.35">
      <c r="A18" s="46">
        <f>IF($D$3="Individual",IFERROR(VLOOKUP(D18,'Beginner Adv 15M - Scoring'!$B:$BB,53,0),99),IF(J18&lt;&gt;"",SUMPRODUCT((J$6:J$1000&gt;J18)*ISNUMBER(J$6:J$1000))+1+SUMPRODUCT((J$6:J$1000=J18)*(K$6:K$1000&gt;K18)*ISNUMBER(J$6:J$1000)*ISNUMBER(K$6:K$1000))+SUMPRODUCT((J$6:J$1000=J18)*(K$6:K$1000=K18)*(ROW(J$6:J$1000)&lt;18)*ISNUMBER(J$6:J$1000)),""))</f>
        <v>99</v>
      </c>
      <c r="B18" s="20" t="str">
        <f t="shared" si="0"/>
        <v/>
      </c>
      <c r="C18" s="47" t="str">
        <f>IFERROR(IF(D18&lt;&gt;"",VLOOKUP(D18,'Beginner Adv 15M - Scoring'!$B:$D,3,0),""),"")</f>
        <v/>
      </c>
      <c r="D18" s="48" t="str">
        <f>IF($D$4="By Club",IFERROR("",""),IF($D$3="Individual",IF(13&lt;=COUNTA('Beginner Adv 15M - Scoring'!$B$6:$B$1000),IFERROR(IF(ISNUMBER(MATCH(13,'Beginner Adv 15M - Scoring'!$BB:$BB,0)),IFERROR(INDEX('Beginner Adv 15M - Scoring'!$B:$B,MATCH(13,'Beginner Adv 15M - Scoring'!$BB:$BB,0)),""),""),""),""),IF($D$3="Double",IF(13&lt;=INT(COUNTA('Beginner Adv 15M - Scoring'!$B$6:$B$1000)/2),IFERROR(IF(ISNUMBER(MATCH(13,'Beginner Adv 15M - Scoring'!$BB:$BB,0)),IFERROR(INDEX('Beginner Adv 15M - Scoring'!$B:$B,MATCH(13,'Beginner Adv 15M - Scoring'!$BB:$BB,0)),""),""),""),""),IF(13&lt;=INT(COUNTA('Beginner Adv 15M - Scoring'!$B$6:$B$1000)/3),IFERROR(IF(ISNUMBER(MATCH(13,'Beginner Adv 15M - Scoring'!$BB:$BB,0)),IFERROR(INDEX('Beginner Adv 15M - Scoring'!$B:$B,MATCH(13,'Beginner Adv 15M - Scoring'!$BB:$BB,0)),""),""),""),""))))</f>
        <v/>
      </c>
      <c r="E18" s="49" t="str">
        <f>IF($D$3="Individual","",IF($D$4="By Club",IFERROR("",""),IF($D$3="Double",IF(13&lt;=INT(COUNTA('Beginner Adv 15M - Scoring'!$B$6:$B$1000)/2),IFERROR(IF(ISNUMBER(MATCH((COUNTA('Beginner Adv 15M - Scoring'!$B$6:$B$1000)-MOD(COUNTA('Beginner Adv 15M - Scoring'!$B$6:$B$1000),2))+1-13,'Beginner Adv 15M - Scoring'!$BB:$BB,0)),IFERROR(INDEX('Beginner Adv 15M - Scoring'!$B:$B,MATCH((COUNTA('Beginner Adv 15M - Scoring'!$B$6:$B$1000)-MOD(COUNTA('Beginner Adv 15M - Scoring'!$B$6:$B$1000),2))+1-13,'Beginner Adv 15M - Scoring'!$BB:$BB,0)),""),""),""),""),IF(13&lt;=INT(COUNTA('Beginner Adv 15M - Scoring'!$B$6:$B$1000)/3),IFERROR(IF(ISNUMBER(MATCH((COUNTA('Beginner Adv 15M - Scoring'!$B$6:$B$1000)-MOD(COUNTA('Beginner Adv 15M - Scoring'!$B$6:$B$1000),3))+1-13,'Beginner Adv 15M - Scoring'!$BB:$BB,0)),IFERROR(INDEX('Beginner Adv 15M - Scoring'!$B:$B,MATCH((COUNTA('Beginner Adv 15M - Scoring'!$B$6:$B$1000)-MOD(COUNTA('Beginner Adv 15M - Scoring'!$B$6:$B$1000),3))+1-13,'Beginner Adv 15M - Scoring'!$BB:$BB,0)),""),""),""),""))))</f>
        <v/>
      </c>
      <c r="F18" s="49" t="str">
        <f>IF($D$3&lt;&gt;"Team (3 archers)","",IF($D$4="By Club",IFERROR("",""),IF(13&lt;=INT(COUNTA('Beginner Adv 15M - Scoring'!$B$6:$B$1000)/3),IFERROR(IF(ISNUMBER(MATCH(INT((COUNTA('Beginner Adv 15M - Scoring'!$B$6:$B$1000)-MOD(COUNTA('Beginner Adv 15M - Scoring'!$B$6:$B$1000),3))/3)+13,'Beginner Adv 15M - Scoring'!$BB:$BB,0)),IFERROR(INDEX('Beginner Adv 15M - Scoring'!$B:$B,MATCH(INT((COUNTA('Beginner Adv 15M - Scoring'!$B$6:$B$1000)-MOD(COUNTA('Beginner Adv 15M - Scoring'!$B$6:$B$1000),3))/3)+13,'Beginner Adv 15M - Scoring'!$BB:$BB,0)),""),""),""),"")))</f>
        <v/>
      </c>
      <c r="G18" s="50">
        <f>IFERROR(IF(D18&lt;&gt;"",VLOOKUP(D18,'Beginner Adv 15M - Scoring'!$B:$AV,47,0),0),0)</f>
        <v>0</v>
      </c>
      <c r="H18" s="50">
        <f>IFERROR(IF(AND(OR($D$3="Double",$D$3="Team (3 archers)"),E18&lt;&gt;""),VLOOKUP(E18,'Beginner Adv 15M - Scoring'!$B:$AV,47,0),0),0)</f>
        <v>0</v>
      </c>
      <c r="I18" s="50">
        <f>IFERROR(IF(AND($D$3="Team (3 archers)",F18&lt;&gt;""),VLOOKUP(F18,'Beginner Adv 15M - Scoring'!$B:$AV,47,0),0),0)</f>
        <v>0</v>
      </c>
      <c r="J18" s="51" t="str">
        <f t="shared" si="1"/>
        <v/>
      </c>
      <c r="K18" s="52" t="str">
        <f>IF(D18&lt;&gt;"",IFERROR(IF(D18&lt;&gt;"",VLOOKUP(D18,'Beginner Adv 15M - Scoring'!$B:$BA,52,0),0),0)+IFERROR(IF(AND(OR($D$3="Double",$D$3="Team (3 archers)"),E18&lt;&gt;""),VLOOKUP(E18,'Beginner Adv 15M - Scoring'!$B:$BA,52,0),0),0)+IFERROR(IF(AND($D$3="Team (3 archers)",F18&lt;&gt;""),VLOOKUP(F18,'Beginner Adv 15M - Scoring'!$B:$BA,52,0),0),0),"")</f>
        <v/>
      </c>
      <c r="L18" s="53" t="s">
        <v>155</v>
      </c>
      <c r="M18" s="54" t="str">
        <f t="shared" si="2"/>
        <v/>
      </c>
      <c r="N18" s="55"/>
    </row>
    <row r="19" spans="1:14" ht="21.75" customHeight="1" x14ac:dyDescent="0.35">
      <c r="A19" s="46">
        <f>IF($D$3="Individual",IFERROR(VLOOKUP(D19,'Beginner Adv 15M - Scoring'!$B:$BB,53,0),99),IF(J19&lt;&gt;"",SUMPRODUCT((J$6:J$1000&gt;J19)*ISNUMBER(J$6:J$1000))+1+SUMPRODUCT((J$6:J$1000=J19)*(K$6:K$1000&gt;K19)*ISNUMBER(J$6:J$1000)*ISNUMBER(K$6:K$1000))+SUMPRODUCT((J$6:J$1000=J19)*(K$6:K$1000=K19)*(ROW(J$6:J$1000)&lt;19)*ISNUMBER(J$6:J$1000)),""))</f>
        <v>99</v>
      </c>
      <c r="B19" s="20" t="str">
        <f t="shared" si="0"/>
        <v/>
      </c>
      <c r="C19" s="47" t="str">
        <f>IFERROR(IF(D19&lt;&gt;"",VLOOKUP(D19,'Beginner Adv 15M - Scoring'!$B:$D,3,0),""),"")</f>
        <v/>
      </c>
      <c r="D19" s="48" t="str">
        <f>IF($D$4="By Club",IFERROR("",""),IF($D$3="Individual",IF(14&lt;=COUNTA('Beginner Adv 15M - Scoring'!$B$6:$B$1000),IFERROR(IF(ISNUMBER(MATCH(14,'Beginner Adv 15M - Scoring'!$BB:$BB,0)),IFERROR(INDEX('Beginner Adv 15M - Scoring'!$B:$B,MATCH(14,'Beginner Adv 15M - Scoring'!$BB:$BB,0)),""),""),""),""),IF($D$3="Double",IF(14&lt;=INT(COUNTA('Beginner Adv 15M - Scoring'!$B$6:$B$1000)/2),IFERROR(IF(ISNUMBER(MATCH(14,'Beginner Adv 15M - Scoring'!$BB:$BB,0)),IFERROR(INDEX('Beginner Adv 15M - Scoring'!$B:$B,MATCH(14,'Beginner Adv 15M - Scoring'!$BB:$BB,0)),""),""),""),""),IF(14&lt;=INT(COUNTA('Beginner Adv 15M - Scoring'!$B$6:$B$1000)/3),IFERROR(IF(ISNUMBER(MATCH(14,'Beginner Adv 15M - Scoring'!$BB:$BB,0)),IFERROR(INDEX('Beginner Adv 15M - Scoring'!$B:$B,MATCH(14,'Beginner Adv 15M - Scoring'!$BB:$BB,0)),""),""),""),""))))</f>
        <v/>
      </c>
      <c r="E19" s="49" t="str">
        <f>IF($D$3="Individual","",IF($D$4="By Club",IFERROR("",""),IF($D$3="Double",IF(14&lt;=INT(COUNTA('Beginner Adv 15M - Scoring'!$B$6:$B$1000)/2),IFERROR(IF(ISNUMBER(MATCH((COUNTA('Beginner Adv 15M - Scoring'!$B$6:$B$1000)-MOD(COUNTA('Beginner Adv 15M - Scoring'!$B$6:$B$1000),2))+1-14,'Beginner Adv 15M - Scoring'!$BB:$BB,0)),IFERROR(INDEX('Beginner Adv 15M - Scoring'!$B:$B,MATCH((COUNTA('Beginner Adv 15M - Scoring'!$B$6:$B$1000)-MOD(COUNTA('Beginner Adv 15M - Scoring'!$B$6:$B$1000),2))+1-14,'Beginner Adv 15M - Scoring'!$BB:$BB,0)),""),""),""),""),IF(14&lt;=INT(COUNTA('Beginner Adv 15M - Scoring'!$B$6:$B$1000)/3),IFERROR(IF(ISNUMBER(MATCH((COUNTA('Beginner Adv 15M - Scoring'!$B$6:$B$1000)-MOD(COUNTA('Beginner Adv 15M - Scoring'!$B$6:$B$1000),3))+1-14,'Beginner Adv 15M - Scoring'!$BB:$BB,0)),IFERROR(INDEX('Beginner Adv 15M - Scoring'!$B:$B,MATCH((COUNTA('Beginner Adv 15M - Scoring'!$B$6:$B$1000)-MOD(COUNTA('Beginner Adv 15M - Scoring'!$B$6:$B$1000),3))+1-14,'Beginner Adv 15M - Scoring'!$BB:$BB,0)),""),""),""),""))))</f>
        <v/>
      </c>
      <c r="F19" s="49" t="str">
        <f>IF($D$3&lt;&gt;"Team (3 archers)","",IF($D$4="By Club",IFERROR("",""),IF(14&lt;=INT(COUNTA('Beginner Adv 15M - Scoring'!$B$6:$B$1000)/3),IFERROR(IF(ISNUMBER(MATCH(INT((COUNTA('Beginner Adv 15M - Scoring'!$B$6:$B$1000)-MOD(COUNTA('Beginner Adv 15M - Scoring'!$B$6:$B$1000),3))/3)+14,'Beginner Adv 15M - Scoring'!$BB:$BB,0)),IFERROR(INDEX('Beginner Adv 15M - Scoring'!$B:$B,MATCH(INT((COUNTA('Beginner Adv 15M - Scoring'!$B$6:$B$1000)-MOD(COUNTA('Beginner Adv 15M - Scoring'!$B$6:$B$1000),3))/3)+14,'Beginner Adv 15M - Scoring'!$BB:$BB,0)),""),""),""),"")))</f>
        <v/>
      </c>
      <c r="G19" s="50">
        <f>IFERROR(IF(D19&lt;&gt;"",VLOOKUP(D19,'Beginner Adv 15M - Scoring'!$B:$AV,47,0),0),0)</f>
        <v>0</v>
      </c>
      <c r="H19" s="50">
        <f>IFERROR(IF(AND(OR($D$3="Double",$D$3="Team (3 archers)"),E19&lt;&gt;""),VLOOKUP(E19,'Beginner Adv 15M - Scoring'!$B:$AV,47,0),0),0)</f>
        <v>0</v>
      </c>
      <c r="I19" s="50">
        <f>IFERROR(IF(AND($D$3="Team (3 archers)",F19&lt;&gt;""),VLOOKUP(F19,'Beginner Adv 15M - Scoring'!$B:$AV,47,0),0),0)</f>
        <v>0</v>
      </c>
      <c r="J19" s="51" t="str">
        <f t="shared" si="1"/>
        <v/>
      </c>
      <c r="K19" s="52" t="str">
        <f>IF(D19&lt;&gt;"",IFERROR(IF(D19&lt;&gt;"",VLOOKUP(D19,'Beginner Adv 15M - Scoring'!$B:$BA,52,0),0),0)+IFERROR(IF(AND(OR($D$3="Double",$D$3="Team (3 archers)"),E19&lt;&gt;""),VLOOKUP(E19,'Beginner Adv 15M - Scoring'!$B:$BA,52,0),0),0)+IFERROR(IF(AND($D$3="Team (3 archers)",F19&lt;&gt;""),VLOOKUP(F19,'Beginner Adv 15M - Scoring'!$B:$BA,52,0),0),0),"")</f>
        <v/>
      </c>
      <c r="L19" s="40" t="s">
        <v>155</v>
      </c>
      <c r="M19" s="54" t="str">
        <f t="shared" si="2"/>
        <v/>
      </c>
      <c r="N19" s="55"/>
    </row>
    <row r="20" spans="1:14" ht="21.75" customHeight="1" x14ac:dyDescent="0.35">
      <c r="A20" s="46">
        <f>IF($D$3="Individual",IFERROR(VLOOKUP(D20,'Beginner Adv 15M - Scoring'!$B:$BB,53,0),99),IF(J20&lt;&gt;"",SUMPRODUCT((J$6:J$1000&gt;J20)*ISNUMBER(J$6:J$1000))+1+SUMPRODUCT((J$6:J$1000=J20)*(K$6:K$1000&gt;K20)*ISNUMBER(J$6:J$1000)*ISNUMBER(K$6:K$1000))+SUMPRODUCT((J$6:J$1000=J20)*(K$6:K$1000=K20)*(ROW(J$6:J$1000)&lt;20)*ISNUMBER(J$6:J$1000)),""))</f>
        <v>99</v>
      </c>
      <c r="B20" s="20" t="str">
        <f t="shared" si="0"/>
        <v/>
      </c>
      <c r="C20" s="47" t="str">
        <f>IFERROR(IF(D20&lt;&gt;"",VLOOKUP(D20,'Beginner Adv 15M - Scoring'!$B:$D,3,0),""),"")</f>
        <v/>
      </c>
      <c r="D20" s="48" t="str">
        <f>IF($D$4="By Club",IFERROR("",""),IF($D$3="Individual",IF(15&lt;=COUNTA('Beginner Adv 15M - Scoring'!$B$6:$B$1000),IFERROR(IF(ISNUMBER(MATCH(15,'Beginner Adv 15M - Scoring'!$BB:$BB,0)),IFERROR(INDEX('Beginner Adv 15M - Scoring'!$B:$B,MATCH(15,'Beginner Adv 15M - Scoring'!$BB:$BB,0)),""),""),""),""),IF($D$3="Double",IF(15&lt;=INT(COUNTA('Beginner Adv 15M - Scoring'!$B$6:$B$1000)/2),IFERROR(IF(ISNUMBER(MATCH(15,'Beginner Adv 15M - Scoring'!$BB:$BB,0)),IFERROR(INDEX('Beginner Adv 15M - Scoring'!$B:$B,MATCH(15,'Beginner Adv 15M - Scoring'!$BB:$BB,0)),""),""),""),""),IF(15&lt;=INT(COUNTA('Beginner Adv 15M - Scoring'!$B$6:$B$1000)/3),IFERROR(IF(ISNUMBER(MATCH(15,'Beginner Adv 15M - Scoring'!$BB:$BB,0)),IFERROR(INDEX('Beginner Adv 15M - Scoring'!$B:$B,MATCH(15,'Beginner Adv 15M - Scoring'!$BB:$BB,0)),""),""),""),""))))</f>
        <v/>
      </c>
      <c r="E20" s="49" t="str">
        <f>IF($D$3="Individual","",IF($D$4="By Club",IFERROR("",""),IF($D$3="Double",IF(15&lt;=INT(COUNTA('Beginner Adv 15M - Scoring'!$B$6:$B$1000)/2),IFERROR(IF(ISNUMBER(MATCH((COUNTA('Beginner Adv 15M - Scoring'!$B$6:$B$1000)-MOD(COUNTA('Beginner Adv 15M - Scoring'!$B$6:$B$1000),2))+1-15,'Beginner Adv 15M - Scoring'!$BB:$BB,0)),IFERROR(INDEX('Beginner Adv 15M - Scoring'!$B:$B,MATCH((COUNTA('Beginner Adv 15M - Scoring'!$B$6:$B$1000)-MOD(COUNTA('Beginner Adv 15M - Scoring'!$B$6:$B$1000),2))+1-15,'Beginner Adv 15M - Scoring'!$BB:$BB,0)),""),""),""),""),IF(15&lt;=INT(COUNTA('Beginner Adv 15M - Scoring'!$B$6:$B$1000)/3),IFERROR(IF(ISNUMBER(MATCH((COUNTA('Beginner Adv 15M - Scoring'!$B$6:$B$1000)-MOD(COUNTA('Beginner Adv 15M - Scoring'!$B$6:$B$1000),3))+1-15,'Beginner Adv 15M - Scoring'!$BB:$BB,0)),IFERROR(INDEX('Beginner Adv 15M - Scoring'!$B:$B,MATCH((COUNTA('Beginner Adv 15M - Scoring'!$B$6:$B$1000)-MOD(COUNTA('Beginner Adv 15M - Scoring'!$B$6:$B$1000),3))+1-15,'Beginner Adv 15M - Scoring'!$BB:$BB,0)),""),""),""),""))))</f>
        <v/>
      </c>
      <c r="F20" s="49" t="str">
        <f>IF($D$3&lt;&gt;"Team (3 archers)","",IF($D$4="By Club",IFERROR("",""),IF(15&lt;=INT(COUNTA('Beginner Adv 15M - Scoring'!$B$6:$B$1000)/3),IFERROR(IF(ISNUMBER(MATCH(INT((COUNTA('Beginner Adv 15M - Scoring'!$B$6:$B$1000)-MOD(COUNTA('Beginner Adv 15M - Scoring'!$B$6:$B$1000),3))/3)+15,'Beginner Adv 15M - Scoring'!$BB:$BB,0)),IFERROR(INDEX('Beginner Adv 15M - Scoring'!$B:$B,MATCH(INT((COUNTA('Beginner Adv 15M - Scoring'!$B$6:$B$1000)-MOD(COUNTA('Beginner Adv 15M - Scoring'!$B$6:$B$1000),3))/3)+15,'Beginner Adv 15M - Scoring'!$BB:$BB,0)),""),""),""),"")))</f>
        <v/>
      </c>
      <c r="G20" s="50">
        <f>IFERROR(IF(D20&lt;&gt;"",VLOOKUP(D20,'Beginner Adv 15M - Scoring'!$B:$AV,47,0),0),0)</f>
        <v>0</v>
      </c>
      <c r="H20" s="50">
        <f>IFERROR(IF(AND(OR($D$3="Double",$D$3="Team (3 archers)"),E20&lt;&gt;""),VLOOKUP(E20,'Beginner Adv 15M - Scoring'!$B:$AV,47,0),0),0)</f>
        <v>0</v>
      </c>
      <c r="I20" s="50">
        <f>IFERROR(IF(AND($D$3="Team (3 archers)",F20&lt;&gt;""),VLOOKUP(F20,'Beginner Adv 15M - Scoring'!$B:$AV,47,0),0),0)</f>
        <v>0</v>
      </c>
      <c r="J20" s="51" t="str">
        <f t="shared" si="1"/>
        <v/>
      </c>
      <c r="K20" s="52" t="str">
        <f>IF(D20&lt;&gt;"",IFERROR(IF(D20&lt;&gt;"",VLOOKUP(D20,'Beginner Adv 15M - Scoring'!$B:$BA,52,0),0),0)+IFERROR(IF(AND(OR($D$3="Double",$D$3="Team (3 archers)"),E20&lt;&gt;""),VLOOKUP(E20,'Beginner Adv 15M - Scoring'!$B:$BA,52,0),0),0)+IFERROR(IF(AND($D$3="Team (3 archers)",F20&lt;&gt;""),VLOOKUP(F20,'Beginner Adv 15M - Scoring'!$B:$BA,52,0),0),0),"")</f>
        <v/>
      </c>
      <c r="L20" s="53" t="s">
        <v>155</v>
      </c>
      <c r="M20" s="54" t="str">
        <f t="shared" si="2"/>
        <v/>
      </c>
      <c r="N20" s="55"/>
    </row>
    <row r="21" spans="1:14" ht="21.75" customHeight="1" x14ac:dyDescent="0.35">
      <c r="A21" s="46">
        <f>IF($D$3="Individual",IFERROR(VLOOKUP(D21,'Beginner Adv 15M - Scoring'!$B:$BB,53,0),99),IF(J21&lt;&gt;"",SUMPRODUCT((J$6:J$1000&gt;J21)*ISNUMBER(J$6:J$1000))+1+SUMPRODUCT((J$6:J$1000=J21)*(K$6:K$1000&gt;K21)*ISNUMBER(J$6:J$1000)*ISNUMBER(K$6:K$1000))+SUMPRODUCT((J$6:J$1000=J21)*(K$6:K$1000=K21)*(ROW(J$6:J$1000)&lt;21)*ISNUMBER(J$6:J$1000)),""))</f>
        <v>99</v>
      </c>
      <c r="B21" s="20" t="str">
        <f t="shared" si="0"/>
        <v/>
      </c>
      <c r="C21" s="47" t="str">
        <f>IFERROR(IF(D21&lt;&gt;"",VLOOKUP(D21,'Beginner Adv 15M - Scoring'!$B:$D,3,0),""),"")</f>
        <v/>
      </c>
      <c r="D21" s="48" t="str">
        <f>IF($D$4="By Club",IFERROR("",""),IF($D$3="Individual",IF(16&lt;=COUNTA('Beginner Adv 15M - Scoring'!$B$6:$B$1000),IFERROR(IF(ISNUMBER(MATCH(16,'Beginner Adv 15M - Scoring'!$BB:$BB,0)),IFERROR(INDEX('Beginner Adv 15M - Scoring'!$B:$B,MATCH(16,'Beginner Adv 15M - Scoring'!$BB:$BB,0)),""),""),""),""),IF($D$3="Double",IF(16&lt;=INT(COUNTA('Beginner Adv 15M - Scoring'!$B$6:$B$1000)/2),IFERROR(IF(ISNUMBER(MATCH(16,'Beginner Adv 15M - Scoring'!$BB:$BB,0)),IFERROR(INDEX('Beginner Adv 15M - Scoring'!$B:$B,MATCH(16,'Beginner Adv 15M - Scoring'!$BB:$BB,0)),""),""),""),""),IF(16&lt;=INT(COUNTA('Beginner Adv 15M - Scoring'!$B$6:$B$1000)/3),IFERROR(IF(ISNUMBER(MATCH(16,'Beginner Adv 15M - Scoring'!$BB:$BB,0)),IFERROR(INDEX('Beginner Adv 15M - Scoring'!$B:$B,MATCH(16,'Beginner Adv 15M - Scoring'!$BB:$BB,0)),""),""),""),""))))</f>
        <v/>
      </c>
      <c r="E21" s="49" t="str">
        <f>IF($D$3="Individual","",IF($D$4="By Club",IFERROR("",""),IF($D$3="Double",IF(16&lt;=INT(COUNTA('Beginner Adv 15M - Scoring'!$B$6:$B$1000)/2),IFERROR(IF(ISNUMBER(MATCH((COUNTA('Beginner Adv 15M - Scoring'!$B$6:$B$1000)-MOD(COUNTA('Beginner Adv 15M - Scoring'!$B$6:$B$1000),2))+1-16,'Beginner Adv 15M - Scoring'!$BB:$BB,0)),IFERROR(INDEX('Beginner Adv 15M - Scoring'!$B:$B,MATCH((COUNTA('Beginner Adv 15M - Scoring'!$B$6:$B$1000)-MOD(COUNTA('Beginner Adv 15M - Scoring'!$B$6:$B$1000),2))+1-16,'Beginner Adv 15M - Scoring'!$BB:$BB,0)),""),""),""),""),IF(16&lt;=INT(COUNTA('Beginner Adv 15M - Scoring'!$B$6:$B$1000)/3),IFERROR(IF(ISNUMBER(MATCH((COUNTA('Beginner Adv 15M - Scoring'!$B$6:$B$1000)-MOD(COUNTA('Beginner Adv 15M - Scoring'!$B$6:$B$1000),3))+1-16,'Beginner Adv 15M - Scoring'!$BB:$BB,0)),IFERROR(INDEX('Beginner Adv 15M - Scoring'!$B:$B,MATCH((COUNTA('Beginner Adv 15M - Scoring'!$B$6:$B$1000)-MOD(COUNTA('Beginner Adv 15M - Scoring'!$B$6:$B$1000),3))+1-16,'Beginner Adv 15M - Scoring'!$BB:$BB,0)),""),""),""),""))))</f>
        <v/>
      </c>
      <c r="F21" s="49" t="str">
        <f>IF($D$3&lt;&gt;"Team (3 archers)","",IF($D$4="By Club",IFERROR("",""),IF(16&lt;=INT(COUNTA('Beginner Adv 15M - Scoring'!$B$6:$B$1000)/3),IFERROR(IF(ISNUMBER(MATCH(INT((COUNTA('Beginner Adv 15M - Scoring'!$B$6:$B$1000)-MOD(COUNTA('Beginner Adv 15M - Scoring'!$B$6:$B$1000),3))/3)+16,'Beginner Adv 15M - Scoring'!$BB:$BB,0)),IFERROR(INDEX('Beginner Adv 15M - Scoring'!$B:$B,MATCH(INT((COUNTA('Beginner Adv 15M - Scoring'!$B$6:$B$1000)-MOD(COUNTA('Beginner Adv 15M - Scoring'!$B$6:$B$1000),3))/3)+16,'Beginner Adv 15M - Scoring'!$BB:$BB,0)),""),""),""),"")))</f>
        <v/>
      </c>
      <c r="G21" s="50">
        <f>IFERROR(IF(D21&lt;&gt;"",VLOOKUP(D21,'Beginner Adv 15M - Scoring'!$B:$AV,47,0),0),0)</f>
        <v>0</v>
      </c>
      <c r="H21" s="50">
        <f>IFERROR(IF(AND(OR($D$3="Double",$D$3="Team (3 archers)"),E21&lt;&gt;""),VLOOKUP(E21,'Beginner Adv 15M - Scoring'!$B:$AV,47,0),0),0)</f>
        <v>0</v>
      </c>
      <c r="I21" s="50">
        <f>IFERROR(IF(AND($D$3="Team (3 archers)",F21&lt;&gt;""),VLOOKUP(F21,'Beginner Adv 15M - Scoring'!$B:$AV,47,0),0),0)</f>
        <v>0</v>
      </c>
      <c r="J21" s="51" t="str">
        <f t="shared" si="1"/>
        <v/>
      </c>
      <c r="K21" s="52" t="str">
        <f>IF(D21&lt;&gt;"",IFERROR(IF(D21&lt;&gt;"",VLOOKUP(D21,'Beginner Adv 15M - Scoring'!$B:$BA,52,0),0),0)+IFERROR(IF(AND(OR($D$3="Double",$D$3="Team (3 archers)"),E21&lt;&gt;""),VLOOKUP(E21,'Beginner Adv 15M - Scoring'!$B:$BA,52,0),0),0)+IFERROR(IF(AND($D$3="Team (3 archers)",F21&lt;&gt;""),VLOOKUP(F21,'Beginner Adv 15M - Scoring'!$B:$BA,52,0),0),0),"")</f>
        <v/>
      </c>
      <c r="L21" s="40" t="s">
        <v>155</v>
      </c>
      <c r="M21" s="54" t="str">
        <f t="shared" si="2"/>
        <v/>
      </c>
      <c r="N21" s="55"/>
    </row>
    <row r="22" spans="1:14" ht="21.75" customHeight="1" x14ac:dyDescent="0.35">
      <c r="A22" s="46">
        <f>IF($D$3="Individual",IFERROR(VLOOKUP(D22,'Beginner Adv 15M - Scoring'!$B:$BB,53,0),99),IF(J22&lt;&gt;"",SUMPRODUCT((J$6:J$1000&gt;J22)*ISNUMBER(J$6:J$1000))+1+SUMPRODUCT((J$6:J$1000=J22)*(K$6:K$1000&gt;K22)*ISNUMBER(J$6:J$1000)*ISNUMBER(K$6:K$1000))+SUMPRODUCT((J$6:J$1000=J22)*(K$6:K$1000=K22)*(ROW(J$6:J$1000)&lt;22)*ISNUMBER(J$6:J$1000)),""))</f>
        <v>99</v>
      </c>
      <c r="B22" s="20" t="str">
        <f t="shared" si="0"/>
        <v/>
      </c>
      <c r="C22" s="47" t="str">
        <f>IFERROR(IF(D22&lt;&gt;"",VLOOKUP(D22,'Beginner Adv 15M - Scoring'!$B:$D,3,0),""),"")</f>
        <v/>
      </c>
      <c r="D22" s="48" t="str">
        <f>IF($D$4="By Club",IFERROR("",""),IF($D$3="Individual",IF(17&lt;=COUNTA('Beginner Adv 15M - Scoring'!$B$6:$B$1000),IFERROR(IF(ISNUMBER(MATCH(17,'Beginner Adv 15M - Scoring'!$BB:$BB,0)),IFERROR(INDEX('Beginner Adv 15M - Scoring'!$B:$B,MATCH(17,'Beginner Adv 15M - Scoring'!$BB:$BB,0)),""),""),""),""),IF($D$3="Double",IF(17&lt;=INT(COUNTA('Beginner Adv 15M - Scoring'!$B$6:$B$1000)/2),IFERROR(IF(ISNUMBER(MATCH(17,'Beginner Adv 15M - Scoring'!$BB:$BB,0)),IFERROR(INDEX('Beginner Adv 15M - Scoring'!$B:$B,MATCH(17,'Beginner Adv 15M - Scoring'!$BB:$BB,0)),""),""),""),""),IF(17&lt;=INT(COUNTA('Beginner Adv 15M - Scoring'!$B$6:$B$1000)/3),IFERROR(IF(ISNUMBER(MATCH(17,'Beginner Adv 15M - Scoring'!$BB:$BB,0)),IFERROR(INDEX('Beginner Adv 15M - Scoring'!$B:$B,MATCH(17,'Beginner Adv 15M - Scoring'!$BB:$BB,0)),""),""),""),""))))</f>
        <v/>
      </c>
      <c r="E22" s="49" t="str">
        <f>IF($D$3="Individual","",IF($D$4="By Club",IFERROR("",""),IF($D$3="Double",IF(17&lt;=INT(COUNTA('Beginner Adv 15M - Scoring'!$B$6:$B$1000)/2),IFERROR(IF(ISNUMBER(MATCH((COUNTA('Beginner Adv 15M - Scoring'!$B$6:$B$1000)-MOD(COUNTA('Beginner Adv 15M - Scoring'!$B$6:$B$1000),2))+1-17,'Beginner Adv 15M - Scoring'!$BB:$BB,0)),IFERROR(INDEX('Beginner Adv 15M - Scoring'!$B:$B,MATCH((COUNTA('Beginner Adv 15M - Scoring'!$B$6:$B$1000)-MOD(COUNTA('Beginner Adv 15M - Scoring'!$B$6:$B$1000),2))+1-17,'Beginner Adv 15M - Scoring'!$BB:$BB,0)),""),""),""),""),IF(17&lt;=INT(COUNTA('Beginner Adv 15M - Scoring'!$B$6:$B$1000)/3),IFERROR(IF(ISNUMBER(MATCH((COUNTA('Beginner Adv 15M - Scoring'!$B$6:$B$1000)-MOD(COUNTA('Beginner Adv 15M - Scoring'!$B$6:$B$1000),3))+1-17,'Beginner Adv 15M - Scoring'!$BB:$BB,0)),IFERROR(INDEX('Beginner Adv 15M - Scoring'!$B:$B,MATCH((COUNTA('Beginner Adv 15M - Scoring'!$B$6:$B$1000)-MOD(COUNTA('Beginner Adv 15M - Scoring'!$B$6:$B$1000),3))+1-17,'Beginner Adv 15M - Scoring'!$BB:$BB,0)),""),""),""),""))))</f>
        <v/>
      </c>
      <c r="F22" s="49" t="str">
        <f>IF($D$3&lt;&gt;"Team (3 archers)","",IF($D$4="By Club",IFERROR("",""),IF(17&lt;=INT(COUNTA('Beginner Adv 15M - Scoring'!$B$6:$B$1000)/3),IFERROR(IF(ISNUMBER(MATCH(INT((COUNTA('Beginner Adv 15M - Scoring'!$B$6:$B$1000)-MOD(COUNTA('Beginner Adv 15M - Scoring'!$B$6:$B$1000),3))/3)+17,'Beginner Adv 15M - Scoring'!$BB:$BB,0)),IFERROR(INDEX('Beginner Adv 15M - Scoring'!$B:$B,MATCH(INT((COUNTA('Beginner Adv 15M - Scoring'!$B$6:$B$1000)-MOD(COUNTA('Beginner Adv 15M - Scoring'!$B$6:$B$1000),3))/3)+17,'Beginner Adv 15M - Scoring'!$BB:$BB,0)),""),""),""),"")))</f>
        <v/>
      </c>
      <c r="G22" s="50">
        <f>IFERROR(IF(D22&lt;&gt;"",VLOOKUP(D22,'Beginner Adv 15M - Scoring'!$B:$AV,47,0),0),0)</f>
        <v>0</v>
      </c>
      <c r="H22" s="50">
        <f>IFERROR(IF(AND(OR($D$3="Double",$D$3="Team (3 archers)"),E22&lt;&gt;""),VLOOKUP(E22,'Beginner Adv 15M - Scoring'!$B:$AV,47,0),0),0)</f>
        <v>0</v>
      </c>
      <c r="I22" s="50">
        <f>IFERROR(IF(AND($D$3="Team (3 archers)",F22&lt;&gt;""),VLOOKUP(F22,'Beginner Adv 15M - Scoring'!$B:$AV,47,0),0),0)</f>
        <v>0</v>
      </c>
      <c r="J22" s="51" t="str">
        <f t="shared" si="1"/>
        <v/>
      </c>
      <c r="K22" s="52" t="str">
        <f>IF(D22&lt;&gt;"",IFERROR(IF(D22&lt;&gt;"",VLOOKUP(D22,'Beginner Adv 15M - Scoring'!$B:$BA,52,0),0),0)+IFERROR(IF(AND(OR($D$3="Double",$D$3="Team (3 archers)"),E22&lt;&gt;""),VLOOKUP(E22,'Beginner Adv 15M - Scoring'!$B:$BA,52,0),0),0)+IFERROR(IF(AND($D$3="Team (3 archers)",F22&lt;&gt;""),VLOOKUP(F22,'Beginner Adv 15M - Scoring'!$B:$BA,52,0),0),0),"")</f>
        <v/>
      </c>
      <c r="L22" s="53" t="s">
        <v>155</v>
      </c>
      <c r="M22" s="54" t="str">
        <f t="shared" si="2"/>
        <v/>
      </c>
      <c r="N22" s="55"/>
    </row>
    <row r="23" spans="1:14" ht="21.75" customHeight="1" x14ac:dyDescent="0.35">
      <c r="A23" s="46">
        <f>IF($D$3="Individual",IFERROR(VLOOKUP(D23,'Beginner Adv 15M - Scoring'!$B:$BB,53,0),99),IF(J23&lt;&gt;"",SUMPRODUCT((J$6:J$1000&gt;J23)*ISNUMBER(J$6:J$1000))+1+SUMPRODUCT((J$6:J$1000=J23)*(K$6:K$1000&gt;K23)*ISNUMBER(J$6:J$1000)*ISNUMBER(K$6:K$1000))+SUMPRODUCT((J$6:J$1000=J23)*(K$6:K$1000=K23)*(ROW(J$6:J$1000)&lt;23)*ISNUMBER(J$6:J$1000)),""))</f>
        <v>99</v>
      </c>
      <c r="B23" s="20" t="str">
        <f t="shared" si="0"/>
        <v/>
      </c>
      <c r="C23" s="47" t="str">
        <f>IFERROR(IF(D23&lt;&gt;"",VLOOKUP(D23,'Beginner Adv 15M - Scoring'!$B:$D,3,0),""),"")</f>
        <v/>
      </c>
      <c r="D23" s="48" t="str">
        <f>IF($D$4="By Club",IFERROR("",""),IF($D$3="Individual",IF(18&lt;=COUNTA('Beginner Adv 15M - Scoring'!$B$6:$B$1000),IFERROR(IF(ISNUMBER(MATCH(18,'Beginner Adv 15M - Scoring'!$BB:$BB,0)),IFERROR(INDEX('Beginner Adv 15M - Scoring'!$B:$B,MATCH(18,'Beginner Adv 15M - Scoring'!$BB:$BB,0)),""),""),""),""),IF($D$3="Double",IF(18&lt;=INT(COUNTA('Beginner Adv 15M - Scoring'!$B$6:$B$1000)/2),IFERROR(IF(ISNUMBER(MATCH(18,'Beginner Adv 15M - Scoring'!$BB:$BB,0)),IFERROR(INDEX('Beginner Adv 15M - Scoring'!$B:$B,MATCH(18,'Beginner Adv 15M - Scoring'!$BB:$BB,0)),""),""),""),""),IF(18&lt;=INT(COUNTA('Beginner Adv 15M - Scoring'!$B$6:$B$1000)/3),IFERROR(IF(ISNUMBER(MATCH(18,'Beginner Adv 15M - Scoring'!$BB:$BB,0)),IFERROR(INDEX('Beginner Adv 15M - Scoring'!$B:$B,MATCH(18,'Beginner Adv 15M - Scoring'!$BB:$BB,0)),""),""),""),""))))</f>
        <v/>
      </c>
      <c r="E23" s="49" t="str">
        <f>IF($D$3="Individual","",IF($D$4="By Club",IFERROR("",""),IF($D$3="Double",IF(18&lt;=INT(COUNTA('Beginner Adv 15M - Scoring'!$B$6:$B$1000)/2),IFERROR(IF(ISNUMBER(MATCH((COUNTA('Beginner Adv 15M - Scoring'!$B$6:$B$1000)-MOD(COUNTA('Beginner Adv 15M - Scoring'!$B$6:$B$1000),2))+1-18,'Beginner Adv 15M - Scoring'!$BB:$BB,0)),IFERROR(INDEX('Beginner Adv 15M - Scoring'!$B:$B,MATCH((COUNTA('Beginner Adv 15M - Scoring'!$B$6:$B$1000)-MOD(COUNTA('Beginner Adv 15M - Scoring'!$B$6:$B$1000),2))+1-18,'Beginner Adv 15M - Scoring'!$BB:$BB,0)),""),""),""),""),IF(18&lt;=INT(COUNTA('Beginner Adv 15M - Scoring'!$B$6:$B$1000)/3),IFERROR(IF(ISNUMBER(MATCH((COUNTA('Beginner Adv 15M - Scoring'!$B$6:$B$1000)-MOD(COUNTA('Beginner Adv 15M - Scoring'!$B$6:$B$1000),3))+1-18,'Beginner Adv 15M - Scoring'!$BB:$BB,0)),IFERROR(INDEX('Beginner Adv 15M - Scoring'!$B:$B,MATCH((COUNTA('Beginner Adv 15M - Scoring'!$B$6:$B$1000)-MOD(COUNTA('Beginner Adv 15M - Scoring'!$B$6:$B$1000),3))+1-18,'Beginner Adv 15M - Scoring'!$BB:$BB,0)),""),""),""),""))))</f>
        <v/>
      </c>
      <c r="F23" s="49" t="str">
        <f>IF($D$3&lt;&gt;"Team (3 archers)","",IF($D$4="By Club",IFERROR("",""),IF(18&lt;=INT(COUNTA('Beginner Adv 15M - Scoring'!$B$6:$B$1000)/3),IFERROR(IF(ISNUMBER(MATCH(INT((COUNTA('Beginner Adv 15M - Scoring'!$B$6:$B$1000)-MOD(COUNTA('Beginner Adv 15M - Scoring'!$B$6:$B$1000),3))/3)+18,'Beginner Adv 15M - Scoring'!$BB:$BB,0)),IFERROR(INDEX('Beginner Adv 15M - Scoring'!$B:$B,MATCH(INT((COUNTA('Beginner Adv 15M - Scoring'!$B$6:$B$1000)-MOD(COUNTA('Beginner Adv 15M - Scoring'!$B$6:$B$1000),3))/3)+18,'Beginner Adv 15M - Scoring'!$BB:$BB,0)),""),""),""),"")))</f>
        <v/>
      </c>
      <c r="G23" s="50">
        <f>IFERROR(IF(D23&lt;&gt;"",VLOOKUP(D23,'Beginner Adv 15M - Scoring'!$B:$AV,47,0),0),0)</f>
        <v>0</v>
      </c>
      <c r="H23" s="50">
        <f>IFERROR(IF(AND(OR($D$3="Double",$D$3="Team (3 archers)"),E23&lt;&gt;""),VLOOKUP(E23,'Beginner Adv 15M - Scoring'!$B:$AV,47,0),0),0)</f>
        <v>0</v>
      </c>
      <c r="I23" s="50">
        <f>IFERROR(IF(AND($D$3="Team (3 archers)",F23&lt;&gt;""),VLOOKUP(F23,'Beginner Adv 15M - Scoring'!$B:$AV,47,0),0),0)</f>
        <v>0</v>
      </c>
      <c r="J23" s="51" t="str">
        <f t="shared" si="1"/>
        <v/>
      </c>
      <c r="K23" s="52" t="str">
        <f>IF(D23&lt;&gt;"",IFERROR(IF(D23&lt;&gt;"",VLOOKUP(D23,'Beginner Adv 15M - Scoring'!$B:$BA,52,0),0),0)+IFERROR(IF(AND(OR($D$3="Double",$D$3="Team (3 archers)"),E23&lt;&gt;""),VLOOKUP(E23,'Beginner Adv 15M - Scoring'!$B:$BA,52,0),0),0)+IFERROR(IF(AND($D$3="Team (3 archers)",F23&lt;&gt;""),VLOOKUP(F23,'Beginner Adv 15M - Scoring'!$B:$BA,52,0),0),0),"")</f>
        <v/>
      </c>
      <c r="L23" s="40" t="s">
        <v>155</v>
      </c>
      <c r="M23" s="54" t="str">
        <f t="shared" si="2"/>
        <v/>
      </c>
      <c r="N23" s="55"/>
    </row>
    <row r="24" spans="1:14" ht="21.75" customHeight="1" x14ac:dyDescent="0.35">
      <c r="A24" s="46">
        <f>IF($D$3="Individual",IFERROR(VLOOKUP(D24,'Beginner Adv 15M - Scoring'!$B:$BB,53,0),99),IF(J24&lt;&gt;"",SUMPRODUCT((J$6:J$1000&gt;J24)*ISNUMBER(J$6:J$1000))+1+SUMPRODUCT((J$6:J$1000=J24)*(K$6:K$1000&gt;K24)*ISNUMBER(J$6:J$1000)*ISNUMBER(K$6:K$1000))+SUMPRODUCT((J$6:J$1000=J24)*(K$6:K$1000=K24)*(ROW(J$6:J$1000)&lt;24)*ISNUMBER(J$6:J$1000)),""))</f>
        <v>99</v>
      </c>
      <c r="B24" s="20" t="str">
        <f t="shared" si="0"/>
        <v/>
      </c>
      <c r="C24" s="47" t="str">
        <f>IFERROR(IF(D24&lt;&gt;"",VLOOKUP(D24,'Beginner Adv 15M - Scoring'!$B:$D,3,0),""),"")</f>
        <v/>
      </c>
      <c r="D24" s="48" t="str">
        <f>IF($D$4="By Club",IFERROR("",""),IF($D$3="Individual",IF(19&lt;=COUNTA('Beginner Adv 15M - Scoring'!$B$6:$B$1000),IFERROR(IF(ISNUMBER(MATCH(19,'Beginner Adv 15M - Scoring'!$BB:$BB,0)),IFERROR(INDEX('Beginner Adv 15M - Scoring'!$B:$B,MATCH(19,'Beginner Adv 15M - Scoring'!$BB:$BB,0)),""),""),""),""),IF($D$3="Double",IF(19&lt;=INT(COUNTA('Beginner Adv 15M - Scoring'!$B$6:$B$1000)/2),IFERROR(IF(ISNUMBER(MATCH(19,'Beginner Adv 15M - Scoring'!$BB:$BB,0)),IFERROR(INDEX('Beginner Adv 15M - Scoring'!$B:$B,MATCH(19,'Beginner Adv 15M - Scoring'!$BB:$BB,0)),""),""),""),""),IF(19&lt;=INT(COUNTA('Beginner Adv 15M - Scoring'!$B$6:$B$1000)/3),IFERROR(IF(ISNUMBER(MATCH(19,'Beginner Adv 15M - Scoring'!$BB:$BB,0)),IFERROR(INDEX('Beginner Adv 15M - Scoring'!$B:$B,MATCH(19,'Beginner Adv 15M - Scoring'!$BB:$BB,0)),""),""),""),""))))</f>
        <v/>
      </c>
      <c r="E24" s="49" t="str">
        <f>IF($D$3="Individual","",IF($D$4="By Club",IFERROR("",""),IF($D$3="Double",IF(19&lt;=INT(COUNTA('Beginner Adv 15M - Scoring'!$B$6:$B$1000)/2),IFERROR(IF(ISNUMBER(MATCH((COUNTA('Beginner Adv 15M - Scoring'!$B$6:$B$1000)-MOD(COUNTA('Beginner Adv 15M - Scoring'!$B$6:$B$1000),2))+1-19,'Beginner Adv 15M - Scoring'!$BB:$BB,0)),IFERROR(INDEX('Beginner Adv 15M - Scoring'!$B:$B,MATCH((COUNTA('Beginner Adv 15M - Scoring'!$B$6:$B$1000)-MOD(COUNTA('Beginner Adv 15M - Scoring'!$B$6:$B$1000),2))+1-19,'Beginner Adv 15M - Scoring'!$BB:$BB,0)),""),""),""),""),IF(19&lt;=INT(COUNTA('Beginner Adv 15M - Scoring'!$B$6:$B$1000)/3),IFERROR(IF(ISNUMBER(MATCH((COUNTA('Beginner Adv 15M - Scoring'!$B$6:$B$1000)-MOD(COUNTA('Beginner Adv 15M - Scoring'!$B$6:$B$1000),3))+1-19,'Beginner Adv 15M - Scoring'!$BB:$BB,0)),IFERROR(INDEX('Beginner Adv 15M - Scoring'!$B:$B,MATCH((COUNTA('Beginner Adv 15M - Scoring'!$B$6:$B$1000)-MOD(COUNTA('Beginner Adv 15M - Scoring'!$B$6:$B$1000),3))+1-19,'Beginner Adv 15M - Scoring'!$BB:$BB,0)),""),""),""),""))))</f>
        <v/>
      </c>
      <c r="F24" s="49" t="str">
        <f>IF($D$3&lt;&gt;"Team (3 archers)","",IF($D$4="By Club",IFERROR("",""),IF(19&lt;=INT(COUNTA('Beginner Adv 15M - Scoring'!$B$6:$B$1000)/3),IFERROR(IF(ISNUMBER(MATCH(INT((COUNTA('Beginner Adv 15M - Scoring'!$B$6:$B$1000)-MOD(COUNTA('Beginner Adv 15M - Scoring'!$B$6:$B$1000),3))/3)+19,'Beginner Adv 15M - Scoring'!$BB:$BB,0)),IFERROR(INDEX('Beginner Adv 15M - Scoring'!$B:$B,MATCH(INT((COUNTA('Beginner Adv 15M - Scoring'!$B$6:$B$1000)-MOD(COUNTA('Beginner Adv 15M - Scoring'!$B$6:$B$1000),3))/3)+19,'Beginner Adv 15M - Scoring'!$BB:$BB,0)),""),""),""),"")))</f>
        <v/>
      </c>
      <c r="G24" s="50">
        <f>IFERROR(IF(D24&lt;&gt;"",VLOOKUP(D24,'Beginner Adv 15M - Scoring'!$B:$AV,47,0),0),0)</f>
        <v>0</v>
      </c>
      <c r="H24" s="50">
        <f>IFERROR(IF(AND(OR($D$3="Double",$D$3="Team (3 archers)"),E24&lt;&gt;""),VLOOKUP(E24,'Beginner Adv 15M - Scoring'!$B:$AV,47,0),0),0)</f>
        <v>0</v>
      </c>
      <c r="I24" s="50">
        <f>IFERROR(IF(AND($D$3="Team (3 archers)",F24&lt;&gt;""),VLOOKUP(F24,'Beginner Adv 15M - Scoring'!$B:$AV,47,0),0),0)</f>
        <v>0</v>
      </c>
      <c r="J24" s="51" t="str">
        <f t="shared" si="1"/>
        <v/>
      </c>
      <c r="K24" s="52" t="str">
        <f>IF(D24&lt;&gt;"",IFERROR(IF(D24&lt;&gt;"",VLOOKUP(D24,'Beginner Adv 15M - Scoring'!$B:$BA,52,0),0),0)+IFERROR(IF(AND(OR($D$3="Double",$D$3="Team (3 archers)"),E24&lt;&gt;""),VLOOKUP(E24,'Beginner Adv 15M - Scoring'!$B:$BA,52,0),0),0)+IFERROR(IF(AND($D$3="Team (3 archers)",F24&lt;&gt;""),VLOOKUP(F24,'Beginner Adv 15M - Scoring'!$B:$BA,52,0),0),0),"")</f>
        <v/>
      </c>
      <c r="L24" s="53" t="s">
        <v>155</v>
      </c>
      <c r="M24" s="54" t="str">
        <f t="shared" si="2"/>
        <v/>
      </c>
      <c r="N24" s="55"/>
    </row>
    <row r="25" spans="1:14" ht="21.75" customHeight="1" x14ac:dyDescent="0.35">
      <c r="A25" s="46">
        <f>IF($D$3="Individual",IFERROR(VLOOKUP(D25,'Beginner Adv 15M - Scoring'!$B:$BB,53,0),99),IF(J25&lt;&gt;"",SUMPRODUCT((J$6:J$1000&gt;J25)*ISNUMBER(J$6:J$1000))+1+SUMPRODUCT((J$6:J$1000=J25)*(K$6:K$1000&gt;K25)*ISNUMBER(J$6:J$1000)*ISNUMBER(K$6:K$1000))+SUMPRODUCT((J$6:J$1000=J25)*(K$6:K$1000=K25)*(ROW(J$6:J$1000)&lt;25)*ISNUMBER(J$6:J$1000)),""))</f>
        <v>99</v>
      </c>
      <c r="B25" s="20" t="str">
        <f t="shared" si="0"/>
        <v/>
      </c>
      <c r="C25" s="47" t="str">
        <f>IFERROR(IF(D25&lt;&gt;"",VLOOKUP(D25,'Beginner Adv 15M - Scoring'!$B:$D,3,0),""),"")</f>
        <v/>
      </c>
      <c r="D25" s="48" t="str">
        <f>IF($D$4="By Club",IFERROR("",""),IF($D$3="Individual",IF(20&lt;=COUNTA('Beginner Adv 15M - Scoring'!$B$6:$B$1000),IFERROR(IF(ISNUMBER(MATCH(20,'Beginner Adv 15M - Scoring'!$BB:$BB,0)),IFERROR(INDEX('Beginner Adv 15M - Scoring'!$B:$B,MATCH(20,'Beginner Adv 15M - Scoring'!$BB:$BB,0)),""),""),""),""),IF($D$3="Double",IF(20&lt;=INT(COUNTA('Beginner Adv 15M - Scoring'!$B$6:$B$1000)/2),IFERROR(IF(ISNUMBER(MATCH(20,'Beginner Adv 15M - Scoring'!$BB:$BB,0)),IFERROR(INDEX('Beginner Adv 15M - Scoring'!$B:$B,MATCH(20,'Beginner Adv 15M - Scoring'!$BB:$BB,0)),""),""),""),""),IF(20&lt;=INT(COUNTA('Beginner Adv 15M - Scoring'!$B$6:$B$1000)/3),IFERROR(IF(ISNUMBER(MATCH(20,'Beginner Adv 15M - Scoring'!$BB:$BB,0)),IFERROR(INDEX('Beginner Adv 15M - Scoring'!$B:$B,MATCH(20,'Beginner Adv 15M - Scoring'!$BB:$BB,0)),""),""),""),""))))</f>
        <v/>
      </c>
      <c r="E25" s="49" t="str">
        <f>IF($D$3="Individual","",IF($D$4="By Club",IFERROR("",""),IF($D$3="Double",IF(20&lt;=INT(COUNTA('Beginner Adv 15M - Scoring'!$B$6:$B$1000)/2),IFERROR(IF(ISNUMBER(MATCH((COUNTA('Beginner Adv 15M - Scoring'!$B$6:$B$1000)-MOD(COUNTA('Beginner Adv 15M - Scoring'!$B$6:$B$1000),2))+1-20,'Beginner Adv 15M - Scoring'!$BB:$BB,0)),IFERROR(INDEX('Beginner Adv 15M - Scoring'!$B:$B,MATCH((COUNTA('Beginner Adv 15M - Scoring'!$B$6:$B$1000)-MOD(COUNTA('Beginner Adv 15M - Scoring'!$B$6:$B$1000),2))+1-20,'Beginner Adv 15M - Scoring'!$BB:$BB,0)),""),""),""),""),IF(20&lt;=INT(COUNTA('Beginner Adv 15M - Scoring'!$B$6:$B$1000)/3),IFERROR(IF(ISNUMBER(MATCH((COUNTA('Beginner Adv 15M - Scoring'!$B$6:$B$1000)-MOD(COUNTA('Beginner Adv 15M - Scoring'!$B$6:$B$1000),3))+1-20,'Beginner Adv 15M - Scoring'!$BB:$BB,0)),IFERROR(INDEX('Beginner Adv 15M - Scoring'!$B:$B,MATCH((COUNTA('Beginner Adv 15M - Scoring'!$B$6:$B$1000)-MOD(COUNTA('Beginner Adv 15M - Scoring'!$B$6:$B$1000),3))+1-20,'Beginner Adv 15M - Scoring'!$BB:$BB,0)),""),""),""),""))))</f>
        <v/>
      </c>
      <c r="F25" s="49" t="str">
        <f>IF($D$3&lt;&gt;"Team (3 archers)","",IF($D$4="By Club",IFERROR("",""),IF(20&lt;=INT(COUNTA('Beginner Adv 15M - Scoring'!$B$6:$B$1000)/3),IFERROR(IF(ISNUMBER(MATCH(INT((COUNTA('Beginner Adv 15M - Scoring'!$B$6:$B$1000)-MOD(COUNTA('Beginner Adv 15M - Scoring'!$B$6:$B$1000),3))/3)+20,'Beginner Adv 15M - Scoring'!$BB:$BB,0)),IFERROR(INDEX('Beginner Adv 15M - Scoring'!$B:$B,MATCH(INT((COUNTA('Beginner Adv 15M - Scoring'!$B$6:$B$1000)-MOD(COUNTA('Beginner Adv 15M - Scoring'!$B$6:$B$1000),3))/3)+20,'Beginner Adv 15M - Scoring'!$BB:$BB,0)),""),""),""),"")))</f>
        <v/>
      </c>
      <c r="G25" s="50">
        <f>IFERROR(IF(D25&lt;&gt;"",VLOOKUP(D25,'Beginner Adv 15M - Scoring'!$B:$AV,47,0),0),0)</f>
        <v>0</v>
      </c>
      <c r="H25" s="50">
        <f>IFERROR(IF(AND(OR($D$3="Double",$D$3="Team (3 archers)"),E25&lt;&gt;""),VLOOKUP(E25,'Beginner Adv 15M - Scoring'!$B:$AV,47,0),0),0)</f>
        <v>0</v>
      </c>
      <c r="I25" s="50">
        <f>IFERROR(IF(AND($D$3="Team (3 archers)",F25&lt;&gt;""),VLOOKUP(F25,'Beginner Adv 15M - Scoring'!$B:$AV,47,0),0),0)</f>
        <v>0</v>
      </c>
      <c r="J25" s="51" t="str">
        <f t="shared" si="1"/>
        <v/>
      </c>
      <c r="K25" s="52" t="str">
        <f>IF(D25&lt;&gt;"",IFERROR(IF(D25&lt;&gt;"",VLOOKUP(D25,'Beginner Adv 15M - Scoring'!$B:$BA,52,0),0),0)+IFERROR(IF(AND(OR($D$3="Double",$D$3="Team (3 archers)"),E25&lt;&gt;""),VLOOKUP(E25,'Beginner Adv 15M - Scoring'!$B:$BA,52,0),0),0)+IFERROR(IF(AND($D$3="Team (3 archers)",F25&lt;&gt;""),VLOOKUP(F25,'Beginner Adv 15M - Scoring'!$B:$BA,52,0),0),0),"")</f>
        <v/>
      </c>
      <c r="L25" s="40" t="s">
        <v>155</v>
      </c>
      <c r="M25" s="54" t="str">
        <f t="shared" si="2"/>
        <v/>
      </c>
      <c r="N25" s="55"/>
    </row>
    <row r="26" spans="1:14" ht="21.75" customHeight="1" x14ac:dyDescent="0.35">
      <c r="A26" s="46">
        <f>IF($D$3="Individual",IFERROR(VLOOKUP(D26,'Beginner Adv 15M - Scoring'!$B:$BB,53,0),99),IF(J26&lt;&gt;"",SUMPRODUCT((J$6:J$1000&gt;J26)*ISNUMBER(J$6:J$1000))+1+SUMPRODUCT((J$6:J$1000=J26)*(K$6:K$1000&gt;K26)*ISNUMBER(J$6:J$1000)*ISNUMBER(K$6:K$1000))+SUMPRODUCT((J$6:J$1000=J26)*(K$6:K$1000=K26)*(ROW(J$6:J$1000)&lt;26)*ISNUMBER(J$6:J$1000)),""))</f>
        <v>99</v>
      </c>
      <c r="B26" s="20" t="str">
        <f t="shared" si="0"/>
        <v/>
      </c>
      <c r="C26" s="47" t="str">
        <f>IFERROR(IF(D26&lt;&gt;"",VLOOKUP(D26,'Beginner Adv 15M - Scoring'!$B:$D,3,0),""),"")</f>
        <v/>
      </c>
      <c r="D26" s="48" t="str">
        <f>IF($D$4="By Club",IFERROR("",""),IF($D$3="Individual",IF(21&lt;=COUNTA('Beginner Adv 15M - Scoring'!$B$6:$B$1000),IFERROR(IF(ISNUMBER(MATCH(21,'Beginner Adv 15M - Scoring'!$BB:$BB,0)),IFERROR(INDEX('Beginner Adv 15M - Scoring'!$B:$B,MATCH(21,'Beginner Adv 15M - Scoring'!$BB:$BB,0)),""),""),""),""),IF($D$3="Double",IF(21&lt;=INT(COUNTA('Beginner Adv 15M - Scoring'!$B$6:$B$1000)/2),IFERROR(IF(ISNUMBER(MATCH(21,'Beginner Adv 15M - Scoring'!$BB:$BB,0)),IFERROR(INDEX('Beginner Adv 15M - Scoring'!$B:$B,MATCH(21,'Beginner Adv 15M - Scoring'!$BB:$BB,0)),""),""),""),""),IF(21&lt;=INT(COUNTA('Beginner Adv 15M - Scoring'!$B$6:$B$1000)/3),IFERROR(IF(ISNUMBER(MATCH(21,'Beginner Adv 15M - Scoring'!$BB:$BB,0)),IFERROR(INDEX('Beginner Adv 15M - Scoring'!$B:$B,MATCH(21,'Beginner Adv 15M - Scoring'!$BB:$BB,0)),""),""),""),""))))</f>
        <v/>
      </c>
      <c r="E26" s="49" t="str">
        <f>IF($D$3="Individual","",IF($D$4="By Club",IFERROR("",""),IF($D$3="Double",IF(21&lt;=INT(COUNTA('Beginner Adv 15M - Scoring'!$B$6:$B$1000)/2),IFERROR(IF(ISNUMBER(MATCH((COUNTA('Beginner Adv 15M - Scoring'!$B$6:$B$1000)-MOD(COUNTA('Beginner Adv 15M - Scoring'!$B$6:$B$1000),2))+1-21,'Beginner Adv 15M - Scoring'!$BB:$BB,0)),IFERROR(INDEX('Beginner Adv 15M - Scoring'!$B:$B,MATCH((COUNTA('Beginner Adv 15M - Scoring'!$B$6:$B$1000)-MOD(COUNTA('Beginner Adv 15M - Scoring'!$B$6:$B$1000),2))+1-21,'Beginner Adv 15M - Scoring'!$BB:$BB,0)),""),""),""),""),IF(21&lt;=INT(COUNTA('Beginner Adv 15M - Scoring'!$B$6:$B$1000)/3),IFERROR(IF(ISNUMBER(MATCH((COUNTA('Beginner Adv 15M - Scoring'!$B$6:$B$1000)-MOD(COUNTA('Beginner Adv 15M - Scoring'!$B$6:$B$1000),3))+1-21,'Beginner Adv 15M - Scoring'!$BB:$BB,0)),IFERROR(INDEX('Beginner Adv 15M - Scoring'!$B:$B,MATCH((COUNTA('Beginner Adv 15M - Scoring'!$B$6:$B$1000)-MOD(COUNTA('Beginner Adv 15M - Scoring'!$B$6:$B$1000),3))+1-21,'Beginner Adv 15M - Scoring'!$BB:$BB,0)),""),""),""),""))))</f>
        <v/>
      </c>
      <c r="F26" s="49" t="str">
        <f>IF($D$3&lt;&gt;"Team (3 archers)","",IF($D$4="By Club",IFERROR("",""),IF(21&lt;=INT(COUNTA('Beginner Adv 15M - Scoring'!$B$6:$B$1000)/3),IFERROR(IF(ISNUMBER(MATCH(INT((COUNTA('Beginner Adv 15M - Scoring'!$B$6:$B$1000)-MOD(COUNTA('Beginner Adv 15M - Scoring'!$B$6:$B$1000),3))/3)+21,'Beginner Adv 15M - Scoring'!$BB:$BB,0)),IFERROR(INDEX('Beginner Adv 15M - Scoring'!$B:$B,MATCH(INT((COUNTA('Beginner Adv 15M - Scoring'!$B$6:$B$1000)-MOD(COUNTA('Beginner Adv 15M - Scoring'!$B$6:$B$1000),3))/3)+21,'Beginner Adv 15M - Scoring'!$BB:$BB,0)),""),""),""),"")))</f>
        <v/>
      </c>
      <c r="G26" s="50">
        <f>IFERROR(IF(D26&lt;&gt;"",VLOOKUP(D26,'Beginner Adv 15M - Scoring'!$B:$AV,47,0),0),0)</f>
        <v>0</v>
      </c>
      <c r="H26" s="50">
        <f>IFERROR(IF(AND(OR($D$3="Double",$D$3="Team (3 archers)"),E26&lt;&gt;""),VLOOKUP(E26,'Beginner Adv 15M - Scoring'!$B:$AV,47,0),0),0)</f>
        <v>0</v>
      </c>
      <c r="I26" s="50">
        <f>IFERROR(IF(AND($D$3="Team (3 archers)",F26&lt;&gt;""),VLOOKUP(F26,'Beginner Adv 15M - Scoring'!$B:$AV,47,0),0),0)</f>
        <v>0</v>
      </c>
      <c r="J26" s="51" t="str">
        <f t="shared" si="1"/>
        <v/>
      </c>
      <c r="K26" s="52" t="str">
        <f>IF(D26&lt;&gt;"",IFERROR(IF(D26&lt;&gt;"",VLOOKUP(D26,'Beginner Adv 15M - Scoring'!$B:$BA,52,0),0),0)+IFERROR(IF(AND(OR($D$3="Double",$D$3="Team (3 archers)"),E26&lt;&gt;""),VLOOKUP(E26,'Beginner Adv 15M - Scoring'!$B:$BA,52,0),0),0)+IFERROR(IF(AND($D$3="Team (3 archers)",F26&lt;&gt;""),VLOOKUP(F26,'Beginner Adv 15M - Scoring'!$B:$BA,52,0),0),0),"")</f>
        <v/>
      </c>
      <c r="L26" s="53" t="s">
        <v>155</v>
      </c>
      <c r="M26" s="54" t="str">
        <f t="shared" si="2"/>
        <v/>
      </c>
      <c r="N26" s="55"/>
    </row>
    <row r="27" spans="1:14" ht="21.75" customHeight="1" x14ac:dyDescent="0.35">
      <c r="A27" s="46">
        <f>IF($D$3="Individual",IFERROR(VLOOKUP(D27,'Beginner Adv 15M - Scoring'!$B:$BB,53,0),99),IF(J27&lt;&gt;"",SUMPRODUCT((J$6:J$1000&gt;J27)*ISNUMBER(J$6:J$1000))+1+SUMPRODUCT((J$6:J$1000=J27)*(K$6:K$1000&gt;K27)*ISNUMBER(J$6:J$1000)*ISNUMBER(K$6:K$1000))+SUMPRODUCT((J$6:J$1000=J27)*(K$6:K$1000=K27)*(ROW(J$6:J$1000)&lt;27)*ISNUMBER(J$6:J$1000)),""))</f>
        <v>99</v>
      </c>
      <c r="B27" s="20" t="str">
        <f t="shared" si="0"/>
        <v/>
      </c>
      <c r="C27" s="47" t="str">
        <f>IFERROR(IF(D27&lt;&gt;"",VLOOKUP(D27,'Beginner Adv 15M - Scoring'!$B:$D,3,0),""),"")</f>
        <v/>
      </c>
      <c r="D27" s="48" t="str">
        <f>IF($D$4="By Club",IFERROR("",""),IF($D$3="Individual",IF(22&lt;=COUNTA('Beginner Adv 15M - Scoring'!$B$6:$B$1000),IFERROR(IF(ISNUMBER(MATCH(22,'Beginner Adv 15M - Scoring'!$BB:$BB,0)),IFERROR(INDEX('Beginner Adv 15M - Scoring'!$B:$B,MATCH(22,'Beginner Adv 15M - Scoring'!$BB:$BB,0)),""),""),""),""),IF($D$3="Double",IF(22&lt;=INT(COUNTA('Beginner Adv 15M - Scoring'!$B$6:$B$1000)/2),IFERROR(IF(ISNUMBER(MATCH(22,'Beginner Adv 15M - Scoring'!$BB:$BB,0)),IFERROR(INDEX('Beginner Adv 15M - Scoring'!$B:$B,MATCH(22,'Beginner Adv 15M - Scoring'!$BB:$BB,0)),""),""),""),""),IF(22&lt;=INT(COUNTA('Beginner Adv 15M - Scoring'!$B$6:$B$1000)/3),IFERROR(IF(ISNUMBER(MATCH(22,'Beginner Adv 15M - Scoring'!$BB:$BB,0)),IFERROR(INDEX('Beginner Adv 15M - Scoring'!$B:$B,MATCH(22,'Beginner Adv 15M - Scoring'!$BB:$BB,0)),""),""),""),""))))</f>
        <v/>
      </c>
      <c r="E27" s="49" t="str">
        <f>IF($D$3="Individual","",IF($D$4="By Club",IFERROR("",""),IF($D$3="Double",IF(22&lt;=INT(COUNTA('Beginner Adv 15M - Scoring'!$B$6:$B$1000)/2),IFERROR(IF(ISNUMBER(MATCH((COUNTA('Beginner Adv 15M - Scoring'!$B$6:$B$1000)-MOD(COUNTA('Beginner Adv 15M - Scoring'!$B$6:$B$1000),2))+1-22,'Beginner Adv 15M - Scoring'!$BB:$BB,0)),IFERROR(INDEX('Beginner Adv 15M - Scoring'!$B:$B,MATCH((COUNTA('Beginner Adv 15M - Scoring'!$B$6:$B$1000)-MOD(COUNTA('Beginner Adv 15M - Scoring'!$B$6:$B$1000),2))+1-22,'Beginner Adv 15M - Scoring'!$BB:$BB,0)),""),""),""),""),IF(22&lt;=INT(COUNTA('Beginner Adv 15M - Scoring'!$B$6:$B$1000)/3),IFERROR(IF(ISNUMBER(MATCH((COUNTA('Beginner Adv 15M - Scoring'!$B$6:$B$1000)-MOD(COUNTA('Beginner Adv 15M - Scoring'!$B$6:$B$1000),3))+1-22,'Beginner Adv 15M - Scoring'!$BB:$BB,0)),IFERROR(INDEX('Beginner Adv 15M - Scoring'!$B:$B,MATCH((COUNTA('Beginner Adv 15M - Scoring'!$B$6:$B$1000)-MOD(COUNTA('Beginner Adv 15M - Scoring'!$B$6:$B$1000),3))+1-22,'Beginner Adv 15M - Scoring'!$BB:$BB,0)),""),""),""),""))))</f>
        <v/>
      </c>
      <c r="F27" s="49" t="str">
        <f>IF($D$3&lt;&gt;"Team (3 archers)","",IF($D$4="By Club",IFERROR("",""),IF(22&lt;=INT(COUNTA('Beginner Adv 15M - Scoring'!$B$6:$B$1000)/3),IFERROR(IF(ISNUMBER(MATCH(INT((COUNTA('Beginner Adv 15M - Scoring'!$B$6:$B$1000)-MOD(COUNTA('Beginner Adv 15M - Scoring'!$B$6:$B$1000),3))/3)+22,'Beginner Adv 15M - Scoring'!$BB:$BB,0)),IFERROR(INDEX('Beginner Adv 15M - Scoring'!$B:$B,MATCH(INT((COUNTA('Beginner Adv 15M - Scoring'!$B$6:$B$1000)-MOD(COUNTA('Beginner Adv 15M - Scoring'!$B$6:$B$1000),3))/3)+22,'Beginner Adv 15M - Scoring'!$BB:$BB,0)),""),""),""),"")))</f>
        <v/>
      </c>
      <c r="G27" s="50">
        <f>IFERROR(IF(D27&lt;&gt;"",VLOOKUP(D27,'Beginner Adv 15M - Scoring'!$B:$AV,47,0),0),0)</f>
        <v>0</v>
      </c>
      <c r="H27" s="50">
        <f>IFERROR(IF(AND(OR($D$3="Double",$D$3="Team (3 archers)"),E27&lt;&gt;""),VLOOKUP(E27,'Beginner Adv 15M - Scoring'!$B:$AV,47,0),0),0)</f>
        <v>0</v>
      </c>
      <c r="I27" s="50">
        <f>IFERROR(IF(AND($D$3="Team (3 archers)",F27&lt;&gt;""),VLOOKUP(F27,'Beginner Adv 15M - Scoring'!$B:$AV,47,0),0),0)</f>
        <v>0</v>
      </c>
      <c r="J27" s="51" t="str">
        <f t="shared" si="1"/>
        <v/>
      </c>
      <c r="K27" s="52" t="str">
        <f>IF(D27&lt;&gt;"",IFERROR(IF(D27&lt;&gt;"",VLOOKUP(D27,'Beginner Adv 15M - Scoring'!$B:$BA,52,0),0),0)+IFERROR(IF(AND(OR($D$3="Double",$D$3="Team (3 archers)"),E27&lt;&gt;""),VLOOKUP(E27,'Beginner Adv 15M - Scoring'!$B:$BA,52,0),0),0)+IFERROR(IF(AND($D$3="Team (3 archers)",F27&lt;&gt;""),VLOOKUP(F27,'Beginner Adv 15M - Scoring'!$B:$BA,52,0),0),0),"")</f>
        <v/>
      </c>
      <c r="L27" s="40" t="s">
        <v>155</v>
      </c>
      <c r="M27" s="54" t="str">
        <f t="shared" si="2"/>
        <v/>
      </c>
      <c r="N27" s="55"/>
    </row>
    <row r="28" spans="1:14" ht="21.75" customHeight="1" x14ac:dyDescent="0.35">
      <c r="A28" s="46">
        <f>IF($D$3="Individual",IFERROR(VLOOKUP(D28,'Beginner Adv 15M - Scoring'!$B:$BB,53,0),99),IF(J28&lt;&gt;"",SUMPRODUCT((J$6:J$1000&gt;J28)*ISNUMBER(J$6:J$1000))+1+SUMPRODUCT((J$6:J$1000=J28)*(K$6:K$1000&gt;K28)*ISNUMBER(J$6:J$1000)*ISNUMBER(K$6:K$1000))+SUMPRODUCT((J$6:J$1000=J28)*(K$6:K$1000=K28)*(ROW(J$6:J$1000)&lt;28)*ISNUMBER(J$6:J$1000)),""))</f>
        <v>99</v>
      </c>
      <c r="B28" s="20" t="str">
        <f t="shared" si="0"/>
        <v/>
      </c>
      <c r="C28" s="47" t="str">
        <f>IFERROR(IF(D28&lt;&gt;"",VLOOKUP(D28,'Beginner Adv 15M - Scoring'!$B:$D,3,0),""),"")</f>
        <v/>
      </c>
      <c r="D28" s="48" t="str">
        <f>IF($D$4="By Club",IFERROR("",""),IF($D$3="Individual",IF(23&lt;=COUNTA('Beginner Adv 15M - Scoring'!$B$6:$B$1000),IFERROR(IF(ISNUMBER(MATCH(23,'Beginner Adv 15M - Scoring'!$BB:$BB,0)),IFERROR(INDEX('Beginner Adv 15M - Scoring'!$B:$B,MATCH(23,'Beginner Adv 15M - Scoring'!$BB:$BB,0)),""),""),""),""),IF($D$3="Double",IF(23&lt;=INT(COUNTA('Beginner Adv 15M - Scoring'!$B$6:$B$1000)/2),IFERROR(IF(ISNUMBER(MATCH(23,'Beginner Adv 15M - Scoring'!$BB:$BB,0)),IFERROR(INDEX('Beginner Adv 15M - Scoring'!$B:$B,MATCH(23,'Beginner Adv 15M - Scoring'!$BB:$BB,0)),""),""),""),""),IF(23&lt;=INT(COUNTA('Beginner Adv 15M - Scoring'!$B$6:$B$1000)/3),IFERROR(IF(ISNUMBER(MATCH(23,'Beginner Adv 15M - Scoring'!$BB:$BB,0)),IFERROR(INDEX('Beginner Adv 15M - Scoring'!$B:$B,MATCH(23,'Beginner Adv 15M - Scoring'!$BB:$BB,0)),""),""),""),""))))</f>
        <v/>
      </c>
      <c r="E28" s="49" t="str">
        <f>IF($D$3="Individual","",IF($D$4="By Club",IFERROR("",""),IF($D$3="Double",IF(23&lt;=INT(COUNTA('Beginner Adv 15M - Scoring'!$B$6:$B$1000)/2),IFERROR(IF(ISNUMBER(MATCH((COUNTA('Beginner Adv 15M - Scoring'!$B$6:$B$1000)-MOD(COUNTA('Beginner Adv 15M - Scoring'!$B$6:$B$1000),2))+1-23,'Beginner Adv 15M - Scoring'!$BB:$BB,0)),IFERROR(INDEX('Beginner Adv 15M - Scoring'!$B:$B,MATCH((COUNTA('Beginner Adv 15M - Scoring'!$B$6:$B$1000)-MOD(COUNTA('Beginner Adv 15M - Scoring'!$B$6:$B$1000),2))+1-23,'Beginner Adv 15M - Scoring'!$BB:$BB,0)),""),""),""),""),IF(23&lt;=INT(COUNTA('Beginner Adv 15M - Scoring'!$B$6:$B$1000)/3),IFERROR(IF(ISNUMBER(MATCH((COUNTA('Beginner Adv 15M - Scoring'!$B$6:$B$1000)-MOD(COUNTA('Beginner Adv 15M - Scoring'!$B$6:$B$1000),3))+1-23,'Beginner Adv 15M - Scoring'!$BB:$BB,0)),IFERROR(INDEX('Beginner Adv 15M - Scoring'!$B:$B,MATCH((COUNTA('Beginner Adv 15M - Scoring'!$B$6:$B$1000)-MOD(COUNTA('Beginner Adv 15M - Scoring'!$B$6:$B$1000),3))+1-23,'Beginner Adv 15M - Scoring'!$BB:$BB,0)),""),""),""),""))))</f>
        <v/>
      </c>
      <c r="F28" s="49" t="str">
        <f>IF($D$3&lt;&gt;"Team (3 archers)","",IF($D$4="By Club",IFERROR("",""),IF(23&lt;=INT(COUNTA('Beginner Adv 15M - Scoring'!$B$6:$B$1000)/3),IFERROR(IF(ISNUMBER(MATCH(INT((COUNTA('Beginner Adv 15M - Scoring'!$B$6:$B$1000)-MOD(COUNTA('Beginner Adv 15M - Scoring'!$B$6:$B$1000),3))/3)+23,'Beginner Adv 15M - Scoring'!$BB:$BB,0)),IFERROR(INDEX('Beginner Adv 15M - Scoring'!$B:$B,MATCH(INT((COUNTA('Beginner Adv 15M - Scoring'!$B$6:$B$1000)-MOD(COUNTA('Beginner Adv 15M - Scoring'!$B$6:$B$1000),3))/3)+23,'Beginner Adv 15M - Scoring'!$BB:$BB,0)),""),""),""),"")))</f>
        <v/>
      </c>
      <c r="G28" s="50">
        <f>IFERROR(IF(D28&lt;&gt;"",VLOOKUP(D28,'Beginner Adv 15M - Scoring'!$B:$AV,47,0),0),0)</f>
        <v>0</v>
      </c>
      <c r="H28" s="50">
        <f>IFERROR(IF(AND(OR($D$3="Double",$D$3="Team (3 archers)"),E28&lt;&gt;""),VLOOKUP(E28,'Beginner Adv 15M - Scoring'!$B:$AV,47,0),0),0)</f>
        <v>0</v>
      </c>
      <c r="I28" s="50">
        <f>IFERROR(IF(AND($D$3="Team (3 archers)",F28&lt;&gt;""),VLOOKUP(F28,'Beginner Adv 15M - Scoring'!$B:$AV,47,0),0),0)</f>
        <v>0</v>
      </c>
      <c r="J28" s="51" t="str">
        <f t="shared" si="1"/>
        <v/>
      </c>
      <c r="K28" s="52" t="str">
        <f>IF(D28&lt;&gt;"",IFERROR(IF(D28&lt;&gt;"",VLOOKUP(D28,'Beginner Adv 15M - Scoring'!$B:$BA,52,0),0),0)+IFERROR(IF(AND(OR($D$3="Double",$D$3="Team (3 archers)"),E28&lt;&gt;""),VLOOKUP(E28,'Beginner Adv 15M - Scoring'!$B:$BA,52,0),0),0)+IFERROR(IF(AND($D$3="Team (3 archers)",F28&lt;&gt;""),VLOOKUP(F28,'Beginner Adv 15M - Scoring'!$B:$BA,52,0),0),0),"")</f>
        <v/>
      </c>
      <c r="L28" s="53" t="s">
        <v>155</v>
      </c>
      <c r="M28" s="54" t="str">
        <f t="shared" si="2"/>
        <v/>
      </c>
      <c r="N28" s="55"/>
    </row>
    <row r="29" spans="1:14" ht="21.75" customHeight="1" x14ac:dyDescent="0.35">
      <c r="A29" s="46">
        <f>IF($D$3="Individual",IFERROR(VLOOKUP(D29,'Beginner Adv 15M - Scoring'!$B:$BB,53,0),99),IF(J29&lt;&gt;"",SUMPRODUCT((J$6:J$1000&gt;J29)*ISNUMBER(J$6:J$1000))+1+SUMPRODUCT((J$6:J$1000=J29)*(K$6:K$1000&gt;K29)*ISNUMBER(J$6:J$1000)*ISNUMBER(K$6:K$1000))+SUMPRODUCT((J$6:J$1000=J29)*(K$6:K$1000=K29)*(ROW(J$6:J$1000)&lt;29)*ISNUMBER(J$6:J$1000)),""))</f>
        <v>99</v>
      </c>
      <c r="B29" s="20" t="str">
        <f t="shared" si="0"/>
        <v/>
      </c>
      <c r="C29" s="47" t="str">
        <f>IFERROR(IF(D29&lt;&gt;"",VLOOKUP(D29,'Beginner Adv 15M - Scoring'!$B:$D,3,0),""),"")</f>
        <v/>
      </c>
      <c r="D29" s="48" t="str">
        <f>IF($D$4="By Club",IFERROR("",""),IF($D$3="Individual",IF(24&lt;=COUNTA('Beginner Adv 15M - Scoring'!$B$6:$B$1000),IFERROR(IF(ISNUMBER(MATCH(24,'Beginner Adv 15M - Scoring'!$BB:$BB,0)),IFERROR(INDEX('Beginner Adv 15M - Scoring'!$B:$B,MATCH(24,'Beginner Adv 15M - Scoring'!$BB:$BB,0)),""),""),""),""),IF($D$3="Double",IF(24&lt;=INT(COUNTA('Beginner Adv 15M - Scoring'!$B$6:$B$1000)/2),IFERROR(IF(ISNUMBER(MATCH(24,'Beginner Adv 15M - Scoring'!$BB:$BB,0)),IFERROR(INDEX('Beginner Adv 15M - Scoring'!$B:$B,MATCH(24,'Beginner Adv 15M - Scoring'!$BB:$BB,0)),""),""),""),""),IF(24&lt;=INT(COUNTA('Beginner Adv 15M - Scoring'!$B$6:$B$1000)/3),IFERROR(IF(ISNUMBER(MATCH(24,'Beginner Adv 15M - Scoring'!$BB:$BB,0)),IFERROR(INDEX('Beginner Adv 15M - Scoring'!$B:$B,MATCH(24,'Beginner Adv 15M - Scoring'!$BB:$BB,0)),""),""),""),""))))</f>
        <v/>
      </c>
      <c r="E29" s="49" t="str">
        <f>IF($D$3="Individual","",IF($D$4="By Club",IFERROR("",""),IF($D$3="Double",IF(24&lt;=INT(COUNTA('Beginner Adv 15M - Scoring'!$B$6:$B$1000)/2),IFERROR(IF(ISNUMBER(MATCH((COUNTA('Beginner Adv 15M - Scoring'!$B$6:$B$1000)-MOD(COUNTA('Beginner Adv 15M - Scoring'!$B$6:$B$1000),2))+1-24,'Beginner Adv 15M - Scoring'!$BB:$BB,0)),IFERROR(INDEX('Beginner Adv 15M - Scoring'!$B:$B,MATCH((COUNTA('Beginner Adv 15M - Scoring'!$B$6:$B$1000)-MOD(COUNTA('Beginner Adv 15M - Scoring'!$B$6:$B$1000),2))+1-24,'Beginner Adv 15M - Scoring'!$BB:$BB,0)),""),""),""),""),IF(24&lt;=INT(COUNTA('Beginner Adv 15M - Scoring'!$B$6:$B$1000)/3),IFERROR(IF(ISNUMBER(MATCH((COUNTA('Beginner Adv 15M - Scoring'!$B$6:$B$1000)-MOD(COUNTA('Beginner Adv 15M - Scoring'!$B$6:$B$1000),3))+1-24,'Beginner Adv 15M - Scoring'!$BB:$BB,0)),IFERROR(INDEX('Beginner Adv 15M - Scoring'!$B:$B,MATCH((COUNTA('Beginner Adv 15M - Scoring'!$B$6:$B$1000)-MOD(COUNTA('Beginner Adv 15M - Scoring'!$B$6:$B$1000),3))+1-24,'Beginner Adv 15M - Scoring'!$BB:$BB,0)),""),""),""),""))))</f>
        <v/>
      </c>
      <c r="F29" s="49" t="str">
        <f>IF($D$3&lt;&gt;"Team (3 archers)","",IF($D$4="By Club",IFERROR("",""),IF(24&lt;=INT(COUNTA('Beginner Adv 15M - Scoring'!$B$6:$B$1000)/3),IFERROR(IF(ISNUMBER(MATCH(INT((COUNTA('Beginner Adv 15M - Scoring'!$B$6:$B$1000)-MOD(COUNTA('Beginner Adv 15M - Scoring'!$B$6:$B$1000),3))/3)+24,'Beginner Adv 15M - Scoring'!$BB:$BB,0)),IFERROR(INDEX('Beginner Adv 15M - Scoring'!$B:$B,MATCH(INT((COUNTA('Beginner Adv 15M - Scoring'!$B$6:$B$1000)-MOD(COUNTA('Beginner Adv 15M - Scoring'!$B$6:$B$1000),3))/3)+24,'Beginner Adv 15M - Scoring'!$BB:$BB,0)),""),""),""),"")))</f>
        <v/>
      </c>
      <c r="G29" s="50">
        <f>IFERROR(IF(D29&lt;&gt;"",VLOOKUP(D29,'Beginner Adv 15M - Scoring'!$B:$AV,47,0),0),0)</f>
        <v>0</v>
      </c>
      <c r="H29" s="50">
        <f>IFERROR(IF(AND(OR($D$3="Double",$D$3="Team (3 archers)"),E29&lt;&gt;""),VLOOKUP(E29,'Beginner Adv 15M - Scoring'!$B:$AV,47,0),0),0)</f>
        <v>0</v>
      </c>
      <c r="I29" s="50">
        <f>IFERROR(IF(AND($D$3="Team (3 archers)",F29&lt;&gt;""),VLOOKUP(F29,'Beginner Adv 15M - Scoring'!$B:$AV,47,0),0),0)</f>
        <v>0</v>
      </c>
      <c r="J29" s="51" t="str">
        <f t="shared" si="1"/>
        <v/>
      </c>
      <c r="K29" s="52" t="str">
        <f>IF(D29&lt;&gt;"",IFERROR(IF(D29&lt;&gt;"",VLOOKUP(D29,'Beginner Adv 15M - Scoring'!$B:$BA,52,0),0),0)+IFERROR(IF(AND(OR($D$3="Double",$D$3="Team (3 archers)"),E29&lt;&gt;""),VLOOKUP(E29,'Beginner Adv 15M - Scoring'!$B:$BA,52,0),0),0)+IFERROR(IF(AND($D$3="Team (3 archers)",F29&lt;&gt;""),VLOOKUP(F29,'Beginner Adv 15M - Scoring'!$B:$BA,52,0),0),0),"")</f>
        <v/>
      </c>
      <c r="L29" s="40" t="s">
        <v>155</v>
      </c>
      <c r="M29" s="54" t="str">
        <f t="shared" si="2"/>
        <v/>
      </c>
      <c r="N29" s="55"/>
    </row>
    <row r="30" spans="1:14" ht="21.75" customHeight="1" x14ac:dyDescent="0.35">
      <c r="A30" s="46">
        <f>IF($D$3="Individual",IFERROR(VLOOKUP(D30,'Beginner Adv 15M - Scoring'!$B:$BB,53,0),99),IF(J30&lt;&gt;"",SUMPRODUCT((J$6:J$1000&gt;J30)*ISNUMBER(J$6:J$1000))+1+SUMPRODUCT((J$6:J$1000=J30)*(K$6:K$1000&gt;K30)*ISNUMBER(J$6:J$1000)*ISNUMBER(K$6:K$1000))+SUMPRODUCT((J$6:J$1000=J30)*(K$6:K$1000=K30)*(ROW(J$6:J$1000)&lt;30)*ISNUMBER(J$6:J$1000)),""))</f>
        <v>99</v>
      </c>
      <c r="B30" s="20" t="str">
        <f t="shared" si="0"/>
        <v/>
      </c>
      <c r="C30" s="47" t="str">
        <f>IFERROR(IF(D30&lt;&gt;"",VLOOKUP(D30,'Beginner Adv 15M - Scoring'!$B:$D,3,0),""),"")</f>
        <v/>
      </c>
      <c r="D30" s="48" t="str">
        <f>IF($D$4="By Club",IFERROR("",""),IF($D$3="Individual",IF(25&lt;=COUNTA('Beginner Adv 15M - Scoring'!$B$6:$B$1000),IFERROR(IF(ISNUMBER(MATCH(25,'Beginner Adv 15M - Scoring'!$BB:$BB,0)),IFERROR(INDEX('Beginner Adv 15M - Scoring'!$B:$B,MATCH(25,'Beginner Adv 15M - Scoring'!$BB:$BB,0)),""),""),""),""),IF($D$3="Double",IF(25&lt;=INT(COUNTA('Beginner Adv 15M - Scoring'!$B$6:$B$1000)/2),IFERROR(IF(ISNUMBER(MATCH(25,'Beginner Adv 15M - Scoring'!$BB:$BB,0)),IFERROR(INDEX('Beginner Adv 15M - Scoring'!$B:$B,MATCH(25,'Beginner Adv 15M - Scoring'!$BB:$BB,0)),""),""),""),""),IF(25&lt;=INT(COUNTA('Beginner Adv 15M - Scoring'!$B$6:$B$1000)/3),IFERROR(IF(ISNUMBER(MATCH(25,'Beginner Adv 15M - Scoring'!$BB:$BB,0)),IFERROR(INDEX('Beginner Adv 15M - Scoring'!$B:$B,MATCH(25,'Beginner Adv 15M - Scoring'!$BB:$BB,0)),""),""),""),""))))</f>
        <v/>
      </c>
      <c r="E30" s="49" t="str">
        <f>IF($D$3="Individual","",IF($D$4="By Club",IFERROR("",""),IF($D$3="Double",IF(25&lt;=INT(COUNTA('Beginner Adv 15M - Scoring'!$B$6:$B$1000)/2),IFERROR(IF(ISNUMBER(MATCH((COUNTA('Beginner Adv 15M - Scoring'!$B$6:$B$1000)-MOD(COUNTA('Beginner Adv 15M - Scoring'!$B$6:$B$1000),2))+1-25,'Beginner Adv 15M - Scoring'!$BB:$BB,0)),IFERROR(INDEX('Beginner Adv 15M - Scoring'!$B:$B,MATCH((COUNTA('Beginner Adv 15M - Scoring'!$B$6:$B$1000)-MOD(COUNTA('Beginner Adv 15M - Scoring'!$B$6:$B$1000),2))+1-25,'Beginner Adv 15M - Scoring'!$BB:$BB,0)),""),""),""),""),IF(25&lt;=INT(COUNTA('Beginner Adv 15M - Scoring'!$B$6:$B$1000)/3),IFERROR(IF(ISNUMBER(MATCH((COUNTA('Beginner Adv 15M - Scoring'!$B$6:$B$1000)-MOD(COUNTA('Beginner Adv 15M - Scoring'!$B$6:$B$1000),3))+1-25,'Beginner Adv 15M - Scoring'!$BB:$BB,0)),IFERROR(INDEX('Beginner Adv 15M - Scoring'!$B:$B,MATCH((COUNTA('Beginner Adv 15M - Scoring'!$B$6:$B$1000)-MOD(COUNTA('Beginner Adv 15M - Scoring'!$B$6:$B$1000),3))+1-25,'Beginner Adv 15M - Scoring'!$BB:$BB,0)),""),""),""),""))))</f>
        <v/>
      </c>
      <c r="F30" s="49" t="str">
        <f>IF($D$3&lt;&gt;"Team (3 archers)","",IF($D$4="By Club",IFERROR("",""),IF(25&lt;=INT(COUNTA('Beginner Adv 15M - Scoring'!$B$6:$B$1000)/3),IFERROR(IF(ISNUMBER(MATCH(INT((COUNTA('Beginner Adv 15M - Scoring'!$B$6:$B$1000)-MOD(COUNTA('Beginner Adv 15M - Scoring'!$B$6:$B$1000),3))/3)+25,'Beginner Adv 15M - Scoring'!$BB:$BB,0)),IFERROR(INDEX('Beginner Adv 15M - Scoring'!$B:$B,MATCH(INT((COUNTA('Beginner Adv 15M - Scoring'!$B$6:$B$1000)-MOD(COUNTA('Beginner Adv 15M - Scoring'!$B$6:$B$1000),3))/3)+25,'Beginner Adv 15M - Scoring'!$BB:$BB,0)),""),""),""),"")))</f>
        <v/>
      </c>
      <c r="G30" s="50">
        <f>IFERROR(IF(D30&lt;&gt;"",VLOOKUP(D30,'Beginner Adv 15M - Scoring'!$B:$AV,47,0),0),0)</f>
        <v>0</v>
      </c>
      <c r="H30" s="50">
        <f>IFERROR(IF(AND(OR($D$3="Double",$D$3="Team (3 archers)"),E30&lt;&gt;""),VLOOKUP(E30,'Beginner Adv 15M - Scoring'!$B:$AV,47,0),0),0)</f>
        <v>0</v>
      </c>
      <c r="I30" s="50">
        <f>IFERROR(IF(AND($D$3="Team (3 archers)",F30&lt;&gt;""),VLOOKUP(F30,'Beginner Adv 15M - Scoring'!$B:$AV,47,0),0),0)</f>
        <v>0</v>
      </c>
      <c r="J30" s="51" t="str">
        <f t="shared" si="1"/>
        <v/>
      </c>
      <c r="K30" s="52" t="str">
        <f>IF(D30&lt;&gt;"",IFERROR(IF(D30&lt;&gt;"",VLOOKUP(D30,'Beginner Adv 15M - Scoring'!$B:$BA,52,0),0),0)+IFERROR(IF(AND(OR($D$3="Double",$D$3="Team (3 archers)"),E30&lt;&gt;""),VLOOKUP(E30,'Beginner Adv 15M - Scoring'!$B:$BA,52,0),0),0)+IFERROR(IF(AND($D$3="Team (3 archers)",F30&lt;&gt;""),VLOOKUP(F30,'Beginner Adv 15M - Scoring'!$B:$BA,52,0),0),0),"")</f>
        <v/>
      </c>
      <c r="L30" s="53" t="s">
        <v>155</v>
      </c>
      <c r="M30" s="54" t="str">
        <f t="shared" si="2"/>
        <v/>
      </c>
      <c r="N30" s="55"/>
    </row>
    <row r="31" spans="1:14" ht="21.75" customHeight="1" x14ac:dyDescent="0.35">
      <c r="A31" s="46">
        <f>IF($D$3="Individual",IFERROR(VLOOKUP(D31,'Beginner Adv 15M - Scoring'!$B:$BB,53,0),99),IF(J31&lt;&gt;"",SUMPRODUCT((J$6:J$1000&gt;J31)*ISNUMBER(J$6:J$1000))+1+SUMPRODUCT((J$6:J$1000=J31)*(K$6:K$1000&gt;K31)*ISNUMBER(J$6:J$1000)*ISNUMBER(K$6:K$1000))+SUMPRODUCT((J$6:J$1000=J31)*(K$6:K$1000=K31)*(ROW(J$6:J$1000)&lt;31)*ISNUMBER(J$6:J$1000)),""))</f>
        <v>99</v>
      </c>
      <c r="B31" s="20" t="str">
        <f t="shared" si="0"/>
        <v/>
      </c>
      <c r="C31" s="47" t="str">
        <f>IFERROR(IF(D31&lt;&gt;"",VLOOKUP(D31,'Beginner Adv 15M - Scoring'!$B:$D,3,0),""),"")</f>
        <v/>
      </c>
      <c r="D31" s="48" t="str">
        <f>IF($D$4="By Club",IFERROR("",""),IF($D$3="Individual",IF(26&lt;=COUNTA('Beginner Adv 15M - Scoring'!$B$6:$B$1000),IFERROR(IF(ISNUMBER(MATCH(26,'Beginner Adv 15M - Scoring'!$BB:$BB,0)),IFERROR(INDEX('Beginner Adv 15M - Scoring'!$B:$B,MATCH(26,'Beginner Adv 15M - Scoring'!$BB:$BB,0)),""),""),""),""),IF($D$3="Double",IF(26&lt;=INT(COUNTA('Beginner Adv 15M - Scoring'!$B$6:$B$1000)/2),IFERROR(IF(ISNUMBER(MATCH(26,'Beginner Adv 15M - Scoring'!$BB:$BB,0)),IFERROR(INDEX('Beginner Adv 15M - Scoring'!$B:$B,MATCH(26,'Beginner Adv 15M - Scoring'!$BB:$BB,0)),""),""),""),""),IF(26&lt;=INT(COUNTA('Beginner Adv 15M - Scoring'!$B$6:$B$1000)/3),IFERROR(IF(ISNUMBER(MATCH(26,'Beginner Adv 15M - Scoring'!$BB:$BB,0)),IFERROR(INDEX('Beginner Adv 15M - Scoring'!$B:$B,MATCH(26,'Beginner Adv 15M - Scoring'!$BB:$BB,0)),""),""),""),""))))</f>
        <v/>
      </c>
      <c r="E31" s="49" t="str">
        <f>IF($D$3="Individual","",IF($D$4="By Club",IFERROR("",""),IF($D$3="Double",IF(26&lt;=INT(COUNTA('Beginner Adv 15M - Scoring'!$B$6:$B$1000)/2),IFERROR(IF(ISNUMBER(MATCH((COUNTA('Beginner Adv 15M - Scoring'!$B$6:$B$1000)-MOD(COUNTA('Beginner Adv 15M - Scoring'!$B$6:$B$1000),2))+1-26,'Beginner Adv 15M - Scoring'!$BB:$BB,0)),IFERROR(INDEX('Beginner Adv 15M - Scoring'!$B:$B,MATCH((COUNTA('Beginner Adv 15M - Scoring'!$B$6:$B$1000)-MOD(COUNTA('Beginner Adv 15M - Scoring'!$B$6:$B$1000),2))+1-26,'Beginner Adv 15M - Scoring'!$BB:$BB,0)),""),""),""),""),IF(26&lt;=INT(COUNTA('Beginner Adv 15M - Scoring'!$B$6:$B$1000)/3),IFERROR(IF(ISNUMBER(MATCH((COUNTA('Beginner Adv 15M - Scoring'!$B$6:$B$1000)-MOD(COUNTA('Beginner Adv 15M - Scoring'!$B$6:$B$1000),3))+1-26,'Beginner Adv 15M - Scoring'!$BB:$BB,0)),IFERROR(INDEX('Beginner Adv 15M - Scoring'!$B:$B,MATCH((COUNTA('Beginner Adv 15M - Scoring'!$B$6:$B$1000)-MOD(COUNTA('Beginner Adv 15M - Scoring'!$B$6:$B$1000),3))+1-26,'Beginner Adv 15M - Scoring'!$BB:$BB,0)),""),""),""),""))))</f>
        <v/>
      </c>
      <c r="F31" s="49" t="str">
        <f>IF($D$3&lt;&gt;"Team (3 archers)","",IF($D$4="By Club",IFERROR("",""),IF(26&lt;=INT(COUNTA('Beginner Adv 15M - Scoring'!$B$6:$B$1000)/3),IFERROR(IF(ISNUMBER(MATCH(INT((COUNTA('Beginner Adv 15M - Scoring'!$B$6:$B$1000)-MOD(COUNTA('Beginner Adv 15M - Scoring'!$B$6:$B$1000),3))/3)+26,'Beginner Adv 15M - Scoring'!$BB:$BB,0)),IFERROR(INDEX('Beginner Adv 15M - Scoring'!$B:$B,MATCH(INT((COUNTA('Beginner Adv 15M - Scoring'!$B$6:$B$1000)-MOD(COUNTA('Beginner Adv 15M - Scoring'!$B$6:$B$1000),3))/3)+26,'Beginner Adv 15M - Scoring'!$BB:$BB,0)),""),""),""),"")))</f>
        <v/>
      </c>
      <c r="G31" s="50">
        <f>IFERROR(IF(D31&lt;&gt;"",VLOOKUP(D31,'Beginner Adv 15M - Scoring'!$B:$AV,47,0),0),0)</f>
        <v>0</v>
      </c>
      <c r="H31" s="50">
        <f>IFERROR(IF(AND(OR($D$3="Double",$D$3="Team (3 archers)"),E31&lt;&gt;""),VLOOKUP(E31,'Beginner Adv 15M - Scoring'!$B:$AV,47,0),0),0)</f>
        <v>0</v>
      </c>
      <c r="I31" s="50">
        <f>IFERROR(IF(AND($D$3="Team (3 archers)",F31&lt;&gt;""),VLOOKUP(F31,'Beginner Adv 15M - Scoring'!$B:$AV,47,0),0),0)</f>
        <v>0</v>
      </c>
      <c r="J31" s="51" t="str">
        <f t="shared" si="1"/>
        <v/>
      </c>
      <c r="K31" s="52" t="str">
        <f>IF(D31&lt;&gt;"",IFERROR(IF(D31&lt;&gt;"",VLOOKUP(D31,'Beginner Adv 15M - Scoring'!$B:$BA,52,0),0),0)+IFERROR(IF(AND(OR($D$3="Double",$D$3="Team (3 archers)"),E31&lt;&gt;""),VLOOKUP(E31,'Beginner Adv 15M - Scoring'!$B:$BA,52,0),0),0)+IFERROR(IF(AND($D$3="Team (3 archers)",F31&lt;&gt;""),VLOOKUP(F31,'Beginner Adv 15M - Scoring'!$B:$BA,52,0),0),0),"")</f>
        <v/>
      </c>
      <c r="L31" s="40" t="s">
        <v>155</v>
      </c>
      <c r="M31" s="54" t="str">
        <f t="shared" si="2"/>
        <v/>
      </c>
      <c r="N31" s="55"/>
    </row>
    <row r="32" spans="1:14" ht="21.75" customHeight="1" x14ac:dyDescent="0.35">
      <c r="A32" s="46">
        <f>IF($D$3="Individual",IFERROR(VLOOKUP(D32,'Beginner Adv 15M - Scoring'!$B:$BB,53,0),99),IF(J32&lt;&gt;"",SUMPRODUCT((J$6:J$1000&gt;J32)*ISNUMBER(J$6:J$1000))+1+SUMPRODUCT((J$6:J$1000=J32)*(K$6:K$1000&gt;K32)*ISNUMBER(J$6:J$1000)*ISNUMBER(K$6:K$1000))+SUMPRODUCT((J$6:J$1000=J32)*(K$6:K$1000=K32)*(ROW(J$6:J$1000)&lt;32)*ISNUMBER(J$6:J$1000)),""))</f>
        <v>99</v>
      </c>
      <c r="B32" s="20" t="str">
        <f t="shared" si="0"/>
        <v/>
      </c>
      <c r="C32" s="47" t="str">
        <f>IFERROR(IF(D32&lt;&gt;"",VLOOKUP(D32,'Beginner Adv 15M - Scoring'!$B:$D,3,0),""),"")</f>
        <v/>
      </c>
      <c r="D32" s="48" t="str">
        <f>IF($D$4="By Club",IFERROR("",""),IF($D$3="Individual",IF(27&lt;=COUNTA('Beginner Adv 15M - Scoring'!$B$6:$B$1000),IFERROR(IF(ISNUMBER(MATCH(27,'Beginner Adv 15M - Scoring'!$BB:$BB,0)),IFERROR(INDEX('Beginner Adv 15M - Scoring'!$B:$B,MATCH(27,'Beginner Adv 15M - Scoring'!$BB:$BB,0)),""),""),""),""),IF($D$3="Double",IF(27&lt;=INT(COUNTA('Beginner Adv 15M - Scoring'!$B$6:$B$1000)/2),IFERROR(IF(ISNUMBER(MATCH(27,'Beginner Adv 15M - Scoring'!$BB:$BB,0)),IFERROR(INDEX('Beginner Adv 15M - Scoring'!$B:$B,MATCH(27,'Beginner Adv 15M - Scoring'!$BB:$BB,0)),""),""),""),""),IF(27&lt;=INT(COUNTA('Beginner Adv 15M - Scoring'!$B$6:$B$1000)/3),IFERROR(IF(ISNUMBER(MATCH(27,'Beginner Adv 15M - Scoring'!$BB:$BB,0)),IFERROR(INDEX('Beginner Adv 15M - Scoring'!$B:$B,MATCH(27,'Beginner Adv 15M - Scoring'!$BB:$BB,0)),""),""),""),""))))</f>
        <v/>
      </c>
      <c r="E32" s="49" t="str">
        <f>IF($D$3="Individual","",IF($D$4="By Club",IFERROR("",""),IF($D$3="Double",IF(27&lt;=INT(COUNTA('Beginner Adv 15M - Scoring'!$B$6:$B$1000)/2),IFERROR(IF(ISNUMBER(MATCH((COUNTA('Beginner Adv 15M - Scoring'!$B$6:$B$1000)-MOD(COUNTA('Beginner Adv 15M - Scoring'!$B$6:$B$1000),2))+1-27,'Beginner Adv 15M - Scoring'!$BB:$BB,0)),IFERROR(INDEX('Beginner Adv 15M - Scoring'!$B:$B,MATCH((COUNTA('Beginner Adv 15M - Scoring'!$B$6:$B$1000)-MOD(COUNTA('Beginner Adv 15M - Scoring'!$B$6:$B$1000),2))+1-27,'Beginner Adv 15M - Scoring'!$BB:$BB,0)),""),""),""),""),IF(27&lt;=INT(COUNTA('Beginner Adv 15M - Scoring'!$B$6:$B$1000)/3),IFERROR(IF(ISNUMBER(MATCH((COUNTA('Beginner Adv 15M - Scoring'!$B$6:$B$1000)-MOD(COUNTA('Beginner Adv 15M - Scoring'!$B$6:$B$1000),3))+1-27,'Beginner Adv 15M - Scoring'!$BB:$BB,0)),IFERROR(INDEX('Beginner Adv 15M - Scoring'!$B:$B,MATCH((COUNTA('Beginner Adv 15M - Scoring'!$B$6:$B$1000)-MOD(COUNTA('Beginner Adv 15M - Scoring'!$B$6:$B$1000),3))+1-27,'Beginner Adv 15M - Scoring'!$BB:$BB,0)),""),""),""),""))))</f>
        <v/>
      </c>
      <c r="F32" s="49" t="str">
        <f>IF($D$3&lt;&gt;"Team (3 archers)","",IF($D$4="By Club",IFERROR("",""),IF(27&lt;=INT(COUNTA('Beginner Adv 15M - Scoring'!$B$6:$B$1000)/3),IFERROR(IF(ISNUMBER(MATCH(INT((COUNTA('Beginner Adv 15M - Scoring'!$B$6:$B$1000)-MOD(COUNTA('Beginner Adv 15M - Scoring'!$B$6:$B$1000),3))/3)+27,'Beginner Adv 15M - Scoring'!$BB:$BB,0)),IFERROR(INDEX('Beginner Adv 15M - Scoring'!$B:$B,MATCH(INT((COUNTA('Beginner Adv 15M - Scoring'!$B$6:$B$1000)-MOD(COUNTA('Beginner Adv 15M - Scoring'!$B$6:$B$1000),3))/3)+27,'Beginner Adv 15M - Scoring'!$BB:$BB,0)),""),""),""),"")))</f>
        <v/>
      </c>
      <c r="G32" s="50">
        <f>IFERROR(IF(D32&lt;&gt;"",VLOOKUP(D32,'Beginner Adv 15M - Scoring'!$B:$AV,47,0),0),0)</f>
        <v>0</v>
      </c>
      <c r="H32" s="50">
        <f>IFERROR(IF(AND(OR($D$3="Double",$D$3="Team (3 archers)"),E32&lt;&gt;""),VLOOKUP(E32,'Beginner Adv 15M - Scoring'!$B:$AV,47,0),0),0)</f>
        <v>0</v>
      </c>
      <c r="I32" s="50">
        <f>IFERROR(IF(AND($D$3="Team (3 archers)",F32&lt;&gt;""),VLOOKUP(F32,'Beginner Adv 15M - Scoring'!$B:$AV,47,0),0),0)</f>
        <v>0</v>
      </c>
      <c r="J32" s="51" t="str">
        <f t="shared" si="1"/>
        <v/>
      </c>
      <c r="K32" s="52" t="str">
        <f>IF(D32&lt;&gt;"",IFERROR(IF(D32&lt;&gt;"",VLOOKUP(D32,'Beginner Adv 15M - Scoring'!$B:$BA,52,0),0),0)+IFERROR(IF(AND(OR($D$3="Double",$D$3="Team (3 archers)"),E32&lt;&gt;""),VLOOKUP(E32,'Beginner Adv 15M - Scoring'!$B:$BA,52,0),0),0)+IFERROR(IF(AND($D$3="Team (3 archers)",F32&lt;&gt;""),VLOOKUP(F32,'Beginner Adv 15M - Scoring'!$B:$BA,52,0),0),0),"")</f>
        <v/>
      </c>
      <c r="L32" s="53" t="s">
        <v>155</v>
      </c>
      <c r="M32" s="54" t="str">
        <f t="shared" si="2"/>
        <v/>
      </c>
      <c r="N32" s="55"/>
    </row>
    <row r="33" spans="1:14" ht="21.75" customHeight="1" x14ac:dyDescent="0.35">
      <c r="A33" s="46">
        <f>IF($D$3="Individual",IFERROR(VLOOKUP(D33,'Beginner Adv 15M - Scoring'!$B:$BB,53,0),99),IF(J33&lt;&gt;"",SUMPRODUCT((J$6:J$1000&gt;J33)*ISNUMBER(J$6:J$1000))+1+SUMPRODUCT((J$6:J$1000=J33)*(K$6:K$1000&gt;K33)*ISNUMBER(J$6:J$1000)*ISNUMBER(K$6:K$1000))+SUMPRODUCT((J$6:J$1000=J33)*(K$6:K$1000=K33)*(ROW(J$6:J$1000)&lt;33)*ISNUMBER(J$6:J$1000)),""))</f>
        <v>99</v>
      </c>
      <c r="B33" s="20" t="str">
        <f t="shared" si="0"/>
        <v/>
      </c>
      <c r="C33" s="47" t="str">
        <f>IFERROR(IF(D33&lt;&gt;"",VLOOKUP(D33,'Beginner Adv 15M - Scoring'!$B:$D,3,0),""),"")</f>
        <v/>
      </c>
      <c r="D33" s="48" t="str">
        <f>IF($D$4="By Club",IFERROR("",""),IF($D$3="Individual",IF(28&lt;=COUNTA('Beginner Adv 15M - Scoring'!$B$6:$B$1000),IFERROR(IF(ISNUMBER(MATCH(28,'Beginner Adv 15M - Scoring'!$BB:$BB,0)),IFERROR(INDEX('Beginner Adv 15M - Scoring'!$B:$B,MATCH(28,'Beginner Adv 15M - Scoring'!$BB:$BB,0)),""),""),""),""),IF($D$3="Double",IF(28&lt;=INT(COUNTA('Beginner Adv 15M - Scoring'!$B$6:$B$1000)/2),IFERROR(IF(ISNUMBER(MATCH(28,'Beginner Adv 15M - Scoring'!$BB:$BB,0)),IFERROR(INDEX('Beginner Adv 15M - Scoring'!$B:$B,MATCH(28,'Beginner Adv 15M - Scoring'!$BB:$BB,0)),""),""),""),""),IF(28&lt;=INT(COUNTA('Beginner Adv 15M - Scoring'!$B$6:$B$1000)/3),IFERROR(IF(ISNUMBER(MATCH(28,'Beginner Adv 15M - Scoring'!$BB:$BB,0)),IFERROR(INDEX('Beginner Adv 15M - Scoring'!$B:$B,MATCH(28,'Beginner Adv 15M - Scoring'!$BB:$BB,0)),""),""),""),""))))</f>
        <v/>
      </c>
      <c r="E33" s="49" t="str">
        <f>IF($D$3="Individual","",IF($D$4="By Club",IFERROR("",""),IF($D$3="Double",IF(28&lt;=INT(COUNTA('Beginner Adv 15M - Scoring'!$B$6:$B$1000)/2),IFERROR(IF(ISNUMBER(MATCH((COUNTA('Beginner Adv 15M - Scoring'!$B$6:$B$1000)-MOD(COUNTA('Beginner Adv 15M - Scoring'!$B$6:$B$1000),2))+1-28,'Beginner Adv 15M - Scoring'!$BB:$BB,0)),IFERROR(INDEX('Beginner Adv 15M - Scoring'!$B:$B,MATCH((COUNTA('Beginner Adv 15M - Scoring'!$B$6:$B$1000)-MOD(COUNTA('Beginner Adv 15M - Scoring'!$B$6:$B$1000),2))+1-28,'Beginner Adv 15M - Scoring'!$BB:$BB,0)),""),""),""),""),IF(28&lt;=INT(COUNTA('Beginner Adv 15M - Scoring'!$B$6:$B$1000)/3),IFERROR(IF(ISNUMBER(MATCH((COUNTA('Beginner Adv 15M - Scoring'!$B$6:$B$1000)-MOD(COUNTA('Beginner Adv 15M - Scoring'!$B$6:$B$1000),3))+1-28,'Beginner Adv 15M - Scoring'!$BB:$BB,0)),IFERROR(INDEX('Beginner Adv 15M - Scoring'!$B:$B,MATCH((COUNTA('Beginner Adv 15M - Scoring'!$B$6:$B$1000)-MOD(COUNTA('Beginner Adv 15M - Scoring'!$B$6:$B$1000),3))+1-28,'Beginner Adv 15M - Scoring'!$BB:$BB,0)),""),""),""),""))))</f>
        <v/>
      </c>
      <c r="F33" s="49" t="str">
        <f>IF($D$3&lt;&gt;"Team (3 archers)","",IF($D$4="By Club",IFERROR("",""),IF(28&lt;=INT(COUNTA('Beginner Adv 15M - Scoring'!$B$6:$B$1000)/3),IFERROR(IF(ISNUMBER(MATCH(INT((COUNTA('Beginner Adv 15M - Scoring'!$B$6:$B$1000)-MOD(COUNTA('Beginner Adv 15M - Scoring'!$B$6:$B$1000),3))/3)+28,'Beginner Adv 15M - Scoring'!$BB:$BB,0)),IFERROR(INDEX('Beginner Adv 15M - Scoring'!$B:$B,MATCH(INT((COUNTA('Beginner Adv 15M - Scoring'!$B$6:$B$1000)-MOD(COUNTA('Beginner Adv 15M - Scoring'!$B$6:$B$1000),3))/3)+28,'Beginner Adv 15M - Scoring'!$BB:$BB,0)),""),""),""),"")))</f>
        <v/>
      </c>
      <c r="G33" s="50">
        <f>IFERROR(IF(D33&lt;&gt;"",VLOOKUP(D33,'Beginner Adv 15M - Scoring'!$B:$AV,47,0),0),0)</f>
        <v>0</v>
      </c>
      <c r="H33" s="50">
        <f>IFERROR(IF(AND(OR($D$3="Double",$D$3="Team (3 archers)"),E33&lt;&gt;""),VLOOKUP(E33,'Beginner Adv 15M - Scoring'!$B:$AV,47,0),0),0)</f>
        <v>0</v>
      </c>
      <c r="I33" s="50">
        <f>IFERROR(IF(AND($D$3="Team (3 archers)",F33&lt;&gt;""),VLOOKUP(F33,'Beginner Adv 15M - Scoring'!$B:$AV,47,0),0),0)</f>
        <v>0</v>
      </c>
      <c r="J33" s="51" t="str">
        <f t="shared" si="1"/>
        <v/>
      </c>
      <c r="K33" s="52" t="str">
        <f>IF(D33&lt;&gt;"",IFERROR(IF(D33&lt;&gt;"",VLOOKUP(D33,'Beginner Adv 15M - Scoring'!$B:$BA,52,0),0),0)+IFERROR(IF(AND(OR($D$3="Double",$D$3="Team (3 archers)"),E33&lt;&gt;""),VLOOKUP(E33,'Beginner Adv 15M - Scoring'!$B:$BA,52,0),0),0)+IFERROR(IF(AND($D$3="Team (3 archers)",F33&lt;&gt;""),VLOOKUP(F33,'Beginner Adv 15M - Scoring'!$B:$BA,52,0),0),0),"")</f>
        <v/>
      </c>
      <c r="L33" s="40" t="s">
        <v>155</v>
      </c>
      <c r="M33" s="54" t="str">
        <f t="shared" si="2"/>
        <v/>
      </c>
      <c r="N33" s="55"/>
    </row>
    <row r="34" spans="1:14" ht="21.75" customHeight="1" x14ac:dyDescent="0.35">
      <c r="A34" s="46">
        <f>IF($D$3="Individual",IFERROR(VLOOKUP(D34,'Beginner Adv 15M - Scoring'!$B:$BB,53,0),99),IF(J34&lt;&gt;"",SUMPRODUCT((J$6:J$1000&gt;J34)*ISNUMBER(J$6:J$1000))+1+SUMPRODUCT((J$6:J$1000=J34)*(K$6:K$1000&gt;K34)*ISNUMBER(J$6:J$1000)*ISNUMBER(K$6:K$1000))+SUMPRODUCT((J$6:J$1000=J34)*(K$6:K$1000=K34)*(ROW(J$6:J$1000)&lt;34)*ISNUMBER(J$6:J$1000)),""))</f>
        <v>99</v>
      </c>
      <c r="B34" s="20" t="str">
        <f t="shared" si="0"/>
        <v/>
      </c>
      <c r="C34" s="47" t="str">
        <f>IFERROR(IF(D34&lt;&gt;"",VLOOKUP(D34,'Beginner Adv 15M - Scoring'!$B:$D,3,0),""),"")</f>
        <v/>
      </c>
      <c r="D34" s="48" t="str">
        <f>IF($D$4="By Club",IFERROR("",""),IF($D$3="Individual",IF(29&lt;=COUNTA('Beginner Adv 15M - Scoring'!$B$6:$B$1000),IFERROR(IF(ISNUMBER(MATCH(29,'Beginner Adv 15M - Scoring'!$BB:$BB,0)),IFERROR(INDEX('Beginner Adv 15M - Scoring'!$B:$B,MATCH(29,'Beginner Adv 15M - Scoring'!$BB:$BB,0)),""),""),""),""),IF($D$3="Double",IF(29&lt;=INT(COUNTA('Beginner Adv 15M - Scoring'!$B$6:$B$1000)/2),IFERROR(IF(ISNUMBER(MATCH(29,'Beginner Adv 15M - Scoring'!$BB:$BB,0)),IFERROR(INDEX('Beginner Adv 15M - Scoring'!$B:$B,MATCH(29,'Beginner Adv 15M - Scoring'!$BB:$BB,0)),""),""),""),""),IF(29&lt;=INT(COUNTA('Beginner Adv 15M - Scoring'!$B$6:$B$1000)/3),IFERROR(IF(ISNUMBER(MATCH(29,'Beginner Adv 15M - Scoring'!$BB:$BB,0)),IFERROR(INDEX('Beginner Adv 15M - Scoring'!$B:$B,MATCH(29,'Beginner Adv 15M - Scoring'!$BB:$BB,0)),""),""),""),""))))</f>
        <v/>
      </c>
      <c r="E34" s="49" t="str">
        <f>IF($D$3="Individual","",IF($D$4="By Club",IFERROR("",""),IF($D$3="Double",IF(29&lt;=INT(COUNTA('Beginner Adv 15M - Scoring'!$B$6:$B$1000)/2),IFERROR(IF(ISNUMBER(MATCH((COUNTA('Beginner Adv 15M - Scoring'!$B$6:$B$1000)-MOD(COUNTA('Beginner Adv 15M - Scoring'!$B$6:$B$1000),2))+1-29,'Beginner Adv 15M - Scoring'!$BB:$BB,0)),IFERROR(INDEX('Beginner Adv 15M - Scoring'!$B:$B,MATCH((COUNTA('Beginner Adv 15M - Scoring'!$B$6:$B$1000)-MOD(COUNTA('Beginner Adv 15M - Scoring'!$B$6:$B$1000),2))+1-29,'Beginner Adv 15M - Scoring'!$BB:$BB,0)),""),""),""),""),IF(29&lt;=INT(COUNTA('Beginner Adv 15M - Scoring'!$B$6:$B$1000)/3),IFERROR(IF(ISNUMBER(MATCH((COUNTA('Beginner Adv 15M - Scoring'!$B$6:$B$1000)-MOD(COUNTA('Beginner Adv 15M - Scoring'!$B$6:$B$1000),3))+1-29,'Beginner Adv 15M - Scoring'!$BB:$BB,0)),IFERROR(INDEX('Beginner Adv 15M - Scoring'!$B:$B,MATCH((COUNTA('Beginner Adv 15M - Scoring'!$B$6:$B$1000)-MOD(COUNTA('Beginner Adv 15M - Scoring'!$B$6:$B$1000),3))+1-29,'Beginner Adv 15M - Scoring'!$BB:$BB,0)),""),""),""),""))))</f>
        <v/>
      </c>
      <c r="F34" s="49" t="str">
        <f>IF($D$3&lt;&gt;"Team (3 archers)","",IF($D$4="By Club",IFERROR("",""),IF(29&lt;=INT(COUNTA('Beginner Adv 15M - Scoring'!$B$6:$B$1000)/3),IFERROR(IF(ISNUMBER(MATCH(INT((COUNTA('Beginner Adv 15M - Scoring'!$B$6:$B$1000)-MOD(COUNTA('Beginner Adv 15M - Scoring'!$B$6:$B$1000),3))/3)+29,'Beginner Adv 15M - Scoring'!$BB:$BB,0)),IFERROR(INDEX('Beginner Adv 15M - Scoring'!$B:$B,MATCH(INT((COUNTA('Beginner Adv 15M - Scoring'!$B$6:$B$1000)-MOD(COUNTA('Beginner Adv 15M - Scoring'!$B$6:$B$1000),3))/3)+29,'Beginner Adv 15M - Scoring'!$BB:$BB,0)),""),""),""),"")))</f>
        <v/>
      </c>
      <c r="G34" s="50">
        <f>IFERROR(IF(D34&lt;&gt;"",VLOOKUP(D34,'Beginner Adv 15M - Scoring'!$B:$AV,47,0),0),0)</f>
        <v>0</v>
      </c>
      <c r="H34" s="50">
        <f>IFERROR(IF(AND(OR($D$3="Double",$D$3="Team (3 archers)"),E34&lt;&gt;""),VLOOKUP(E34,'Beginner Adv 15M - Scoring'!$B:$AV,47,0),0),0)</f>
        <v>0</v>
      </c>
      <c r="I34" s="50">
        <f>IFERROR(IF(AND($D$3="Team (3 archers)",F34&lt;&gt;""),VLOOKUP(F34,'Beginner Adv 15M - Scoring'!$B:$AV,47,0),0),0)</f>
        <v>0</v>
      </c>
      <c r="J34" s="51" t="str">
        <f t="shared" si="1"/>
        <v/>
      </c>
      <c r="K34" s="52" t="str">
        <f>IF(D34&lt;&gt;"",IFERROR(IF(D34&lt;&gt;"",VLOOKUP(D34,'Beginner Adv 15M - Scoring'!$B:$BA,52,0),0),0)+IFERROR(IF(AND(OR($D$3="Double",$D$3="Team (3 archers)"),E34&lt;&gt;""),VLOOKUP(E34,'Beginner Adv 15M - Scoring'!$B:$BA,52,0),0),0)+IFERROR(IF(AND($D$3="Team (3 archers)",F34&lt;&gt;""),VLOOKUP(F34,'Beginner Adv 15M - Scoring'!$B:$BA,52,0),0),0),"")</f>
        <v/>
      </c>
      <c r="L34" s="53" t="s">
        <v>155</v>
      </c>
      <c r="M34" s="54" t="str">
        <f t="shared" si="2"/>
        <v/>
      </c>
      <c r="N34" s="55"/>
    </row>
    <row r="35" spans="1:14" ht="21.75" customHeight="1" x14ac:dyDescent="0.35">
      <c r="A35" s="46">
        <f>IF($D$3="Individual",IFERROR(VLOOKUP(D35,'Beginner Adv 15M - Scoring'!$B:$BB,53,0),99),IF(J35&lt;&gt;"",SUMPRODUCT((J$6:J$1000&gt;J35)*ISNUMBER(J$6:J$1000))+1+SUMPRODUCT((J$6:J$1000=J35)*(K$6:K$1000&gt;K35)*ISNUMBER(J$6:J$1000)*ISNUMBER(K$6:K$1000))+SUMPRODUCT((J$6:J$1000=J35)*(K$6:K$1000=K35)*(ROW(J$6:J$1000)&lt;35)*ISNUMBER(J$6:J$1000)),""))</f>
        <v>99</v>
      </c>
      <c r="B35" s="20" t="str">
        <f t="shared" si="0"/>
        <v/>
      </c>
      <c r="C35" s="47" t="str">
        <f>IFERROR(IF(D35&lt;&gt;"",VLOOKUP(D35,'Beginner Adv 15M - Scoring'!$B:$D,3,0),""),"")</f>
        <v/>
      </c>
      <c r="D35" s="48" t="str">
        <f>IF($D$4="By Club",IFERROR("",""),IF($D$3="Individual",IF(30&lt;=COUNTA('Beginner Adv 15M - Scoring'!$B$6:$B$1000),IFERROR(IF(ISNUMBER(MATCH(30,'Beginner Adv 15M - Scoring'!$BB:$BB,0)),IFERROR(INDEX('Beginner Adv 15M - Scoring'!$B:$B,MATCH(30,'Beginner Adv 15M - Scoring'!$BB:$BB,0)),""),""),""),""),IF($D$3="Double",IF(30&lt;=INT(COUNTA('Beginner Adv 15M - Scoring'!$B$6:$B$1000)/2),IFERROR(IF(ISNUMBER(MATCH(30,'Beginner Adv 15M - Scoring'!$BB:$BB,0)),IFERROR(INDEX('Beginner Adv 15M - Scoring'!$B:$B,MATCH(30,'Beginner Adv 15M - Scoring'!$BB:$BB,0)),""),""),""),""),IF(30&lt;=INT(COUNTA('Beginner Adv 15M - Scoring'!$B$6:$B$1000)/3),IFERROR(IF(ISNUMBER(MATCH(30,'Beginner Adv 15M - Scoring'!$BB:$BB,0)),IFERROR(INDEX('Beginner Adv 15M - Scoring'!$B:$B,MATCH(30,'Beginner Adv 15M - Scoring'!$BB:$BB,0)),""),""),""),""))))</f>
        <v/>
      </c>
      <c r="E35" s="49" t="str">
        <f>IF($D$3="Individual","",IF($D$4="By Club",IFERROR("",""),IF($D$3="Double",IF(30&lt;=INT(COUNTA('Beginner Adv 15M - Scoring'!$B$6:$B$1000)/2),IFERROR(IF(ISNUMBER(MATCH((COUNTA('Beginner Adv 15M - Scoring'!$B$6:$B$1000)-MOD(COUNTA('Beginner Adv 15M - Scoring'!$B$6:$B$1000),2))+1-30,'Beginner Adv 15M - Scoring'!$BB:$BB,0)),IFERROR(INDEX('Beginner Adv 15M - Scoring'!$B:$B,MATCH((COUNTA('Beginner Adv 15M - Scoring'!$B$6:$B$1000)-MOD(COUNTA('Beginner Adv 15M - Scoring'!$B$6:$B$1000),2))+1-30,'Beginner Adv 15M - Scoring'!$BB:$BB,0)),""),""),""),""),IF(30&lt;=INT(COUNTA('Beginner Adv 15M - Scoring'!$B$6:$B$1000)/3),IFERROR(IF(ISNUMBER(MATCH((COUNTA('Beginner Adv 15M - Scoring'!$B$6:$B$1000)-MOD(COUNTA('Beginner Adv 15M - Scoring'!$B$6:$B$1000),3))+1-30,'Beginner Adv 15M - Scoring'!$BB:$BB,0)),IFERROR(INDEX('Beginner Adv 15M - Scoring'!$B:$B,MATCH((COUNTA('Beginner Adv 15M - Scoring'!$B$6:$B$1000)-MOD(COUNTA('Beginner Adv 15M - Scoring'!$B$6:$B$1000),3))+1-30,'Beginner Adv 15M - Scoring'!$BB:$BB,0)),""),""),""),""))))</f>
        <v/>
      </c>
      <c r="F35" s="49" t="str">
        <f>IF($D$3&lt;&gt;"Team (3 archers)","",IF($D$4="By Club",IFERROR("",""),IF(30&lt;=INT(COUNTA('Beginner Adv 15M - Scoring'!$B$6:$B$1000)/3),IFERROR(IF(ISNUMBER(MATCH(INT((COUNTA('Beginner Adv 15M - Scoring'!$B$6:$B$1000)-MOD(COUNTA('Beginner Adv 15M - Scoring'!$B$6:$B$1000),3))/3)+30,'Beginner Adv 15M - Scoring'!$BB:$BB,0)),IFERROR(INDEX('Beginner Adv 15M - Scoring'!$B:$B,MATCH(INT((COUNTA('Beginner Adv 15M - Scoring'!$B$6:$B$1000)-MOD(COUNTA('Beginner Adv 15M - Scoring'!$B$6:$B$1000),3))/3)+30,'Beginner Adv 15M - Scoring'!$BB:$BB,0)),""),""),""),"")))</f>
        <v/>
      </c>
      <c r="G35" s="50">
        <f>IFERROR(IF(D35&lt;&gt;"",VLOOKUP(D35,'Beginner Adv 15M - Scoring'!$B:$AV,47,0),0),0)</f>
        <v>0</v>
      </c>
      <c r="H35" s="50">
        <f>IFERROR(IF(AND(OR($D$3="Double",$D$3="Team (3 archers)"),E35&lt;&gt;""),VLOOKUP(E35,'Beginner Adv 15M - Scoring'!$B:$AV,47,0),0),0)</f>
        <v>0</v>
      </c>
      <c r="I35" s="50">
        <f>IFERROR(IF(AND($D$3="Team (3 archers)",F35&lt;&gt;""),VLOOKUP(F35,'Beginner Adv 15M - Scoring'!$B:$AV,47,0),0),0)</f>
        <v>0</v>
      </c>
      <c r="J35" s="51" t="str">
        <f t="shared" si="1"/>
        <v/>
      </c>
      <c r="K35" s="52" t="str">
        <f>IF(D35&lt;&gt;"",IFERROR(IF(D35&lt;&gt;"",VLOOKUP(D35,'Beginner Adv 15M - Scoring'!$B:$BA,52,0),0),0)+IFERROR(IF(AND(OR($D$3="Double",$D$3="Team (3 archers)"),E35&lt;&gt;""),VLOOKUP(E35,'Beginner Adv 15M - Scoring'!$B:$BA,52,0),0),0)+IFERROR(IF(AND($D$3="Team (3 archers)",F35&lt;&gt;""),VLOOKUP(F35,'Beginner Adv 15M - Scoring'!$B:$BA,52,0),0),0),"")</f>
        <v/>
      </c>
      <c r="L35" s="40" t="s">
        <v>155</v>
      </c>
      <c r="M35" s="54" t="str">
        <f t="shared" si="2"/>
        <v/>
      </c>
      <c r="N35" s="55"/>
    </row>
    <row r="36" spans="1:14" ht="21.75" customHeight="1" x14ac:dyDescent="0.35">
      <c r="A36" s="46">
        <f>IF($D$3="Individual",IFERROR(VLOOKUP(D36,'Beginner Adv 15M - Scoring'!$B:$BB,53,0),99),IF(J36&lt;&gt;"",SUMPRODUCT((J$6:J$1000&gt;J36)*ISNUMBER(J$6:J$1000))+1+SUMPRODUCT((J$6:J$1000=J36)*(K$6:K$1000&gt;K36)*ISNUMBER(J$6:J$1000)*ISNUMBER(K$6:K$1000))+SUMPRODUCT((J$6:J$1000=J36)*(K$6:K$1000=K36)*(ROW(J$6:J$1000)&lt;36)*ISNUMBER(J$6:J$1000)),""))</f>
        <v>99</v>
      </c>
      <c r="B36" s="20" t="str">
        <f t="shared" si="0"/>
        <v/>
      </c>
      <c r="C36" s="47" t="str">
        <f>IFERROR(IF(D36&lt;&gt;"",VLOOKUP(D36,'Beginner Adv 15M - Scoring'!$B:$D,3,0),""),"")</f>
        <v/>
      </c>
      <c r="D36" s="48" t="str">
        <f>IF($D$4="By Club",IFERROR("",""),IF($D$3="Individual",IF(31&lt;=COUNTA('Beginner Adv 15M - Scoring'!$B$6:$B$1000),IFERROR(IF(ISNUMBER(MATCH(31,'Beginner Adv 15M - Scoring'!$BB:$BB,0)),IFERROR(INDEX('Beginner Adv 15M - Scoring'!$B:$B,MATCH(31,'Beginner Adv 15M - Scoring'!$BB:$BB,0)),""),""),""),""),IF($D$3="Double",IF(31&lt;=INT(COUNTA('Beginner Adv 15M - Scoring'!$B$6:$B$1000)/2),IFERROR(IF(ISNUMBER(MATCH(31,'Beginner Adv 15M - Scoring'!$BB:$BB,0)),IFERROR(INDEX('Beginner Adv 15M - Scoring'!$B:$B,MATCH(31,'Beginner Adv 15M - Scoring'!$BB:$BB,0)),""),""),""),""),IF(31&lt;=INT(COUNTA('Beginner Adv 15M - Scoring'!$B$6:$B$1000)/3),IFERROR(IF(ISNUMBER(MATCH(31,'Beginner Adv 15M - Scoring'!$BB:$BB,0)),IFERROR(INDEX('Beginner Adv 15M - Scoring'!$B:$B,MATCH(31,'Beginner Adv 15M - Scoring'!$BB:$BB,0)),""),""),""),""))))</f>
        <v/>
      </c>
      <c r="E36" s="49" t="str">
        <f>IF($D$3="Individual","",IF($D$4="By Club",IFERROR("",""),IF($D$3="Double",IF(31&lt;=INT(COUNTA('Beginner Adv 15M - Scoring'!$B$6:$B$1000)/2),IFERROR(IF(ISNUMBER(MATCH((COUNTA('Beginner Adv 15M - Scoring'!$B$6:$B$1000)-MOD(COUNTA('Beginner Adv 15M - Scoring'!$B$6:$B$1000),2))+1-31,'Beginner Adv 15M - Scoring'!$BB:$BB,0)),IFERROR(INDEX('Beginner Adv 15M - Scoring'!$B:$B,MATCH((COUNTA('Beginner Adv 15M - Scoring'!$B$6:$B$1000)-MOD(COUNTA('Beginner Adv 15M - Scoring'!$B$6:$B$1000),2))+1-31,'Beginner Adv 15M - Scoring'!$BB:$BB,0)),""),""),""),""),IF(31&lt;=INT(COUNTA('Beginner Adv 15M - Scoring'!$B$6:$B$1000)/3),IFERROR(IF(ISNUMBER(MATCH((COUNTA('Beginner Adv 15M - Scoring'!$B$6:$B$1000)-MOD(COUNTA('Beginner Adv 15M - Scoring'!$B$6:$B$1000),3))+1-31,'Beginner Adv 15M - Scoring'!$BB:$BB,0)),IFERROR(INDEX('Beginner Adv 15M - Scoring'!$B:$B,MATCH((COUNTA('Beginner Adv 15M - Scoring'!$B$6:$B$1000)-MOD(COUNTA('Beginner Adv 15M - Scoring'!$B$6:$B$1000),3))+1-31,'Beginner Adv 15M - Scoring'!$BB:$BB,0)),""),""),""),""))))</f>
        <v/>
      </c>
      <c r="F36" s="49" t="str">
        <f>IF($D$3&lt;&gt;"Team (3 archers)","",IF($D$4="By Club",IFERROR("",""),IF(31&lt;=INT(COUNTA('Beginner Adv 15M - Scoring'!$B$6:$B$1000)/3),IFERROR(IF(ISNUMBER(MATCH(INT((COUNTA('Beginner Adv 15M - Scoring'!$B$6:$B$1000)-MOD(COUNTA('Beginner Adv 15M - Scoring'!$B$6:$B$1000),3))/3)+31,'Beginner Adv 15M - Scoring'!$BB:$BB,0)),IFERROR(INDEX('Beginner Adv 15M - Scoring'!$B:$B,MATCH(INT((COUNTA('Beginner Adv 15M - Scoring'!$B$6:$B$1000)-MOD(COUNTA('Beginner Adv 15M - Scoring'!$B$6:$B$1000),3))/3)+31,'Beginner Adv 15M - Scoring'!$BB:$BB,0)),""),""),""),"")))</f>
        <v/>
      </c>
      <c r="G36" s="50">
        <f>IFERROR(IF(D36&lt;&gt;"",VLOOKUP(D36,'Beginner Adv 15M - Scoring'!$B:$AV,47,0),0),0)</f>
        <v>0</v>
      </c>
      <c r="H36" s="50">
        <f>IFERROR(IF(AND(OR($D$3="Double",$D$3="Team (3 archers)"),E36&lt;&gt;""),VLOOKUP(E36,'Beginner Adv 15M - Scoring'!$B:$AV,47,0),0),0)</f>
        <v>0</v>
      </c>
      <c r="I36" s="50">
        <f>IFERROR(IF(AND($D$3="Team (3 archers)",F36&lt;&gt;""),VLOOKUP(F36,'Beginner Adv 15M - Scoring'!$B:$AV,47,0),0),0)</f>
        <v>0</v>
      </c>
      <c r="J36" s="51" t="str">
        <f t="shared" si="1"/>
        <v/>
      </c>
      <c r="K36" s="52" t="str">
        <f>IF(D36&lt;&gt;"",IFERROR(IF(D36&lt;&gt;"",VLOOKUP(D36,'Beginner Adv 15M - Scoring'!$B:$BA,52,0),0),0)+IFERROR(IF(AND(OR($D$3="Double",$D$3="Team (3 archers)"),E36&lt;&gt;""),VLOOKUP(E36,'Beginner Adv 15M - Scoring'!$B:$BA,52,0),0),0)+IFERROR(IF(AND($D$3="Team (3 archers)",F36&lt;&gt;""),VLOOKUP(F36,'Beginner Adv 15M - Scoring'!$B:$BA,52,0),0),0),"")</f>
        <v/>
      </c>
      <c r="L36" s="53" t="s">
        <v>155</v>
      </c>
      <c r="M36" s="54" t="str">
        <f t="shared" si="2"/>
        <v/>
      </c>
      <c r="N36" s="55"/>
    </row>
    <row r="37" spans="1:14" ht="21.75" customHeight="1" x14ac:dyDescent="0.35">
      <c r="A37" s="46">
        <f>IF($D$3="Individual",IFERROR(VLOOKUP(D37,'Beginner Adv 15M - Scoring'!$B:$BB,53,0),99),IF(J37&lt;&gt;"",SUMPRODUCT((J$6:J$1000&gt;J37)*ISNUMBER(J$6:J$1000))+1+SUMPRODUCT((J$6:J$1000=J37)*(K$6:K$1000&gt;K37)*ISNUMBER(J$6:J$1000)*ISNUMBER(K$6:K$1000))+SUMPRODUCT((J$6:J$1000=J37)*(K$6:K$1000=K37)*(ROW(J$6:J$1000)&lt;37)*ISNUMBER(J$6:J$1000)),""))</f>
        <v>99</v>
      </c>
      <c r="B37" s="20" t="str">
        <f t="shared" si="0"/>
        <v/>
      </c>
      <c r="C37" s="47" t="str">
        <f>IFERROR(IF(D37&lt;&gt;"",VLOOKUP(D37,'Beginner Adv 15M - Scoring'!$B:$D,3,0),""),"")</f>
        <v/>
      </c>
      <c r="D37" s="48" t="str">
        <f>IF($D$4="By Club",IFERROR("",""),IF($D$3="Individual",IF(32&lt;=COUNTA('Beginner Adv 15M - Scoring'!$B$6:$B$1000),IFERROR(IF(ISNUMBER(MATCH(32,'Beginner Adv 15M - Scoring'!$BB:$BB,0)),IFERROR(INDEX('Beginner Adv 15M - Scoring'!$B:$B,MATCH(32,'Beginner Adv 15M - Scoring'!$BB:$BB,0)),""),""),""),""),IF($D$3="Double",IF(32&lt;=INT(COUNTA('Beginner Adv 15M - Scoring'!$B$6:$B$1000)/2),IFERROR(IF(ISNUMBER(MATCH(32,'Beginner Adv 15M - Scoring'!$BB:$BB,0)),IFERROR(INDEX('Beginner Adv 15M - Scoring'!$B:$B,MATCH(32,'Beginner Adv 15M - Scoring'!$BB:$BB,0)),""),""),""),""),IF(32&lt;=INT(COUNTA('Beginner Adv 15M - Scoring'!$B$6:$B$1000)/3),IFERROR(IF(ISNUMBER(MATCH(32,'Beginner Adv 15M - Scoring'!$BB:$BB,0)),IFERROR(INDEX('Beginner Adv 15M - Scoring'!$B:$B,MATCH(32,'Beginner Adv 15M - Scoring'!$BB:$BB,0)),""),""),""),""))))</f>
        <v/>
      </c>
      <c r="E37" s="49" t="str">
        <f>IF($D$3="Individual","",IF($D$4="By Club",IFERROR("",""),IF($D$3="Double",IF(32&lt;=INT(COUNTA('Beginner Adv 15M - Scoring'!$B$6:$B$1000)/2),IFERROR(IF(ISNUMBER(MATCH((COUNTA('Beginner Adv 15M - Scoring'!$B$6:$B$1000)-MOD(COUNTA('Beginner Adv 15M - Scoring'!$B$6:$B$1000),2))+1-32,'Beginner Adv 15M - Scoring'!$BB:$BB,0)),IFERROR(INDEX('Beginner Adv 15M - Scoring'!$B:$B,MATCH((COUNTA('Beginner Adv 15M - Scoring'!$B$6:$B$1000)-MOD(COUNTA('Beginner Adv 15M - Scoring'!$B$6:$B$1000),2))+1-32,'Beginner Adv 15M - Scoring'!$BB:$BB,0)),""),""),""),""),IF(32&lt;=INT(COUNTA('Beginner Adv 15M - Scoring'!$B$6:$B$1000)/3),IFERROR(IF(ISNUMBER(MATCH((COUNTA('Beginner Adv 15M - Scoring'!$B$6:$B$1000)-MOD(COUNTA('Beginner Adv 15M - Scoring'!$B$6:$B$1000),3))+1-32,'Beginner Adv 15M - Scoring'!$BB:$BB,0)),IFERROR(INDEX('Beginner Adv 15M - Scoring'!$B:$B,MATCH((COUNTA('Beginner Adv 15M - Scoring'!$B$6:$B$1000)-MOD(COUNTA('Beginner Adv 15M - Scoring'!$B$6:$B$1000),3))+1-32,'Beginner Adv 15M - Scoring'!$BB:$BB,0)),""),""),""),""))))</f>
        <v/>
      </c>
      <c r="F37" s="49" t="str">
        <f>IF($D$3&lt;&gt;"Team (3 archers)","",IF($D$4="By Club",IFERROR("",""),IF(32&lt;=INT(COUNTA('Beginner Adv 15M - Scoring'!$B$6:$B$1000)/3),IFERROR(IF(ISNUMBER(MATCH(INT((COUNTA('Beginner Adv 15M - Scoring'!$B$6:$B$1000)-MOD(COUNTA('Beginner Adv 15M - Scoring'!$B$6:$B$1000),3))/3)+32,'Beginner Adv 15M - Scoring'!$BB:$BB,0)),IFERROR(INDEX('Beginner Adv 15M - Scoring'!$B:$B,MATCH(INT((COUNTA('Beginner Adv 15M - Scoring'!$B$6:$B$1000)-MOD(COUNTA('Beginner Adv 15M - Scoring'!$B$6:$B$1000),3))/3)+32,'Beginner Adv 15M - Scoring'!$BB:$BB,0)),""),""),""),"")))</f>
        <v/>
      </c>
      <c r="G37" s="50">
        <f>IFERROR(IF(D37&lt;&gt;"",VLOOKUP(D37,'Beginner Adv 15M - Scoring'!$B:$AV,47,0),0),0)</f>
        <v>0</v>
      </c>
      <c r="H37" s="50">
        <f>IFERROR(IF(AND(OR($D$3="Double",$D$3="Team (3 archers)"),E37&lt;&gt;""),VLOOKUP(E37,'Beginner Adv 15M - Scoring'!$B:$AV,47,0),0),0)</f>
        <v>0</v>
      </c>
      <c r="I37" s="50">
        <f>IFERROR(IF(AND($D$3="Team (3 archers)",F37&lt;&gt;""),VLOOKUP(F37,'Beginner Adv 15M - Scoring'!$B:$AV,47,0),0),0)</f>
        <v>0</v>
      </c>
      <c r="J37" s="51" t="str">
        <f t="shared" si="1"/>
        <v/>
      </c>
      <c r="K37" s="52" t="str">
        <f>IF(D37&lt;&gt;"",IFERROR(IF(D37&lt;&gt;"",VLOOKUP(D37,'Beginner Adv 15M - Scoring'!$B:$BA,52,0),0),0)+IFERROR(IF(AND(OR($D$3="Double",$D$3="Team (3 archers)"),E37&lt;&gt;""),VLOOKUP(E37,'Beginner Adv 15M - Scoring'!$B:$BA,52,0),0),0)+IFERROR(IF(AND($D$3="Team (3 archers)",F37&lt;&gt;""),VLOOKUP(F37,'Beginner Adv 15M - Scoring'!$B:$BA,52,0),0),0),"")</f>
        <v/>
      </c>
      <c r="L37" s="40" t="s">
        <v>155</v>
      </c>
      <c r="M37" s="54" t="str">
        <f t="shared" si="2"/>
        <v/>
      </c>
      <c r="N37" s="55"/>
    </row>
    <row r="39" spans="1:14" ht="22.4" customHeight="1" x14ac:dyDescent="0.35">
      <c r="A39" s="4" t="s">
        <v>156</v>
      </c>
      <c r="B39" s="4"/>
      <c r="C39" s="4"/>
      <c r="D39" s="4"/>
      <c r="E39" s="4"/>
      <c r="F39" s="4"/>
      <c r="G39" s="4"/>
      <c r="H39" s="4"/>
      <c r="I39" s="4"/>
      <c r="J39" s="4"/>
      <c r="K39" s="4"/>
      <c r="L39" s="4"/>
      <c r="M39" s="4"/>
      <c r="N39" s="4"/>
    </row>
  </sheetData>
  <mergeCells count="7">
    <mergeCell ref="A39:N39"/>
    <mergeCell ref="A1:N1"/>
    <mergeCell ref="A2:N2"/>
    <mergeCell ref="A3:C3"/>
    <mergeCell ref="E3:N3"/>
    <mergeCell ref="A4:C4"/>
    <mergeCell ref="E4:N4"/>
  </mergeCells>
  <dataValidations count="3">
    <dataValidation type="list" sqref="D3" xr:uid="{00000000-0002-0000-0800-000000000000}">
      <formula1>"Individual,Double,Team (3 archers)"</formula1>
      <formula2>0</formula2>
    </dataValidation>
    <dataValidation type="list" sqref="D4" xr:uid="{00000000-0002-0000-0800-000001000000}">
      <formula1>"Custom (by rank),By Club"</formula1>
      <formula2>0</formula2>
    </dataValidation>
    <dataValidation type="list" sqref="L6:L37" xr:uid="{00000000-0002-0000-0800-000002000000}">
      <formula1>"No,Yes"</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62828"/>
  </sheetPr>
  <dimension ref="A1:IC48"/>
  <sheetViews>
    <sheetView zoomScaleNormal="100" workbookViewId="0"/>
  </sheetViews>
  <sheetFormatPr defaultColWidth="8.6328125" defaultRowHeight="14.5" x14ac:dyDescent="0.35"/>
  <cols>
    <col min="1" max="1" width="4" customWidth="1"/>
    <col min="2" max="4" width="6" customWidth="1"/>
    <col min="5" max="7" width="3" customWidth="1"/>
    <col min="8" max="13" width="2.26953125" customWidth="1"/>
    <col min="14" max="14" width="5" customWidth="1"/>
    <col min="15" max="20" width="2.26953125" customWidth="1"/>
    <col min="21" max="21" width="5" customWidth="1"/>
    <col min="22" max="27" width="2.26953125" customWidth="1"/>
    <col min="28" max="28" width="5" customWidth="1"/>
    <col min="29" max="34" width="2.26953125" customWidth="1"/>
    <col min="35" max="35" width="5" customWidth="1"/>
    <col min="36" max="41" width="2.26953125" customWidth="1"/>
    <col min="42" max="42" width="5" customWidth="1"/>
    <col min="43" max="48" width="2.26953125" customWidth="1"/>
    <col min="49" max="50" width="5" customWidth="1"/>
    <col min="51" max="51" width="4" customWidth="1"/>
    <col min="52" max="52" width="5" customWidth="1"/>
    <col min="53" max="53" width="8" customWidth="1"/>
    <col min="54" max="54" width="2" customWidth="1"/>
    <col min="55" max="55" width="11.54296875" hidden="1" customWidth="1"/>
    <col min="56" max="56" width="4" customWidth="1"/>
    <col min="57" max="59" width="6" customWidth="1"/>
    <col min="60" max="62" width="3" customWidth="1"/>
    <col min="63" max="68" width="2.26953125" customWidth="1"/>
    <col min="69" max="69" width="5" customWidth="1"/>
    <col min="70" max="75" width="2.26953125" customWidth="1"/>
    <col min="76" max="76" width="5" customWidth="1"/>
    <col min="77" max="82" width="2.26953125" customWidth="1"/>
    <col min="83" max="83" width="5" customWidth="1"/>
    <col min="84" max="89" width="2.26953125" customWidth="1"/>
    <col min="90" max="90" width="5" customWidth="1"/>
    <col min="91" max="96" width="2.26953125" customWidth="1"/>
    <col min="97" max="97" width="5" customWidth="1"/>
    <col min="98" max="103" width="2.26953125" customWidth="1"/>
    <col min="104" max="105" width="5" customWidth="1"/>
    <col min="106" max="106" width="4" customWidth="1"/>
    <col min="107" max="107" width="5" customWidth="1"/>
    <col min="108" max="108" width="8" customWidth="1"/>
    <col min="109" max="109" width="2" customWidth="1"/>
    <col min="110" max="110" width="11.54296875" hidden="1" customWidth="1"/>
    <col min="111" max="111" width="4" customWidth="1"/>
    <col min="112" max="114" width="6" customWidth="1"/>
    <col min="115" max="117" width="3" customWidth="1"/>
    <col min="118" max="123" width="2.26953125" customWidth="1"/>
    <col min="124" max="124" width="5" customWidth="1"/>
    <col min="125" max="130" width="2.26953125" customWidth="1"/>
    <col min="131" max="131" width="5" customWidth="1"/>
    <col min="132" max="137" width="2.26953125" customWidth="1"/>
    <col min="138" max="138" width="5" customWidth="1"/>
    <col min="139" max="144" width="2.26953125" customWidth="1"/>
    <col min="145" max="145" width="5" customWidth="1"/>
    <col min="146" max="151" width="2.26953125" customWidth="1"/>
    <col min="152" max="152" width="5" customWidth="1"/>
    <col min="153" max="158" width="2.26953125" customWidth="1"/>
    <col min="159" max="160" width="5" customWidth="1"/>
    <col min="161" max="161" width="4" customWidth="1"/>
    <col min="162" max="162" width="5" customWidth="1"/>
    <col min="163" max="163" width="8" customWidth="1"/>
    <col min="164" max="164" width="2" customWidth="1"/>
    <col min="165" max="165" width="11.54296875" hidden="1" customWidth="1"/>
    <col min="166" max="166" width="4" customWidth="1"/>
    <col min="167" max="169" width="6" customWidth="1"/>
    <col min="170" max="172" width="3" customWidth="1"/>
    <col min="173" max="178" width="2.26953125" customWidth="1"/>
    <col min="179" max="179" width="5" customWidth="1"/>
    <col min="180" max="185" width="2.26953125" customWidth="1"/>
    <col min="186" max="186" width="5" customWidth="1"/>
    <col min="187" max="192" width="2.26953125" customWidth="1"/>
    <col min="193" max="193" width="5" customWidth="1"/>
    <col min="194" max="199" width="2.26953125" customWidth="1"/>
    <col min="200" max="200" width="5" customWidth="1"/>
    <col min="201" max="206" width="2.26953125" customWidth="1"/>
    <col min="207" max="207" width="5" customWidth="1"/>
    <col min="208" max="213" width="2.26953125" customWidth="1"/>
    <col min="214" max="215" width="5" customWidth="1"/>
    <col min="216" max="216" width="4" customWidth="1"/>
    <col min="217" max="217" width="5" customWidth="1"/>
    <col min="218" max="218" width="8" customWidth="1"/>
    <col min="219" max="219" width="2" customWidth="1"/>
    <col min="220" max="220" width="11.54296875" hidden="1" customWidth="1"/>
    <col min="221" max="236" width="7" customWidth="1"/>
  </cols>
  <sheetData>
    <row r="1" spans="1:237" ht="19.5" customHeight="1" x14ac:dyDescent="0.35">
      <c r="A1" s="3" t="s">
        <v>256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row>
    <row r="2" spans="1:237" ht="13.5" customHeight="1" x14ac:dyDescent="0.35">
      <c r="A2" s="56">
        <v>3</v>
      </c>
      <c r="B2" s="56">
        <v>6</v>
      </c>
      <c r="C2" s="2" t="s">
        <v>158</v>
      </c>
      <c r="D2" s="2"/>
      <c r="E2" s="2"/>
      <c r="F2" s="2"/>
      <c r="G2" s="2"/>
      <c r="H2" s="2"/>
      <c r="I2" s="2"/>
      <c r="J2" s="2"/>
      <c r="K2" s="1" t="s">
        <v>159</v>
      </c>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row>
    <row r="3" spans="1:237" ht="13.5" customHeight="1" x14ac:dyDescent="0.35">
      <c r="A3" s="95" t="s">
        <v>160</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6" t="s">
        <v>161</v>
      </c>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t="s">
        <v>162</v>
      </c>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7" t="s">
        <v>163</v>
      </c>
      <c r="FK3" s="97"/>
      <c r="FL3" s="97"/>
      <c r="FM3" s="97"/>
      <c r="FN3" s="97"/>
      <c r="FO3" s="97"/>
      <c r="FP3" s="97"/>
      <c r="FQ3" s="97"/>
      <c r="FR3" s="97"/>
      <c r="FS3" s="97"/>
      <c r="FT3" s="97"/>
      <c r="FU3" s="97"/>
      <c r="FV3" s="97"/>
      <c r="FW3" s="97"/>
      <c r="FX3" s="97"/>
      <c r="FY3" s="97"/>
      <c r="FZ3" s="97"/>
      <c r="GA3" s="97"/>
      <c r="GB3" s="97"/>
      <c r="GC3" s="97"/>
      <c r="GD3" s="97"/>
      <c r="GE3" s="97"/>
      <c r="GF3" s="97"/>
      <c r="GG3" s="97"/>
      <c r="GH3" s="97"/>
      <c r="GI3" s="97"/>
      <c r="GJ3" s="97"/>
      <c r="GK3" s="97"/>
      <c r="GL3" s="97"/>
      <c r="GM3" s="97"/>
      <c r="GN3" s="97"/>
      <c r="GO3" s="97"/>
      <c r="GP3" s="97"/>
      <c r="GQ3" s="97"/>
      <c r="GR3" s="97"/>
      <c r="GS3" s="97"/>
      <c r="GT3" s="97"/>
      <c r="GU3" s="97"/>
      <c r="GV3" s="97"/>
      <c r="GW3" s="97"/>
      <c r="GX3" s="97"/>
      <c r="GY3" s="97"/>
      <c r="GZ3" s="97"/>
      <c r="HA3" s="97"/>
      <c r="HB3" s="97"/>
      <c r="HC3" s="97"/>
      <c r="HD3" s="97"/>
      <c r="HE3" s="97"/>
      <c r="HF3" s="97"/>
      <c r="HG3" s="97"/>
      <c r="HH3" s="97"/>
      <c r="HI3" s="97"/>
      <c r="HJ3" s="97"/>
      <c r="HK3" s="97"/>
      <c r="HL3" s="97"/>
      <c r="HM3" s="98" t="s">
        <v>164</v>
      </c>
      <c r="HN3" s="98"/>
      <c r="HO3" s="98"/>
      <c r="HP3" s="98"/>
      <c r="HQ3" s="98"/>
      <c r="HR3" s="98"/>
      <c r="HS3" s="98"/>
      <c r="HT3" s="98"/>
      <c r="HU3" s="98"/>
      <c r="HV3" s="98"/>
      <c r="HW3" s="98"/>
      <c r="HX3" s="98"/>
      <c r="HY3" s="98"/>
      <c r="HZ3" s="98"/>
      <c r="IA3" s="98"/>
      <c r="IB3" s="98"/>
    </row>
    <row r="4" spans="1:237" ht="18" customHeight="1" x14ac:dyDescent="0.35">
      <c r="A4" s="57" t="s">
        <v>2</v>
      </c>
      <c r="B4" s="99" t="s">
        <v>165</v>
      </c>
      <c r="C4" s="99"/>
      <c r="D4" s="99"/>
      <c r="E4" s="100" t="s">
        <v>8</v>
      </c>
      <c r="F4" s="100"/>
      <c r="G4" s="100"/>
      <c r="H4" s="101" t="s">
        <v>166</v>
      </c>
      <c r="I4" s="101"/>
      <c r="J4" s="101"/>
      <c r="K4" s="101"/>
      <c r="L4" s="101"/>
      <c r="M4" s="101"/>
      <c r="N4" s="101"/>
      <c r="O4" s="102" t="s">
        <v>167</v>
      </c>
      <c r="P4" s="102"/>
      <c r="Q4" s="102"/>
      <c r="R4" s="102"/>
      <c r="S4" s="102"/>
      <c r="T4" s="102"/>
      <c r="U4" s="102"/>
      <c r="V4" s="101" t="s">
        <v>168</v>
      </c>
      <c r="W4" s="101"/>
      <c r="X4" s="101"/>
      <c r="Y4" s="101"/>
      <c r="Z4" s="101"/>
      <c r="AA4" s="101"/>
      <c r="AB4" s="101"/>
      <c r="AC4" s="102" t="s">
        <v>169</v>
      </c>
      <c r="AD4" s="102"/>
      <c r="AE4" s="102"/>
      <c r="AF4" s="102"/>
      <c r="AG4" s="102"/>
      <c r="AH4" s="102"/>
      <c r="AI4" s="102"/>
      <c r="AJ4" s="101" t="s">
        <v>170</v>
      </c>
      <c r="AK4" s="101"/>
      <c r="AL4" s="101"/>
      <c r="AM4" s="101"/>
      <c r="AN4" s="101"/>
      <c r="AO4" s="101"/>
      <c r="AP4" s="101"/>
      <c r="AQ4" s="103" t="s">
        <v>171</v>
      </c>
      <c r="AR4" s="103"/>
      <c r="AS4" s="103"/>
      <c r="AT4" s="103"/>
      <c r="AU4" s="103"/>
      <c r="AV4" s="103"/>
      <c r="AW4" s="103"/>
      <c r="AX4" s="58" t="s">
        <v>172</v>
      </c>
      <c r="AY4" s="59" t="s">
        <v>173</v>
      </c>
      <c r="AZ4" s="60" t="s">
        <v>174</v>
      </c>
      <c r="BA4" s="57" t="s">
        <v>175</v>
      </c>
      <c r="BD4" s="57" t="s">
        <v>2</v>
      </c>
      <c r="BE4" s="99" t="s">
        <v>165</v>
      </c>
      <c r="BF4" s="99"/>
      <c r="BG4" s="99"/>
      <c r="BH4" s="100" t="s">
        <v>8</v>
      </c>
      <c r="BI4" s="100"/>
      <c r="BJ4" s="100"/>
      <c r="BK4" s="101" t="s">
        <v>166</v>
      </c>
      <c r="BL4" s="101"/>
      <c r="BM4" s="101"/>
      <c r="BN4" s="101"/>
      <c r="BO4" s="101"/>
      <c r="BP4" s="101"/>
      <c r="BQ4" s="101"/>
      <c r="BR4" s="102" t="s">
        <v>167</v>
      </c>
      <c r="BS4" s="102"/>
      <c r="BT4" s="102"/>
      <c r="BU4" s="102"/>
      <c r="BV4" s="102"/>
      <c r="BW4" s="102"/>
      <c r="BX4" s="102"/>
      <c r="BY4" s="101" t="s">
        <v>168</v>
      </c>
      <c r="BZ4" s="101"/>
      <c r="CA4" s="101"/>
      <c r="CB4" s="101"/>
      <c r="CC4" s="101"/>
      <c r="CD4" s="101"/>
      <c r="CE4" s="101"/>
      <c r="CF4" s="102" t="s">
        <v>169</v>
      </c>
      <c r="CG4" s="102"/>
      <c r="CH4" s="102"/>
      <c r="CI4" s="102"/>
      <c r="CJ4" s="102"/>
      <c r="CK4" s="102"/>
      <c r="CL4" s="102"/>
      <c r="CM4" s="101" t="s">
        <v>170</v>
      </c>
      <c r="CN4" s="101"/>
      <c r="CO4" s="101"/>
      <c r="CP4" s="101"/>
      <c r="CQ4" s="101"/>
      <c r="CR4" s="101"/>
      <c r="CS4" s="101"/>
      <c r="CT4" s="103" t="s">
        <v>171</v>
      </c>
      <c r="CU4" s="103"/>
      <c r="CV4" s="103"/>
      <c r="CW4" s="103"/>
      <c r="CX4" s="103"/>
      <c r="CY4" s="103"/>
      <c r="CZ4" s="103"/>
      <c r="DA4" s="58" t="s">
        <v>172</v>
      </c>
      <c r="DB4" s="59" t="s">
        <v>173</v>
      </c>
      <c r="DC4" s="60" t="s">
        <v>174</v>
      </c>
      <c r="DD4" s="57" t="s">
        <v>175</v>
      </c>
      <c r="DG4" s="57" t="s">
        <v>2</v>
      </c>
      <c r="DH4" s="99" t="s">
        <v>165</v>
      </c>
      <c r="DI4" s="99"/>
      <c r="DJ4" s="99"/>
      <c r="DK4" s="100" t="s">
        <v>8</v>
      </c>
      <c r="DL4" s="100"/>
      <c r="DM4" s="100"/>
      <c r="DN4" s="101" t="s">
        <v>166</v>
      </c>
      <c r="DO4" s="101"/>
      <c r="DP4" s="101"/>
      <c r="DQ4" s="101"/>
      <c r="DR4" s="101"/>
      <c r="DS4" s="101"/>
      <c r="DT4" s="101"/>
      <c r="DU4" s="102" t="s">
        <v>167</v>
      </c>
      <c r="DV4" s="102"/>
      <c r="DW4" s="102"/>
      <c r="DX4" s="102"/>
      <c r="DY4" s="102"/>
      <c r="DZ4" s="102"/>
      <c r="EA4" s="102"/>
      <c r="EB4" s="101" t="s">
        <v>168</v>
      </c>
      <c r="EC4" s="101"/>
      <c r="ED4" s="101"/>
      <c r="EE4" s="101"/>
      <c r="EF4" s="101"/>
      <c r="EG4" s="101"/>
      <c r="EH4" s="101"/>
      <c r="EI4" s="102" t="s">
        <v>169</v>
      </c>
      <c r="EJ4" s="102"/>
      <c r="EK4" s="102"/>
      <c r="EL4" s="102"/>
      <c r="EM4" s="102"/>
      <c r="EN4" s="102"/>
      <c r="EO4" s="102"/>
      <c r="EP4" s="101" t="s">
        <v>170</v>
      </c>
      <c r="EQ4" s="101"/>
      <c r="ER4" s="101"/>
      <c r="ES4" s="101"/>
      <c r="ET4" s="101"/>
      <c r="EU4" s="101"/>
      <c r="EV4" s="101"/>
      <c r="EW4" s="103" t="s">
        <v>171</v>
      </c>
      <c r="EX4" s="103"/>
      <c r="EY4" s="103"/>
      <c r="EZ4" s="103"/>
      <c r="FA4" s="103"/>
      <c r="FB4" s="103"/>
      <c r="FC4" s="103"/>
      <c r="FD4" s="58" t="s">
        <v>172</v>
      </c>
      <c r="FE4" s="59" t="s">
        <v>173</v>
      </c>
      <c r="FF4" s="60" t="s">
        <v>174</v>
      </c>
      <c r="FG4" s="57" t="s">
        <v>175</v>
      </c>
      <c r="FJ4" s="57" t="s">
        <v>2</v>
      </c>
      <c r="FK4" s="99" t="s">
        <v>165</v>
      </c>
      <c r="FL4" s="99"/>
      <c r="FM4" s="99"/>
      <c r="FN4" s="100" t="s">
        <v>8</v>
      </c>
      <c r="FO4" s="100"/>
      <c r="FP4" s="100"/>
      <c r="FQ4" s="101" t="s">
        <v>166</v>
      </c>
      <c r="FR4" s="101"/>
      <c r="FS4" s="101"/>
      <c r="FT4" s="101"/>
      <c r="FU4" s="101"/>
      <c r="FV4" s="101"/>
      <c r="FW4" s="101"/>
      <c r="FX4" s="102" t="s">
        <v>167</v>
      </c>
      <c r="FY4" s="102"/>
      <c r="FZ4" s="102"/>
      <c r="GA4" s="102"/>
      <c r="GB4" s="102"/>
      <c r="GC4" s="102"/>
      <c r="GD4" s="102"/>
      <c r="GE4" s="101" t="s">
        <v>168</v>
      </c>
      <c r="GF4" s="101"/>
      <c r="GG4" s="101"/>
      <c r="GH4" s="101"/>
      <c r="GI4" s="101"/>
      <c r="GJ4" s="101"/>
      <c r="GK4" s="101"/>
      <c r="GL4" s="102" t="s">
        <v>169</v>
      </c>
      <c r="GM4" s="102"/>
      <c r="GN4" s="102"/>
      <c r="GO4" s="102"/>
      <c r="GP4" s="102"/>
      <c r="GQ4" s="102"/>
      <c r="GR4" s="102"/>
      <c r="GS4" s="101" t="s">
        <v>170</v>
      </c>
      <c r="GT4" s="101"/>
      <c r="GU4" s="101"/>
      <c r="GV4" s="101"/>
      <c r="GW4" s="101"/>
      <c r="GX4" s="101"/>
      <c r="GY4" s="101"/>
      <c r="GZ4" s="103" t="s">
        <v>171</v>
      </c>
      <c r="HA4" s="103"/>
      <c r="HB4" s="103"/>
      <c r="HC4" s="103"/>
      <c r="HD4" s="103"/>
      <c r="HE4" s="103"/>
      <c r="HF4" s="103"/>
      <c r="HG4" s="58" t="s">
        <v>172</v>
      </c>
      <c r="HH4" s="59" t="s">
        <v>173</v>
      </c>
      <c r="HI4" s="60" t="s">
        <v>174</v>
      </c>
      <c r="HJ4" s="57" t="s">
        <v>175</v>
      </c>
      <c r="HM4" s="98"/>
      <c r="HN4" s="98"/>
      <c r="HO4" s="98"/>
      <c r="HP4" s="98"/>
      <c r="HQ4" s="98"/>
      <c r="HR4" s="98"/>
      <c r="HS4" s="98"/>
      <c r="HT4" s="98"/>
      <c r="HU4" s="98"/>
      <c r="HV4" s="98"/>
      <c r="HW4" s="98"/>
      <c r="HX4" s="98"/>
      <c r="HY4" s="98"/>
      <c r="HZ4" s="98"/>
      <c r="IA4" s="98"/>
      <c r="IB4" s="98"/>
    </row>
    <row r="5" spans="1:237" ht="10.5" customHeight="1" x14ac:dyDescent="0.35">
      <c r="A5" s="104" t="s">
        <v>176</v>
      </c>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t="s">
        <v>177</v>
      </c>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c r="CP5" s="104"/>
      <c r="CQ5" s="104"/>
      <c r="CR5" s="104"/>
      <c r="CS5" s="104"/>
      <c r="CT5" s="104"/>
      <c r="CU5" s="104"/>
      <c r="CV5" s="104"/>
      <c r="CW5" s="104"/>
      <c r="CX5" s="104"/>
      <c r="CY5" s="104"/>
      <c r="CZ5" s="104"/>
      <c r="DA5" s="104"/>
      <c r="DB5" s="104"/>
      <c r="DC5" s="104"/>
      <c r="DD5" s="104"/>
      <c r="DE5" s="104"/>
      <c r="DF5" s="104"/>
      <c r="DG5" s="104" t="s">
        <v>178</v>
      </c>
      <c r="DH5" s="104"/>
      <c r="DI5" s="104"/>
      <c r="DJ5" s="104"/>
      <c r="DK5" s="104"/>
      <c r="DL5" s="104"/>
      <c r="DM5" s="104"/>
      <c r="DN5" s="104"/>
      <c r="DO5" s="104"/>
      <c r="DP5" s="104"/>
      <c r="DQ5" s="104"/>
      <c r="DR5" s="104"/>
      <c r="DS5" s="104"/>
      <c r="DT5" s="104"/>
      <c r="DU5" s="104"/>
      <c r="DV5" s="104"/>
      <c r="DW5" s="104"/>
      <c r="DX5" s="104"/>
      <c r="DY5" s="104"/>
      <c r="DZ5" s="104"/>
      <c r="EA5" s="104"/>
      <c r="EB5" s="104"/>
      <c r="EC5" s="104"/>
      <c r="ED5" s="104"/>
      <c r="EE5" s="104"/>
      <c r="EF5" s="104"/>
      <c r="EG5" s="104"/>
      <c r="EH5" s="104"/>
      <c r="EI5" s="104"/>
      <c r="EJ5" s="104"/>
      <c r="EK5" s="104"/>
      <c r="EL5" s="104"/>
      <c r="EM5" s="104"/>
      <c r="EN5" s="104"/>
      <c r="EO5" s="104"/>
      <c r="EP5" s="104"/>
      <c r="EQ5" s="104"/>
      <c r="ER5" s="104"/>
      <c r="ES5" s="104"/>
      <c r="ET5" s="104"/>
      <c r="EU5" s="104"/>
      <c r="EV5" s="104"/>
      <c r="EW5" s="104"/>
      <c r="EX5" s="104"/>
      <c r="EY5" s="104"/>
      <c r="EZ5" s="104"/>
      <c r="FA5" s="104"/>
      <c r="FB5" s="104"/>
      <c r="FC5" s="104"/>
      <c r="FD5" s="104"/>
      <c r="FE5" s="104"/>
      <c r="FF5" s="104"/>
      <c r="FG5" s="104"/>
      <c r="FH5" s="104"/>
      <c r="FI5" s="104"/>
      <c r="FJ5" s="104" t="s">
        <v>179</v>
      </c>
      <c r="FK5" s="104"/>
      <c r="FL5" s="104"/>
      <c r="FM5" s="104"/>
      <c r="FN5" s="104"/>
      <c r="FO5" s="104"/>
      <c r="FP5" s="104"/>
      <c r="FQ5" s="104"/>
      <c r="FR5" s="104"/>
      <c r="FS5" s="104"/>
      <c r="FT5" s="104"/>
      <c r="FU5" s="104"/>
      <c r="FV5" s="104"/>
      <c r="FW5" s="104"/>
      <c r="FX5" s="104"/>
      <c r="FY5" s="104"/>
      <c r="FZ5" s="104"/>
      <c r="GA5" s="104"/>
      <c r="GB5" s="104"/>
      <c r="GC5" s="104"/>
      <c r="GD5" s="104"/>
      <c r="GE5" s="104"/>
      <c r="GF5" s="104"/>
      <c r="GG5" s="104"/>
      <c r="GH5" s="104"/>
      <c r="GI5" s="104"/>
      <c r="GJ5" s="104"/>
      <c r="GK5" s="104"/>
      <c r="GL5" s="104"/>
      <c r="GM5" s="104"/>
      <c r="GN5" s="104"/>
      <c r="GO5" s="104"/>
      <c r="GP5" s="104"/>
      <c r="GQ5" s="104"/>
      <c r="GR5" s="104"/>
      <c r="GS5" s="104"/>
      <c r="GT5" s="104"/>
      <c r="GU5" s="104"/>
      <c r="GV5" s="104"/>
      <c r="GW5" s="104"/>
      <c r="GX5" s="104"/>
      <c r="GY5" s="104"/>
      <c r="GZ5" s="104"/>
      <c r="HA5" s="104"/>
      <c r="HB5" s="104"/>
      <c r="HC5" s="104"/>
      <c r="HD5" s="104"/>
      <c r="HE5" s="104"/>
      <c r="HF5" s="104"/>
      <c r="HG5" s="104"/>
      <c r="HH5" s="104"/>
      <c r="HI5" s="104"/>
      <c r="HJ5" s="104"/>
      <c r="HK5" s="104"/>
      <c r="HL5" s="104"/>
      <c r="HM5" s="105" t="s">
        <v>180</v>
      </c>
      <c r="HN5" s="105"/>
      <c r="HO5" s="105"/>
      <c r="HP5" s="105"/>
      <c r="HQ5" s="105"/>
      <c r="HR5" s="105"/>
      <c r="HS5" s="105"/>
      <c r="HT5" s="105"/>
      <c r="HU5" s="105"/>
      <c r="HV5" s="105"/>
      <c r="HW5" s="105"/>
      <c r="HX5" s="105"/>
      <c r="HY5" s="105"/>
      <c r="HZ5" s="105"/>
      <c r="IA5" s="105"/>
      <c r="IB5" s="105"/>
    </row>
    <row r="6" spans="1:237" ht="15.75" customHeight="1" x14ac:dyDescent="0.35">
      <c r="A6" s="61" t="str">
        <f>IFERROR(IF(INDEX('Beginner Adv 15M - Teams'!$L:$L,MATCH(1,'Beginner Adv 15M - Teams'!$A:$A,0))="Yes","BYE",IF(OR(INDEX('Beginner Adv 15M - Teams'!$B:$B,MATCH(1,'Beginner Adv 15M - Teams'!$A:$A,0))="",ISERROR(MATCH(1,'Beginner Adv 15M - Teams'!$A:$A,0))),"BYE","#1")),"BYE")</f>
        <v>#1</v>
      </c>
      <c r="B6" s="106" t="str">
        <f>IFERROR(IF(INDEX('Beginner Adv 15M - Teams'!$L:$L,MATCH(1,'Beginner Adv 15M - Teams'!$A:$A,0))="Yes","",IF(INDEX('Beginner Adv 15M - Teams'!$N:$N,MATCH(1,'Beginner Adv 15M - Teams'!$A:$A,0))&lt;&gt;"",INDEX('Beginner Adv 15M - Teams'!$N:$N,MATCH(1,'Beginner Adv 15M - Teams'!$A:$A,0)),IF(INDEX('Beginner Adv 15M - Teams'!$B:$B,MATCH(1,'Beginner Adv 15M - Teams'!$A:$A,0))="","",INDEX('Beginner Adv 15M - Teams'!$B:$B,MATCH(1,'Beginner Adv 15M - Teams'!$A:$A,0))))),"")</f>
        <v>Sheena Marie Monico</v>
      </c>
      <c r="C6" s="106"/>
      <c r="D6" s="106"/>
      <c r="E6" s="107" t="str">
        <f>IF(OR(A6="BYE",BA6="&gt;&gt; Advance"),"",IF((B2-A2+1)&gt;=8,(A2+MOD(INT((SUMPRODUCT(IF(A6&lt;&gt;"BYE",IF(A6&lt;&gt;"",IF(BA6&lt;&gt;"&gt;&gt; Advance",1,0),0),0))-1)/2),(B2-A2+1)))&amp;IF((MOD(SUMPRODUCT(IF(A6&lt;&gt;"BYE",IF(A6&lt;&gt;"",IF(BA6&lt;&gt;"&gt;&gt; Advance",1,0),0),0))-1,2)=0)," L"," R"),(A2+MOD(INT((SUMPRODUCT(IF(A6&lt;&gt;"BYE",IF(A6&lt;&gt;"",IF(BA6&lt;&gt;"&gt;&gt; Advance",1,0),0),0))-1)/2),(B2-A2+1)))&amp;CHAR(65+FLOOR(INT((SUMPRODUCT(IF(A6&lt;&gt;"BYE",IF(A6&lt;&gt;"",IF(BA6&lt;&gt;"&gt;&gt; Advance",1,0),0),0))-1)/2)/(B2-A2+1),1)*2+MOD(SUMPRODUCT(IF(A6&lt;&gt;"BYE",IF(A6&lt;&gt;"",IF(BA6&lt;&gt;"&gt;&gt; Advance",1,0),0),0))-1,2))&amp;IF((MOD(SUMPRODUCT(IF(A6&lt;&gt;"BYE",IF(A6&lt;&gt;"",IF(BA6&lt;&gt;"&gt;&gt; Advance",1,0),0),0))-1,2)=0)," (L)"," (R)")))</f>
        <v/>
      </c>
      <c r="F6" s="107"/>
      <c r="G6" s="107"/>
      <c r="H6" s="62"/>
      <c r="I6" s="62"/>
      <c r="J6" s="62"/>
      <c r="K6" s="62"/>
      <c r="L6" s="62"/>
      <c r="M6" s="62"/>
      <c r="N6" s="63" t="str">
        <f>IF(OR(ISNUMBER(H6),ISNUMBER(I6),ISNUMBER(J6),ISNUMBER(K6),ISNUMBER(L6),ISNUMBER(M6),H6="X",I6="X",J6="X",K6="X",L6="X",M6="X",H6="M",I6="M",J6="M",K6="M",L6="M",M6="M"),IF(H6="X",10,IF(H6="M",0,IF(ISNUMBER(H6),H6,0))) + IF(I6="X",10,IF(I6="M",0,IF(ISNUMBER(I6),I6,0))) + IF(J6="X",10,IF(J6="M",0,IF(ISNUMBER(J6),J6,0))) + IF(K6="X",10,IF(K6="M",0,IF(ISNUMBER(K6),K6,0))) + IF(L6="X",10,IF(L6="M",0,IF(ISNUMBER(L6),L6,0))) + IF(M6="X",10,IF(M6="M",0,IF(ISNUMBER(M6),M6,0))),"")</f>
        <v/>
      </c>
      <c r="O6" s="62"/>
      <c r="P6" s="62"/>
      <c r="Q6" s="62"/>
      <c r="R6" s="62"/>
      <c r="S6" s="62"/>
      <c r="T6" s="62"/>
      <c r="U6" s="63" t="str">
        <f>IF(OR(ISNUMBER(O6),ISNUMBER(P6),ISNUMBER(Q6),ISNUMBER(R6),ISNUMBER(S6),ISNUMBER(T6),O6="X",P6="X",Q6="X",R6="X",S6="X",T6="X",O6="M",P6="M",Q6="M",R6="M",S6="M",T6="M"),IF(O6="X",10,IF(O6="M",0,IF(ISNUMBER(O6),O6,0))) + IF(P6="X",10,IF(P6="M",0,IF(ISNUMBER(P6),P6,0))) + IF(Q6="X",10,IF(Q6="M",0,IF(ISNUMBER(Q6),Q6,0))) + IF(R6="X",10,IF(R6="M",0,IF(ISNUMBER(R6),R6,0))) + IF(S6="X",10,IF(S6="M",0,IF(ISNUMBER(S6),S6,0))) + IF(T6="X",10,IF(T6="M",0,IF(ISNUMBER(T6),T6,0))),"")</f>
        <v/>
      </c>
      <c r="V6" s="62"/>
      <c r="W6" s="62"/>
      <c r="X6" s="62"/>
      <c r="Y6" s="62"/>
      <c r="Z6" s="62"/>
      <c r="AA6" s="62"/>
      <c r="AB6" s="63" t="str">
        <f>IF(OR(ISNUMBER(V6),ISNUMBER(W6),ISNUMBER(X6),ISNUMBER(Y6),ISNUMBER(Z6),ISNUMBER(AA6),V6="X",W6="X",X6="X",Y6="X",Z6="X",AA6="X",V6="M",W6="M",X6="M",Y6="M",Z6="M",AA6="M"),IF(V6="X",10,IF(V6="M",0,IF(ISNUMBER(V6),V6,0))) + IF(W6="X",10,IF(W6="M",0,IF(ISNUMBER(W6),W6,0))) + IF(X6="X",10,IF(X6="M",0,IF(ISNUMBER(X6),X6,0))) + IF(Y6="X",10,IF(Y6="M",0,IF(ISNUMBER(Y6),Y6,0))) + IF(Z6="X",10,IF(Z6="M",0,IF(ISNUMBER(Z6),Z6,0))) + IF(AA6="X",10,IF(AA6="M",0,IF(ISNUMBER(AA6),AA6,0))),"")</f>
        <v/>
      </c>
      <c r="AC6" s="62"/>
      <c r="AD6" s="62"/>
      <c r="AE6" s="62"/>
      <c r="AF6" s="62"/>
      <c r="AG6" s="62"/>
      <c r="AH6" s="62"/>
      <c r="AI6" s="63" t="str">
        <f>IF(OR(ISNUMBER(AC6),ISNUMBER(AD6),ISNUMBER(AE6),ISNUMBER(AF6),ISNUMBER(AG6),ISNUMBER(AH6),AC6="X",AD6="X",AE6="X",AF6="X",AG6="X",AH6="X",AC6="M",AD6="M",AE6="M",AF6="M",AG6="M",AH6="M"),IF(AC6="X",10,IF(AC6="M",0,IF(ISNUMBER(AC6),AC6,0))) + IF(AD6="X",10,IF(AD6="M",0,IF(ISNUMBER(AD6),AD6,0))) + IF(AE6="X",10,IF(AE6="M",0,IF(ISNUMBER(AE6),AE6,0))) + IF(AF6="X",10,IF(AF6="M",0,IF(ISNUMBER(AF6),AF6,0))) + IF(AG6="X",10,IF(AG6="M",0,IF(ISNUMBER(AG6),AG6,0))) + IF(AH6="X",10,IF(AH6="M",0,IF(ISNUMBER(AH6),AH6,0))),"")</f>
        <v/>
      </c>
      <c r="AJ6" s="62"/>
      <c r="AK6" s="62"/>
      <c r="AL6" s="62"/>
      <c r="AM6" s="62"/>
      <c r="AN6" s="62"/>
      <c r="AO6" s="62"/>
      <c r="AP6" s="63" t="str">
        <f>IF(OR(ISNUMBER(AJ6),ISNUMBER(AK6),ISNUMBER(AL6),ISNUMBER(AM6),ISNUMBER(AN6),ISNUMBER(AO6),AJ6="X",AK6="X",AL6="X",AM6="X",AN6="X",AO6="X",AJ6="M",AK6="M",AL6="M",AM6="M",AN6="M",AO6="M"),IF(AJ6="X",10,IF(AJ6="M",0,IF(ISNUMBER(AJ6),AJ6,0))) + IF(AK6="X",10,IF(AK6="M",0,IF(ISNUMBER(AK6),AK6,0))) + IF(AL6="X",10,IF(AL6="M",0,IF(ISNUMBER(AL6),AL6,0))) + IF(AM6="X",10,IF(AM6="M",0,IF(ISNUMBER(AM6),AM6,0))) + IF(AN6="X",10,IF(AN6="M",0,IF(ISNUMBER(AN6),AN6,0))) + IF(AO6="X",10,IF(AO6="M",0,IF(ISNUMBER(AO6),AO6,0))),"")</f>
        <v/>
      </c>
      <c r="AQ6" s="64"/>
      <c r="AR6" s="64"/>
      <c r="AS6" s="64"/>
      <c r="AT6" s="64"/>
      <c r="AU6" s="64"/>
      <c r="AV6" s="64"/>
      <c r="AW6" s="63" t="str">
        <f>IF(OR(ISNUMBER(AQ6),ISNUMBER(AR6),ISNUMBER(AS6),ISNUMBER(AT6),ISNUMBER(AU6),ISNUMBER(AV6),AQ6="X",AR6="X",AS6="X",AT6="X",AU6="X",AV6="X",AQ6="M",AR6="M",AS6="M",AT6="M",AU6="M",AV6="M"),IF(AQ6="X",10,IF(AQ6="M",0,IF(ISNUMBER(AQ6),AQ6,0))) + IF(AR6="X",10,IF(AR6="M",0,IF(ISNUMBER(AR6),AR6,0))) + IF(AS6="X",10,IF(AS6="M",0,IF(ISNUMBER(AS6),AS6,0))) + IF(AT6="X",10,IF(AT6="M",0,IF(ISNUMBER(AT6),AT6,0))) + IF(AU6="X",10,IF(AU6="M",0,IF(ISNUMBER(AU6),AU6,0))) + IF(AV6="X",10,IF(AV6="M",0,IF(ISNUMBER(AV6),AV6,0))),"")</f>
        <v/>
      </c>
      <c r="AX6" s="65">
        <f>IF(AND(ISNUMBER(N6),ISNUMBER(N8)),IF(N6&gt;N8,2,IF(N6=N8,1,0)),0)+IF(AND(ISNUMBER(U6),ISNUMBER(U8)),IF(U6&gt;U8,2,IF(U6=U8,1,0)),0)+IF(AND(ISNUMBER(AB6),ISNUMBER(AB8)),IF(AB6&gt;AB8,2,IF(AB6=AB8,1,0)),0)+IF(AND(ISNUMBER(AI6),ISNUMBER(AI8)),IF(AI6&gt;AI8,2,IF(AI6=AI8,1,0)),0)+IF(AND(ISNUMBER(AP6),ISNUMBER(AP8)),IF(AP6&gt;AP8,2,IF(AP6=AP8,1,0)),0)</f>
        <v>0</v>
      </c>
      <c r="AY6" s="66"/>
      <c r="AZ6" s="67">
        <f>IF(AX6&gt;0,IF(H6="X",10,IF(H6="M",0,IF(ISNUMBER(H6),H6,0)))+IF(I6="X",10,IF(I6="M",0,IF(ISNUMBER(I6),I6,0)))+IF(J6="X",10,IF(J6="M",0,IF(ISNUMBER(J6),J6,0)))+IF(K6="X",10,IF(K6="M",0,IF(ISNUMBER(K6),K6,0)))+IF(L6="X",10,IF(L6="M",0,IF(ISNUMBER(L6),L6,0)))+IF(M6="X",10,IF(M6="M",0,IF(ISNUMBER(M6),M6,0)))+IF(O6="X",10,IF(O6="M",0,IF(ISNUMBER(O6),O6,0)))+IF(P6="X",10,IF(P6="M",0,IF(ISNUMBER(P6),P6,0)))+IF(Q6="X",10,IF(Q6="M",0,IF(ISNUMBER(Q6),Q6,0)))+IF(R6="X",10,IF(R6="M",0,IF(ISNUMBER(R6),R6,0)))+IF(S6="X",10,IF(S6="M",0,IF(ISNUMBER(S6),S6,0)))+IF(T6="X",10,IF(T6="M",0,IF(ISNUMBER(T6),T6,0)))+IF(V6="X",10,IF(V6="M",0,IF(ISNUMBER(V6),V6,0)))+IF(W6="X",10,IF(W6="M",0,IF(ISNUMBER(W6),W6,0)))+IF(X6="X",10,IF(X6="M",0,IF(ISNUMBER(X6),X6,0)))+IF(Y6="X",10,IF(Y6="M",0,IF(ISNUMBER(Y6),Y6,0)))+IF(Z6="X",10,IF(Z6="M",0,IF(ISNUMBER(Z6),Z6,0)))+IF(AA6="X",10,IF(AA6="M",0,IF(ISNUMBER(AA6),AA6,0)))+IF(AC6="X",10,IF(AC6="M",0,IF(ISNUMBER(AC6),AC6,0)))+IF(AD6="X",10,IF(AD6="M",0,IF(ISNUMBER(AD6),AD6,0)))+IF(AE6="X",10,IF(AE6="M",0,IF(ISNUMBER(AE6),AE6,0)))+IF(AF6="X",10,IF(AF6="M",0,IF(ISNUMBER(AF6),AF6,0)))+IF(AG6="X",10,IF(AG6="M",0,IF(ISNUMBER(AG6),AG6,0)))+IF(AH6="X",10,IF(AH6="M",0,IF(ISNUMBER(AH6),AH6,0)))+IF(AJ6="X",10,IF(AJ6="M",0,IF(ISNUMBER(AJ6),AJ6,0)))+IF(AK6="X",10,IF(AK6="M",0,IF(ISNUMBER(AK6),AK6,0)))+IF(AL6="X",10,IF(AL6="M",0,IF(ISNUMBER(AL6),AL6,0)))+IF(AM6="X",10,IF(AM6="M",0,IF(ISNUMBER(AM6),AM6,0)))+IF(AN6="X",10,IF(AN6="M",0,IF(ISNUMBER(AN6),AN6,0)))+IF(AO6="X",10,IF(AO6="M",0,IF(ISNUMBER(AO6),AO6,0)))+IF(AQ6="X",10,IF(AQ6="M",0,IF(ISNUMBER(AQ6),AQ6,0)))+IF(AR6="X",10,IF(AR6="M",0,IF(ISNUMBER(AR6),AR6,0)))+IF(AS6="X",10,IF(AS6="M",0,IF(ISNUMBER(AS6),AS6,0)))+IF(AT6="X",10,IF(AT6="M",0,IF(ISNUMBER(AT6),AT6,0)))+IF(AU6="X",10,IF(AU6="M",0,IF(ISNUMBER(AU6),AU6,0)))+IF(AV6="X",10,IF(AV6="M",0,IF(ISNUMBER(AV6),AV6,0))),0)</f>
        <v>0</v>
      </c>
      <c r="BA6" s="68" t="str">
        <f>IFERROR(IF(AY6="DQ","DISQUALIFIED",IF(AY8="DQ","&gt;&gt; Advance",IF(BC8="BYE","&gt;&gt; Advance",IF(BC6="BYE","BYE",IF(AX6&gt;=6,"WIN",IF(AX8&gt;=6,"LOSS",IF(AND(ISNUMBER(AW6),ISNUMBER(AW8)),IF(AW6&gt;AW8,"WIN",IF(AW6&lt;AW8,"LOSS","Shoot-Off")),"Playing"))))))),"Error")</f>
        <v>&gt;&gt; Advance</v>
      </c>
      <c r="BC6" s="69" t="str">
        <f>IFERROR(IF(INDEX('Beginner Adv 15M - Teams'!$L:$L,MATCH(1,'Beginner Adv 15M - Teams'!$A:$A,0))="Yes","BYE",IF(OR(INDEX('Beginner Adv 15M - Teams'!$B:$B,MATCH(1,'Beginner Adv 15M - Teams'!$A:$A,0))="",ISERROR(MATCH(1,'Beginner Adv 15M - Teams'!$A:$A,0))),"BYE","")),"BYE")</f>
        <v/>
      </c>
      <c r="BD6" s="61" t="s">
        <v>181</v>
      </c>
      <c r="BE6" s="106" t="str">
        <f>IFERROR(IF(BC6="BYE",IF(BC8="BYE","TBD",B8),IF(BC8="BYE",B6,IF(OR(BA6="WIN",BA6="&gt;&gt; Advance"),B6,IF(OR(BA8="WIN",BA8="&gt;&gt; Advance"),B8,"TBD")))),"TBD")</f>
        <v>Sheena Marie Monico</v>
      </c>
      <c r="BF6" s="106"/>
      <c r="BG6" s="106"/>
      <c r="BH6" s="107" t="str">
        <f>IF(AND(BE6&lt;&gt;"TBD",BE6&lt;&gt;"",BE8&lt;&gt;"TBD",BE8&lt;&gt;"",DD6&lt;&gt;"&gt;&gt; Advance",DD8&lt;&gt;"&gt;&gt; Advance"),IF((B2-A2+1)&gt;=8,(A2+0)&amp;"",IF((B2-A2+1)&gt;=4,(A2+0)&amp;" L",(A2+MOD(0,(B2-A2+1)))&amp;CHAR(65+FLOOR(0/(B2-A2+1),1)*2)&amp;" (L)")),"")</f>
        <v/>
      </c>
      <c r="BI6" s="107"/>
      <c r="BJ6" s="107"/>
      <c r="BK6" s="62"/>
      <c r="BL6" s="62"/>
      <c r="BM6" s="62"/>
      <c r="BN6" s="62"/>
      <c r="BO6" s="62"/>
      <c r="BP6" s="62"/>
      <c r="BQ6" s="63" t="str">
        <f>IF(OR(ISNUMBER(BK6),ISNUMBER(BL6),ISNUMBER(BM6),ISNUMBER(BN6),ISNUMBER(BO6),ISNUMBER(BP6),BK6="X",BL6="X",BM6="X",BN6="X",BO6="X",BP6="X",BK6="M",BL6="M",BM6="M",BN6="M",BO6="M",BP6="M"),IF(BK6="X",10,IF(BK6="M",0,IF(ISNUMBER(BK6),BK6,0))) + IF(BL6="X",10,IF(BL6="M",0,IF(ISNUMBER(BL6),BL6,0))) + IF(BM6="X",10,IF(BM6="M",0,IF(ISNUMBER(BM6),BM6,0))) + IF(BN6="X",10,IF(BN6="M",0,IF(ISNUMBER(BN6),BN6,0))) + IF(BO6="X",10,IF(BO6="M",0,IF(ISNUMBER(BO6),BO6,0))) + IF(BP6="X",10,IF(BP6="M",0,IF(ISNUMBER(BP6),BP6,0))),"")</f>
        <v/>
      </c>
      <c r="BR6" s="62"/>
      <c r="BS6" s="62"/>
      <c r="BT6" s="62"/>
      <c r="BU6" s="62"/>
      <c r="BV6" s="62"/>
      <c r="BW6" s="62"/>
      <c r="BX6" s="63" t="str">
        <f>IF(OR(ISNUMBER(BR6),ISNUMBER(BS6),ISNUMBER(BT6),ISNUMBER(BU6),ISNUMBER(BV6),ISNUMBER(BW6),BR6="X",BS6="X",BT6="X",BU6="X",BV6="X",BW6="X",BR6="M",BS6="M",BT6="M",BU6="M",BV6="M",BW6="M"),IF(BR6="X",10,IF(BR6="M",0,IF(ISNUMBER(BR6),BR6,0))) + IF(BS6="X",10,IF(BS6="M",0,IF(ISNUMBER(BS6),BS6,0))) + IF(BT6="X",10,IF(BT6="M",0,IF(ISNUMBER(BT6),BT6,0))) + IF(BU6="X",10,IF(BU6="M",0,IF(ISNUMBER(BU6),BU6,0))) + IF(BV6="X",10,IF(BV6="M",0,IF(ISNUMBER(BV6),BV6,0))) + IF(BW6="X",10,IF(BW6="M",0,IF(ISNUMBER(BW6),BW6,0))),"")</f>
        <v/>
      </c>
      <c r="BY6" s="62"/>
      <c r="BZ6" s="62"/>
      <c r="CA6" s="62"/>
      <c r="CB6" s="62"/>
      <c r="CC6" s="62"/>
      <c r="CD6" s="62"/>
      <c r="CE6" s="63" t="str">
        <f>IF(OR(ISNUMBER(BY6),ISNUMBER(BZ6),ISNUMBER(CA6),ISNUMBER(CB6),ISNUMBER(CC6),ISNUMBER(CD6),BY6="X",BZ6="X",CA6="X",CB6="X",CC6="X",CD6="X",BY6="M",BZ6="M",CA6="M",CB6="M",CC6="M",CD6="M"),IF(BY6="X",10,IF(BY6="M",0,IF(ISNUMBER(BY6),BY6,0))) + IF(BZ6="X",10,IF(BZ6="M",0,IF(ISNUMBER(BZ6),BZ6,0))) + IF(CA6="X",10,IF(CA6="M",0,IF(ISNUMBER(CA6),CA6,0))) + IF(CB6="X",10,IF(CB6="M",0,IF(ISNUMBER(CB6),CB6,0))) + IF(CC6="X",10,IF(CC6="M",0,IF(ISNUMBER(CC6),CC6,0))) + IF(CD6="X",10,IF(CD6="M",0,IF(ISNUMBER(CD6),CD6,0))),"")</f>
        <v/>
      </c>
      <c r="CF6" s="62"/>
      <c r="CG6" s="62"/>
      <c r="CH6" s="62"/>
      <c r="CI6" s="62"/>
      <c r="CJ6" s="62"/>
      <c r="CK6" s="62"/>
      <c r="CL6" s="63" t="str">
        <f>IF(OR(ISNUMBER(CF6),ISNUMBER(CG6),ISNUMBER(CH6),ISNUMBER(CI6),ISNUMBER(CJ6),ISNUMBER(CK6),CF6="X",CG6="X",CH6="X",CI6="X",CJ6="X",CK6="X",CF6="M",CG6="M",CH6="M",CI6="M",CJ6="M",CK6="M"),IF(CF6="X",10,IF(CF6="M",0,IF(ISNUMBER(CF6),CF6,0))) + IF(CG6="X",10,IF(CG6="M",0,IF(ISNUMBER(CG6),CG6,0))) + IF(CH6="X",10,IF(CH6="M",0,IF(ISNUMBER(CH6),CH6,0))) + IF(CI6="X",10,IF(CI6="M",0,IF(ISNUMBER(CI6),CI6,0))) + IF(CJ6="X",10,IF(CJ6="M",0,IF(ISNUMBER(CJ6),CJ6,0))) + IF(CK6="X",10,IF(CK6="M",0,IF(ISNUMBER(CK6),CK6,0))),"")</f>
        <v/>
      </c>
      <c r="CM6" s="62"/>
      <c r="CN6" s="62"/>
      <c r="CO6" s="62"/>
      <c r="CP6" s="62"/>
      <c r="CQ6" s="62"/>
      <c r="CR6" s="62"/>
      <c r="CS6" s="63" t="str">
        <f>IF(OR(ISNUMBER(CM6),ISNUMBER(CN6),ISNUMBER(CO6),ISNUMBER(CP6),ISNUMBER(CQ6),ISNUMBER(CR6),CM6="X",CN6="X",CO6="X",CP6="X",CQ6="X",CR6="X",CM6="M",CN6="M",CO6="M",CP6="M",CQ6="M",CR6="M"),IF(CM6="X",10,IF(CM6="M",0,IF(ISNUMBER(CM6),CM6,0))) + IF(CN6="X",10,IF(CN6="M",0,IF(ISNUMBER(CN6),CN6,0))) + IF(CO6="X",10,IF(CO6="M",0,IF(ISNUMBER(CO6),CO6,0))) + IF(CP6="X",10,IF(CP6="M",0,IF(ISNUMBER(CP6),CP6,0))) + IF(CQ6="X",10,IF(CQ6="M",0,IF(ISNUMBER(CQ6),CQ6,0))) + IF(CR6="X",10,IF(CR6="M",0,IF(ISNUMBER(CR6),CR6,0))),"")</f>
        <v/>
      </c>
      <c r="CT6" s="64"/>
      <c r="CU6" s="64"/>
      <c r="CV6" s="64"/>
      <c r="CW6" s="64"/>
      <c r="CX6" s="64"/>
      <c r="CY6" s="64"/>
      <c r="CZ6" s="63" t="str">
        <f>IF(OR(ISNUMBER(CT6),ISNUMBER(CU6),ISNUMBER(CV6),ISNUMBER(CW6),ISNUMBER(CX6),ISNUMBER(CY6),CT6="X",CU6="X",CV6="X",CW6="X",CX6="X",CY6="X",CT6="M",CU6="M",CV6="M",CW6="M",CX6="M",CY6="M"),IF(CT6="X",10,IF(CT6="M",0,IF(ISNUMBER(CT6),CT6,0))) + IF(CU6="X",10,IF(CU6="M",0,IF(ISNUMBER(CU6),CU6,0))) + IF(CV6="X",10,IF(CV6="M",0,IF(ISNUMBER(CV6),CV6,0))) + IF(CW6="X",10,IF(CW6="M",0,IF(ISNUMBER(CW6),CW6,0))) + IF(CX6="X",10,IF(CX6="M",0,IF(ISNUMBER(CX6),CX6,0))) + IF(CY6="X",10,IF(CY6="M",0,IF(ISNUMBER(CY6),CY6,0))),"")</f>
        <v/>
      </c>
      <c r="DA6" s="65">
        <f>IF(AND(ISNUMBER(BQ6),ISNUMBER(BQ8)),IF(BQ6&gt;BQ8,2,IF(BQ6=BQ8,1,0)),0)+IF(AND(ISNUMBER(BX6),ISNUMBER(BX8)),IF(BX6&gt;BX8,2,IF(BX6=BX8,1,0)),0)+IF(AND(ISNUMBER(CE6),ISNUMBER(CE8)),IF(CE6&gt;CE8,2,IF(CE6=CE8,1,0)),0)+IF(AND(ISNUMBER(CL6),ISNUMBER(CL8)),IF(CL6&gt;CL8,2,IF(CL6=CL8,1,0)),0)+IF(AND(ISNUMBER(CS6),ISNUMBER(CS8)),IF(CS6&gt;CS8,2,IF(CS6=CS8,1,0)),0)</f>
        <v>0</v>
      </c>
      <c r="DB6" s="66"/>
      <c r="DC6" s="67">
        <f>IF(DA6&gt;0,IF(BK6="X",10,IF(BK6="M",0,IF(ISNUMBER(BK6),BK6,0)))+IF(BL6="X",10,IF(BL6="M",0,IF(ISNUMBER(BL6),BL6,0)))+IF(BM6="X",10,IF(BM6="M",0,IF(ISNUMBER(BM6),BM6,0)))+IF(BN6="X",10,IF(BN6="M",0,IF(ISNUMBER(BN6),BN6,0)))+IF(BO6="X",10,IF(BO6="M",0,IF(ISNUMBER(BO6),BO6,0)))+IF(BP6="X",10,IF(BP6="M",0,IF(ISNUMBER(BP6),BP6,0)))+IF(BR6="X",10,IF(BR6="M",0,IF(ISNUMBER(BR6),BR6,0)))+IF(BS6="X",10,IF(BS6="M",0,IF(ISNUMBER(BS6),BS6,0)))+IF(BT6="X",10,IF(BT6="M",0,IF(ISNUMBER(BT6),BT6,0)))+IF(BU6="X",10,IF(BU6="M",0,IF(ISNUMBER(BU6),BU6,0)))+IF(BV6="X",10,IF(BV6="M",0,IF(ISNUMBER(BV6),BV6,0)))+IF(BW6="X",10,IF(BW6="M",0,IF(ISNUMBER(BW6),BW6,0)))+IF(BY6="X",10,IF(BY6="M",0,IF(ISNUMBER(BY6),BY6,0)))+IF(BZ6="X",10,IF(BZ6="M",0,IF(ISNUMBER(BZ6),BZ6,0)))+IF(CA6="X",10,IF(CA6="M",0,IF(ISNUMBER(CA6),CA6,0)))+IF(CB6="X",10,IF(CB6="M",0,IF(ISNUMBER(CB6),CB6,0)))+IF(CC6="X",10,IF(CC6="M",0,IF(ISNUMBER(CC6),CC6,0)))+IF(CD6="X",10,IF(CD6="M",0,IF(ISNUMBER(CD6),CD6,0)))+IF(CF6="X",10,IF(CF6="M",0,IF(ISNUMBER(CF6),CF6,0)))+IF(CG6="X",10,IF(CG6="M",0,IF(ISNUMBER(CG6),CG6,0)))+IF(CH6="X",10,IF(CH6="M",0,IF(ISNUMBER(CH6),CH6,0)))+IF(CI6="X",10,IF(CI6="M",0,IF(ISNUMBER(CI6),CI6,0)))+IF(CJ6="X",10,IF(CJ6="M",0,IF(ISNUMBER(CJ6),CJ6,0)))+IF(CK6="X",10,IF(CK6="M",0,IF(ISNUMBER(CK6),CK6,0)))+IF(CM6="X",10,IF(CM6="M",0,IF(ISNUMBER(CM6),CM6,0)))+IF(CN6="X",10,IF(CN6="M",0,IF(ISNUMBER(CN6),CN6,0)))+IF(CO6="X",10,IF(CO6="M",0,IF(ISNUMBER(CO6),CO6,0)))+IF(CP6="X",10,IF(CP6="M",0,IF(ISNUMBER(CP6),CP6,0)))+IF(CQ6="X",10,IF(CQ6="M",0,IF(ISNUMBER(CQ6),CQ6,0)))+IF(CR6="X",10,IF(CR6="M",0,IF(ISNUMBER(CR6),CR6,0)))+IF(CT6="X",10,IF(CT6="M",0,IF(ISNUMBER(CT6),CT6,0)))+IF(CU6="X",10,IF(CU6="M",0,IF(ISNUMBER(CU6),CU6,0)))+IF(CV6="X",10,IF(CV6="M",0,IF(ISNUMBER(CV6),CV6,0)))+IF(CW6="X",10,IF(CW6="M",0,IF(ISNUMBER(CW6),CW6,0)))+IF(CX6="X",10,IF(CX6="M",0,IF(ISNUMBER(CX6),CX6,0)))+IF(CY6="X",10,IF(CY6="M",0,IF(ISNUMBER(CY6),CY6,0))),0)</f>
        <v>0</v>
      </c>
      <c r="DD6" s="68" t="str">
        <f>IFERROR(IF(DB6="DQ","DISQUALIFIED",IF(DB8="DQ","&gt;&gt; Advance",IF(DF8="BYE","&gt;&gt; Advance",IF(DF6="BYE","BYE",IF(DA6&gt;=6,"WIN",IF(DA8&gt;=6,"LOSS",IF(AND(ISNUMBER(CZ6),ISNUMBER(CZ8)),IF(CZ6&gt;CZ8,"WIN",IF(CZ6&lt;CZ8,"LOSS","Shoot-Off")),"Playing"))))))),"Error")</f>
        <v>&gt;&gt; Advance</v>
      </c>
      <c r="DF6" s="69" t="str">
        <f>IFERROR(IF(AND(BC6="BYE",BC8="BYE"),"BYE",""),"")</f>
        <v/>
      </c>
      <c r="DG6" s="61" t="s">
        <v>182</v>
      </c>
      <c r="DH6" s="106" t="str">
        <f>IFERROR(IF(DF6="BYE",IF(DF8="BYE","TBD",BE8),IF(DF8="BYE",BE6,IF(OR(DD6="WIN",DD6="&gt;&gt; Advance"),BE6,IF(OR(DD8="WIN",DD8="&gt;&gt; Advance"),BE8,"TBD")))),"TBD")</f>
        <v>Sheena Marie Monico</v>
      </c>
      <c r="DI6" s="106"/>
      <c r="DJ6" s="106"/>
      <c r="DK6" s="107" t="str">
        <f>IF(AND(DH6&lt;&gt;"TBD",DH6&lt;&gt;"",DH8&lt;&gt;"TBD",DH8&lt;&gt;"",FG6&lt;&gt;"&gt;&gt; Advance",FG8&lt;&gt;"&gt;&gt; Advance"),IF((B2-A2+1)&gt;=4,(A2+0)&amp;"",IF((B2-A2+1)&gt;=2,(A2+0)&amp;" L",(A2+MOD(0,(B2-A2+1)))&amp;CHAR(65+FLOOR(0/(B2-A2+1),1)*2)&amp;" (L)")),"")</f>
        <v/>
      </c>
      <c r="DL6" s="107"/>
      <c r="DM6" s="107"/>
      <c r="DN6" s="62"/>
      <c r="DO6" s="62"/>
      <c r="DP6" s="62"/>
      <c r="DQ6" s="62"/>
      <c r="DR6" s="62"/>
      <c r="DS6" s="62"/>
      <c r="DT6" s="63" t="str">
        <f>IF(OR(ISNUMBER(DN6),ISNUMBER(DO6),ISNUMBER(DP6),ISNUMBER(DQ6),ISNUMBER(DR6),ISNUMBER(DS6),DN6="X",DO6="X",DP6="X",DQ6="X",DR6="X",DS6="X",DN6="M",DO6="M",DP6="M",DQ6="M",DR6="M",DS6="M"),IF(DN6="X",10,IF(DN6="M",0,IF(ISNUMBER(DN6),DN6,0))) + IF(DO6="X",10,IF(DO6="M",0,IF(ISNUMBER(DO6),DO6,0))) + IF(DP6="X",10,IF(DP6="M",0,IF(ISNUMBER(DP6),DP6,0))) + IF(DQ6="X",10,IF(DQ6="M",0,IF(ISNUMBER(DQ6),DQ6,0))) + IF(DR6="X",10,IF(DR6="M",0,IF(ISNUMBER(DR6),DR6,0))) + IF(DS6="X",10,IF(DS6="M",0,IF(ISNUMBER(DS6),DS6,0))),"")</f>
        <v/>
      </c>
      <c r="DU6" s="62"/>
      <c r="DV6" s="62"/>
      <c r="DW6" s="62"/>
      <c r="DX6" s="62"/>
      <c r="DY6" s="62"/>
      <c r="DZ6" s="62"/>
      <c r="EA6" s="63" t="str">
        <f>IF(OR(ISNUMBER(DU6),ISNUMBER(DV6),ISNUMBER(DW6),ISNUMBER(DX6),ISNUMBER(DY6),ISNUMBER(DZ6),DU6="X",DV6="X",DW6="X",DX6="X",DY6="X",DZ6="X",DU6="M",DV6="M",DW6="M",DX6="M",DY6="M",DZ6="M"),IF(DU6="X",10,IF(DU6="M",0,IF(ISNUMBER(DU6),DU6,0))) + IF(DV6="X",10,IF(DV6="M",0,IF(ISNUMBER(DV6),DV6,0))) + IF(DW6="X",10,IF(DW6="M",0,IF(ISNUMBER(DW6),DW6,0))) + IF(DX6="X",10,IF(DX6="M",0,IF(ISNUMBER(DX6),DX6,0))) + IF(DY6="X",10,IF(DY6="M",0,IF(ISNUMBER(DY6),DY6,0))) + IF(DZ6="X",10,IF(DZ6="M",0,IF(ISNUMBER(DZ6),DZ6,0))),"")</f>
        <v/>
      </c>
      <c r="EB6" s="62"/>
      <c r="EC6" s="62"/>
      <c r="ED6" s="62"/>
      <c r="EE6" s="62"/>
      <c r="EF6" s="62"/>
      <c r="EG6" s="62"/>
      <c r="EH6" s="63" t="str">
        <f>IF(OR(ISNUMBER(EB6),ISNUMBER(EC6),ISNUMBER(ED6),ISNUMBER(EE6),ISNUMBER(EF6),ISNUMBER(EG6),EB6="X",EC6="X",ED6="X",EE6="X",EF6="X",EG6="X",EB6="M",EC6="M",ED6="M",EE6="M",EF6="M",EG6="M"),IF(EB6="X",10,IF(EB6="M",0,IF(ISNUMBER(EB6),EB6,0))) + IF(EC6="X",10,IF(EC6="M",0,IF(ISNUMBER(EC6),EC6,0))) + IF(ED6="X",10,IF(ED6="M",0,IF(ISNUMBER(ED6),ED6,0))) + IF(EE6="X",10,IF(EE6="M",0,IF(ISNUMBER(EE6),EE6,0))) + IF(EF6="X",10,IF(EF6="M",0,IF(ISNUMBER(EF6),EF6,0))) + IF(EG6="X",10,IF(EG6="M",0,IF(ISNUMBER(EG6),EG6,0))),"")</f>
        <v/>
      </c>
      <c r="EI6" s="62"/>
      <c r="EJ6" s="62"/>
      <c r="EK6" s="62"/>
      <c r="EL6" s="62"/>
      <c r="EM6" s="62"/>
      <c r="EN6" s="62"/>
      <c r="EO6" s="63" t="str">
        <f>IF(OR(ISNUMBER(EI6),ISNUMBER(EJ6),ISNUMBER(EK6),ISNUMBER(EL6),ISNUMBER(EM6),ISNUMBER(EN6),EI6="X",EJ6="X",EK6="X",EL6="X",EM6="X",EN6="X",EI6="M",EJ6="M",EK6="M",EL6="M",EM6="M",EN6="M"),IF(EI6="X",10,IF(EI6="M",0,IF(ISNUMBER(EI6),EI6,0))) + IF(EJ6="X",10,IF(EJ6="M",0,IF(ISNUMBER(EJ6),EJ6,0))) + IF(EK6="X",10,IF(EK6="M",0,IF(ISNUMBER(EK6),EK6,0))) + IF(EL6="X",10,IF(EL6="M",0,IF(ISNUMBER(EL6),EL6,0))) + IF(EM6="X",10,IF(EM6="M",0,IF(ISNUMBER(EM6),EM6,0))) + IF(EN6="X",10,IF(EN6="M",0,IF(ISNUMBER(EN6),EN6,0))),"")</f>
        <v/>
      </c>
      <c r="EP6" s="62"/>
      <c r="EQ6" s="62"/>
      <c r="ER6" s="62"/>
      <c r="ES6" s="62"/>
      <c r="ET6" s="62"/>
      <c r="EU6" s="62"/>
      <c r="EV6" s="63" t="str">
        <f>IF(OR(ISNUMBER(EP6),ISNUMBER(EQ6),ISNUMBER(ER6),ISNUMBER(ES6),ISNUMBER(ET6),ISNUMBER(EU6),EP6="X",EQ6="X",ER6="X",ES6="X",ET6="X",EU6="X",EP6="M",EQ6="M",ER6="M",ES6="M",ET6="M",EU6="M"),IF(EP6="X",10,IF(EP6="M",0,IF(ISNUMBER(EP6),EP6,0))) + IF(EQ6="X",10,IF(EQ6="M",0,IF(ISNUMBER(EQ6),EQ6,0))) + IF(ER6="X",10,IF(ER6="M",0,IF(ISNUMBER(ER6),ER6,0))) + IF(ES6="X",10,IF(ES6="M",0,IF(ISNUMBER(ES6),ES6,0))) + IF(ET6="X",10,IF(ET6="M",0,IF(ISNUMBER(ET6),ET6,0))) + IF(EU6="X",10,IF(EU6="M",0,IF(ISNUMBER(EU6),EU6,0))),"")</f>
        <v/>
      </c>
      <c r="EW6" s="64"/>
      <c r="EX6" s="64"/>
      <c r="EY6" s="64"/>
      <c r="EZ6" s="64"/>
      <c r="FA6" s="64"/>
      <c r="FB6" s="64"/>
      <c r="FC6" s="63" t="str">
        <f>IF(OR(ISNUMBER(EW6),ISNUMBER(EX6),ISNUMBER(EY6),ISNUMBER(EZ6),ISNUMBER(FA6),ISNUMBER(FB6),EW6="X",EX6="X",EY6="X",EZ6="X",FA6="X",FB6="X",EW6="M",EX6="M",EY6="M",EZ6="M",FA6="M",FB6="M"),IF(EW6="X",10,IF(EW6="M",0,IF(ISNUMBER(EW6),EW6,0))) + IF(EX6="X",10,IF(EX6="M",0,IF(ISNUMBER(EX6),EX6,0))) + IF(EY6="X",10,IF(EY6="M",0,IF(ISNUMBER(EY6),EY6,0))) + IF(EZ6="X",10,IF(EZ6="M",0,IF(ISNUMBER(EZ6),EZ6,0))) + IF(FA6="X",10,IF(FA6="M",0,IF(ISNUMBER(FA6),FA6,0))) + IF(FB6="X",10,IF(FB6="M",0,IF(ISNUMBER(FB6),FB6,0))),"")</f>
        <v/>
      </c>
      <c r="FD6" s="65">
        <f>IF(AND(ISNUMBER(DT6),ISNUMBER(DT8)),IF(DT6&gt;DT8,2,IF(DT6=DT8,1,0)),0)+IF(AND(ISNUMBER(EA6),ISNUMBER(EA8)),IF(EA6&gt;EA8,2,IF(EA6=EA8,1,0)),0)+IF(AND(ISNUMBER(EH6),ISNUMBER(EH8)),IF(EH6&gt;EH8,2,IF(EH6=EH8,1,0)),0)+IF(AND(ISNUMBER(EO6),ISNUMBER(EO8)),IF(EO6&gt;EO8,2,IF(EO6=EO8,1,0)),0)+IF(AND(ISNUMBER(EV6),ISNUMBER(EV8)),IF(EV6&gt;EV8,2,IF(EV6=EV8,1,0)),0)</f>
        <v>0</v>
      </c>
      <c r="FE6" s="66"/>
      <c r="FF6" s="67">
        <f>IF(FD6&gt;0,IF(DN6="X",10,IF(DN6="M",0,IF(ISNUMBER(DN6),DN6,0)))+IF(DO6="X",10,IF(DO6="M",0,IF(ISNUMBER(DO6),DO6,0)))+IF(DP6="X",10,IF(DP6="M",0,IF(ISNUMBER(DP6),DP6,0)))+IF(DQ6="X",10,IF(DQ6="M",0,IF(ISNUMBER(DQ6),DQ6,0)))+IF(DR6="X",10,IF(DR6="M",0,IF(ISNUMBER(DR6),DR6,0)))+IF(DS6="X",10,IF(DS6="M",0,IF(ISNUMBER(DS6),DS6,0)))+IF(DU6="X",10,IF(DU6="M",0,IF(ISNUMBER(DU6),DU6,0)))+IF(DV6="X",10,IF(DV6="M",0,IF(ISNUMBER(DV6),DV6,0)))+IF(DW6="X",10,IF(DW6="M",0,IF(ISNUMBER(DW6),DW6,0)))+IF(DX6="X",10,IF(DX6="M",0,IF(ISNUMBER(DX6),DX6,0)))+IF(DY6="X",10,IF(DY6="M",0,IF(ISNUMBER(DY6),DY6,0)))+IF(DZ6="X",10,IF(DZ6="M",0,IF(ISNUMBER(DZ6),DZ6,0)))+IF(EB6="X",10,IF(EB6="M",0,IF(ISNUMBER(EB6),EB6,0)))+IF(EC6="X",10,IF(EC6="M",0,IF(ISNUMBER(EC6),EC6,0)))+IF(ED6="X",10,IF(ED6="M",0,IF(ISNUMBER(ED6),ED6,0)))+IF(EE6="X",10,IF(EE6="M",0,IF(ISNUMBER(EE6),EE6,0)))+IF(EF6="X",10,IF(EF6="M",0,IF(ISNUMBER(EF6),EF6,0)))+IF(EG6="X",10,IF(EG6="M",0,IF(ISNUMBER(EG6),EG6,0)))+IF(EI6="X",10,IF(EI6="M",0,IF(ISNUMBER(EI6),EI6,0)))+IF(EJ6="X",10,IF(EJ6="M",0,IF(ISNUMBER(EJ6),EJ6,0)))+IF(EK6="X",10,IF(EK6="M",0,IF(ISNUMBER(EK6),EK6,0)))+IF(EL6="X",10,IF(EL6="M",0,IF(ISNUMBER(EL6),EL6,0)))+IF(EM6="X",10,IF(EM6="M",0,IF(ISNUMBER(EM6),EM6,0)))+IF(EN6="X",10,IF(EN6="M",0,IF(ISNUMBER(EN6),EN6,0)))+IF(EP6="X",10,IF(EP6="M",0,IF(ISNUMBER(EP6),EP6,0)))+IF(EQ6="X",10,IF(EQ6="M",0,IF(ISNUMBER(EQ6),EQ6,0)))+IF(ER6="X",10,IF(ER6="M",0,IF(ISNUMBER(ER6),ER6,0)))+IF(ES6="X",10,IF(ES6="M",0,IF(ISNUMBER(ES6),ES6,0)))+IF(ET6="X",10,IF(ET6="M",0,IF(ISNUMBER(ET6),ET6,0)))+IF(EU6="X",10,IF(EU6="M",0,IF(ISNUMBER(EU6),EU6,0)))+IF(EW6="X",10,IF(EW6="M",0,IF(ISNUMBER(EW6),EW6,0)))+IF(EX6="X",10,IF(EX6="M",0,IF(ISNUMBER(EX6),EX6,0)))+IF(EY6="X",10,IF(EY6="M",0,IF(ISNUMBER(EY6),EY6,0)))+IF(EZ6="X",10,IF(EZ6="M",0,IF(ISNUMBER(EZ6),EZ6,0)))+IF(FA6="X",10,IF(FA6="M",0,IF(ISNUMBER(FA6),FA6,0)))+IF(FB6="X",10,IF(FB6="M",0,IF(ISNUMBER(FB6),FB6,0))),0)</f>
        <v>0</v>
      </c>
      <c r="FG6" s="68" t="str">
        <f>IFERROR(IF(FE6="DQ","DISQUALIFIED",IF(FE8="DQ","&gt;&gt; Advance",IF(FI8="BYE","&gt;&gt; Advance",IF(FI6="BYE","BYE",IF(FD6&gt;=6,"WIN",IF(FD8&gt;=6,"LOSS",IF(AND(ISNUMBER(FC6),ISNUMBER(FC8)),IF(FC6&gt;FC8,"WIN",IF(FC6&lt;FC8,"LOSS","Shoot-Off")),"Playing"))))))),"Error")</f>
        <v>&gt;&gt; Advance</v>
      </c>
      <c r="FI6" s="69" t="str">
        <f>IFERROR(IF(AND(DF6="BYE",DF8="BYE"),"BYE",""),"")</f>
        <v/>
      </c>
      <c r="FJ6" s="70" t="s">
        <v>183</v>
      </c>
      <c r="FK6" s="106" t="str">
        <f>IFERROR(IF(FI6="BYE",IF(FI8="BYE","TBD",DH8),IF(FI8="BYE",DH6,IF(OR(FG6="WIN",FG6="&gt;&gt; Advance"),DH6,IF(OR(FG8="WIN",FG8="&gt;&gt; Advance"),DH8,"TBD")))),"TBD")</f>
        <v>Sheena Marie Monico</v>
      </c>
      <c r="FL6" s="106"/>
      <c r="FM6" s="106"/>
      <c r="FN6" s="107" t="str">
        <f>IF(AND(FK6&lt;&gt;"TBD",FK6&lt;&gt;"",FK8&lt;&gt;"TBD",FK8&lt;&gt;"",HJ6&lt;&gt;"&gt;&gt; Advance",HJ8&lt;&gt;"&gt;&gt; Advance"),IF((B2-A2+1)&gt;=4,(A2+0)&amp;"",IF((B2-A2+1)&gt;=2,(A2+0)&amp;" L",(A2+MOD(0,(B2-A2+1)))&amp;CHAR(65+FLOOR(0/(B2-A2+1),1)*2)&amp;" (L)")),"")</f>
        <v/>
      </c>
      <c r="FO6" s="107"/>
      <c r="FP6" s="107"/>
      <c r="FQ6" s="62"/>
      <c r="FR6" s="62"/>
      <c r="FS6" s="62"/>
      <c r="FT6" s="62"/>
      <c r="FU6" s="62"/>
      <c r="FV6" s="62"/>
      <c r="FW6" s="63" t="str">
        <f>IF(OR(ISNUMBER(FQ6),ISNUMBER(FR6),ISNUMBER(FS6),ISNUMBER(FT6),ISNUMBER(FU6),ISNUMBER(FV6),FQ6="X",FR6="X",FS6="X",FT6="X",FU6="X",FV6="X",FQ6="M",FR6="M",FS6="M",FT6="M",FU6="M",FV6="M"),IF(FQ6="X",10,IF(FQ6="M",0,IF(ISNUMBER(FQ6),FQ6,0))) + IF(FR6="X",10,IF(FR6="M",0,IF(ISNUMBER(FR6),FR6,0))) + IF(FS6="X",10,IF(FS6="M",0,IF(ISNUMBER(FS6),FS6,0))) + IF(FT6="X",10,IF(FT6="M",0,IF(ISNUMBER(FT6),FT6,0))) + IF(FU6="X",10,IF(FU6="M",0,IF(ISNUMBER(FU6),FU6,0))) + IF(FV6="X",10,IF(FV6="M",0,IF(ISNUMBER(FV6),FV6,0))),"")</f>
        <v/>
      </c>
      <c r="FX6" s="62"/>
      <c r="FY6" s="62"/>
      <c r="FZ6" s="62"/>
      <c r="GA6" s="62"/>
      <c r="GB6" s="62"/>
      <c r="GC6" s="62"/>
      <c r="GD6" s="63" t="str">
        <f>IF(OR(ISNUMBER(FX6),ISNUMBER(FY6),ISNUMBER(FZ6),ISNUMBER(GA6),ISNUMBER(GB6),ISNUMBER(GC6),FX6="X",FY6="X",FZ6="X",GA6="X",GB6="X",GC6="X",FX6="M",FY6="M",FZ6="M",GA6="M",GB6="M",GC6="M"),IF(FX6="X",10,IF(FX6="M",0,IF(ISNUMBER(FX6),FX6,0))) + IF(FY6="X",10,IF(FY6="M",0,IF(ISNUMBER(FY6),FY6,0))) + IF(FZ6="X",10,IF(FZ6="M",0,IF(ISNUMBER(FZ6),FZ6,0))) + IF(GA6="X",10,IF(GA6="M",0,IF(ISNUMBER(GA6),GA6,0))) + IF(GB6="X",10,IF(GB6="M",0,IF(ISNUMBER(GB6),GB6,0))) + IF(GC6="X",10,IF(GC6="M",0,IF(ISNUMBER(GC6),GC6,0))),"")</f>
        <v/>
      </c>
      <c r="GE6" s="62"/>
      <c r="GF6" s="62"/>
      <c r="GG6" s="62"/>
      <c r="GH6" s="62"/>
      <c r="GI6" s="62"/>
      <c r="GJ6" s="62"/>
      <c r="GK6" s="63" t="str">
        <f>IF(OR(ISNUMBER(GE6),ISNUMBER(GF6),ISNUMBER(GG6),ISNUMBER(GH6),ISNUMBER(GI6),ISNUMBER(GJ6),GE6="X",GF6="X",GG6="X",GH6="X",GI6="X",GJ6="X",GE6="M",GF6="M",GG6="M",GH6="M",GI6="M",GJ6="M"),IF(GE6="X",10,IF(GE6="M",0,IF(ISNUMBER(GE6),GE6,0))) + IF(GF6="X",10,IF(GF6="M",0,IF(ISNUMBER(GF6),GF6,0))) + IF(GG6="X",10,IF(GG6="M",0,IF(ISNUMBER(GG6),GG6,0))) + IF(GH6="X",10,IF(GH6="M",0,IF(ISNUMBER(GH6),GH6,0))) + IF(GI6="X",10,IF(GI6="M",0,IF(ISNUMBER(GI6),GI6,0))) + IF(GJ6="X",10,IF(GJ6="M",0,IF(ISNUMBER(GJ6),GJ6,0))),"")</f>
        <v/>
      </c>
      <c r="GL6" s="62"/>
      <c r="GM6" s="62"/>
      <c r="GN6" s="62"/>
      <c r="GO6" s="62"/>
      <c r="GP6" s="62"/>
      <c r="GQ6" s="62"/>
      <c r="GR6" s="63" t="str">
        <f>IF(OR(ISNUMBER(GL6),ISNUMBER(GM6),ISNUMBER(GN6),ISNUMBER(GO6),ISNUMBER(GP6),ISNUMBER(GQ6),GL6="X",GM6="X",GN6="X",GO6="X",GP6="X",GQ6="X",GL6="M",GM6="M",GN6="M",GO6="M",GP6="M",GQ6="M"),IF(GL6="X",10,IF(GL6="M",0,IF(ISNUMBER(GL6),GL6,0))) + IF(GM6="X",10,IF(GM6="M",0,IF(ISNUMBER(GM6),GM6,0))) + IF(GN6="X",10,IF(GN6="M",0,IF(ISNUMBER(GN6),GN6,0))) + IF(GO6="X",10,IF(GO6="M",0,IF(ISNUMBER(GO6),GO6,0))) + IF(GP6="X",10,IF(GP6="M",0,IF(ISNUMBER(GP6),GP6,0))) + IF(GQ6="X",10,IF(GQ6="M",0,IF(ISNUMBER(GQ6),GQ6,0))),"")</f>
        <v/>
      </c>
      <c r="GS6" s="62"/>
      <c r="GT6" s="62"/>
      <c r="GU6" s="62"/>
      <c r="GV6" s="62"/>
      <c r="GW6" s="62"/>
      <c r="GX6" s="62"/>
      <c r="GY6" s="63" t="str">
        <f>IF(OR(ISNUMBER(GS6),ISNUMBER(GT6),ISNUMBER(GU6),ISNUMBER(GV6),ISNUMBER(GW6),ISNUMBER(GX6),GS6="X",GT6="X",GU6="X",GV6="X",GW6="X",GX6="X",GS6="M",GT6="M",GU6="M",GV6="M",GW6="M",GX6="M"),IF(GS6="X",10,IF(GS6="M",0,IF(ISNUMBER(GS6),GS6,0))) + IF(GT6="X",10,IF(GT6="M",0,IF(ISNUMBER(GT6),GT6,0))) + IF(GU6="X",10,IF(GU6="M",0,IF(ISNUMBER(GU6),GU6,0))) + IF(GV6="X",10,IF(GV6="M",0,IF(ISNUMBER(GV6),GV6,0))) + IF(GW6="X",10,IF(GW6="M",0,IF(ISNUMBER(GW6),GW6,0))) + IF(GX6="X",10,IF(GX6="M",0,IF(ISNUMBER(GX6),GX6,0))),"")</f>
        <v/>
      </c>
      <c r="GZ6" s="64"/>
      <c r="HA6" s="64"/>
      <c r="HB6" s="64"/>
      <c r="HC6" s="64"/>
      <c r="HD6" s="64"/>
      <c r="HE6" s="64"/>
      <c r="HF6" s="63" t="str">
        <f>IF(OR(ISNUMBER(GZ6),ISNUMBER(HA6),ISNUMBER(HB6),ISNUMBER(HC6),ISNUMBER(HD6),ISNUMBER(HE6),GZ6="X",HA6="X",HB6="X",HC6="X",HD6="X",HE6="X",GZ6="M",HA6="M",HB6="M",HC6="M",HD6="M",HE6="M"),IF(GZ6="X",10,IF(GZ6="M",0,IF(ISNUMBER(GZ6),GZ6,0))) + IF(HA6="X",10,IF(HA6="M",0,IF(ISNUMBER(HA6),HA6,0))) + IF(HB6="X",10,IF(HB6="M",0,IF(ISNUMBER(HB6),HB6,0))) + IF(HC6="X",10,IF(HC6="M",0,IF(ISNUMBER(HC6),HC6,0))) + IF(HD6="X",10,IF(HD6="M",0,IF(ISNUMBER(HD6),HD6,0))) + IF(HE6="X",10,IF(HE6="M",0,IF(ISNUMBER(HE6),HE6,0))),"")</f>
        <v/>
      </c>
      <c r="HG6" s="65">
        <f>IF(AND(ISNUMBER(FW6),ISNUMBER(FW8)),IF(FW6&gt;FW8,2,IF(FW6=FW8,1,0)),0)+IF(AND(ISNUMBER(GD6),ISNUMBER(GD8)),IF(GD6&gt;GD8,2,IF(GD6=GD8,1,0)),0)+IF(AND(ISNUMBER(GK6),ISNUMBER(GK8)),IF(GK6&gt;GK8,2,IF(GK6=GK8,1,0)),0)+IF(AND(ISNUMBER(GR6),ISNUMBER(GR8)),IF(GR6&gt;GR8,2,IF(GR6=GR8,1,0)),0)+IF(AND(ISNUMBER(GY6),ISNUMBER(GY8)),IF(GY6&gt;GY8,2,IF(GY6=GY8,1,0)),0)</f>
        <v>0</v>
      </c>
      <c r="HH6" s="66"/>
      <c r="HI6" s="67">
        <f>IF(HG6&gt;0,IF(FQ6="X",10,IF(FQ6="M",0,IF(ISNUMBER(FQ6),FQ6,0)))+IF(FR6="X",10,IF(FR6="M",0,IF(ISNUMBER(FR6),FR6,0)))+IF(FS6="X",10,IF(FS6="M",0,IF(ISNUMBER(FS6),FS6,0)))+IF(FT6="X",10,IF(FT6="M",0,IF(ISNUMBER(FT6),FT6,0)))+IF(FU6="X",10,IF(FU6="M",0,IF(ISNUMBER(FU6),FU6,0)))+IF(FV6="X",10,IF(FV6="M",0,IF(ISNUMBER(FV6),FV6,0)))+IF(FX6="X",10,IF(FX6="M",0,IF(ISNUMBER(FX6),FX6,0)))+IF(FY6="X",10,IF(FY6="M",0,IF(ISNUMBER(FY6),FY6,0)))+IF(FZ6="X",10,IF(FZ6="M",0,IF(ISNUMBER(FZ6),FZ6,0)))+IF(GA6="X",10,IF(GA6="M",0,IF(ISNUMBER(GA6),GA6,0)))+IF(GB6="X",10,IF(GB6="M",0,IF(ISNUMBER(GB6),GB6,0)))+IF(GC6="X",10,IF(GC6="M",0,IF(ISNUMBER(GC6),GC6,0)))+IF(GE6="X",10,IF(GE6="M",0,IF(ISNUMBER(GE6),GE6,0)))+IF(GF6="X",10,IF(GF6="M",0,IF(ISNUMBER(GF6),GF6,0)))+IF(GG6="X",10,IF(GG6="M",0,IF(ISNUMBER(GG6),GG6,0)))+IF(GH6="X",10,IF(GH6="M",0,IF(ISNUMBER(GH6),GH6,0)))+IF(GI6="X",10,IF(GI6="M",0,IF(ISNUMBER(GI6),GI6,0)))+IF(GJ6="X",10,IF(GJ6="M",0,IF(ISNUMBER(GJ6),GJ6,0)))+IF(GL6="X",10,IF(GL6="M",0,IF(ISNUMBER(GL6),GL6,0)))+IF(GM6="X",10,IF(GM6="M",0,IF(ISNUMBER(GM6),GM6,0)))+IF(GN6="X",10,IF(GN6="M",0,IF(ISNUMBER(GN6),GN6,0)))+IF(GO6="X",10,IF(GO6="M",0,IF(ISNUMBER(GO6),GO6,0)))+IF(GP6="X",10,IF(GP6="M",0,IF(ISNUMBER(GP6),GP6,0)))+IF(GQ6="X",10,IF(GQ6="M",0,IF(ISNUMBER(GQ6),GQ6,0)))+IF(GS6="X",10,IF(GS6="M",0,IF(ISNUMBER(GS6),GS6,0)))+IF(GT6="X",10,IF(GT6="M",0,IF(ISNUMBER(GT6),GT6,0)))+IF(GU6="X",10,IF(GU6="M",0,IF(ISNUMBER(GU6),GU6,0)))+IF(GV6="X",10,IF(GV6="M",0,IF(ISNUMBER(GV6),GV6,0)))+IF(GW6="X",10,IF(GW6="M",0,IF(ISNUMBER(GW6),GW6,0)))+IF(GX6="X",10,IF(GX6="M",0,IF(ISNUMBER(GX6),GX6,0)))+IF(GZ6="X",10,IF(GZ6="M",0,IF(ISNUMBER(GZ6),GZ6,0)))+IF(HA6="X",10,IF(HA6="M",0,IF(ISNUMBER(HA6),HA6,0)))+IF(HB6="X",10,IF(HB6="M",0,IF(ISNUMBER(HB6),HB6,0)))+IF(HC6="X",10,IF(HC6="M",0,IF(ISNUMBER(HC6),HC6,0)))+IF(HD6="X",10,IF(HD6="M",0,IF(ISNUMBER(HD6),HD6,0)))+IF(HE6="X",10,IF(HE6="M",0,IF(ISNUMBER(HE6),HE6,0))),0)</f>
        <v>0</v>
      </c>
      <c r="HJ6" s="68" t="str">
        <f>IFERROR(IF(HH6="DQ","DISQUALIFIED",IF(HH8="DQ","&gt;&gt; Advance",IF(HL8="BYE","&gt;&gt; Advance",IF(HL6="BYE","BYE",IF(HG6&gt;=6,"WIN",IF(HG8&gt;=6,"LOSS",IF(AND(ISNUMBER(HF6),ISNUMBER(HF8)),IF(HF6&gt;HF8,"WIN",IF(HF6&lt;HF8,"LOSS","Shoot-Off")),"Playing"))))))),"Error")</f>
        <v>&gt;&gt; Advance</v>
      </c>
      <c r="HL6" s="69" t="str">
        <f>IFERROR(IF(AND(FI6="BYE",FI8="BYE"),"BYE",""),"")</f>
        <v/>
      </c>
      <c r="HM6" s="108" t="str">
        <f>IFERROR(IF(HL6="BYE",IF(HL8="BYE","TBD",FK8),IF(HL8="BYE",FK6,IF(OR(HJ6="WIN",HJ6="&gt;&gt; Advance"),FK6,IF(OR(HJ8="WIN",HJ8="&gt;&gt; Advance"),FK8,"TBD")))),"TBD")</f>
        <v>Sheena Marie Monico</v>
      </c>
      <c r="HN6" s="108"/>
      <c r="HO6" s="108"/>
      <c r="HP6" s="108"/>
      <c r="HQ6" s="108"/>
      <c r="HR6" s="108"/>
      <c r="HS6" s="108"/>
      <c r="HT6" s="108"/>
      <c r="HU6" s="108"/>
      <c r="HV6" s="108"/>
      <c r="HW6" s="108"/>
      <c r="HX6" s="108"/>
      <c r="HY6" s="108"/>
      <c r="HZ6" s="108"/>
      <c r="IA6" s="108"/>
      <c r="IB6" s="108"/>
    </row>
    <row r="7" spans="1:237" ht="3" customHeight="1" x14ac:dyDescent="0.35">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c r="EO7" s="71"/>
      <c r="EP7" s="71"/>
      <c r="EQ7" s="71"/>
      <c r="ER7" s="71"/>
      <c r="ES7" s="71"/>
      <c r="ET7" s="71"/>
      <c r="EU7" s="71"/>
      <c r="EV7" s="71"/>
      <c r="EW7" s="71"/>
      <c r="EX7" s="71"/>
      <c r="EY7" s="71"/>
      <c r="EZ7" s="71"/>
      <c r="FA7" s="71"/>
      <c r="FB7" s="71"/>
      <c r="FC7" s="71"/>
      <c r="FD7" s="71"/>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c r="GE7" s="71"/>
      <c r="GF7" s="71"/>
      <c r="GG7" s="71"/>
      <c r="GH7" s="71"/>
      <c r="GI7" s="71"/>
      <c r="GJ7" s="71"/>
      <c r="GK7" s="71"/>
      <c r="GL7" s="71"/>
      <c r="GM7" s="71"/>
      <c r="GN7" s="71"/>
      <c r="GO7" s="71"/>
      <c r="GP7" s="71"/>
      <c r="GQ7" s="71"/>
      <c r="GR7" s="71"/>
      <c r="GS7" s="71"/>
      <c r="GT7" s="71"/>
      <c r="GU7" s="71"/>
      <c r="GV7" s="71"/>
      <c r="GW7" s="71"/>
      <c r="GX7" s="71"/>
      <c r="GY7" s="71"/>
      <c r="GZ7" s="71"/>
      <c r="HA7" s="71"/>
      <c r="HB7" s="71"/>
      <c r="HC7" s="71"/>
      <c r="HD7" s="71"/>
      <c r="HE7" s="71"/>
      <c r="HF7" s="71"/>
      <c r="HG7" s="71"/>
      <c r="HH7" s="71"/>
      <c r="HI7" s="71"/>
      <c r="HJ7" s="71"/>
      <c r="HK7" s="71"/>
      <c r="HL7" s="71"/>
      <c r="HM7" s="108"/>
      <c r="HN7" s="108"/>
      <c r="HO7" s="108"/>
      <c r="HP7" s="108"/>
      <c r="HQ7" s="108"/>
      <c r="HR7" s="108"/>
      <c r="HS7" s="108"/>
      <c r="HT7" s="108"/>
      <c r="HU7" s="108"/>
      <c r="HV7" s="108"/>
      <c r="HW7" s="108"/>
      <c r="HX7" s="108"/>
      <c r="HY7" s="108"/>
      <c r="HZ7" s="108"/>
      <c r="IA7" s="108"/>
      <c r="IB7" s="108"/>
    </row>
    <row r="8" spans="1:237" ht="15.75" customHeight="1" x14ac:dyDescent="0.35">
      <c r="A8" s="61" t="str">
        <f>IFERROR(IF(INDEX('Beginner Adv 15M - Teams'!$L:$L,MATCH(16,'Beginner Adv 15M - Teams'!$A:$A,0))="Yes","BYE",IF(OR(INDEX('Beginner Adv 15M - Teams'!$B:$B,MATCH(16,'Beginner Adv 15M - Teams'!$A:$A,0))="",ISERROR(MATCH(16,'Beginner Adv 15M - Teams'!$A:$A,0))),"BYE","#16")),"BYE")</f>
        <v>BYE</v>
      </c>
      <c r="B8" s="106" t="str">
        <f>IFERROR(IF(INDEX('Beginner Adv 15M - Teams'!$L:$L,MATCH(16,'Beginner Adv 15M - Teams'!$A:$A,0))="Yes","",IF(INDEX('Beginner Adv 15M - Teams'!$N:$N,MATCH(16,'Beginner Adv 15M - Teams'!$A:$A,0))&lt;&gt;"",INDEX('Beginner Adv 15M - Teams'!$N:$N,MATCH(16,'Beginner Adv 15M - Teams'!$A:$A,0)),IF(INDEX('Beginner Adv 15M - Teams'!$B:$B,MATCH(16,'Beginner Adv 15M - Teams'!$A:$A,0))="","",INDEX('Beginner Adv 15M - Teams'!$B:$B,MATCH(16,'Beginner Adv 15M - Teams'!$A:$A,0))))),"")</f>
        <v/>
      </c>
      <c r="C8" s="106"/>
      <c r="D8" s="106"/>
      <c r="E8" s="107" t="str">
        <f>IF(OR(A8="BYE",BA8="&gt;&gt; Advance"),"",IF((B2-A2+1)&gt;=8,(A2+MOD(INT((SUMPRODUCT(IF(A6&lt;&gt;"BYE",IF(A6&lt;&gt;"",IF(BA6&lt;&gt;"&gt;&gt; Advance",1,0),0),0)+IF(A8&lt;&gt;"BYE",IF(A8&lt;&gt;"",IF(BA8&lt;&gt;"&gt;&gt; Advance",1,0),0),0))-1)/2),(B2-A2+1)))&amp;IF((MOD(SUMPRODUCT(IF(A6&lt;&gt;"BYE",IF(A6&lt;&gt;"",IF(BA6&lt;&gt;"&gt;&gt; Advance",1,0),0),0)+IF(A8&lt;&gt;"BYE",IF(A8&lt;&gt;"",IF(BA8&lt;&gt;"&gt;&gt; Advance",1,0),0),0))-1,2)=0)," L"," R"),(A2+MOD(INT((SUMPRODUCT(IF(A6&lt;&gt;"BYE",IF(A6&lt;&gt;"",IF(BA6&lt;&gt;"&gt;&gt; Advance",1,0),0),0)+IF(A8&lt;&gt;"BYE",IF(A8&lt;&gt;"",IF(BA8&lt;&gt;"&gt;&gt; Advance",1,0),0),0))-1)/2),(B2-A2+1)))&amp;CHAR(65+FLOOR(INT((SUMPRODUCT(IF(A6&lt;&gt;"BYE",IF(A6&lt;&gt;"",IF(BA6&lt;&gt;"&gt;&gt; Advance",1,0),0),0)+IF(A8&lt;&gt;"BYE",IF(A8&lt;&gt;"",IF(BA8&lt;&gt;"&gt;&gt; Advance",1,0),0),0))-1)/2)/(B2-A2+1),1)*2+MOD(SUMPRODUCT(IF(A6&lt;&gt;"BYE",IF(A6&lt;&gt;"",IF(BA6&lt;&gt;"&gt;&gt; Advance",1,0),0),0)+IF(A8&lt;&gt;"BYE",IF(A8&lt;&gt;"",IF(BA8&lt;&gt;"&gt;&gt; Advance",1,0),0),0))-1,2))&amp;IF((MOD(SUMPRODUCT(IF(A6&lt;&gt;"BYE",IF(A6&lt;&gt;"",IF(BA6&lt;&gt;"&gt;&gt; Advance",1,0),0),0)+IF(A8&lt;&gt;"BYE",IF(A8&lt;&gt;"",IF(BA8&lt;&gt;"&gt;&gt; Advance",1,0),0),0))-1,2)=0)," (L)"," (R)")))</f>
        <v/>
      </c>
      <c r="F8" s="107"/>
      <c r="G8" s="107"/>
      <c r="H8" s="62"/>
      <c r="I8" s="62"/>
      <c r="J8" s="62"/>
      <c r="K8" s="62"/>
      <c r="L8" s="62"/>
      <c r="M8" s="62"/>
      <c r="N8" s="63" t="str">
        <f>IF(OR(ISNUMBER(H8),ISNUMBER(I8),ISNUMBER(J8),ISNUMBER(K8),ISNUMBER(L8),ISNUMBER(M8),H8="X",I8="X",J8="X",K8="X",L8="X",M8="X",H8="M",I8="M",J8="M",K8="M",L8="M",M8="M"),IF(H8="X",10,IF(H8="M",0,IF(ISNUMBER(H8),H8,0))) + IF(I8="X",10,IF(I8="M",0,IF(ISNUMBER(I8),I8,0))) + IF(J8="X",10,IF(J8="M",0,IF(ISNUMBER(J8),J8,0))) + IF(K8="X",10,IF(K8="M",0,IF(ISNUMBER(K8),K8,0))) + IF(L8="X",10,IF(L8="M",0,IF(ISNUMBER(L8),L8,0))) + IF(M8="X",10,IF(M8="M",0,IF(ISNUMBER(M8),M8,0))),"")</f>
        <v/>
      </c>
      <c r="O8" s="62"/>
      <c r="P8" s="62"/>
      <c r="Q8" s="62"/>
      <c r="R8" s="62"/>
      <c r="S8" s="62"/>
      <c r="T8" s="62"/>
      <c r="U8" s="63" t="str">
        <f>IF(OR(ISNUMBER(O8),ISNUMBER(P8),ISNUMBER(Q8),ISNUMBER(R8),ISNUMBER(S8),ISNUMBER(T8),O8="X",P8="X",Q8="X",R8="X",S8="X",T8="X",O8="M",P8="M",Q8="M",R8="M",S8="M",T8="M"),IF(O8="X",10,IF(O8="M",0,IF(ISNUMBER(O8),O8,0))) + IF(P8="X",10,IF(P8="M",0,IF(ISNUMBER(P8),P8,0))) + IF(Q8="X",10,IF(Q8="M",0,IF(ISNUMBER(Q8),Q8,0))) + IF(R8="X",10,IF(R8="M",0,IF(ISNUMBER(R8),R8,0))) + IF(S8="X",10,IF(S8="M",0,IF(ISNUMBER(S8),S8,0))) + IF(T8="X",10,IF(T8="M",0,IF(ISNUMBER(T8),T8,0))),"")</f>
        <v/>
      </c>
      <c r="V8" s="62"/>
      <c r="W8" s="62"/>
      <c r="X8" s="62"/>
      <c r="Y8" s="62"/>
      <c r="Z8" s="62"/>
      <c r="AA8" s="62"/>
      <c r="AB8" s="63" t="str">
        <f>IF(OR(ISNUMBER(V8),ISNUMBER(W8),ISNUMBER(X8),ISNUMBER(Y8),ISNUMBER(Z8),ISNUMBER(AA8),V8="X",W8="X",X8="X",Y8="X",Z8="X",AA8="X",V8="M",W8="M",X8="M",Y8="M",Z8="M",AA8="M"),IF(V8="X",10,IF(V8="M",0,IF(ISNUMBER(V8),V8,0))) + IF(W8="X",10,IF(W8="M",0,IF(ISNUMBER(W8),W8,0))) + IF(X8="X",10,IF(X8="M",0,IF(ISNUMBER(X8),X8,0))) + IF(Y8="X",10,IF(Y8="M",0,IF(ISNUMBER(Y8),Y8,0))) + IF(Z8="X",10,IF(Z8="M",0,IF(ISNUMBER(Z8),Z8,0))) + IF(AA8="X",10,IF(AA8="M",0,IF(ISNUMBER(AA8),AA8,0))),"")</f>
        <v/>
      </c>
      <c r="AC8" s="62"/>
      <c r="AD8" s="62"/>
      <c r="AE8" s="62"/>
      <c r="AF8" s="62"/>
      <c r="AG8" s="62"/>
      <c r="AH8" s="62"/>
      <c r="AI8" s="63" t="str">
        <f>IF(OR(ISNUMBER(AC8),ISNUMBER(AD8),ISNUMBER(AE8),ISNUMBER(AF8),ISNUMBER(AG8),ISNUMBER(AH8),AC8="X",AD8="X",AE8="X",AF8="X",AG8="X",AH8="X",AC8="M",AD8="M",AE8="M",AF8="M",AG8="M",AH8="M"),IF(AC8="X",10,IF(AC8="M",0,IF(ISNUMBER(AC8),AC8,0))) + IF(AD8="X",10,IF(AD8="M",0,IF(ISNUMBER(AD8),AD8,0))) + IF(AE8="X",10,IF(AE8="M",0,IF(ISNUMBER(AE8),AE8,0))) + IF(AF8="X",10,IF(AF8="M",0,IF(ISNUMBER(AF8),AF8,0))) + IF(AG8="X",10,IF(AG8="M",0,IF(ISNUMBER(AG8),AG8,0))) + IF(AH8="X",10,IF(AH8="M",0,IF(ISNUMBER(AH8),AH8,0))),"")</f>
        <v/>
      </c>
      <c r="AJ8" s="62"/>
      <c r="AK8" s="62"/>
      <c r="AL8" s="62"/>
      <c r="AM8" s="62"/>
      <c r="AN8" s="62"/>
      <c r="AO8" s="62"/>
      <c r="AP8" s="63" t="str">
        <f>IF(OR(ISNUMBER(AJ8),ISNUMBER(AK8),ISNUMBER(AL8),ISNUMBER(AM8),ISNUMBER(AN8),ISNUMBER(AO8),AJ8="X",AK8="X",AL8="X",AM8="X",AN8="X",AO8="X",AJ8="M",AK8="M",AL8="M",AM8="M",AN8="M",AO8="M"),IF(AJ8="X",10,IF(AJ8="M",0,IF(ISNUMBER(AJ8),AJ8,0))) + IF(AK8="X",10,IF(AK8="M",0,IF(ISNUMBER(AK8),AK8,0))) + IF(AL8="X",10,IF(AL8="M",0,IF(ISNUMBER(AL8),AL8,0))) + IF(AM8="X",10,IF(AM8="M",0,IF(ISNUMBER(AM8),AM8,0))) + IF(AN8="X",10,IF(AN8="M",0,IF(ISNUMBER(AN8),AN8,0))) + IF(AO8="X",10,IF(AO8="M",0,IF(ISNUMBER(AO8),AO8,0))),"")</f>
        <v/>
      </c>
      <c r="AQ8" s="64"/>
      <c r="AR8" s="64"/>
      <c r="AS8" s="64"/>
      <c r="AT8" s="64"/>
      <c r="AU8" s="64"/>
      <c r="AV8" s="64"/>
      <c r="AW8" s="63" t="str">
        <f>IF(OR(ISNUMBER(AQ8),ISNUMBER(AR8),ISNUMBER(AS8),ISNUMBER(AT8),ISNUMBER(AU8),ISNUMBER(AV8),AQ8="X",AR8="X",AS8="X",AT8="X",AU8="X",AV8="X",AQ8="M",AR8="M",AS8="M",AT8="M",AU8="M",AV8="M"),IF(AQ8="X",10,IF(AQ8="M",0,IF(ISNUMBER(AQ8),AQ8,0))) + IF(AR8="X",10,IF(AR8="M",0,IF(ISNUMBER(AR8),AR8,0))) + IF(AS8="X",10,IF(AS8="M",0,IF(ISNUMBER(AS8),AS8,0))) + IF(AT8="X",10,IF(AT8="M",0,IF(ISNUMBER(AT8),AT8,0))) + IF(AU8="X",10,IF(AU8="M",0,IF(ISNUMBER(AU8),AU8,0))) + IF(AV8="X",10,IF(AV8="M",0,IF(ISNUMBER(AV8),AV8,0))),"")</f>
        <v/>
      </c>
      <c r="AX8" s="65">
        <f>IF(AND(ISNUMBER(N8),ISNUMBER(N6)),IF(N8&gt;N6,2,IF(N8=N6,1,0)),0)+IF(AND(ISNUMBER(U8),ISNUMBER(U6)),IF(U8&gt;U6,2,IF(U8=U6,1,0)),0)+IF(AND(ISNUMBER(AB8),ISNUMBER(AB6)),IF(AB8&gt;AB6,2,IF(AB8=AB6,1,0)),0)+IF(AND(ISNUMBER(AI8),ISNUMBER(AI6)),IF(AI8&gt;AI6,2,IF(AI8=AI6,1,0)),0)+IF(AND(ISNUMBER(AP8),ISNUMBER(AP6)),IF(AP8&gt;AP6,2,IF(AP8=AP6,1,0)),0)</f>
        <v>0</v>
      </c>
      <c r="AY8" s="66"/>
      <c r="AZ8" s="67">
        <f>IF(AX8&gt;0,IF(H8="X",10,IF(H8="M",0,IF(ISNUMBER(H8),H8,0)))+IF(I8="X",10,IF(I8="M",0,IF(ISNUMBER(I8),I8,0)))+IF(J8="X",10,IF(J8="M",0,IF(ISNUMBER(J8),J8,0)))+IF(K8="X",10,IF(K8="M",0,IF(ISNUMBER(K8),K8,0)))+IF(L8="X",10,IF(L8="M",0,IF(ISNUMBER(L8),L8,0)))+IF(M8="X",10,IF(M8="M",0,IF(ISNUMBER(M8),M8,0)))+IF(O8="X",10,IF(O8="M",0,IF(ISNUMBER(O8),O8,0)))+IF(P8="X",10,IF(P8="M",0,IF(ISNUMBER(P8),P8,0)))+IF(Q8="X",10,IF(Q8="M",0,IF(ISNUMBER(Q8),Q8,0)))+IF(R8="X",10,IF(R8="M",0,IF(ISNUMBER(R8),R8,0)))+IF(S8="X",10,IF(S8="M",0,IF(ISNUMBER(S8),S8,0)))+IF(T8="X",10,IF(T8="M",0,IF(ISNUMBER(T8),T8,0)))+IF(V8="X",10,IF(V8="M",0,IF(ISNUMBER(V8),V8,0)))+IF(W8="X",10,IF(W8="M",0,IF(ISNUMBER(W8),W8,0)))+IF(X8="X",10,IF(X8="M",0,IF(ISNUMBER(X8),X8,0)))+IF(Y8="X",10,IF(Y8="M",0,IF(ISNUMBER(Y8),Y8,0)))+IF(Z8="X",10,IF(Z8="M",0,IF(ISNUMBER(Z8),Z8,0)))+IF(AA8="X",10,IF(AA8="M",0,IF(ISNUMBER(AA8),AA8,0)))+IF(AC8="X",10,IF(AC8="M",0,IF(ISNUMBER(AC8),AC8,0)))+IF(AD8="X",10,IF(AD8="M",0,IF(ISNUMBER(AD8),AD8,0)))+IF(AE8="X",10,IF(AE8="M",0,IF(ISNUMBER(AE8),AE8,0)))+IF(AF8="X",10,IF(AF8="M",0,IF(ISNUMBER(AF8),AF8,0)))+IF(AG8="X",10,IF(AG8="M",0,IF(ISNUMBER(AG8),AG8,0)))+IF(AH8="X",10,IF(AH8="M",0,IF(ISNUMBER(AH8),AH8,0)))+IF(AJ8="X",10,IF(AJ8="M",0,IF(ISNUMBER(AJ8),AJ8,0)))+IF(AK8="X",10,IF(AK8="M",0,IF(ISNUMBER(AK8),AK8,0)))+IF(AL8="X",10,IF(AL8="M",0,IF(ISNUMBER(AL8),AL8,0)))+IF(AM8="X",10,IF(AM8="M",0,IF(ISNUMBER(AM8),AM8,0)))+IF(AN8="X",10,IF(AN8="M",0,IF(ISNUMBER(AN8),AN8,0)))+IF(AO8="X",10,IF(AO8="M",0,IF(ISNUMBER(AO8),AO8,0)))+IF(AQ8="X",10,IF(AQ8="M",0,IF(ISNUMBER(AQ8),AQ8,0)))+IF(AR8="X",10,IF(AR8="M",0,IF(ISNUMBER(AR8),AR8,0)))+IF(AS8="X",10,IF(AS8="M",0,IF(ISNUMBER(AS8),AS8,0)))+IF(AT8="X",10,IF(AT8="M",0,IF(ISNUMBER(AT8),AT8,0)))+IF(AU8="X",10,IF(AU8="M",0,IF(ISNUMBER(AU8),AU8,0)))+IF(AV8="X",10,IF(AV8="M",0,IF(ISNUMBER(AV8),AV8,0))),0)</f>
        <v>0</v>
      </c>
      <c r="BA8" s="68" t="str">
        <f>IFERROR(IF(AY8="DQ","DISQUALIFIED",IF(AY6="DQ","&gt;&gt; Advance",IF(BC6="BYE","&gt;&gt; Advance",IF(BC8="BYE","BYE",IF(AX8&gt;=6,"WIN",IF(AX6&gt;=6,"LOSS",IF(AND(ISNUMBER(AW8),ISNUMBER(AW6)),IF(AW8&gt;AW6,"WIN",IF(AW8&lt;AW6,"LOSS","Shoot-Off")),"Playing"))))))),"Error")</f>
        <v>BYE</v>
      </c>
      <c r="BC8" s="69" t="str">
        <f>IFERROR(IF(INDEX('Beginner Adv 15M - Teams'!$L:$L,MATCH(16,'Beginner Adv 15M - Teams'!$A:$A,0))="Yes","BYE",IF(OR(INDEX('Beginner Adv 15M - Teams'!$B:$B,MATCH(16,'Beginner Adv 15M - Teams'!$A:$A,0))="",ISERROR(MATCH(16,'Beginner Adv 15M - Teams'!$A:$A,0))),"BYE","")),"BYE")</f>
        <v>BYE</v>
      </c>
      <c r="BD8" s="61" t="s">
        <v>184</v>
      </c>
      <c r="BE8" s="106" t="str">
        <f>IFERROR(IF(BC11="BYE",IF(BC13="BYE","TBD",B13),IF(BC13="BYE",B11,IF(OR(BA11="WIN",BA11="&gt;&gt; Advance"),B11,IF(OR(BA13="WIN",BA13="&gt;&gt; Advance"),B13,"TBD")))),"TBD")</f>
        <v>TBD</v>
      </c>
      <c r="BF8" s="106"/>
      <c r="BG8" s="106"/>
      <c r="BH8" s="107" t="str">
        <f>IF(AND(BE6&lt;&gt;"TBD",BE6&lt;&gt;"",BE8&lt;&gt;"TBD",BE8&lt;&gt;"",DD6&lt;&gt;"&gt;&gt; Advance",DD8&lt;&gt;"&gt;&gt; Advance"),IF((B2-A2+1)&gt;=8,(A2+1)&amp;"",IF((B2-A2+1)&gt;=4,(A2+0)&amp;" R",(A2+MOD(0,(B2-A2+1)))&amp;CHAR(65+FLOOR(0/(B2-A2+1),1)*2+1)&amp;" (R)")),"")</f>
        <v/>
      </c>
      <c r="BI8" s="107"/>
      <c r="BJ8" s="107"/>
      <c r="BK8" s="62"/>
      <c r="BL8" s="62"/>
      <c r="BM8" s="62"/>
      <c r="BN8" s="62"/>
      <c r="BO8" s="62"/>
      <c r="BP8" s="62"/>
      <c r="BQ8" s="63" t="str">
        <f>IF(OR(ISNUMBER(BK8),ISNUMBER(BL8),ISNUMBER(BM8),ISNUMBER(BN8),ISNUMBER(BO8),ISNUMBER(BP8),BK8="X",BL8="X",BM8="X",BN8="X",BO8="X",BP8="X",BK8="M",BL8="M",BM8="M",BN8="M",BO8="M",BP8="M"),IF(BK8="X",10,IF(BK8="M",0,IF(ISNUMBER(BK8),BK8,0))) + IF(BL8="X",10,IF(BL8="M",0,IF(ISNUMBER(BL8),BL8,0))) + IF(BM8="X",10,IF(BM8="M",0,IF(ISNUMBER(BM8),BM8,0))) + IF(BN8="X",10,IF(BN8="M",0,IF(ISNUMBER(BN8),BN8,0))) + IF(BO8="X",10,IF(BO8="M",0,IF(ISNUMBER(BO8),BO8,0))) + IF(BP8="X",10,IF(BP8="M",0,IF(ISNUMBER(BP8),BP8,0))),"")</f>
        <v/>
      </c>
      <c r="BR8" s="62"/>
      <c r="BS8" s="62"/>
      <c r="BT8" s="62"/>
      <c r="BU8" s="62"/>
      <c r="BV8" s="62"/>
      <c r="BW8" s="62"/>
      <c r="BX8" s="63" t="str">
        <f>IF(OR(ISNUMBER(BR8),ISNUMBER(BS8),ISNUMBER(BT8),ISNUMBER(BU8),ISNUMBER(BV8),ISNUMBER(BW8),BR8="X",BS8="X",BT8="X",BU8="X",BV8="X",BW8="X",BR8="M",BS8="M",BT8="M",BU8="M",BV8="M",BW8="M"),IF(BR8="X",10,IF(BR8="M",0,IF(ISNUMBER(BR8),BR8,0))) + IF(BS8="X",10,IF(BS8="M",0,IF(ISNUMBER(BS8),BS8,0))) + IF(BT8="X",10,IF(BT8="M",0,IF(ISNUMBER(BT8),BT8,0))) + IF(BU8="X",10,IF(BU8="M",0,IF(ISNUMBER(BU8),BU8,0))) + IF(BV8="X",10,IF(BV8="M",0,IF(ISNUMBER(BV8),BV8,0))) + IF(BW8="X",10,IF(BW8="M",0,IF(ISNUMBER(BW8),BW8,0))),"")</f>
        <v/>
      </c>
      <c r="BY8" s="62"/>
      <c r="BZ8" s="62"/>
      <c r="CA8" s="62"/>
      <c r="CB8" s="62"/>
      <c r="CC8" s="62"/>
      <c r="CD8" s="62"/>
      <c r="CE8" s="63" t="str">
        <f>IF(OR(ISNUMBER(BY8),ISNUMBER(BZ8),ISNUMBER(CA8),ISNUMBER(CB8),ISNUMBER(CC8),ISNUMBER(CD8),BY8="X",BZ8="X",CA8="X",CB8="X",CC8="X",CD8="X",BY8="M",BZ8="M",CA8="M",CB8="M",CC8="M",CD8="M"),IF(BY8="X",10,IF(BY8="M",0,IF(ISNUMBER(BY8),BY8,0))) + IF(BZ8="X",10,IF(BZ8="M",0,IF(ISNUMBER(BZ8),BZ8,0))) + IF(CA8="X",10,IF(CA8="M",0,IF(ISNUMBER(CA8),CA8,0))) + IF(CB8="X",10,IF(CB8="M",0,IF(ISNUMBER(CB8),CB8,0))) + IF(CC8="X",10,IF(CC8="M",0,IF(ISNUMBER(CC8),CC8,0))) + IF(CD8="X",10,IF(CD8="M",0,IF(ISNUMBER(CD8),CD8,0))),"")</f>
        <v/>
      </c>
      <c r="CF8" s="62"/>
      <c r="CG8" s="62"/>
      <c r="CH8" s="62"/>
      <c r="CI8" s="62"/>
      <c r="CJ8" s="62"/>
      <c r="CK8" s="62"/>
      <c r="CL8" s="63" t="str">
        <f>IF(OR(ISNUMBER(CF8),ISNUMBER(CG8),ISNUMBER(CH8),ISNUMBER(CI8),ISNUMBER(CJ8),ISNUMBER(CK8),CF8="X",CG8="X",CH8="X",CI8="X",CJ8="X",CK8="X",CF8="M",CG8="M",CH8="M",CI8="M",CJ8="M",CK8="M"),IF(CF8="X",10,IF(CF8="M",0,IF(ISNUMBER(CF8),CF8,0))) + IF(CG8="X",10,IF(CG8="M",0,IF(ISNUMBER(CG8),CG8,0))) + IF(CH8="X",10,IF(CH8="M",0,IF(ISNUMBER(CH8),CH8,0))) + IF(CI8="X",10,IF(CI8="M",0,IF(ISNUMBER(CI8),CI8,0))) + IF(CJ8="X",10,IF(CJ8="M",0,IF(ISNUMBER(CJ8),CJ8,0))) + IF(CK8="X",10,IF(CK8="M",0,IF(ISNUMBER(CK8),CK8,0))),"")</f>
        <v/>
      </c>
      <c r="CM8" s="62"/>
      <c r="CN8" s="62"/>
      <c r="CO8" s="62"/>
      <c r="CP8" s="62"/>
      <c r="CQ8" s="62"/>
      <c r="CR8" s="62"/>
      <c r="CS8" s="63" t="str">
        <f>IF(OR(ISNUMBER(CM8),ISNUMBER(CN8),ISNUMBER(CO8),ISNUMBER(CP8),ISNUMBER(CQ8),ISNUMBER(CR8),CM8="X",CN8="X",CO8="X",CP8="X",CQ8="X",CR8="X",CM8="M",CN8="M",CO8="M",CP8="M",CQ8="M",CR8="M"),IF(CM8="X",10,IF(CM8="M",0,IF(ISNUMBER(CM8),CM8,0))) + IF(CN8="X",10,IF(CN8="M",0,IF(ISNUMBER(CN8),CN8,0))) + IF(CO8="X",10,IF(CO8="M",0,IF(ISNUMBER(CO8),CO8,0))) + IF(CP8="X",10,IF(CP8="M",0,IF(ISNUMBER(CP8),CP8,0))) + IF(CQ8="X",10,IF(CQ8="M",0,IF(ISNUMBER(CQ8),CQ8,0))) + IF(CR8="X",10,IF(CR8="M",0,IF(ISNUMBER(CR8),CR8,0))),"")</f>
        <v/>
      </c>
      <c r="CT8" s="64"/>
      <c r="CU8" s="64"/>
      <c r="CV8" s="64"/>
      <c r="CW8" s="64"/>
      <c r="CX8" s="64"/>
      <c r="CY8" s="64"/>
      <c r="CZ8" s="63" t="str">
        <f>IF(OR(ISNUMBER(CT8),ISNUMBER(CU8),ISNUMBER(CV8),ISNUMBER(CW8),ISNUMBER(CX8),ISNUMBER(CY8),CT8="X",CU8="X",CV8="X",CW8="X",CX8="X",CY8="X",CT8="M",CU8="M",CV8="M",CW8="M",CX8="M",CY8="M"),IF(CT8="X",10,IF(CT8="M",0,IF(ISNUMBER(CT8),CT8,0))) + IF(CU8="X",10,IF(CU8="M",0,IF(ISNUMBER(CU8),CU8,0))) + IF(CV8="X",10,IF(CV8="M",0,IF(ISNUMBER(CV8),CV8,0))) + IF(CW8="X",10,IF(CW8="M",0,IF(ISNUMBER(CW8),CW8,0))) + IF(CX8="X",10,IF(CX8="M",0,IF(ISNUMBER(CX8),CX8,0))) + IF(CY8="X",10,IF(CY8="M",0,IF(ISNUMBER(CY8),CY8,0))),"")</f>
        <v/>
      </c>
      <c r="DA8" s="65">
        <f>IF(AND(ISNUMBER(BQ8),ISNUMBER(BQ6)),IF(BQ8&gt;BQ6,2,IF(BQ8=BQ6,1,0)),0)+IF(AND(ISNUMBER(BX8),ISNUMBER(BX6)),IF(BX8&gt;BX6,2,IF(BX8=BX6,1,0)),0)+IF(AND(ISNUMBER(CE8),ISNUMBER(CE6)),IF(CE8&gt;CE6,2,IF(CE8=CE6,1,0)),0)+IF(AND(ISNUMBER(CL8),ISNUMBER(CL6)),IF(CL8&gt;CL6,2,IF(CL8=CL6,1,0)),0)+IF(AND(ISNUMBER(CS8),ISNUMBER(CS6)),IF(CS8&gt;CS6,2,IF(CS8=CS6,1,0)),0)</f>
        <v>0</v>
      </c>
      <c r="DB8" s="66"/>
      <c r="DC8" s="67">
        <f>IF(DA8&gt;0,IF(BK8="X",10,IF(BK8="M",0,IF(ISNUMBER(BK8),BK8,0)))+IF(BL8="X",10,IF(BL8="M",0,IF(ISNUMBER(BL8),BL8,0)))+IF(BM8="X",10,IF(BM8="M",0,IF(ISNUMBER(BM8),BM8,0)))+IF(BN8="X",10,IF(BN8="M",0,IF(ISNUMBER(BN8),BN8,0)))+IF(BO8="X",10,IF(BO8="M",0,IF(ISNUMBER(BO8),BO8,0)))+IF(BP8="X",10,IF(BP8="M",0,IF(ISNUMBER(BP8),BP8,0)))+IF(BR8="X",10,IF(BR8="M",0,IF(ISNUMBER(BR8),BR8,0)))+IF(BS8="X",10,IF(BS8="M",0,IF(ISNUMBER(BS8),BS8,0)))+IF(BT8="X",10,IF(BT8="M",0,IF(ISNUMBER(BT8),BT8,0)))+IF(BU8="X",10,IF(BU8="M",0,IF(ISNUMBER(BU8),BU8,0)))+IF(BV8="X",10,IF(BV8="M",0,IF(ISNUMBER(BV8),BV8,0)))+IF(BW8="X",10,IF(BW8="M",0,IF(ISNUMBER(BW8),BW8,0)))+IF(BY8="X",10,IF(BY8="M",0,IF(ISNUMBER(BY8),BY8,0)))+IF(BZ8="X",10,IF(BZ8="M",0,IF(ISNUMBER(BZ8),BZ8,0)))+IF(CA8="X",10,IF(CA8="M",0,IF(ISNUMBER(CA8),CA8,0)))+IF(CB8="X",10,IF(CB8="M",0,IF(ISNUMBER(CB8),CB8,0)))+IF(CC8="X",10,IF(CC8="M",0,IF(ISNUMBER(CC8),CC8,0)))+IF(CD8="X",10,IF(CD8="M",0,IF(ISNUMBER(CD8),CD8,0)))+IF(CF8="X",10,IF(CF8="M",0,IF(ISNUMBER(CF8),CF8,0)))+IF(CG8="X",10,IF(CG8="M",0,IF(ISNUMBER(CG8),CG8,0)))+IF(CH8="X",10,IF(CH8="M",0,IF(ISNUMBER(CH8),CH8,0)))+IF(CI8="X",10,IF(CI8="M",0,IF(ISNUMBER(CI8),CI8,0)))+IF(CJ8="X",10,IF(CJ8="M",0,IF(ISNUMBER(CJ8),CJ8,0)))+IF(CK8="X",10,IF(CK8="M",0,IF(ISNUMBER(CK8),CK8,0)))+IF(CM8="X",10,IF(CM8="M",0,IF(ISNUMBER(CM8),CM8,0)))+IF(CN8="X",10,IF(CN8="M",0,IF(ISNUMBER(CN8),CN8,0)))+IF(CO8="X",10,IF(CO8="M",0,IF(ISNUMBER(CO8),CO8,0)))+IF(CP8="X",10,IF(CP8="M",0,IF(ISNUMBER(CP8),CP8,0)))+IF(CQ8="X",10,IF(CQ8="M",0,IF(ISNUMBER(CQ8),CQ8,0)))+IF(CR8="X",10,IF(CR8="M",0,IF(ISNUMBER(CR8),CR8,0)))+IF(CT8="X",10,IF(CT8="M",0,IF(ISNUMBER(CT8),CT8,0)))+IF(CU8="X",10,IF(CU8="M",0,IF(ISNUMBER(CU8),CU8,0)))+IF(CV8="X",10,IF(CV8="M",0,IF(ISNUMBER(CV8),CV8,0)))+IF(CW8="X",10,IF(CW8="M",0,IF(ISNUMBER(CW8),CW8,0)))+IF(CX8="X",10,IF(CX8="M",0,IF(ISNUMBER(CX8),CX8,0)))+IF(CY8="X",10,IF(CY8="M",0,IF(ISNUMBER(CY8),CY8,0))),0)</f>
        <v>0</v>
      </c>
      <c r="DD8" s="68" t="str">
        <f>IFERROR(IF(DB8="DQ","DISQUALIFIED",IF(DB6="DQ","&gt;&gt; Advance",IF(DF6="BYE","&gt;&gt; Advance",IF(DF8="BYE","BYE",IF(DA8&gt;=6,"WIN",IF(DA6&gt;=6,"LOSS",IF(AND(ISNUMBER(CZ8),ISNUMBER(CZ6)),IF(CZ8&gt;CZ6,"WIN",IF(CZ8&lt;CZ6,"LOSS","Shoot-Off")),"Playing"))))))),"Error")</f>
        <v>BYE</v>
      </c>
      <c r="DF8" s="69" t="str">
        <f>IFERROR(IF(AND(BC11="BYE",BC13="BYE"),"BYE",""),"")</f>
        <v>BYE</v>
      </c>
      <c r="DG8" s="61" t="s">
        <v>185</v>
      </c>
      <c r="DH8" s="106" t="str">
        <f>IFERROR(IF(DF11="BYE",IF(DF13="BYE","TBD",BE13),IF(DF13="BYE",BE11,IF(OR(DD11="WIN",DD11="&gt;&gt; Advance"),BE11,IF(OR(DD13="WIN",DD13="&gt;&gt; Advance"),BE13,"TBD")))),"TBD")</f>
        <v>TBD</v>
      </c>
      <c r="DI8" s="106"/>
      <c r="DJ8" s="106"/>
      <c r="DK8" s="107" t="str">
        <f>IF(AND(DH6&lt;&gt;"TBD",DH6&lt;&gt;"",DH8&lt;&gt;"TBD",DH8&lt;&gt;"",FG6&lt;&gt;"&gt;&gt; Advance",FG8&lt;&gt;"&gt;&gt; Advance"),IF((B2-A2+1)&gt;=4,(A2+1)&amp;"",IF((B2-A2+1)&gt;=2,(A2+0)&amp;" R",(A2+MOD(0,(B2-A2+1)))&amp;CHAR(65+FLOOR(0/(B2-A2+1),1)*2+1)&amp;" (R)")),"")</f>
        <v/>
      </c>
      <c r="DL8" s="107"/>
      <c r="DM8" s="107"/>
      <c r="DN8" s="62"/>
      <c r="DO8" s="62"/>
      <c r="DP8" s="62"/>
      <c r="DQ8" s="62"/>
      <c r="DR8" s="62"/>
      <c r="DS8" s="62"/>
      <c r="DT8" s="63" t="str">
        <f>IF(OR(ISNUMBER(DN8),ISNUMBER(DO8),ISNUMBER(DP8),ISNUMBER(DQ8),ISNUMBER(DR8),ISNUMBER(DS8),DN8="X",DO8="X",DP8="X",DQ8="X",DR8="X",DS8="X",DN8="M",DO8="M",DP8="M",DQ8="M",DR8="M",DS8="M"),IF(DN8="X",10,IF(DN8="M",0,IF(ISNUMBER(DN8),DN8,0))) + IF(DO8="X",10,IF(DO8="M",0,IF(ISNUMBER(DO8),DO8,0))) + IF(DP8="X",10,IF(DP8="M",0,IF(ISNUMBER(DP8),DP8,0))) + IF(DQ8="X",10,IF(DQ8="M",0,IF(ISNUMBER(DQ8),DQ8,0))) + IF(DR8="X",10,IF(DR8="M",0,IF(ISNUMBER(DR8),DR8,0))) + IF(DS8="X",10,IF(DS8="M",0,IF(ISNUMBER(DS8),DS8,0))),"")</f>
        <v/>
      </c>
      <c r="DU8" s="62"/>
      <c r="DV8" s="62"/>
      <c r="DW8" s="62"/>
      <c r="DX8" s="62"/>
      <c r="DY8" s="62"/>
      <c r="DZ8" s="62"/>
      <c r="EA8" s="63" t="str">
        <f>IF(OR(ISNUMBER(DU8),ISNUMBER(DV8),ISNUMBER(DW8),ISNUMBER(DX8),ISNUMBER(DY8),ISNUMBER(DZ8),DU8="X",DV8="X",DW8="X",DX8="X",DY8="X",DZ8="X",DU8="M",DV8="M",DW8="M",DX8="M",DY8="M",DZ8="M"),IF(DU8="X",10,IF(DU8="M",0,IF(ISNUMBER(DU8),DU8,0))) + IF(DV8="X",10,IF(DV8="M",0,IF(ISNUMBER(DV8),DV8,0))) + IF(DW8="X",10,IF(DW8="M",0,IF(ISNUMBER(DW8),DW8,0))) + IF(DX8="X",10,IF(DX8="M",0,IF(ISNUMBER(DX8),DX8,0))) + IF(DY8="X",10,IF(DY8="M",0,IF(ISNUMBER(DY8),DY8,0))) + IF(DZ8="X",10,IF(DZ8="M",0,IF(ISNUMBER(DZ8),DZ8,0))),"")</f>
        <v/>
      </c>
      <c r="EB8" s="62"/>
      <c r="EC8" s="62"/>
      <c r="ED8" s="62"/>
      <c r="EE8" s="62"/>
      <c r="EF8" s="62"/>
      <c r="EG8" s="62"/>
      <c r="EH8" s="63" t="str">
        <f>IF(OR(ISNUMBER(EB8),ISNUMBER(EC8),ISNUMBER(ED8),ISNUMBER(EE8),ISNUMBER(EF8),ISNUMBER(EG8),EB8="X",EC8="X",ED8="X",EE8="X",EF8="X",EG8="X",EB8="M",EC8="M",ED8="M",EE8="M",EF8="M",EG8="M"),IF(EB8="X",10,IF(EB8="M",0,IF(ISNUMBER(EB8),EB8,0))) + IF(EC8="X",10,IF(EC8="M",0,IF(ISNUMBER(EC8),EC8,0))) + IF(ED8="X",10,IF(ED8="M",0,IF(ISNUMBER(ED8),ED8,0))) + IF(EE8="X",10,IF(EE8="M",0,IF(ISNUMBER(EE8),EE8,0))) + IF(EF8="X",10,IF(EF8="M",0,IF(ISNUMBER(EF8),EF8,0))) + IF(EG8="X",10,IF(EG8="M",0,IF(ISNUMBER(EG8),EG8,0))),"")</f>
        <v/>
      </c>
      <c r="EI8" s="62"/>
      <c r="EJ8" s="62"/>
      <c r="EK8" s="62"/>
      <c r="EL8" s="62"/>
      <c r="EM8" s="62"/>
      <c r="EN8" s="62"/>
      <c r="EO8" s="63" t="str">
        <f>IF(OR(ISNUMBER(EI8),ISNUMBER(EJ8),ISNUMBER(EK8),ISNUMBER(EL8),ISNUMBER(EM8),ISNUMBER(EN8),EI8="X",EJ8="X",EK8="X",EL8="X",EM8="X",EN8="X",EI8="M",EJ8="M",EK8="M",EL8="M",EM8="M",EN8="M"),IF(EI8="X",10,IF(EI8="M",0,IF(ISNUMBER(EI8),EI8,0))) + IF(EJ8="X",10,IF(EJ8="M",0,IF(ISNUMBER(EJ8),EJ8,0))) + IF(EK8="X",10,IF(EK8="M",0,IF(ISNUMBER(EK8),EK8,0))) + IF(EL8="X",10,IF(EL8="M",0,IF(ISNUMBER(EL8),EL8,0))) + IF(EM8="X",10,IF(EM8="M",0,IF(ISNUMBER(EM8),EM8,0))) + IF(EN8="X",10,IF(EN8="M",0,IF(ISNUMBER(EN8),EN8,0))),"")</f>
        <v/>
      </c>
      <c r="EP8" s="62"/>
      <c r="EQ8" s="62"/>
      <c r="ER8" s="62"/>
      <c r="ES8" s="62"/>
      <c r="ET8" s="62"/>
      <c r="EU8" s="62"/>
      <c r="EV8" s="63" t="str">
        <f>IF(OR(ISNUMBER(EP8),ISNUMBER(EQ8),ISNUMBER(ER8),ISNUMBER(ES8),ISNUMBER(ET8),ISNUMBER(EU8),EP8="X",EQ8="X",ER8="X",ES8="X",ET8="X",EU8="X",EP8="M",EQ8="M",ER8="M",ES8="M",ET8="M",EU8="M"),IF(EP8="X",10,IF(EP8="M",0,IF(ISNUMBER(EP8),EP8,0))) + IF(EQ8="X",10,IF(EQ8="M",0,IF(ISNUMBER(EQ8),EQ8,0))) + IF(ER8="X",10,IF(ER8="M",0,IF(ISNUMBER(ER8),ER8,0))) + IF(ES8="X",10,IF(ES8="M",0,IF(ISNUMBER(ES8),ES8,0))) + IF(ET8="X",10,IF(ET8="M",0,IF(ISNUMBER(ET8),ET8,0))) + IF(EU8="X",10,IF(EU8="M",0,IF(ISNUMBER(EU8),EU8,0))),"")</f>
        <v/>
      </c>
      <c r="EW8" s="64"/>
      <c r="EX8" s="64"/>
      <c r="EY8" s="64"/>
      <c r="EZ8" s="64"/>
      <c r="FA8" s="64"/>
      <c r="FB8" s="64"/>
      <c r="FC8" s="63" t="str">
        <f>IF(OR(ISNUMBER(EW8),ISNUMBER(EX8),ISNUMBER(EY8),ISNUMBER(EZ8),ISNUMBER(FA8),ISNUMBER(FB8),EW8="X",EX8="X",EY8="X",EZ8="X",FA8="X",FB8="X",EW8="M",EX8="M",EY8="M",EZ8="M",FA8="M",FB8="M"),IF(EW8="X",10,IF(EW8="M",0,IF(ISNUMBER(EW8),EW8,0))) + IF(EX8="X",10,IF(EX8="M",0,IF(ISNUMBER(EX8),EX8,0))) + IF(EY8="X",10,IF(EY8="M",0,IF(ISNUMBER(EY8),EY8,0))) + IF(EZ8="X",10,IF(EZ8="M",0,IF(ISNUMBER(EZ8),EZ8,0))) + IF(FA8="X",10,IF(FA8="M",0,IF(ISNUMBER(FA8),FA8,0))) + IF(FB8="X",10,IF(FB8="M",0,IF(ISNUMBER(FB8),FB8,0))),"")</f>
        <v/>
      </c>
      <c r="FD8" s="65">
        <f>IF(AND(ISNUMBER(DT8),ISNUMBER(DT6)),IF(DT8&gt;DT6,2,IF(DT8=DT6,1,0)),0)+IF(AND(ISNUMBER(EA8),ISNUMBER(EA6)),IF(EA8&gt;EA6,2,IF(EA8=EA6,1,0)),0)+IF(AND(ISNUMBER(EH8),ISNUMBER(EH6)),IF(EH8&gt;EH6,2,IF(EH8=EH6,1,0)),0)+IF(AND(ISNUMBER(EO8),ISNUMBER(EO6)),IF(EO8&gt;EO6,2,IF(EO8=EO6,1,0)),0)+IF(AND(ISNUMBER(EV8),ISNUMBER(EV6)),IF(EV8&gt;EV6,2,IF(EV8=EV6,1,0)),0)</f>
        <v>0</v>
      </c>
      <c r="FE8" s="66"/>
      <c r="FF8" s="67">
        <f>IF(FD8&gt;0,IF(DN8="X",10,IF(DN8="M",0,IF(ISNUMBER(DN8),DN8,0)))+IF(DO8="X",10,IF(DO8="M",0,IF(ISNUMBER(DO8),DO8,0)))+IF(DP8="X",10,IF(DP8="M",0,IF(ISNUMBER(DP8),DP8,0)))+IF(DQ8="X",10,IF(DQ8="M",0,IF(ISNUMBER(DQ8),DQ8,0)))+IF(DR8="X",10,IF(DR8="M",0,IF(ISNUMBER(DR8),DR8,0)))+IF(DS8="X",10,IF(DS8="M",0,IF(ISNUMBER(DS8),DS8,0)))+IF(DU8="X",10,IF(DU8="M",0,IF(ISNUMBER(DU8),DU8,0)))+IF(DV8="X",10,IF(DV8="M",0,IF(ISNUMBER(DV8),DV8,0)))+IF(DW8="X",10,IF(DW8="M",0,IF(ISNUMBER(DW8),DW8,0)))+IF(DX8="X",10,IF(DX8="M",0,IF(ISNUMBER(DX8),DX8,0)))+IF(DY8="X",10,IF(DY8="M",0,IF(ISNUMBER(DY8),DY8,0)))+IF(DZ8="X",10,IF(DZ8="M",0,IF(ISNUMBER(DZ8),DZ8,0)))+IF(EB8="X",10,IF(EB8="M",0,IF(ISNUMBER(EB8),EB8,0)))+IF(EC8="X",10,IF(EC8="M",0,IF(ISNUMBER(EC8),EC8,0)))+IF(ED8="X",10,IF(ED8="M",0,IF(ISNUMBER(ED8),ED8,0)))+IF(EE8="X",10,IF(EE8="M",0,IF(ISNUMBER(EE8),EE8,0)))+IF(EF8="X",10,IF(EF8="M",0,IF(ISNUMBER(EF8),EF8,0)))+IF(EG8="X",10,IF(EG8="M",0,IF(ISNUMBER(EG8),EG8,0)))+IF(EI8="X",10,IF(EI8="M",0,IF(ISNUMBER(EI8),EI8,0)))+IF(EJ8="X",10,IF(EJ8="M",0,IF(ISNUMBER(EJ8),EJ8,0)))+IF(EK8="X",10,IF(EK8="M",0,IF(ISNUMBER(EK8),EK8,0)))+IF(EL8="X",10,IF(EL8="M",0,IF(ISNUMBER(EL8),EL8,0)))+IF(EM8="X",10,IF(EM8="M",0,IF(ISNUMBER(EM8),EM8,0)))+IF(EN8="X",10,IF(EN8="M",0,IF(ISNUMBER(EN8),EN8,0)))+IF(EP8="X",10,IF(EP8="M",0,IF(ISNUMBER(EP8),EP8,0)))+IF(EQ8="X",10,IF(EQ8="M",0,IF(ISNUMBER(EQ8),EQ8,0)))+IF(ER8="X",10,IF(ER8="M",0,IF(ISNUMBER(ER8),ER8,0)))+IF(ES8="X",10,IF(ES8="M",0,IF(ISNUMBER(ES8),ES8,0)))+IF(ET8="X",10,IF(ET8="M",0,IF(ISNUMBER(ET8),ET8,0)))+IF(EU8="X",10,IF(EU8="M",0,IF(ISNUMBER(EU8),EU8,0)))+IF(EW8="X",10,IF(EW8="M",0,IF(ISNUMBER(EW8),EW8,0)))+IF(EX8="X",10,IF(EX8="M",0,IF(ISNUMBER(EX8),EX8,0)))+IF(EY8="X",10,IF(EY8="M",0,IF(ISNUMBER(EY8),EY8,0)))+IF(EZ8="X",10,IF(EZ8="M",0,IF(ISNUMBER(EZ8),EZ8,0)))+IF(FA8="X",10,IF(FA8="M",0,IF(ISNUMBER(FA8),FA8,0)))+IF(FB8="X",10,IF(FB8="M",0,IF(ISNUMBER(FB8),FB8,0))),0)</f>
        <v>0</v>
      </c>
      <c r="FG8" s="68" t="str">
        <f>IFERROR(IF(FE8="DQ","DISQUALIFIED",IF(FE6="DQ","&gt;&gt; Advance",IF(FI6="BYE","&gt;&gt; Advance",IF(FI8="BYE","BYE",IF(FD8&gt;=6,"WIN",IF(FD6&gt;=6,"LOSS",IF(AND(ISNUMBER(FC8),ISNUMBER(FC6)),IF(FC8&gt;FC6,"WIN",IF(FC8&lt;FC6,"LOSS","Shoot-Off")),"Playing"))))))),"Error")</f>
        <v>BYE</v>
      </c>
      <c r="FI8" s="69" t="str">
        <f>IFERROR(IF(AND(DF11="BYE",DF13="BYE"),"BYE",""),"")</f>
        <v>BYE</v>
      </c>
      <c r="FJ8" s="70" t="s">
        <v>186</v>
      </c>
      <c r="FK8" s="106" t="str">
        <f>IFERROR(IF(FI11="BYE",IF(FI13="BYE","TBD",DH13),IF(FI13="BYE",DH11,IF(OR(FG11="WIN",FG11="&gt;&gt; Advance"),DH11,IF(OR(FG13="WIN",FG13="&gt;&gt; Advance"),DH13,"TBD")))),"TBD")</f>
        <v>TBD</v>
      </c>
      <c r="FL8" s="106"/>
      <c r="FM8" s="106"/>
      <c r="FN8" s="107" t="str">
        <f>IF(AND(FK6&lt;&gt;"TBD",FK6&lt;&gt;"",FK8&lt;&gt;"TBD",FK8&lt;&gt;"",HJ6&lt;&gt;"&gt;&gt; Advance",HJ8&lt;&gt;"&gt;&gt; Advance"),IF((B2-A2+1)&gt;=4,(A2+1)&amp;"",IF((B2-A2+1)&gt;=2,(A2+0)&amp;" R",(A2+MOD(0,(B2-A2+1)))&amp;CHAR(65+FLOOR(0/(B2-A2+1),1)*2+1)&amp;" (R)")),"")</f>
        <v/>
      </c>
      <c r="FO8" s="107"/>
      <c r="FP8" s="107"/>
      <c r="FQ8" s="62"/>
      <c r="FR8" s="62"/>
      <c r="FS8" s="62"/>
      <c r="FT8" s="62"/>
      <c r="FU8" s="62"/>
      <c r="FV8" s="62"/>
      <c r="FW8" s="63" t="str">
        <f>IF(OR(ISNUMBER(FQ8),ISNUMBER(FR8),ISNUMBER(FS8),ISNUMBER(FT8),ISNUMBER(FU8),ISNUMBER(FV8),FQ8="X",FR8="X",FS8="X",FT8="X",FU8="X",FV8="X",FQ8="M",FR8="M",FS8="M",FT8="M",FU8="M",FV8="M"),IF(FQ8="X",10,IF(FQ8="M",0,IF(ISNUMBER(FQ8),FQ8,0))) + IF(FR8="X",10,IF(FR8="M",0,IF(ISNUMBER(FR8),FR8,0))) + IF(FS8="X",10,IF(FS8="M",0,IF(ISNUMBER(FS8),FS8,0))) + IF(FT8="X",10,IF(FT8="M",0,IF(ISNUMBER(FT8),FT8,0))) + IF(FU8="X",10,IF(FU8="M",0,IF(ISNUMBER(FU8),FU8,0))) + IF(FV8="X",10,IF(FV8="M",0,IF(ISNUMBER(FV8),FV8,0))),"")</f>
        <v/>
      </c>
      <c r="FX8" s="62"/>
      <c r="FY8" s="62"/>
      <c r="FZ8" s="62"/>
      <c r="GA8" s="62"/>
      <c r="GB8" s="62"/>
      <c r="GC8" s="62"/>
      <c r="GD8" s="63" t="str">
        <f>IF(OR(ISNUMBER(FX8),ISNUMBER(FY8),ISNUMBER(FZ8),ISNUMBER(GA8),ISNUMBER(GB8),ISNUMBER(GC8),FX8="X",FY8="X",FZ8="X",GA8="X",GB8="X",GC8="X",FX8="M",FY8="M",FZ8="M",GA8="M",GB8="M",GC8="M"),IF(FX8="X",10,IF(FX8="M",0,IF(ISNUMBER(FX8),FX8,0))) + IF(FY8="X",10,IF(FY8="M",0,IF(ISNUMBER(FY8),FY8,0))) + IF(FZ8="X",10,IF(FZ8="M",0,IF(ISNUMBER(FZ8),FZ8,0))) + IF(GA8="X",10,IF(GA8="M",0,IF(ISNUMBER(GA8),GA8,0))) + IF(GB8="X",10,IF(GB8="M",0,IF(ISNUMBER(GB8),GB8,0))) + IF(GC8="X",10,IF(GC8="M",0,IF(ISNUMBER(GC8),GC8,0))),"")</f>
        <v/>
      </c>
      <c r="GE8" s="62"/>
      <c r="GF8" s="62"/>
      <c r="GG8" s="62"/>
      <c r="GH8" s="62"/>
      <c r="GI8" s="62"/>
      <c r="GJ8" s="62"/>
      <c r="GK8" s="63" t="str">
        <f>IF(OR(ISNUMBER(GE8),ISNUMBER(GF8),ISNUMBER(GG8),ISNUMBER(GH8),ISNUMBER(GI8),ISNUMBER(GJ8),GE8="X",GF8="X",GG8="X",GH8="X",GI8="X",GJ8="X",GE8="M",GF8="M",GG8="M",GH8="M",GI8="M",GJ8="M"),IF(GE8="X",10,IF(GE8="M",0,IF(ISNUMBER(GE8),GE8,0))) + IF(GF8="X",10,IF(GF8="M",0,IF(ISNUMBER(GF8),GF8,0))) + IF(GG8="X",10,IF(GG8="M",0,IF(ISNUMBER(GG8),GG8,0))) + IF(GH8="X",10,IF(GH8="M",0,IF(ISNUMBER(GH8),GH8,0))) + IF(GI8="X",10,IF(GI8="M",0,IF(ISNUMBER(GI8),GI8,0))) + IF(GJ8="X",10,IF(GJ8="M",0,IF(ISNUMBER(GJ8),GJ8,0))),"")</f>
        <v/>
      </c>
      <c r="GL8" s="62"/>
      <c r="GM8" s="62"/>
      <c r="GN8" s="62"/>
      <c r="GO8" s="62"/>
      <c r="GP8" s="62"/>
      <c r="GQ8" s="62"/>
      <c r="GR8" s="63" t="str">
        <f>IF(OR(ISNUMBER(GL8),ISNUMBER(GM8),ISNUMBER(GN8),ISNUMBER(GO8),ISNUMBER(GP8),ISNUMBER(GQ8),GL8="X",GM8="X",GN8="X",GO8="X",GP8="X",GQ8="X",GL8="M",GM8="M",GN8="M",GO8="M",GP8="M",GQ8="M"),IF(GL8="X",10,IF(GL8="M",0,IF(ISNUMBER(GL8),GL8,0))) + IF(GM8="X",10,IF(GM8="M",0,IF(ISNUMBER(GM8),GM8,0))) + IF(GN8="X",10,IF(GN8="M",0,IF(ISNUMBER(GN8),GN8,0))) + IF(GO8="X",10,IF(GO8="M",0,IF(ISNUMBER(GO8),GO8,0))) + IF(GP8="X",10,IF(GP8="M",0,IF(ISNUMBER(GP8),GP8,0))) + IF(GQ8="X",10,IF(GQ8="M",0,IF(ISNUMBER(GQ8),GQ8,0))),"")</f>
        <v/>
      </c>
      <c r="GS8" s="62"/>
      <c r="GT8" s="62"/>
      <c r="GU8" s="62"/>
      <c r="GV8" s="62"/>
      <c r="GW8" s="62"/>
      <c r="GX8" s="62"/>
      <c r="GY8" s="63" t="str">
        <f>IF(OR(ISNUMBER(GS8),ISNUMBER(GT8),ISNUMBER(GU8),ISNUMBER(GV8),ISNUMBER(GW8),ISNUMBER(GX8),GS8="X",GT8="X",GU8="X",GV8="X",GW8="X",GX8="X",GS8="M",GT8="M",GU8="M",GV8="M",GW8="M",GX8="M"),IF(GS8="X",10,IF(GS8="M",0,IF(ISNUMBER(GS8),GS8,0))) + IF(GT8="X",10,IF(GT8="M",0,IF(ISNUMBER(GT8),GT8,0))) + IF(GU8="X",10,IF(GU8="M",0,IF(ISNUMBER(GU8),GU8,0))) + IF(GV8="X",10,IF(GV8="M",0,IF(ISNUMBER(GV8),GV8,0))) + IF(GW8="X",10,IF(GW8="M",0,IF(ISNUMBER(GW8),GW8,0))) + IF(GX8="X",10,IF(GX8="M",0,IF(ISNUMBER(GX8),GX8,0))),"")</f>
        <v/>
      </c>
      <c r="GZ8" s="64"/>
      <c r="HA8" s="64"/>
      <c r="HB8" s="64"/>
      <c r="HC8" s="64"/>
      <c r="HD8" s="64"/>
      <c r="HE8" s="64"/>
      <c r="HF8" s="63" t="str">
        <f>IF(OR(ISNUMBER(GZ8),ISNUMBER(HA8),ISNUMBER(HB8),ISNUMBER(HC8),ISNUMBER(HD8),ISNUMBER(HE8),GZ8="X",HA8="X",HB8="X",HC8="X",HD8="X",HE8="X",GZ8="M",HA8="M",HB8="M",HC8="M",HD8="M",HE8="M"),IF(GZ8="X",10,IF(GZ8="M",0,IF(ISNUMBER(GZ8),GZ8,0))) + IF(HA8="X",10,IF(HA8="M",0,IF(ISNUMBER(HA8),HA8,0))) + IF(HB8="X",10,IF(HB8="M",0,IF(ISNUMBER(HB8),HB8,0))) + IF(HC8="X",10,IF(HC8="M",0,IF(ISNUMBER(HC8),HC8,0))) + IF(HD8="X",10,IF(HD8="M",0,IF(ISNUMBER(HD8),HD8,0))) + IF(HE8="X",10,IF(HE8="M",0,IF(ISNUMBER(HE8),HE8,0))),"")</f>
        <v/>
      </c>
      <c r="HG8" s="65">
        <f>IF(AND(ISNUMBER(FW8),ISNUMBER(FW6)),IF(FW8&gt;FW6,2,IF(FW8=FW6,1,0)),0)+IF(AND(ISNUMBER(GD8),ISNUMBER(GD6)),IF(GD8&gt;GD6,2,IF(GD8=GD6,1,0)),0)+IF(AND(ISNUMBER(GK8),ISNUMBER(GK6)),IF(GK8&gt;GK6,2,IF(GK8=GK6,1,0)),0)+IF(AND(ISNUMBER(GR8),ISNUMBER(GR6)),IF(GR8&gt;GR6,2,IF(GR8=GR6,1,0)),0)+IF(AND(ISNUMBER(GY8),ISNUMBER(GY6)),IF(GY8&gt;GY6,2,IF(GY8=GY6,1,0)),0)</f>
        <v>0</v>
      </c>
      <c r="HH8" s="66"/>
      <c r="HI8" s="67">
        <f>IF(HG8&gt;0,IF(FQ8="X",10,IF(FQ8="M",0,IF(ISNUMBER(FQ8),FQ8,0)))+IF(FR8="X",10,IF(FR8="M",0,IF(ISNUMBER(FR8),FR8,0)))+IF(FS8="X",10,IF(FS8="M",0,IF(ISNUMBER(FS8),FS8,0)))+IF(FT8="X",10,IF(FT8="M",0,IF(ISNUMBER(FT8),FT8,0)))+IF(FU8="X",10,IF(FU8="M",0,IF(ISNUMBER(FU8),FU8,0)))+IF(FV8="X",10,IF(FV8="M",0,IF(ISNUMBER(FV8),FV8,0)))+IF(FX8="X",10,IF(FX8="M",0,IF(ISNUMBER(FX8),FX8,0)))+IF(FY8="X",10,IF(FY8="M",0,IF(ISNUMBER(FY8),FY8,0)))+IF(FZ8="X",10,IF(FZ8="M",0,IF(ISNUMBER(FZ8),FZ8,0)))+IF(GA8="X",10,IF(GA8="M",0,IF(ISNUMBER(GA8),GA8,0)))+IF(GB8="X",10,IF(GB8="M",0,IF(ISNUMBER(GB8),GB8,0)))+IF(GC8="X",10,IF(GC8="M",0,IF(ISNUMBER(GC8),GC8,0)))+IF(GE8="X",10,IF(GE8="M",0,IF(ISNUMBER(GE8),GE8,0)))+IF(GF8="X",10,IF(GF8="M",0,IF(ISNUMBER(GF8),GF8,0)))+IF(GG8="X",10,IF(GG8="M",0,IF(ISNUMBER(GG8),GG8,0)))+IF(GH8="X",10,IF(GH8="M",0,IF(ISNUMBER(GH8),GH8,0)))+IF(GI8="X",10,IF(GI8="M",0,IF(ISNUMBER(GI8),GI8,0)))+IF(GJ8="X",10,IF(GJ8="M",0,IF(ISNUMBER(GJ8),GJ8,0)))+IF(GL8="X",10,IF(GL8="M",0,IF(ISNUMBER(GL8),GL8,0)))+IF(GM8="X",10,IF(GM8="M",0,IF(ISNUMBER(GM8),GM8,0)))+IF(GN8="X",10,IF(GN8="M",0,IF(ISNUMBER(GN8),GN8,0)))+IF(GO8="X",10,IF(GO8="M",0,IF(ISNUMBER(GO8),GO8,0)))+IF(GP8="X",10,IF(GP8="M",0,IF(ISNUMBER(GP8),GP8,0)))+IF(GQ8="X",10,IF(GQ8="M",0,IF(ISNUMBER(GQ8),GQ8,0)))+IF(GS8="X",10,IF(GS8="M",0,IF(ISNUMBER(GS8),GS8,0)))+IF(GT8="X",10,IF(GT8="M",0,IF(ISNUMBER(GT8),GT8,0)))+IF(GU8="X",10,IF(GU8="M",0,IF(ISNUMBER(GU8),GU8,0)))+IF(GV8="X",10,IF(GV8="M",0,IF(ISNUMBER(GV8),GV8,0)))+IF(GW8="X",10,IF(GW8="M",0,IF(ISNUMBER(GW8),GW8,0)))+IF(GX8="X",10,IF(GX8="M",0,IF(ISNUMBER(GX8),GX8,0)))+IF(GZ8="X",10,IF(GZ8="M",0,IF(ISNUMBER(GZ8),GZ8,0)))+IF(HA8="X",10,IF(HA8="M",0,IF(ISNUMBER(HA8),HA8,0)))+IF(HB8="X",10,IF(HB8="M",0,IF(ISNUMBER(HB8),HB8,0)))+IF(HC8="X",10,IF(HC8="M",0,IF(ISNUMBER(HC8),HC8,0)))+IF(HD8="X",10,IF(HD8="M",0,IF(ISNUMBER(HD8),HD8,0)))+IF(HE8="X",10,IF(HE8="M",0,IF(ISNUMBER(HE8),HE8,0))),0)</f>
        <v>0</v>
      </c>
      <c r="HJ8" s="68" t="str">
        <f>IFERROR(IF(HH8="DQ","DISQUALIFIED",IF(HH6="DQ","&gt;&gt; Advance",IF(HL6="BYE","&gt;&gt; Advance",IF(HL8="BYE","BYE",IF(HG8&gt;=6,"WIN",IF(HG6&gt;=6,"LOSS",IF(AND(ISNUMBER(HF8),ISNUMBER(HF6)),IF(HF8&gt;HF6,"WIN",IF(HF8&lt;HF6,"LOSS","Shoot-Off")),"Playing"))))))),"Error")</f>
        <v>BYE</v>
      </c>
      <c r="HL8" s="69" t="str">
        <f>IFERROR(IF(AND(FI11="BYE",FI13="BYE"),"BYE",""),"")</f>
        <v>BYE</v>
      </c>
      <c r="HM8" s="109" t="str">
        <f>IFERROR(IF(OR(HM6="TBD",HM6=""),"",IF(OR(ISNUMBER(MATCH(HM6,'Beginner Adv 15M - Teams'!$N:$N,0)),ISNUMBER(MATCH(HM6,'Beginner Adv 15M - Teams'!$B:$B,0))),IF(ISNUMBER(MATCH(HM6,'Beginner Adv 15M - Teams'!$N:$N,0)),"Club: "&amp;INDEX('Beginner Adv 15M - Teams'!$C:$C,IF(ISNUMBER(MATCH(HM6,'Beginner Adv 15M - Teams'!$N:$N,0)),MATCH(HM6,'Beginner Adv 15M - Teams'!$N:$N,0),MATCH(HM6,'Beginner Adv 15M - Teams'!$B:$B,0)))&amp;"  |  "&amp;INDEX('Beginner Adv 15M - Teams'!$D:$D,IF(ISNUMBER(MATCH(HM6,'Beginner Adv 15M - Teams'!$N:$N,0)),MATCH(HM6,'Beginner Adv 15M - Teams'!$N:$N,0),MATCH(HM6,'Beginner Adv 15M - Teams'!$B:$B,0)))&amp;IF(INDEX('Beginner Adv 15M - Teams'!$E:$E,IF(ISNUMBER(MATCH(HM6,'Beginner Adv 15M - Teams'!$N:$N,0)),MATCH(HM6,'Beginner Adv 15M - Teams'!$N:$N,0),MATCH(HM6,'Beginner Adv 15M - Teams'!$B:$B,0)))&lt;&gt;"",", "&amp;INDEX('Beginner Adv 15M - Teams'!$E:$E,IF(ISNUMBER(MATCH(HM6,'Beginner Adv 15M - Teams'!$N:$N,0)),MATCH(HM6,'Beginner Adv 15M - Teams'!$N:$N,0),MATCH(HM6,'Beginner Adv 15M - Teams'!$B:$B,0))),"")&amp;IF(INDEX('Beginner Adv 15M - Teams'!$F:$F,IF(ISNUMBER(MATCH(HM6,'Beginner Adv 15M - Teams'!$N:$N,0)),MATCH(HM6,'Beginner Adv 15M - Teams'!$N:$N,0),MATCH(HM6,'Beginner Adv 15M - Teams'!$B:$B,0)))&lt;&gt;"",", "&amp;INDEX('Beginner Adv 15M - Teams'!$F:$F,IF(ISNUMBER(MATCH(HM6,'Beginner Adv 15M - Teams'!$N:$N,0)),MATCH(HM6,'Beginner Adv 15M - Teams'!$N:$N,0),MATCH(HM6,'Beginner Adv 15M - Teams'!$B:$B,0))),""),"Club: "&amp;INDEX('Beginner Adv 15M - Teams'!$C:$C,IF(ISNUMBER(MATCH(HM6,'Beginner Adv 15M - Teams'!$N:$N,0)),MATCH(HM6,'Beginner Adv 15M - Teams'!$N:$N,0),MATCH(HM6,'Beginner Adv 15M - Teams'!$B:$B,0)))),"")),"")</f>
        <v>Club: Pasig AC</v>
      </c>
      <c r="HN8" s="109"/>
      <c r="HO8" s="109"/>
      <c r="HP8" s="109"/>
      <c r="HQ8" s="109"/>
      <c r="HR8" s="109"/>
      <c r="HS8" s="109"/>
      <c r="HT8" s="109"/>
      <c r="HU8" s="109"/>
      <c r="HV8" s="109"/>
      <c r="HW8" s="109"/>
      <c r="HX8" s="109"/>
      <c r="HY8" s="109"/>
      <c r="HZ8" s="109"/>
      <c r="IA8" s="109"/>
      <c r="IB8" s="109"/>
    </row>
    <row r="9" spans="1:237" ht="1.5" customHeight="1" x14ac:dyDescent="0.35">
      <c r="FJ9" s="110" t="s">
        <v>187</v>
      </c>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09"/>
      <c r="HN9" s="109"/>
      <c r="HO9" s="109"/>
      <c r="HP9" s="109"/>
      <c r="HQ9" s="109"/>
      <c r="HR9" s="109"/>
      <c r="HS9" s="109"/>
      <c r="HT9" s="109"/>
      <c r="HU9" s="109"/>
      <c r="HV9" s="109"/>
      <c r="HW9" s="109"/>
      <c r="HX9" s="109"/>
      <c r="HY9" s="109"/>
      <c r="HZ9" s="109"/>
      <c r="IA9" s="109"/>
      <c r="IB9" s="109"/>
    </row>
    <row r="10" spans="1:237" ht="10.5" customHeight="1" x14ac:dyDescent="0.35">
      <c r="A10" s="104" t="s">
        <v>188</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t="s">
        <v>189</v>
      </c>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c r="CI10" s="104"/>
      <c r="CJ10" s="104"/>
      <c r="CK10" s="104"/>
      <c r="CL10" s="104"/>
      <c r="CM10" s="104"/>
      <c r="CN10" s="104"/>
      <c r="CO10" s="104"/>
      <c r="CP10" s="104"/>
      <c r="CQ10" s="104"/>
      <c r="CR10" s="104"/>
      <c r="CS10" s="104"/>
      <c r="CT10" s="104"/>
      <c r="CU10" s="104"/>
      <c r="CV10" s="104"/>
      <c r="CW10" s="104"/>
      <c r="CX10" s="104"/>
      <c r="CY10" s="104"/>
      <c r="CZ10" s="104"/>
      <c r="DA10" s="104"/>
      <c r="DB10" s="104"/>
      <c r="DC10" s="104"/>
      <c r="DD10" s="104"/>
      <c r="DE10" s="104"/>
      <c r="DF10" s="104"/>
      <c r="DG10" s="104" t="s">
        <v>190</v>
      </c>
      <c r="DH10" s="104"/>
      <c r="DI10" s="104"/>
      <c r="DJ10" s="104"/>
      <c r="DK10" s="104"/>
      <c r="DL10" s="104"/>
      <c r="DM10" s="104"/>
      <c r="DN10" s="104"/>
      <c r="DO10" s="104"/>
      <c r="DP10" s="104"/>
      <c r="DQ10" s="104"/>
      <c r="DR10" s="104"/>
      <c r="DS10" s="104"/>
      <c r="DT10" s="104"/>
      <c r="DU10" s="104"/>
      <c r="DV10" s="104"/>
      <c r="DW10" s="104"/>
      <c r="DX10" s="104"/>
      <c r="DY10" s="104"/>
      <c r="DZ10" s="104"/>
      <c r="EA10" s="104"/>
      <c r="EB10" s="104"/>
      <c r="EC10" s="104"/>
      <c r="ED10" s="104"/>
      <c r="EE10" s="104"/>
      <c r="EF10" s="104"/>
      <c r="EG10" s="104"/>
      <c r="EH10" s="104"/>
      <c r="EI10" s="104"/>
      <c r="EJ10" s="104"/>
      <c r="EK10" s="104"/>
      <c r="EL10" s="104"/>
      <c r="EM10" s="104"/>
      <c r="EN10" s="104"/>
      <c r="EO10" s="104"/>
      <c r="EP10" s="104"/>
      <c r="EQ10" s="104"/>
      <c r="ER10" s="104"/>
      <c r="ES10" s="104"/>
      <c r="ET10" s="104"/>
      <c r="EU10" s="104"/>
      <c r="EV10" s="104"/>
      <c r="EW10" s="104"/>
      <c r="EX10" s="104"/>
      <c r="EY10" s="104"/>
      <c r="EZ10" s="104"/>
      <c r="FA10" s="104"/>
      <c r="FB10" s="104"/>
      <c r="FC10" s="104"/>
      <c r="FD10" s="104"/>
      <c r="FE10" s="104"/>
      <c r="FF10" s="104"/>
      <c r="FG10" s="104"/>
      <c r="FH10" s="104"/>
      <c r="FI10" s="104"/>
      <c r="FJ10" s="104" t="s">
        <v>187</v>
      </c>
      <c r="FK10" s="104"/>
      <c r="FL10" s="104"/>
      <c r="FM10" s="104"/>
      <c r="FN10" s="104"/>
      <c r="FO10" s="104"/>
      <c r="FP10" s="104"/>
      <c r="FQ10" s="104"/>
      <c r="FR10" s="104"/>
      <c r="FS10" s="104"/>
      <c r="FT10" s="104"/>
      <c r="FU10" s="104"/>
      <c r="FV10" s="104"/>
      <c r="FW10" s="104"/>
      <c r="FX10" s="104"/>
      <c r="FY10" s="104"/>
      <c r="FZ10" s="104"/>
      <c r="GA10" s="104"/>
      <c r="GB10" s="104"/>
      <c r="GC10" s="104"/>
      <c r="GD10" s="104"/>
      <c r="GE10" s="104"/>
      <c r="GF10" s="104"/>
      <c r="GG10" s="104"/>
      <c r="GH10" s="104"/>
      <c r="GI10" s="104"/>
      <c r="GJ10" s="104"/>
      <c r="GK10" s="104"/>
      <c r="GL10" s="104"/>
      <c r="GM10" s="104"/>
      <c r="GN10" s="104"/>
      <c r="GO10" s="104"/>
      <c r="GP10" s="104"/>
      <c r="GQ10" s="104"/>
      <c r="GR10" s="104"/>
      <c r="GS10" s="104"/>
      <c r="GT10" s="104"/>
      <c r="GU10" s="104"/>
      <c r="GV10" s="104"/>
      <c r="GW10" s="104"/>
      <c r="GX10" s="104"/>
      <c r="GY10" s="104"/>
      <c r="GZ10" s="104"/>
      <c r="HA10" s="104"/>
      <c r="HB10" s="104"/>
      <c r="HC10" s="104"/>
      <c r="HD10" s="104"/>
      <c r="HE10" s="104"/>
      <c r="HF10" s="104"/>
      <c r="HG10" s="104"/>
      <c r="HH10" s="104"/>
      <c r="HI10" s="104"/>
      <c r="HJ10" s="104"/>
      <c r="HK10" s="104"/>
      <c r="HL10" s="104"/>
      <c r="HM10" s="111" t="s">
        <v>191</v>
      </c>
      <c r="HN10" s="111"/>
      <c r="HO10" s="111"/>
      <c r="HP10" s="111"/>
      <c r="HQ10" s="111"/>
      <c r="HR10" s="111"/>
      <c r="HS10" s="111"/>
      <c r="HT10" s="111"/>
      <c r="HU10" s="111"/>
      <c r="HV10" s="111"/>
      <c r="HW10" s="111"/>
      <c r="HX10" s="111"/>
      <c r="HY10" s="111"/>
      <c r="HZ10" s="111"/>
      <c r="IA10" s="111"/>
      <c r="IB10" s="111"/>
    </row>
    <row r="11" spans="1:237" ht="15.75" customHeight="1" x14ac:dyDescent="0.35">
      <c r="A11" s="61" t="str">
        <f>IFERROR(IF(INDEX('Beginner Adv 15M - Teams'!$L:$L,MATCH(8,'Beginner Adv 15M - Teams'!$A:$A,0))="Yes","BYE",IF(OR(INDEX('Beginner Adv 15M - Teams'!$B:$B,MATCH(8,'Beginner Adv 15M - Teams'!$A:$A,0))="",ISERROR(MATCH(8,'Beginner Adv 15M - Teams'!$A:$A,0))),"BYE","#8")),"BYE")</f>
        <v>BYE</v>
      </c>
      <c r="B11" s="106" t="str">
        <f>IFERROR(IF(INDEX('Beginner Adv 15M - Teams'!$L:$L,MATCH(8,'Beginner Adv 15M - Teams'!$A:$A,0))="Yes","",IF(INDEX('Beginner Adv 15M - Teams'!$N:$N,MATCH(8,'Beginner Adv 15M - Teams'!$A:$A,0))&lt;&gt;"",INDEX('Beginner Adv 15M - Teams'!$N:$N,MATCH(8,'Beginner Adv 15M - Teams'!$A:$A,0)),IF(INDEX('Beginner Adv 15M - Teams'!$B:$B,MATCH(8,'Beginner Adv 15M - Teams'!$A:$A,0))="","",INDEX('Beginner Adv 15M - Teams'!$B:$B,MATCH(8,'Beginner Adv 15M - Teams'!$A:$A,0))))),"")</f>
        <v/>
      </c>
      <c r="C11" s="106"/>
      <c r="D11" s="106"/>
      <c r="E11" s="107" t="str">
        <f>IF(OR(A11="BYE",BA11="&gt;&gt; Advance"),"",IF((B2-A2+1)&gt;=8,(A2+MOD(INT((SUMPRODUCT(IF(A6&lt;&gt;"BYE",IF(A6&lt;&gt;"",IF(BA6&lt;&gt;"&gt;&gt; Advance",1,0),0),0)+IF(A8&lt;&gt;"BYE",IF(A8&lt;&gt;"",IF(BA8&lt;&gt;"&gt;&gt; Advance",1,0),0),0)+IF(A11&lt;&gt;"BYE",IF(A11&lt;&gt;"",IF(BA11&lt;&gt;"&gt;&gt; Advance",1,0),0),0))-1)/2),(B2-A2+1)))&amp;IF((MOD(SUMPRODUCT(IF(A6&lt;&gt;"BYE",IF(A6&lt;&gt;"",IF(BA6&lt;&gt;"&gt;&gt; Advance",1,0),0),0)+IF(A8&lt;&gt;"BYE",IF(A8&lt;&gt;"",IF(BA8&lt;&gt;"&gt;&gt; Advance",1,0),0),0)+IF(A11&lt;&gt;"BYE",IF(A11&lt;&gt;"",IF(BA11&lt;&gt;"&gt;&gt; Advance",1,0),0),0))-1,2)=0)," L"," R"),(A2+MOD(INT((SUMPRODUCT(IF(A6&lt;&gt;"BYE",IF(A6&lt;&gt;"",IF(BA6&lt;&gt;"&gt;&gt; Advance",1,0),0),0)+IF(A8&lt;&gt;"BYE",IF(A8&lt;&gt;"",IF(BA8&lt;&gt;"&gt;&gt; Advance",1,0),0),0)+IF(A11&lt;&gt;"BYE",IF(A11&lt;&gt;"",IF(BA11&lt;&gt;"&gt;&gt; Advance",1,0),0),0))-1)/2),(B2-A2+1)))&amp;CHAR(65+FLOOR(INT((SUMPRODUCT(IF(A6&lt;&gt;"BYE",IF(A6&lt;&gt;"",IF(BA6&lt;&gt;"&gt;&gt; Advance",1,0),0),0)+IF(A8&lt;&gt;"BYE",IF(A8&lt;&gt;"",IF(BA8&lt;&gt;"&gt;&gt; Advance",1,0),0),0)+IF(A11&lt;&gt;"BYE",IF(A11&lt;&gt;"",IF(BA11&lt;&gt;"&gt;&gt; Advance",1,0),0),0))-1)/2)/(B2-A2+1),1)*2+MOD(SUMPRODUCT(IF(A6&lt;&gt;"BYE",IF(A6&lt;&gt;"",IF(BA6&lt;&gt;"&gt;&gt; Advance",1,0),0),0)+IF(A8&lt;&gt;"BYE",IF(A8&lt;&gt;"",IF(BA8&lt;&gt;"&gt;&gt; Advance",1,0),0),0)+IF(A11&lt;&gt;"BYE",IF(A11&lt;&gt;"",IF(BA11&lt;&gt;"&gt;&gt; Advance",1,0),0),0))-1,2))&amp;IF((MOD(SUMPRODUCT(IF(A6&lt;&gt;"BYE",IF(A6&lt;&gt;"",IF(BA6&lt;&gt;"&gt;&gt; Advance",1,0),0),0)+IF(A8&lt;&gt;"BYE",IF(A8&lt;&gt;"",IF(BA8&lt;&gt;"&gt;&gt; Advance",1,0),0),0)+IF(A11&lt;&gt;"BYE",IF(A11&lt;&gt;"",IF(BA11&lt;&gt;"&gt;&gt; Advance",1,0),0),0))-1,2)=0)," (L)"," (R)")))</f>
        <v/>
      </c>
      <c r="F11" s="107"/>
      <c r="G11" s="107"/>
      <c r="H11" s="62"/>
      <c r="I11" s="62"/>
      <c r="J11" s="62"/>
      <c r="K11" s="62"/>
      <c r="L11" s="62"/>
      <c r="M11" s="62"/>
      <c r="N11" s="63" t="str">
        <f>IF(OR(ISNUMBER(H11),ISNUMBER(I11),ISNUMBER(J11),ISNUMBER(K11),ISNUMBER(L11),ISNUMBER(M11),H11="X",I11="X",J11="X",K11="X",L11="X",M11="X",H11="M",I11="M",J11="M",K11="M",L11="M",M11="M"),IF(H11="X",10,IF(H11="M",0,IF(ISNUMBER(H11),H11,0))) + IF(I11="X",10,IF(I11="M",0,IF(ISNUMBER(I11),I11,0))) + IF(J11="X",10,IF(J11="M",0,IF(ISNUMBER(J11),J11,0))) + IF(K11="X",10,IF(K11="M",0,IF(ISNUMBER(K11),K11,0))) + IF(L11="X",10,IF(L11="M",0,IF(ISNUMBER(L11),L11,0))) + IF(M11="X",10,IF(M11="M",0,IF(ISNUMBER(M11),M11,0))),"")</f>
        <v/>
      </c>
      <c r="O11" s="62"/>
      <c r="P11" s="62"/>
      <c r="Q11" s="62"/>
      <c r="R11" s="62"/>
      <c r="S11" s="62"/>
      <c r="T11" s="62"/>
      <c r="U11" s="63" t="str">
        <f>IF(OR(ISNUMBER(O11),ISNUMBER(P11),ISNUMBER(Q11),ISNUMBER(R11),ISNUMBER(S11),ISNUMBER(T11),O11="X",P11="X",Q11="X",R11="X",S11="X",T11="X",O11="M",P11="M",Q11="M",R11="M",S11="M",T11="M"),IF(O11="X",10,IF(O11="M",0,IF(ISNUMBER(O11),O11,0))) + IF(P11="X",10,IF(P11="M",0,IF(ISNUMBER(P11),P11,0))) + IF(Q11="X",10,IF(Q11="M",0,IF(ISNUMBER(Q11),Q11,0))) + IF(R11="X",10,IF(R11="M",0,IF(ISNUMBER(R11),R11,0))) + IF(S11="X",10,IF(S11="M",0,IF(ISNUMBER(S11),S11,0))) + IF(T11="X",10,IF(T11="M",0,IF(ISNUMBER(T11),T11,0))),"")</f>
        <v/>
      </c>
      <c r="V11" s="62"/>
      <c r="W11" s="62"/>
      <c r="X11" s="62"/>
      <c r="Y11" s="62"/>
      <c r="Z11" s="62"/>
      <c r="AA11" s="62"/>
      <c r="AB11" s="63" t="str">
        <f>IF(OR(ISNUMBER(V11),ISNUMBER(W11),ISNUMBER(X11),ISNUMBER(Y11),ISNUMBER(Z11),ISNUMBER(AA11),V11="X",W11="X",X11="X",Y11="X",Z11="X",AA11="X",V11="M",W11="M",X11="M",Y11="M",Z11="M",AA11="M"),IF(V11="X",10,IF(V11="M",0,IF(ISNUMBER(V11),V11,0))) + IF(W11="X",10,IF(W11="M",0,IF(ISNUMBER(W11),W11,0))) + IF(X11="X",10,IF(X11="M",0,IF(ISNUMBER(X11),X11,0))) + IF(Y11="X",10,IF(Y11="M",0,IF(ISNUMBER(Y11),Y11,0))) + IF(Z11="X",10,IF(Z11="M",0,IF(ISNUMBER(Z11),Z11,0))) + IF(AA11="X",10,IF(AA11="M",0,IF(ISNUMBER(AA11),AA11,0))),"")</f>
        <v/>
      </c>
      <c r="AC11" s="62"/>
      <c r="AD11" s="62"/>
      <c r="AE11" s="62"/>
      <c r="AF11" s="62"/>
      <c r="AG11" s="62"/>
      <c r="AH11" s="62"/>
      <c r="AI11" s="63" t="str">
        <f>IF(OR(ISNUMBER(AC11),ISNUMBER(AD11),ISNUMBER(AE11),ISNUMBER(AF11),ISNUMBER(AG11),ISNUMBER(AH11),AC11="X",AD11="X",AE11="X",AF11="X",AG11="X",AH11="X",AC11="M",AD11="M",AE11="M",AF11="M",AG11="M",AH11="M"),IF(AC11="X",10,IF(AC11="M",0,IF(ISNUMBER(AC11),AC11,0))) + IF(AD11="X",10,IF(AD11="M",0,IF(ISNUMBER(AD11),AD11,0))) + IF(AE11="X",10,IF(AE11="M",0,IF(ISNUMBER(AE11),AE11,0))) + IF(AF11="X",10,IF(AF11="M",0,IF(ISNUMBER(AF11),AF11,0))) + IF(AG11="X",10,IF(AG11="M",0,IF(ISNUMBER(AG11),AG11,0))) + IF(AH11="X",10,IF(AH11="M",0,IF(ISNUMBER(AH11),AH11,0))),"")</f>
        <v/>
      </c>
      <c r="AJ11" s="62"/>
      <c r="AK11" s="62"/>
      <c r="AL11" s="62"/>
      <c r="AM11" s="62"/>
      <c r="AN11" s="62"/>
      <c r="AO11" s="62"/>
      <c r="AP11" s="63" t="str">
        <f>IF(OR(ISNUMBER(AJ11),ISNUMBER(AK11),ISNUMBER(AL11),ISNUMBER(AM11),ISNUMBER(AN11),ISNUMBER(AO11),AJ11="X",AK11="X",AL11="X",AM11="X",AN11="X",AO11="X",AJ11="M",AK11="M",AL11="M",AM11="M",AN11="M",AO11="M"),IF(AJ11="X",10,IF(AJ11="M",0,IF(ISNUMBER(AJ11),AJ11,0))) + IF(AK11="X",10,IF(AK11="M",0,IF(ISNUMBER(AK11),AK11,0))) + IF(AL11="X",10,IF(AL11="M",0,IF(ISNUMBER(AL11),AL11,0))) + IF(AM11="X",10,IF(AM11="M",0,IF(ISNUMBER(AM11),AM11,0))) + IF(AN11="X",10,IF(AN11="M",0,IF(ISNUMBER(AN11),AN11,0))) + IF(AO11="X",10,IF(AO11="M",0,IF(ISNUMBER(AO11),AO11,0))),"")</f>
        <v/>
      </c>
      <c r="AQ11" s="64"/>
      <c r="AR11" s="64"/>
      <c r="AS11" s="64"/>
      <c r="AT11" s="64"/>
      <c r="AU11" s="64"/>
      <c r="AV11" s="64"/>
      <c r="AW11" s="63" t="str">
        <f>IF(OR(ISNUMBER(AQ11),ISNUMBER(AR11),ISNUMBER(AS11),ISNUMBER(AT11),ISNUMBER(AU11),ISNUMBER(AV11),AQ11="X",AR11="X",AS11="X",AT11="X",AU11="X",AV11="X",AQ11="M",AR11="M",AS11="M",AT11="M",AU11="M",AV11="M"),IF(AQ11="X",10,IF(AQ11="M",0,IF(ISNUMBER(AQ11),AQ11,0))) + IF(AR11="X",10,IF(AR11="M",0,IF(ISNUMBER(AR11),AR11,0))) + IF(AS11="X",10,IF(AS11="M",0,IF(ISNUMBER(AS11),AS11,0))) + IF(AT11="X",10,IF(AT11="M",0,IF(ISNUMBER(AT11),AT11,0))) + IF(AU11="X",10,IF(AU11="M",0,IF(ISNUMBER(AU11),AU11,0))) + IF(AV11="X",10,IF(AV11="M",0,IF(ISNUMBER(AV11),AV11,0))),"")</f>
        <v/>
      </c>
      <c r="AX11" s="65">
        <f>IF(AND(ISNUMBER(N11),ISNUMBER(N13)),IF(N11&gt;N13,2,IF(N11=N13,1,0)),0)+IF(AND(ISNUMBER(U11),ISNUMBER(U13)),IF(U11&gt;U13,2,IF(U11=U13,1,0)),0)+IF(AND(ISNUMBER(AB11),ISNUMBER(AB13)),IF(AB11&gt;AB13,2,IF(AB11=AB13,1,0)),0)+IF(AND(ISNUMBER(AI11),ISNUMBER(AI13)),IF(AI11&gt;AI13,2,IF(AI11=AI13,1,0)),0)+IF(AND(ISNUMBER(AP11),ISNUMBER(AP13)),IF(AP11&gt;AP13,2,IF(AP11=AP13,1,0)),0)</f>
        <v>0</v>
      </c>
      <c r="AY11" s="66"/>
      <c r="AZ11" s="67">
        <f>IF(AX11&gt;0,IF(H11="X",10,IF(H11="M",0,IF(ISNUMBER(H11),H11,0)))+IF(I11="X",10,IF(I11="M",0,IF(ISNUMBER(I11),I11,0)))+IF(J11="X",10,IF(J11="M",0,IF(ISNUMBER(J11),J11,0)))+IF(K11="X",10,IF(K11="M",0,IF(ISNUMBER(K11),K11,0)))+IF(L11="X",10,IF(L11="M",0,IF(ISNUMBER(L11),L11,0)))+IF(M11="X",10,IF(M11="M",0,IF(ISNUMBER(M11),M11,0)))+IF(O11="X",10,IF(O11="M",0,IF(ISNUMBER(O11),O11,0)))+IF(P11="X",10,IF(P11="M",0,IF(ISNUMBER(P11),P11,0)))+IF(Q11="X",10,IF(Q11="M",0,IF(ISNUMBER(Q11),Q11,0)))+IF(R11="X",10,IF(R11="M",0,IF(ISNUMBER(R11),R11,0)))+IF(S11="X",10,IF(S11="M",0,IF(ISNUMBER(S11),S11,0)))+IF(T11="X",10,IF(T11="M",0,IF(ISNUMBER(T11),T11,0)))+IF(V11="X",10,IF(V11="M",0,IF(ISNUMBER(V11),V11,0)))+IF(W11="X",10,IF(W11="M",0,IF(ISNUMBER(W11),W11,0)))+IF(X11="X",10,IF(X11="M",0,IF(ISNUMBER(X11),X11,0)))+IF(Y11="X",10,IF(Y11="M",0,IF(ISNUMBER(Y11),Y11,0)))+IF(Z11="X",10,IF(Z11="M",0,IF(ISNUMBER(Z11),Z11,0)))+IF(AA11="X",10,IF(AA11="M",0,IF(ISNUMBER(AA11),AA11,0)))+IF(AC11="X",10,IF(AC11="M",0,IF(ISNUMBER(AC11),AC11,0)))+IF(AD11="X",10,IF(AD11="M",0,IF(ISNUMBER(AD11),AD11,0)))+IF(AE11="X",10,IF(AE11="M",0,IF(ISNUMBER(AE11),AE11,0)))+IF(AF11="X",10,IF(AF11="M",0,IF(ISNUMBER(AF11),AF11,0)))+IF(AG11="X",10,IF(AG11="M",0,IF(ISNUMBER(AG11),AG11,0)))+IF(AH11="X",10,IF(AH11="M",0,IF(ISNUMBER(AH11),AH11,0)))+IF(AJ11="X",10,IF(AJ11="M",0,IF(ISNUMBER(AJ11),AJ11,0)))+IF(AK11="X",10,IF(AK11="M",0,IF(ISNUMBER(AK11),AK11,0)))+IF(AL11="X",10,IF(AL11="M",0,IF(ISNUMBER(AL11),AL11,0)))+IF(AM11="X",10,IF(AM11="M",0,IF(ISNUMBER(AM11),AM11,0)))+IF(AN11="X",10,IF(AN11="M",0,IF(ISNUMBER(AN11),AN11,0)))+IF(AO11="X",10,IF(AO11="M",0,IF(ISNUMBER(AO11),AO11,0)))+IF(AQ11="X",10,IF(AQ11="M",0,IF(ISNUMBER(AQ11),AQ11,0)))+IF(AR11="X",10,IF(AR11="M",0,IF(ISNUMBER(AR11),AR11,0)))+IF(AS11="X",10,IF(AS11="M",0,IF(ISNUMBER(AS11),AS11,0)))+IF(AT11="X",10,IF(AT11="M",0,IF(ISNUMBER(AT11),AT11,0)))+IF(AU11="X",10,IF(AU11="M",0,IF(ISNUMBER(AU11),AU11,0)))+IF(AV11="X",10,IF(AV11="M",0,IF(ISNUMBER(AV11),AV11,0))),0)</f>
        <v>0</v>
      </c>
      <c r="BA11" s="68" t="str">
        <f>IFERROR(IF(AY11="DQ","DISQUALIFIED",IF(AY13="DQ","&gt;&gt; Advance",IF(BC13="BYE","&gt;&gt; Advance",IF(BC11="BYE","BYE",IF(AX11&gt;=6,"WIN",IF(AX13&gt;=6,"LOSS",IF(AND(ISNUMBER(AW11),ISNUMBER(AW13)),IF(AW11&gt;AW13,"WIN",IF(AW11&lt;AW13,"LOSS","Shoot-Off")),"Playing"))))))),"Error")</f>
        <v>&gt;&gt; Advance</v>
      </c>
      <c r="BC11" s="69" t="str">
        <f>IFERROR(IF(INDEX('Beginner Adv 15M - Teams'!$L:$L,MATCH(8,'Beginner Adv 15M - Teams'!$A:$A,0))="Yes","BYE",IF(OR(INDEX('Beginner Adv 15M - Teams'!$B:$B,MATCH(8,'Beginner Adv 15M - Teams'!$A:$A,0))="",ISERROR(MATCH(8,'Beginner Adv 15M - Teams'!$A:$A,0))),"BYE","")),"BYE")</f>
        <v>BYE</v>
      </c>
      <c r="BD11" s="61" t="s">
        <v>192</v>
      </c>
      <c r="BE11" s="106" t="str">
        <f>IFERROR(IF(BC16="BYE",IF(BC18="BYE","TBD",B18),IF(BC18="BYE",B16,IF(OR(BA16="WIN",BA16="&gt;&gt; Advance"),B16,IF(OR(BA18="WIN",BA18="&gt;&gt; Advance"),B18,"TBD")))),"TBD")</f>
        <v>TBD</v>
      </c>
      <c r="BF11" s="106"/>
      <c r="BG11" s="106"/>
      <c r="BH11" s="107" t="str">
        <f>IF(AND(BE11&lt;&gt;"TBD",BE11&lt;&gt;"",BE13&lt;&gt;"TBD",BE13&lt;&gt;"",DD11&lt;&gt;"&gt;&gt; Advance",DD13&lt;&gt;"&gt;&gt; Advance"),IF((B2-A2+1)&gt;=8,(A2+2)&amp;"",IF((B2-A2+1)&gt;=4,(A2+1)&amp;" L",(A2+MOD(1,(B2-A2+1)))&amp;CHAR(65+FLOOR(1/(B2-A2+1),1)*2)&amp;" (L)")),"")</f>
        <v/>
      </c>
      <c r="BI11" s="107"/>
      <c r="BJ11" s="107"/>
      <c r="BK11" s="62"/>
      <c r="BL11" s="62"/>
      <c r="BM11" s="62"/>
      <c r="BN11" s="62"/>
      <c r="BO11" s="62"/>
      <c r="BP11" s="62"/>
      <c r="BQ11" s="63" t="str">
        <f>IF(OR(ISNUMBER(BK11),ISNUMBER(BL11),ISNUMBER(BM11),ISNUMBER(BN11),ISNUMBER(BO11),ISNUMBER(BP11),BK11="X",BL11="X",BM11="X",BN11="X",BO11="X",BP11="X",BK11="M",BL11="M",BM11="M",BN11="M",BO11="M",BP11="M"),IF(BK11="X",10,IF(BK11="M",0,IF(ISNUMBER(BK11),BK11,0))) + IF(BL11="X",10,IF(BL11="M",0,IF(ISNUMBER(BL11),BL11,0))) + IF(BM11="X",10,IF(BM11="M",0,IF(ISNUMBER(BM11),BM11,0))) + IF(BN11="X",10,IF(BN11="M",0,IF(ISNUMBER(BN11),BN11,0))) + IF(BO11="X",10,IF(BO11="M",0,IF(ISNUMBER(BO11),BO11,0))) + IF(BP11="X",10,IF(BP11="M",0,IF(ISNUMBER(BP11),BP11,0))),"")</f>
        <v/>
      </c>
      <c r="BR11" s="62"/>
      <c r="BS11" s="62"/>
      <c r="BT11" s="62"/>
      <c r="BU11" s="62"/>
      <c r="BV11" s="62"/>
      <c r="BW11" s="62"/>
      <c r="BX11" s="63" t="str">
        <f>IF(OR(ISNUMBER(BR11),ISNUMBER(BS11),ISNUMBER(BT11),ISNUMBER(BU11),ISNUMBER(BV11),ISNUMBER(BW11),BR11="X",BS11="X",BT11="X",BU11="X",BV11="X",BW11="X",BR11="M",BS11="M",BT11="M",BU11="M",BV11="M",BW11="M"),IF(BR11="X",10,IF(BR11="M",0,IF(ISNUMBER(BR11),BR11,0))) + IF(BS11="X",10,IF(BS11="M",0,IF(ISNUMBER(BS11),BS11,0))) + IF(BT11="X",10,IF(BT11="M",0,IF(ISNUMBER(BT11),BT11,0))) + IF(BU11="X",10,IF(BU11="M",0,IF(ISNUMBER(BU11),BU11,0))) + IF(BV11="X",10,IF(BV11="M",0,IF(ISNUMBER(BV11),BV11,0))) + IF(BW11="X",10,IF(BW11="M",0,IF(ISNUMBER(BW11),BW11,0))),"")</f>
        <v/>
      </c>
      <c r="BY11" s="62"/>
      <c r="BZ11" s="62"/>
      <c r="CA11" s="62"/>
      <c r="CB11" s="62"/>
      <c r="CC11" s="62"/>
      <c r="CD11" s="62"/>
      <c r="CE11" s="63" t="str">
        <f>IF(OR(ISNUMBER(BY11),ISNUMBER(BZ11),ISNUMBER(CA11),ISNUMBER(CB11),ISNUMBER(CC11),ISNUMBER(CD11),BY11="X",BZ11="X",CA11="X",CB11="X",CC11="X",CD11="X",BY11="M",BZ11="M",CA11="M",CB11="M",CC11="M",CD11="M"),IF(BY11="X",10,IF(BY11="M",0,IF(ISNUMBER(BY11),BY11,0))) + IF(BZ11="X",10,IF(BZ11="M",0,IF(ISNUMBER(BZ11),BZ11,0))) + IF(CA11="X",10,IF(CA11="M",0,IF(ISNUMBER(CA11),CA11,0))) + IF(CB11="X",10,IF(CB11="M",0,IF(ISNUMBER(CB11),CB11,0))) + IF(CC11="X",10,IF(CC11="M",0,IF(ISNUMBER(CC11),CC11,0))) + IF(CD11="X",10,IF(CD11="M",0,IF(ISNUMBER(CD11),CD11,0))),"")</f>
        <v/>
      </c>
      <c r="CF11" s="62"/>
      <c r="CG11" s="62"/>
      <c r="CH11" s="62"/>
      <c r="CI11" s="62"/>
      <c r="CJ11" s="62"/>
      <c r="CK11" s="62"/>
      <c r="CL11" s="63" t="str">
        <f>IF(OR(ISNUMBER(CF11),ISNUMBER(CG11),ISNUMBER(CH11),ISNUMBER(CI11),ISNUMBER(CJ11),ISNUMBER(CK11),CF11="X",CG11="X",CH11="X",CI11="X",CJ11="X",CK11="X",CF11="M",CG11="M",CH11="M",CI11="M",CJ11="M",CK11="M"),IF(CF11="X",10,IF(CF11="M",0,IF(ISNUMBER(CF11),CF11,0))) + IF(CG11="X",10,IF(CG11="M",0,IF(ISNUMBER(CG11),CG11,0))) + IF(CH11="X",10,IF(CH11="M",0,IF(ISNUMBER(CH11),CH11,0))) + IF(CI11="X",10,IF(CI11="M",0,IF(ISNUMBER(CI11),CI11,0))) + IF(CJ11="X",10,IF(CJ11="M",0,IF(ISNUMBER(CJ11),CJ11,0))) + IF(CK11="X",10,IF(CK11="M",0,IF(ISNUMBER(CK11),CK11,0))),"")</f>
        <v/>
      </c>
      <c r="CM11" s="62"/>
      <c r="CN11" s="62"/>
      <c r="CO11" s="62"/>
      <c r="CP11" s="62"/>
      <c r="CQ11" s="62"/>
      <c r="CR11" s="62"/>
      <c r="CS11" s="63" t="str">
        <f>IF(OR(ISNUMBER(CM11),ISNUMBER(CN11),ISNUMBER(CO11),ISNUMBER(CP11),ISNUMBER(CQ11),ISNUMBER(CR11),CM11="X",CN11="X",CO11="X",CP11="X",CQ11="X",CR11="X",CM11="M",CN11="M",CO11="M",CP11="M",CQ11="M",CR11="M"),IF(CM11="X",10,IF(CM11="M",0,IF(ISNUMBER(CM11),CM11,0))) + IF(CN11="X",10,IF(CN11="M",0,IF(ISNUMBER(CN11),CN11,0))) + IF(CO11="X",10,IF(CO11="M",0,IF(ISNUMBER(CO11),CO11,0))) + IF(CP11="X",10,IF(CP11="M",0,IF(ISNUMBER(CP11),CP11,0))) + IF(CQ11="X",10,IF(CQ11="M",0,IF(ISNUMBER(CQ11),CQ11,0))) + IF(CR11="X",10,IF(CR11="M",0,IF(ISNUMBER(CR11),CR11,0))),"")</f>
        <v/>
      </c>
      <c r="CT11" s="64"/>
      <c r="CU11" s="64"/>
      <c r="CV11" s="64"/>
      <c r="CW11" s="64"/>
      <c r="CX11" s="64"/>
      <c r="CY11" s="64"/>
      <c r="CZ11" s="63" t="str">
        <f>IF(OR(ISNUMBER(CT11),ISNUMBER(CU11),ISNUMBER(CV11),ISNUMBER(CW11),ISNUMBER(CX11),ISNUMBER(CY11),CT11="X",CU11="X",CV11="X",CW11="X",CX11="X",CY11="X",CT11="M",CU11="M",CV11="M",CW11="M",CX11="M",CY11="M"),IF(CT11="X",10,IF(CT11="M",0,IF(ISNUMBER(CT11),CT11,0))) + IF(CU11="X",10,IF(CU11="M",0,IF(ISNUMBER(CU11),CU11,0))) + IF(CV11="X",10,IF(CV11="M",0,IF(ISNUMBER(CV11),CV11,0))) + IF(CW11="X",10,IF(CW11="M",0,IF(ISNUMBER(CW11),CW11,0))) + IF(CX11="X",10,IF(CX11="M",0,IF(ISNUMBER(CX11),CX11,0))) + IF(CY11="X",10,IF(CY11="M",0,IF(ISNUMBER(CY11),CY11,0))),"")</f>
        <v/>
      </c>
      <c r="DA11" s="65">
        <f>IF(AND(ISNUMBER(BQ11),ISNUMBER(BQ13)),IF(BQ11&gt;BQ13,2,IF(BQ11=BQ13,1,0)),0)+IF(AND(ISNUMBER(BX11),ISNUMBER(BX13)),IF(BX11&gt;BX13,2,IF(BX11=BX13,1,0)),0)+IF(AND(ISNUMBER(CE11),ISNUMBER(CE13)),IF(CE11&gt;CE13,2,IF(CE11=CE13,1,0)),0)+IF(AND(ISNUMBER(CL11),ISNUMBER(CL13)),IF(CL11&gt;CL13,2,IF(CL11=CL13,1,0)),0)+IF(AND(ISNUMBER(CS11),ISNUMBER(CS13)),IF(CS11&gt;CS13,2,IF(CS11=CS13,1,0)),0)</f>
        <v>0</v>
      </c>
      <c r="DB11" s="66"/>
      <c r="DC11" s="67">
        <f>IF(DA11&gt;0,IF(BK11="X",10,IF(BK11="M",0,IF(ISNUMBER(BK11),BK11,0)))+IF(BL11="X",10,IF(BL11="M",0,IF(ISNUMBER(BL11),BL11,0)))+IF(BM11="X",10,IF(BM11="M",0,IF(ISNUMBER(BM11),BM11,0)))+IF(BN11="X",10,IF(BN11="M",0,IF(ISNUMBER(BN11),BN11,0)))+IF(BO11="X",10,IF(BO11="M",0,IF(ISNUMBER(BO11),BO11,0)))+IF(BP11="X",10,IF(BP11="M",0,IF(ISNUMBER(BP11),BP11,0)))+IF(BR11="X",10,IF(BR11="M",0,IF(ISNUMBER(BR11),BR11,0)))+IF(BS11="X",10,IF(BS11="M",0,IF(ISNUMBER(BS11),BS11,0)))+IF(BT11="X",10,IF(BT11="M",0,IF(ISNUMBER(BT11),BT11,0)))+IF(BU11="X",10,IF(BU11="M",0,IF(ISNUMBER(BU11),BU11,0)))+IF(BV11="X",10,IF(BV11="M",0,IF(ISNUMBER(BV11),BV11,0)))+IF(BW11="X",10,IF(BW11="M",0,IF(ISNUMBER(BW11),BW11,0)))+IF(BY11="X",10,IF(BY11="M",0,IF(ISNUMBER(BY11),BY11,0)))+IF(BZ11="X",10,IF(BZ11="M",0,IF(ISNUMBER(BZ11),BZ11,0)))+IF(CA11="X",10,IF(CA11="M",0,IF(ISNUMBER(CA11),CA11,0)))+IF(CB11="X",10,IF(CB11="M",0,IF(ISNUMBER(CB11),CB11,0)))+IF(CC11="X",10,IF(CC11="M",0,IF(ISNUMBER(CC11),CC11,0)))+IF(CD11="X",10,IF(CD11="M",0,IF(ISNUMBER(CD11),CD11,0)))+IF(CF11="X",10,IF(CF11="M",0,IF(ISNUMBER(CF11),CF11,0)))+IF(CG11="X",10,IF(CG11="M",0,IF(ISNUMBER(CG11),CG11,0)))+IF(CH11="X",10,IF(CH11="M",0,IF(ISNUMBER(CH11),CH11,0)))+IF(CI11="X",10,IF(CI11="M",0,IF(ISNUMBER(CI11),CI11,0)))+IF(CJ11="X",10,IF(CJ11="M",0,IF(ISNUMBER(CJ11),CJ11,0)))+IF(CK11="X",10,IF(CK11="M",0,IF(ISNUMBER(CK11),CK11,0)))+IF(CM11="X",10,IF(CM11="M",0,IF(ISNUMBER(CM11),CM11,0)))+IF(CN11="X",10,IF(CN11="M",0,IF(ISNUMBER(CN11),CN11,0)))+IF(CO11="X",10,IF(CO11="M",0,IF(ISNUMBER(CO11),CO11,0)))+IF(CP11="X",10,IF(CP11="M",0,IF(ISNUMBER(CP11),CP11,0)))+IF(CQ11="X",10,IF(CQ11="M",0,IF(ISNUMBER(CQ11),CQ11,0)))+IF(CR11="X",10,IF(CR11="M",0,IF(ISNUMBER(CR11),CR11,0)))+IF(CT11="X",10,IF(CT11="M",0,IF(ISNUMBER(CT11),CT11,0)))+IF(CU11="X",10,IF(CU11="M",0,IF(ISNUMBER(CU11),CU11,0)))+IF(CV11="X",10,IF(CV11="M",0,IF(ISNUMBER(CV11),CV11,0)))+IF(CW11="X",10,IF(CW11="M",0,IF(ISNUMBER(CW11),CW11,0)))+IF(CX11="X",10,IF(CX11="M",0,IF(ISNUMBER(CX11),CX11,0)))+IF(CY11="X",10,IF(CY11="M",0,IF(ISNUMBER(CY11),CY11,0))),0)</f>
        <v>0</v>
      </c>
      <c r="DD11" s="68" t="str">
        <f>IFERROR(IF(DB11="DQ","DISQUALIFIED",IF(DB13="DQ","&gt;&gt; Advance",IF(DF13="BYE","&gt;&gt; Advance",IF(DF11="BYE","BYE",IF(DA11&gt;=6,"WIN",IF(DA13&gt;=6,"LOSS",IF(AND(ISNUMBER(CZ11),ISNUMBER(CZ13)),IF(CZ11&gt;CZ13,"WIN",IF(CZ11&lt;CZ13,"LOSS","Shoot-Off")),"Playing"))))))),"Error")</f>
        <v>&gt;&gt; Advance</v>
      </c>
      <c r="DF11" s="69" t="str">
        <f>IFERROR(IF(AND(BC16="BYE",BC18="BYE"),"BYE",""),"")</f>
        <v>BYE</v>
      </c>
      <c r="DG11" s="61" t="s">
        <v>193</v>
      </c>
      <c r="DH11" s="106" t="str">
        <f>IFERROR(IF(DF16="BYE",IF(DF18="BYE","TBD",BE18),IF(DF18="BYE",BE16,IF(OR(DD16="WIN",DD16="&gt;&gt; Advance"),BE16,IF(OR(DD18="WIN",DD18="&gt;&gt; Advance"),BE18,"TBD")))),"TBD")</f>
        <v>TBD</v>
      </c>
      <c r="DI11" s="106"/>
      <c r="DJ11" s="106"/>
      <c r="DK11" s="107" t="str">
        <f>IF(AND(DH11&lt;&gt;"TBD",DH11&lt;&gt;"",DH13&lt;&gt;"TBD",DH13&lt;&gt;"",FG11&lt;&gt;"&gt;&gt; Advance",FG13&lt;&gt;"&gt;&gt; Advance"),IF((B2-A2+1)&gt;=4,(A2+2)&amp;"",IF((B2-A2+1)&gt;=2,(A2+1)&amp;" L",(A2+MOD(1,(B2-A2+1)))&amp;CHAR(65+FLOOR(1/(B2-A2+1),1)*2)&amp;" (L)")),"")</f>
        <v/>
      </c>
      <c r="DL11" s="107"/>
      <c r="DM11" s="107"/>
      <c r="DN11" s="62"/>
      <c r="DO11" s="62"/>
      <c r="DP11" s="62"/>
      <c r="DQ11" s="62"/>
      <c r="DR11" s="62"/>
      <c r="DS11" s="62"/>
      <c r="DT11" s="63" t="str">
        <f>IF(OR(ISNUMBER(DN11),ISNUMBER(DO11),ISNUMBER(DP11),ISNUMBER(DQ11),ISNUMBER(DR11),ISNUMBER(DS11),DN11="X",DO11="X",DP11="X",DQ11="X",DR11="X",DS11="X",DN11="M",DO11="M",DP11="M",DQ11="M",DR11="M",DS11="M"),IF(DN11="X",10,IF(DN11="M",0,IF(ISNUMBER(DN11),DN11,0))) + IF(DO11="X",10,IF(DO11="M",0,IF(ISNUMBER(DO11),DO11,0))) + IF(DP11="X",10,IF(DP11="M",0,IF(ISNUMBER(DP11),DP11,0))) + IF(DQ11="X",10,IF(DQ11="M",0,IF(ISNUMBER(DQ11),DQ11,0))) + IF(DR11="X",10,IF(DR11="M",0,IF(ISNUMBER(DR11),DR11,0))) + IF(DS11="X",10,IF(DS11="M",0,IF(ISNUMBER(DS11),DS11,0))),"")</f>
        <v/>
      </c>
      <c r="DU11" s="62"/>
      <c r="DV11" s="62"/>
      <c r="DW11" s="62"/>
      <c r="DX11" s="62"/>
      <c r="DY11" s="62"/>
      <c r="DZ11" s="62"/>
      <c r="EA11" s="63" t="str">
        <f>IF(OR(ISNUMBER(DU11),ISNUMBER(DV11),ISNUMBER(DW11),ISNUMBER(DX11),ISNUMBER(DY11),ISNUMBER(DZ11),DU11="X",DV11="X",DW11="X",DX11="X",DY11="X",DZ11="X",DU11="M",DV11="M",DW11="M",DX11="M",DY11="M",DZ11="M"),IF(DU11="X",10,IF(DU11="M",0,IF(ISNUMBER(DU11),DU11,0))) + IF(DV11="X",10,IF(DV11="M",0,IF(ISNUMBER(DV11),DV11,0))) + IF(DW11="X",10,IF(DW11="M",0,IF(ISNUMBER(DW11),DW11,0))) + IF(DX11="X",10,IF(DX11="M",0,IF(ISNUMBER(DX11),DX11,0))) + IF(DY11="X",10,IF(DY11="M",0,IF(ISNUMBER(DY11),DY11,0))) + IF(DZ11="X",10,IF(DZ11="M",0,IF(ISNUMBER(DZ11),DZ11,0))),"")</f>
        <v/>
      </c>
      <c r="EB11" s="62"/>
      <c r="EC11" s="62"/>
      <c r="ED11" s="62"/>
      <c r="EE11" s="62"/>
      <c r="EF11" s="62"/>
      <c r="EG11" s="62"/>
      <c r="EH11" s="63" t="str">
        <f>IF(OR(ISNUMBER(EB11),ISNUMBER(EC11),ISNUMBER(ED11),ISNUMBER(EE11),ISNUMBER(EF11),ISNUMBER(EG11),EB11="X",EC11="X",ED11="X",EE11="X",EF11="X",EG11="X",EB11="M",EC11="M",ED11="M",EE11="M",EF11="M",EG11="M"),IF(EB11="X",10,IF(EB11="M",0,IF(ISNUMBER(EB11),EB11,0))) + IF(EC11="X",10,IF(EC11="M",0,IF(ISNUMBER(EC11),EC11,0))) + IF(ED11="X",10,IF(ED11="M",0,IF(ISNUMBER(ED11),ED11,0))) + IF(EE11="X",10,IF(EE11="M",0,IF(ISNUMBER(EE11),EE11,0))) + IF(EF11="X",10,IF(EF11="M",0,IF(ISNUMBER(EF11),EF11,0))) + IF(EG11="X",10,IF(EG11="M",0,IF(ISNUMBER(EG11),EG11,0))),"")</f>
        <v/>
      </c>
      <c r="EI11" s="62"/>
      <c r="EJ11" s="62"/>
      <c r="EK11" s="62"/>
      <c r="EL11" s="62"/>
      <c r="EM11" s="62"/>
      <c r="EN11" s="62"/>
      <c r="EO11" s="63" t="str">
        <f>IF(OR(ISNUMBER(EI11),ISNUMBER(EJ11),ISNUMBER(EK11),ISNUMBER(EL11),ISNUMBER(EM11),ISNUMBER(EN11),EI11="X",EJ11="X",EK11="X",EL11="X",EM11="X",EN11="X",EI11="M",EJ11="M",EK11="M",EL11="M",EM11="M",EN11="M"),IF(EI11="X",10,IF(EI11="M",0,IF(ISNUMBER(EI11),EI11,0))) + IF(EJ11="X",10,IF(EJ11="M",0,IF(ISNUMBER(EJ11),EJ11,0))) + IF(EK11="X",10,IF(EK11="M",0,IF(ISNUMBER(EK11),EK11,0))) + IF(EL11="X",10,IF(EL11="M",0,IF(ISNUMBER(EL11),EL11,0))) + IF(EM11="X",10,IF(EM11="M",0,IF(ISNUMBER(EM11),EM11,0))) + IF(EN11="X",10,IF(EN11="M",0,IF(ISNUMBER(EN11),EN11,0))),"")</f>
        <v/>
      </c>
      <c r="EP11" s="62"/>
      <c r="EQ11" s="62"/>
      <c r="ER11" s="62"/>
      <c r="ES11" s="62"/>
      <c r="ET11" s="62"/>
      <c r="EU11" s="62"/>
      <c r="EV11" s="63" t="str">
        <f>IF(OR(ISNUMBER(EP11),ISNUMBER(EQ11),ISNUMBER(ER11),ISNUMBER(ES11),ISNUMBER(ET11),ISNUMBER(EU11),EP11="X",EQ11="X",ER11="X",ES11="X",ET11="X",EU11="X",EP11="M",EQ11="M",ER11="M",ES11="M",ET11="M",EU11="M"),IF(EP11="X",10,IF(EP11="M",0,IF(ISNUMBER(EP11),EP11,0))) + IF(EQ11="X",10,IF(EQ11="M",0,IF(ISNUMBER(EQ11),EQ11,0))) + IF(ER11="X",10,IF(ER11="M",0,IF(ISNUMBER(ER11),ER11,0))) + IF(ES11="X",10,IF(ES11="M",0,IF(ISNUMBER(ES11),ES11,0))) + IF(ET11="X",10,IF(ET11="M",0,IF(ISNUMBER(ET11),ET11,0))) + IF(EU11="X",10,IF(EU11="M",0,IF(ISNUMBER(EU11),EU11,0))),"")</f>
        <v/>
      </c>
      <c r="EW11" s="64"/>
      <c r="EX11" s="64"/>
      <c r="EY11" s="64"/>
      <c r="EZ11" s="64"/>
      <c r="FA11" s="64"/>
      <c r="FB11" s="64"/>
      <c r="FC11" s="63" t="str">
        <f>IF(OR(ISNUMBER(EW11),ISNUMBER(EX11),ISNUMBER(EY11),ISNUMBER(EZ11),ISNUMBER(FA11),ISNUMBER(FB11),EW11="X",EX11="X",EY11="X",EZ11="X",FA11="X",FB11="X",EW11="M",EX11="M",EY11="M",EZ11="M",FA11="M",FB11="M"),IF(EW11="X",10,IF(EW11="M",0,IF(ISNUMBER(EW11),EW11,0))) + IF(EX11="X",10,IF(EX11="M",0,IF(ISNUMBER(EX11),EX11,0))) + IF(EY11="X",10,IF(EY11="M",0,IF(ISNUMBER(EY11),EY11,0))) + IF(EZ11="X",10,IF(EZ11="M",0,IF(ISNUMBER(EZ11),EZ11,0))) + IF(FA11="X",10,IF(FA11="M",0,IF(ISNUMBER(FA11),FA11,0))) + IF(FB11="X",10,IF(FB11="M",0,IF(ISNUMBER(FB11),FB11,0))),"")</f>
        <v/>
      </c>
      <c r="FD11" s="65">
        <f>IF(AND(ISNUMBER(DT11),ISNUMBER(DT13)),IF(DT11&gt;DT13,2,IF(DT11=DT13,1,0)),0)+IF(AND(ISNUMBER(EA11),ISNUMBER(EA13)),IF(EA11&gt;EA13,2,IF(EA11=EA13,1,0)),0)+IF(AND(ISNUMBER(EH11),ISNUMBER(EH13)),IF(EH11&gt;EH13,2,IF(EH11=EH13,1,0)),0)+IF(AND(ISNUMBER(EO11),ISNUMBER(EO13)),IF(EO11&gt;EO13,2,IF(EO11=EO13,1,0)),0)+IF(AND(ISNUMBER(EV11),ISNUMBER(EV13)),IF(EV11&gt;EV13,2,IF(EV11=EV13,1,0)),0)</f>
        <v>0</v>
      </c>
      <c r="FE11" s="66"/>
      <c r="FF11" s="67">
        <f>IF(FD11&gt;0,IF(DN11="X",10,IF(DN11="M",0,IF(ISNUMBER(DN11),DN11,0)))+IF(DO11="X",10,IF(DO11="M",0,IF(ISNUMBER(DO11),DO11,0)))+IF(DP11="X",10,IF(DP11="M",0,IF(ISNUMBER(DP11),DP11,0)))+IF(DQ11="X",10,IF(DQ11="M",0,IF(ISNUMBER(DQ11),DQ11,0)))+IF(DR11="X",10,IF(DR11="M",0,IF(ISNUMBER(DR11),DR11,0)))+IF(DS11="X",10,IF(DS11="M",0,IF(ISNUMBER(DS11),DS11,0)))+IF(DU11="X",10,IF(DU11="M",0,IF(ISNUMBER(DU11),DU11,0)))+IF(DV11="X",10,IF(DV11="M",0,IF(ISNUMBER(DV11),DV11,0)))+IF(DW11="X",10,IF(DW11="M",0,IF(ISNUMBER(DW11),DW11,0)))+IF(DX11="X",10,IF(DX11="M",0,IF(ISNUMBER(DX11),DX11,0)))+IF(DY11="X",10,IF(DY11="M",0,IF(ISNUMBER(DY11),DY11,0)))+IF(DZ11="X",10,IF(DZ11="M",0,IF(ISNUMBER(DZ11),DZ11,0)))+IF(EB11="X",10,IF(EB11="M",0,IF(ISNUMBER(EB11),EB11,0)))+IF(EC11="X",10,IF(EC11="M",0,IF(ISNUMBER(EC11),EC11,0)))+IF(ED11="X",10,IF(ED11="M",0,IF(ISNUMBER(ED11),ED11,0)))+IF(EE11="X",10,IF(EE11="M",0,IF(ISNUMBER(EE11),EE11,0)))+IF(EF11="X",10,IF(EF11="M",0,IF(ISNUMBER(EF11),EF11,0)))+IF(EG11="X",10,IF(EG11="M",0,IF(ISNUMBER(EG11),EG11,0)))+IF(EI11="X",10,IF(EI11="M",0,IF(ISNUMBER(EI11),EI11,0)))+IF(EJ11="X",10,IF(EJ11="M",0,IF(ISNUMBER(EJ11),EJ11,0)))+IF(EK11="X",10,IF(EK11="M",0,IF(ISNUMBER(EK11),EK11,0)))+IF(EL11="X",10,IF(EL11="M",0,IF(ISNUMBER(EL11),EL11,0)))+IF(EM11="X",10,IF(EM11="M",0,IF(ISNUMBER(EM11),EM11,0)))+IF(EN11="X",10,IF(EN11="M",0,IF(ISNUMBER(EN11),EN11,0)))+IF(EP11="X",10,IF(EP11="M",0,IF(ISNUMBER(EP11),EP11,0)))+IF(EQ11="X",10,IF(EQ11="M",0,IF(ISNUMBER(EQ11),EQ11,0)))+IF(ER11="X",10,IF(ER11="M",0,IF(ISNUMBER(ER11),ER11,0)))+IF(ES11="X",10,IF(ES11="M",0,IF(ISNUMBER(ES11),ES11,0)))+IF(ET11="X",10,IF(ET11="M",0,IF(ISNUMBER(ET11),ET11,0)))+IF(EU11="X",10,IF(EU11="M",0,IF(ISNUMBER(EU11),EU11,0)))+IF(EW11="X",10,IF(EW11="M",0,IF(ISNUMBER(EW11),EW11,0)))+IF(EX11="X",10,IF(EX11="M",0,IF(ISNUMBER(EX11),EX11,0)))+IF(EY11="X",10,IF(EY11="M",0,IF(ISNUMBER(EY11),EY11,0)))+IF(EZ11="X",10,IF(EZ11="M",0,IF(ISNUMBER(EZ11),EZ11,0)))+IF(FA11="X",10,IF(FA11="M",0,IF(ISNUMBER(FA11),FA11,0)))+IF(FB11="X",10,IF(FB11="M",0,IF(ISNUMBER(FB11),FB11,0))),0)</f>
        <v>0</v>
      </c>
      <c r="FG11" s="68" t="str">
        <f>IFERROR(IF(FE11="DQ","DISQUALIFIED",IF(FE13="DQ","&gt;&gt; Advance",IF(FI13="BYE","&gt;&gt; Advance",IF(FI11="BYE","BYE",IF(FD11&gt;=6,"WIN",IF(FD13&gt;=6,"LOSS",IF(AND(ISNUMBER(FC11),ISNUMBER(FC13)),IF(FC11&gt;FC13,"WIN",IF(FC11&lt;FC13,"LOSS","Shoot-Off")),"Playing"))))))),"Error")</f>
        <v>&gt;&gt; Advance</v>
      </c>
      <c r="FI11" s="69" t="str">
        <f>IFERROR(IF(AND(DF16="BYE",DF18="BYE"),"BYE",""),"")</f>
        <v>BYE</v>
      </c>
      <c r="FJ11" s="72" t="s">
        <v>194</v>
      </c>
      <c r="FK11" s="106" t="str">
        <f>IFERROR(IF(OR(FI6="BYE",FI8="BYE"),"",IF(OR(FG6="WIN",FG6="&gt;&gt; Advance"),DH8,IF(OR(FG8="WIN",FG8="&gt;&gt; Advance"),DH6,"TBD"))),"TBD")</f>
        <v/>
      </c>
      <c r="FL11" s="106"/>
      <c r="FM11" s="106"/>
      <c r="FN11" s="107" t="str">
        <f>IF(AND(FK11&lt;&gt;"TBD",FK11&lt;&gt;"",FK13&lt;&gt;"TBD",FK13&lt;&gt;"",HJ11&lt;&gt;"&gt;&gt; Advance",HJ13&lt;&gt;"&gt;&gt; Advance"),IF((B2-A2+1)&gt;=4,(A2+2)&amp;"",IF((B2-A2+1)&gt;=2,(A2+1)&amp;" L",(A2+MOD(1,(B2-A2+1)))&amp;CHAR(65+FLOOR(1/(B2-A2+1),1)*2)&amp;" (L)")),"")</f>
        <v/>
      </c>
      <c r="FO11" s="107"/>
      <c r="FP11" s="107"/>
      <c r="FQ11" s="62"/>
      <c r="FR11" s="62"/>
      <c r="FS11" s="62"/>
      <c r="FT11" s="62"/>
      <c r="FU11" s="62"/>
      <c r="FV11" s="62"/>
      <c r="FW11" s="63" t="str">
        <f>IF(OR(ISNUMBER(FQ11),ISNUMBER(FR11),ISNUMBER(FS11),ISNUMBER(FT11),ISNUMBER(FU11),ISNUMBER(FV11),FQ11="X",FR11="X",FS11="X",FT11="X",FU11="X",FV11="X",FQ11="M",FR11="M",FS11="M",FT11="M",FU11="M",FV11="M"),IF(FQ11="X",10,IF(FQ11="M",0,IF(ISNUMBER(FQ11),FQ11,0))) + IF(FR11="X",10,IF(FR11="M",0,IF(ISNUMBER(FR11),FR11,0))) + IF(FS11="X",10,IF(FS11="M",0,IF(ISNUMBER(FS11),FS11,0))) + IF(FT11="X",10,IF(FT11="M",0,IF(ISNUMBER(FT11),FT11,0))) + IF(FU11="X",10,IF(FU11="M",0,IF(ISNUMBER(FU11),FU11,0))) + IF(FV11="X",10,IF(FV11="M",0,IF(ISNUMBER(FV11),FV11,0))),"")</f>
        <v/>
      </c>
      <c r="FX11" s="62"/>
      <c r="FY11" s="62"/>
      <c r="FZ11" s="62"/>
      <c r="GA11" s="62"/>
      <c r="GB11" s="62"/>
      <c r="GC11" s="62"/>
      <c r="GD11" s="63" t="str">
        <f>IF(OR(ISNUMBER(FX11),ISNUMBER(FY11),ISNUMBER(FZ11),ISNUMBER(GA11),ISNUMBER(GB11),ISNUMBER(GC11),FX11="X",FY11="X",FZ11="X",GA11="X",GB11="X",GC11="X",FX11="M",FY11="M",FZ11="M",GA11="M",GB11="M",GC11="M"),IF(FX11="X",10,IF(FX11="M",0,IF(ISNUMBER(FX11),FX11,0))) + IF(FY11="X",10,IF(FY11="M",0,IF(ISNUMBER(FY11),FY11,0))) + IF(FZ11="X",10,IF(FZ11="M",0,IF(ISNUMBER(FZ11),FZ11,0))) + IF(GA11="X",10,IF(GA11="M",0,IF(ISNUMBER(GA11),GA11,0))) + IF(GB11="X",10,IF(GB11="M",0,IF(ISNUMBER(GB11),GB11,0))) + IF(GC11="X",10,IF(GC11="M",0,IF(ISNUMBER(GC11),GC11,0))),"")</f>
        <v/>
      </c>
      <c r="GE11" s="62"/>
      <c r="GF11" s="62"/>
      <c r="GG11" s="62"/>
      <c r="GH11" s="62"/>
      <c r="GI11" s="62"/>
      <c r="GJ11" s="62"/>
      <c r="GK11" s="63" t="str">
        <f>IF(OR(ISNUMBER(GE11),ISNUMBER(GF11),ISNUMBER(GG11),ISNUMBER(GH11),ISNUMBER(GI11),ISNUMBER(GJ11),GE11="X",GF11="X",GG11="X",GH11="X",GI11="X",GJ11="X",GE11="M",GF11="M",GG11="M",GH11="M",GI11="M",GJ11="M"),IF(GE11="X",10,IF(GE11="M",0,IF(ISNUMBER(GE11),GE11,0))) + IF(GF11="X",10,IF(GF11="M",0,IF(ISNUMBER(GF11),GF11,0))) + IF(GG11="X",10,IF(GG11="M",0,IF(ISNUMBER(GG11),GG11,0))) + IF(GH11="X",10,IF(GH11="M",0,IF(ISNUMBER(GH11),GH11,0))) + IF(GI11="X",10,IF(GI11="M",0,IF(ISNUMBER(GI11),GI11,0))) + IF(GJ11="X",10,IF(GJ11="M",0,IF(ISNUMBER(GJ11),GJ11,0))),"")</f>
        <v/>
      </c>
      <c r="GL11" s="62"/>
      <c r="GM11" s="62"/>
      <c r="GN11" s="62"/>
      <c r="GO11" s="62"/>
      <c r="GP11" s="62"/>
      <c r="GQ11" s="62"/>
      <c r="GR11" s="63" t="str">
        <f>IF(OR(ISNUMBER(GL11),ISNUMBER(GM11),ISNUMBER(GN11),ISNUMBER(GO11),ISNUMBER(GP11),ISNUMBER(GQ11),GL11="X",GM11="X",GN11="X",GO11="X",GP11="X",GQ11="X",GL11="M",GM11="M",GN11="M",GO11="M",GP11="M",GQ11="M"),IF(GL11="X",10,IF(GL11="M",0,IF(ISNUMBER(GL11),GL11,0))) + IF(GM11="X",10,IF(GM11="M",0,IF(ISNUMBER(GM11),GM11,0))) + IF(GN11="X",10,IF(GN11="M",0,IF(ISNUMBER(GN11),GN11,0))) + IF(GO11="X",10,IF(GO11="M",0,IF(ISNUMBER(GO11),GO11,0))) + IF(GP11="X",10,IF(GP11="M",0,IF(ISNUMBER(GP11),GP11,0))) + IF(GQ11="X",10,IF(GQ11="M",0,IF(ISNUMBER(GQ11),GQ11,0))),"")</f>
        <v/>
      </c>
      <c r="GS11" s="62"/>
      <c r="GT11" s="62"/>
      <c r="GU11" s="62"/>
      <c r="GV11" s="62"/>
      <c r="GW11" s="62"/>
      <c r="GX11" s="62"/>
      <c r="GY11" s="63" t="str">
        <f>IF(OR(ISNUMBER(GS11),ISNUMBER(GT11),ISNUMBER(GU11),ISNUMBER(GV11),ISNUMBER(GW11),ISNUMBER(GX11),GS11="X",GT11="X",GU11="X",GV11="X",GW11="X",GX11="X",GS11="M",GT11="M",GU11="M",GV11="M",GW11="M",GX11="M"),IF(GS11="X",10,IF(GS11="M",0,IF(ISNUMBER(GS11),GS11,0))) + IF(GT11="X",10,IF(GT11="M",0,IF(ISNUMBER(GT11),GT11,0))) + IF(GU11="X",10,IF(GU11="M",0,IF(ISNUMBER(GU11),GU11,0))) + IF(GV11="X",10,IF(GV11="M",0,IF(ISNUMBER(GV11),GV11,0))) + IF(GW11="X",10,IF(GW11="M",0,IF(ISNUMBER(GW11),GW11,0))) + IF(GX11="X",10,IF(GX11="M",0,IF(ISNUMBER(GX11),GX11,0))),"")</f>
        <v/>
      </c>
      <c r="GZ11" s="64"/>
      <c r="HA11" s="64"/>
      <c r="HB11" s="64"/>
      <c r="HC11" s="64"/>
      <c r="HD11" s="64"/>
      <c r="HE11" s="64"/>
      <c r="HF11" s="63" t="str">
        <f>IF(OR(ISNUMBER(GZ11),ISNUMBER(HA11),ISNUMBER(HB11),ISNUMBER(HC11),ISNUMBER(HD11),ISNUMBER(HE11),GZ11="X",HA11="X",HB11="X",HC11="X",HD11="X",HE11="X",GZ11="M",HA11="M",HB11="M",HC11="M",HD11="M",HE11="M"),IF(GZ11="X",10,IF(GZ11="M",0,IF(ISNUMBER(GZ11),GZ11,0))) + IF(HA11="X",10,IF(HA11="M",0,IF(ISNUMBER(HA11),HA11,0))) + IF(HB11="X",10,IF(HB11="M",0,IF(ISNUMBER(HB11),HB11,0))) + IF(HC11="X",10,IF(HC11="M",0,IF(ISNUMBER(HC11),HC11,0))) + IF(HD11="X",10,IF(HD11="M",0,IF(ISNUMBER(HD11),HD11,0))) + IF(HE11="X",10,IF(HE11="M",0,IF(ISNUMBER(HE11),HE11,0))),"")</f>
        <v/>
      </c>
      <c r="HG11" s="65">
        <f>IF(AND(ISNUMBER(FW11),ISNUMBER(FW13)),IF(FW11&gt;FW13,2,IF(FW11=FW13,1,0)),0)+IF(AND(ISNUMBER(GD11),ISNUMBER(GD13)),IF(GD11&gt;GD13,2,IF(GD11=GD13,1,0)),0)+IF(AND(ISNUMBER(GK11),ISNUMBER(GK13)),IF(GK11&gt;GK13,2,IF(GK11=GK13,1,0)),0)+IF(AND(ISNUMBER(GR11),ISNUMBER(GR13)),IF(GR11&gt;GR13,2,IF(GR11=GR13,1,0)),0)+IF(AND(ISNUMBER(GY11),ISNUMBER(GY13)),IF(GY11&gt;GY13,2,IF(GY11=GY13,1,0)),0)</f>
        <v>0</v>
      </c>
      <c r="HH11" s="66"/>
      <c r="HI11" s="67">
        <f>IF(HG11&gt;0,IF(FQ11="X",10,IF(FQ11="M",0,IF(ISNUMBER(FQ11),FQ11,0)))+IF(FR11="X",10,IF(FR11="M",0,IF(ISNUMBER(FR11),FR11,0)))+IF(FS11="X",10,IF(FS11="M",0,IF(ISNUMBER(FS11),FS11,0)))+IF(FT11="X",10,IF(FT11="M",0,IF(ISNUMBER(FT11),FT11,0)))+IF(FU11="X",10,IF(FU11="M",0,IF(ISNUMBER(FU11),FU11,0)))+IF(FV11="X",10,IF(FV11="M",0,IF(ISNUMBER(FV11),FV11,0)))+IF(FX11="X",10,IF(FX11="M",0,IF(ISNUMBER(FX11),FX11,0)))+IF(FY11="X",10,IF(FY11="M",0,IF(ISNUMBER(FY11),FY11,0)))+IF(FZ11="X",10,IF(FZ11="M",0,IF(ISNUMBER(FZ11),FZ11,0)))+IF(GA11="X",10,IF(GA11="M",0,IF(ISNUMBER(GA11),GA11,0)))+IF(GB11="X",10,IF(GB11="M",0,IF(ISNUMBER(GB11),GB11,0)))+IF(GC11="X",10,IF(GC11="M",0,IF(ISNUMBER(GC11),GC11,0)))+IF(GE11="X",10,IF(GE11="M",0,IF(ISNUMBER(GE11),GE11,0)))+IF(GF11="X",10,IF(GF11="M",0,IF(ISNUMBER(GF11),GF11,0)))+IF(GG11="X",10,IF(GG11="M",0,IF(ISNUMBER(GG11),GG11,0)))+IF(GH11="X",10,IF(GH11="M",0,IF(ISNUMBER(GH11),GH11,0)))+IF(GI11="X",10,IF(GI11="M",0,IF(ISNUMBER(GI11),GI11,0)))+IF(GJ11="X",10,IF(GJ11="M",0,IF(ISNUMBER(GJ11),GJ11,0)))+IF(GL11="X",10,IF(GL11="M",0,IF(ISNUMBER(GL11),GL11,0)))+IF(GM11="X",10,IF(GM11="M",0,IF(ISNUMBER(GM11),GM11,0)))+IF(GN11="X",10,IF(GN11="M",0,IF(ISNUMBER(GN11),GN11,0)))+IF(GO11="X",10,IF(GO11="M",0,IF(ISNUMBER(GO11),GO11,0)))+IF(GP11="X",10,IF(GP11="M",0,IF(ISNUMBER(GP11),GP11,0)))+IF(GQ11="X",10,IF(GQ11="M",0,IF(ISNUMBER(GQ11),GQ11,0)))+IF(GS11="X",10,IF(GS11="M",0,IF(ISNUMBER(GS11),GS11,0)))+IF(GT11="X",10,IF(GT11="M",0,IF(ISNUMBER(GT11),GT11,0)))+IF(GU11="X",10,IF(GU11="M",0,IF(ISNUMBER(GU11),GU11,0)))+IF(GV11="X",10,IF(GV11="M",0,IF(ISNUMBER(GV11),GV11,0)))+IF(GW11="X",10,IF(GW11="M",0,IF(ISNUMBER(GW11),GW11,0)))+IF(GX11="X",10,IF(GX11="M",0,IF(ISNUMBER(GX11),GX11,0)))+IF(GZ11="X",10,IF(GZ11="M",0,IF(ISNUMBER(GZ11),GZ11,0)))+IF(HA11="X",10,IF(HA11="M",0,IF(ISNUMBER(HA11),HA11,0)))+IF(HB11="X",10,IF(HB11="M",0,IF(ISNUMBER(HB11),HB11,0)))+IF(HC11="X",10,IF(HC11="M",0,IF(ISNUMBER(HC11),HC11,0)))+IF(HD11="X",10,IF(HD11="M",0,IF(ISNUMBER(HD11),HD11,0)))+IF(HE11="X",10,IF(HE11="M",0,IF(ISNUMBER(HE11),HE11,0))),0)</f>
        <v>0</v>
      </c>
      <c r="HJ11" s="68" t="str">
        <f>IFERROR(IF(HH11="DQ","DISQUALIFIED",IF(HH13="DQ","&gt;&gt; Advance",IF(HL13="BYE","&gt;&gt; Advance",IF(HL11="BYE","BYE",IF(HG11&gt;=6,"WIN",IF(HG13&gt;=6,"LOSS",IF(AND(ISNUMBER(HF11),ISNUMBER(HF13)),IF(HF11&gt;HF13,"WIN",IF(HF11&lt;HF13,"LOSS","Shoot-Off")),"Playing"))))))),"Error")</f>
        <v>Playing</v>
      </c>
      <c r="HL11" s="69" t="str">
        <f>""</f>
        <v/>
      </c>
      <c r="HM11" s="112" t="str">
        <f>IFERROR(IF(OR(HL6="BYE",HL8="BYE"),"",IF(OR(HJ6="WIN",HJ6="&gt;&gt; Advance"),FK8,IF(OR(HJ8="WIN",HJ8="&gt;&gt; Advance"),FK6,"TBD"))),"TBD")</f>
        <v/>
      </c>
      <c r="HN11" s="112"/>
      <c r="HO11" s="112"/>
      <c r="HP11" s="112"/>
      <c r="HQ11" s="112"/>
      <c r="HR11" s="112"/>
      <c r="HS11" s="112"/>
      <c r="HT11" s="112"/>
      <c r="HU11" s="112"/>
      <c r="HV11" s="112"/>
      <c r="HW11" s="112"/>
      <c r="HX11" s="112"/>
      <c r="HY11" s="112"/>
      <c r="HZ11" s="112"/>
      <c r="IA11" s="112"/>
      <c r="IB11" s="112"/>
    </row>
    <row r="12" spans="1:237" ht="3" customHeight="1" x14ac:dyDescent="0.35">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c r="EQ12" s="71"/>
      <c r="ER12" s="71"/>
      <c r="ES12" s="71"/>
      <c r="ET12" s="71"/>
      <c r="EU12" s="71"/>
      <c r="EV12" s="71"/>
      <c r="EW12" s="71"/>
      <c r="EX12" s="71"/>
      <c r="EY12" s="71"/>
      <c r="EZ12" s="71"/>
      <c r="FA12" s="71"/>
      <c r="FB12" s="71"/>
      <c r="FC12" s="71"/>
      <c r="FD12" s="71"/>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c r="GW12" s="71"/>
      <c r="GX12" s="71"/>
      <c r="GY12" s="71"/>
      <c r="GZ12" s="71"/>
      <c r="HA12" s="71"/>
      <c r="HB12" s="71"/>
      <c r="HC12" s="71"/>
      <c r="HD12" s="71"/>
      <c r="HE12" s="71"/>
      <c r="HF12" s="71"/>
      <c r="HG12" s="71"/>
      <c r="HH12" s="71"/>
      <c r="HI12" s="71"/>
      <c r="HJ12" s="71"/>
      <c r="HK12" s="71"/>
      <c r="HL12" s="71"/>
      <c r="HM12" s="112"/>
      <c r="HN12" s="112"/>
      <c r="HO12" s="112"/>
      <c r="HP12" s="112"/>
      <c r="HQ12" s="112"/>
      <c r="HR12" s="112"/>
      <c r="HS12" s="112"/>
      <c r="HT12" s="112"/>
      <c r="HU12" s="112"/>
      <c r="HV12" s="112"/>
      <c r="HW12" s="112"/>
      <c r="HX12" s="112"/>
      <c r="HY12" s="112"/>
      <c r="HZ12" s="112"/>
      <c r="IA12" s="112"/>
      <c r="IB12" s="112"/>
    </row>
    <row r="13" spans="1:237" ht="15.75" customHeight="1" x14ac:dyDescent="0.35">
      <c r="A13" s="61" t="str">
        <f>IFERROR(IF(INDEX('Beginner Adv 15M - Teams'!$L:$L,MATCH(9,'Beginner Adv 15M - Teams'!$A:$A,0))="Yes","BYE",IF(OR(INDEX('Beginner Adv 15M - Teams'!$B:$B,MATCH(9,'Beginner Adv 15M - Teams'!$A:$A,0))="",ISERROR(MATCH(9,'Beginner Adv 15M - Teams'!$A:$A,0))),"BYE","#9")),"BYE")</f>
        <v>BYE</v>
      </c>
      <c r="B13" s="106" t="str">
        <f>IFERROR(IF(INDEX('Beginner Adv 15M - Teams'!$L:$L,MATCH(9,'Beginner Adv 15M - Teams'!$A:$A,0))="Yes","",IF(INDEX('Beginner Adv 15M - Teams'!$N:$N,MATCH(9,'Beginner Adv 15M - Teams'!$A:$A,0))&lt;&gt;"",INDEX('Beginner Adv 15M - Teams'!$N:$N,MATCH(9,'Beginner Adv 15M - Teams'!$A:$A,0)),IF(INDEX('Beginner Adv 15M - Teams'!$B:$B,MATCH(9,'Beginner Adv 15M - Teams'!$A:$A,0))="","",INDEX('Beginner Adv 15M - Teams'!$B:$B,MATCH(9,'Beginner Adv 15M - Teams'!$A:$A,0))))),"")</f>
        <v/>
      </c>
      <c r="C13" s="106"/>
      <c r="D13" s="106"/>
      <c r="E13" s="107" t="str">
        <f>IF(OR(A13="BYE",BA13="&gt;&gt; Advance"),"",IF((B2-A2+1)&gt;=8,(A2+MOD(INT((SUMPRODUCT(IF(A6&lt;&gt;"BYE",IF(A6&lt;&gt;"",IF(BA6&lt;&gt;"&gt;&gt; Advance",1,0),0),0)+IF(A8&lt;&gt;"BYE",IF(A8&lt;&gt;"",IF(BA8&lt;&gt;"&gt;&gt; Advance",1,0),0),0)+IF(A11&lt;&gt;"BYE",IF(A11&lt;&gt;"",IF(BA11&lt;&gt;"&gt;&gt; Advance",1,0),0),0)+IF(A13&lt;&gt;"BYE",IF(A13&lt;&gt;"",IF(BA13&lt;&gt;"&gt;&gt; Advance",1,0),0),0))-1)/2),(B2-A2+1)))&amp;IF((MOD(SUMPRODUCT(IF(A6&lt;&gt;"BYE",IF(A6&lt;&gt;"",IF(BA6&lt;&gt;"&gt;&gt; Advance",1,0),0),0)+IF(A8&lt;&gt;"BYE",IF(A8&lt;&gt;"",IF(BA8&lt;&gt;"&gt;&gt; Advance",1,0),0),0)+IF(A11&lt;&gt;"BYE",IF(A11&lt;&gt;"",IF(BA11&lt;&gt;"&gt;&gt; Advance",1,0),0),0)+IF(A13&lt;&gt;"BYE",IF(A13&lt;&gt;"",IF(BA13&lt;&gt;"&gt;&gt; Advance",1,0),0),0))-1,2)=0)," L"," R"),(A2+MOD(INT((SUMPRODUCT(IF(A6&lt;&gt;"BYE",IF(A6&lt;&gt;"",IF(BA6&lt;&gt;"&gt;&gt; Advance",1,0),0),0)+IF(A8&lt;&gt;"BYE",IF(A8&lt;&gt;"",IF(BA8&lt;&gt;"&gt;&gt; Advance",1,0),0),0)+IF(A11&lt;&gt;"BYE",IF(A11&lt;&gt;"",IF(BA11&lt;&gt;"&gt;&gt; Advance",1,0),0),0)+IF(A13&lt;&gt;"BYE",IF(A13&lt;&gt;"",IF(BA13&lt;&gt;"&gt;&gt; Advance",1,0),0),0))-1)/2),(B2-A2+1)))&amp;CHAR(65+FLOOR(INT((SUMPRODUCT(IF(A6&lt;&gt;"BYE",IF(A6&lt;&gt;"",IF(BA6&lt;&gt;"&gt;&gt; Advance",1,0),0),0)+IF(A8&lt;&gt;"BYE",IF(A8&lt;&gt;"",IF(BA8&lt;&gt;"&gt;&gt; Advance",1,0),0),0)+IF(A11&lt;&gt;"BYE",IF(A11&lt;&gt;"",IF(BA11&lt;&gt;"&gt;&gt; Advance",1,0),0),0)+IF(A13&lt;&gt;"BYE",IF(A13&lt;&gt;"",IF(BA13&lt;&gt;"&gt;&gt; Advance",1,0),0),0))-1)/2)/(B2-A2+1),1)*2+MOD(SUMPRODUCT(IF(A6&lt;&gt;"BYE",IF(A6&lt;&gt;"",IF(BA6&lt;&gt;"&gt;&gt; Advance",1,0),0),0)+IF(A8&lt;&gt;"BYE",IF(A8&lt;&gt;"",IF(BA8&lt;&gt;"&gt;&gt; Advance",1,0),0),0)+IF(A11&lt;&gt;"BYE",IF(A11&lt;&gt;"",IF(BA11&lt;&gt;"&gt;&gt; Advance",1,0),0),0)+IF(A13&lt;&gt;"BYE",IF(A13&lt;&gt;"",IF(BA13&lt;&gt;"&gt;&gt; Advance",1,0),0),0))-1,2))&amp;IF((MOD(SUMPRODUCT(IF(A6&lt;&gt;"BYE",IF(A6&lt;&gt;"",IF(BA6&lt;&gt;"&gt;&gt; Advance",1,0),0),0)+IF(A8&lt;&gt;"BYE",IF(A8&lt;&gt;"",IF(BA8&lt;&gt;"&gt;&gt; Advance",1,0),0),0)+IF(A11&lt;&gt;"BYE",IF(A11&lt;&gt;"",IF(BA11&lt;&gt;"&gt;&gt; Advance",1,0),0),0)+IF(A13&lt;&gt;"BYE",IF(A13&lt;&gt;"",IF(BA13&lt;&gt;"&gt;&gt; Advance",1,0),0),0))-1,2)=0)," (L)"," (R)")))</f>
        <v/>
      </c>
      <c r="F13" s="107"/>
      <c r="G13" s="107"/>
      <c r="H13" s="62"/>
      <c r="I13" s="62"/>
      <c r="J13" s="62"/>
      <c r="K13" s="62"/>
      <c r="L13" s="62"/>
      <c r="M13" s="62"/>
      <c r="N13" s="63" t="str">
        <f>IF(OR(ISNUMBER(H13),ISNUMBER(I13),ISNUMBER(J13),ISNUMBER(K13),ISNUMBER(L13),ISNUMBER(M13),H13="X",I13="X",J13="X",K13="X",L13="X",M13="X",H13="M",I13="M",J13="M",K13="M",L13="M",M13="M"),IF(H13="X",10,IF(H13="M",0,IF(ISNUMBER(H13),H13,0))) + IF(I13="X",10,IF(I13="M",0,IF(ISNUMBER(I13),I13,0))) + IF(J13="X",10,IF(J13="M",0,IF(ISNUMBER(J13),J13,0))) + IF(K13="X",10,IF(K13="M",0,IF(ISNUMBER(K13),K13,0))) + IF(L13="X",10,IF(L13="M",0,IF(ISNUMBER(L13),L13,0))) + IF(M13="X",10,IF(M13="M",0,IF(ISNUMBER(M13),M13,0))),"")</f>
        <v/>
      </c>
      <c r="O13" s="62"/>
      <c r="P13" s="62"/>
      <c r="Q13" s="62"/>
      <c r="R13" s="62"/>
      <c r="S13" s="62"/>
      <c r="T13" s="62"/>
      <c r="U13" s="63" t="str">
        <f>IF(OR(ISNUMBER(O13),ISNUMBER(P13),ISNUMBER(Q13),ISNUMBER(R13),ISNUMBER(S13),ISNUMBER(T13),O13="X",P13="X",Q13="X",R13="X",S13="X",T13="X",O13="M",P13="M",Q13="M",R13="M",S13="M",T13="M"),IF(O13="X",10,IF(O13="M",0,IF(ISNUMBER(O13),O13,0))) + IF(P13="X",10,IF(P13="M",0,IF(ISNUMBER(P13),P13,0))) + IF(Q13="X",10,IF(Q13="M",0,IF(ISNUMBER(Q13),Q13,0))) + IF(R13="X",10,IF(R13="M",0,IF(ISNUMBER(R13),R13,0))) + IF(S13="X",10,IF(S13="M",0,IF(ISNUMBER(S13),S13,0))) + IF(T13="X",10,IF(T13="M",0,IF(ISNUMBER(T13),T13,0))),"")</f>
        <v/>
      </c>
      <c r="V13" s="62"/>
      <c r="W13" s="62"/>
      <c r="X13" s="62"/>
      <c r="Y13" s="62"/>
      <c r="Z13" s="62"/>
      <c r="AA13" s="62"/>
      <c r="AB13" s="63" t="str">
        <f>IF(OR(ISNUMBER(V13),ISNUMBER(W13),ISNUMBER(X13),ISNUMBER(Y13),ISNUMBER(Z13),ISNUMBER(AA13),V13="X",W13="X",X13="X",Y13="X",Z13="X",AA13="X",V13="M",W13="M",X13="M",Y13="M",Z13="M",AA13="M"),IF(V13="X",10,IF(V13="M",0,IF(ISNUMBER(V13),V13,0))) + IF(W13="X",10,IF(W13="M",0,IF(ISNUMBER(W13),W13,0))) + IF(X13="X",10,IF(X13="M",0,IF(ISNUMBER(X13),X13,0))) + IF(Y13="X",10,IF(Y13="M",0,IF(ISNUMBER(Y13),Y13,0))) + IF(Z13="X",10,IF(Z13="M",0,IF(ISNUMBER(Z13),Z13,0))) + IF(AA13="X",10,IF(AA13="M",0,IF(ISNUMBER(AA13),AA13,0))),"")</f>
        <v/>
      </c>
      <c r="AC13" s="62"/>
      <c r="AD13" s="62"/>
      <c r="AE13" s="62"/>
      <c r="AF13" s="62"/>
      <c r="AG13" s="62"/>
      <c r="AH13" s="62"/>
      <c r="AI13" s="63" t="str">
        <f>IF(OR(ISNUMBER(AC13),ISNUMBER(AD13),ISNUMBER(AE13),ISNUMBER(AF13),ISNUMBER(AG13),ISNUMBER(AH13),AC13="X",AD13="X",AE13="X",AF13="X",AG13="X",AH13="X",AC13="M",AD13="M",AE13="M",AF13="M",AG13="M",AH13="M"),IF(AC13="X",10,IF(AC13="M",0,IF(ISNUMBER(AC13),AC13,0))) + IF(AD13="X",10,IF(AD13="M",0,IF(ISNUMBER(AD13),AD13,0))) + IF(AE13="X",10,IF(AE13="M",0,IF(ISNUMBER(AE13),AE13,0))) + IF(AF13="X",10,IF(AF13="M",0,IF(ISNUMBER(AF13),AF13,0))) + IF(AG13="X",10,IF(AG13="M",0,IF(ISNUMBER(AG13),AG13,0))) + IF(AH13="X",10,IF(AH13="M",0,IF(ISNUMBER(AH13),AH13,0))),"")</f>
        <v/>
      </c>
      <c r="AJ13" s="62"/>
      <c r="AK13" s="62"/>
      <c r="AL13" s="62"/>
      <c r="AM13" s="62"/>
      <c r="AN13" s="62"/>
      <c r="AO13" s="62"/>
      <c r="AP13" s="63" t="str">
        <f>IF(OR(ISNUMBER(AJ13),ISNUMBER(AK13),ISNUMBER(AL13),ISNUMBER(AM13),ISNUMBER(AN13),ISNUMBER(AO13),AJ13="X",AK13="X",AL13="X",AM13="X",AN13="X",AO13="X",AJ13="M",AK13="M",AL13="M",AM13="M",AN13="M",AO13="M"),IF(AJ13="X",10,IF(AJ13="M",0,IF(ISNUMBER(AJ13),AJ13,0))) + IF(AK13="X",10,IF(AK13="M",0,IF(ISNUMBER(AK13),AK13,0))) + IF(AL13="X",10,IF(AL13="M",0,IF(ISNUMBER(AL13),AL13,0))) + IF(AM13="X",10,IF(AM13="M",0,IF(ISNUMBER(AM13),AM13,0))) + IF(AN13="X",10,IF(AN13="M",0,IF(ISNUMBER(AN13),AN13,0))) + IF(AO13="X",10,IF(AO13="M",0,IF(ISNUMBER(AO13),AO13,0))),"")</f>
        <v/>
      </c>
      <c r="AQ13" s="64"/>
      <c r="AR13" s="64"/>
      <c r="AS13" s="64"/>
      <c r="AT13" s="64"/>
      <c r="AU13" s="64"/>
      <c r="AV13" s="64"/>
      <c r="AW13" s="63" t="str">
        <f>IF(OR(ISNUMBER(AQ13),ISNUMBER(AR13),ISNUMBER(AS13),ISNUMBER(AT13),ISNUMBER(AU13),ISNUMBER(AV13),AQ13="X",AR13="X",AS13="X",AT13="X",AU13="X",AV13="X",AQ13="M",AR13="M",AS13="M",AT13="M",AU13="M",AV13="M"),IF(AQ13="X",10,IF(AQ13="M",0,IF(ISNUMBER(AQ13),AQ13,0))) + IF(AR13="X",10,IF(AR13="M",0,IF(ISNUMBER(AR13),AR13,0))) + IF(AS13="X",10,IF(AS13="M",0,IF(ISNUMBER(AS13),AS13,0))) + IF(AT13="X",10,IF(AT13="M",0,IF(ISNUMBER(AT13),AT13,0))) + IF(AU13="X",10,IF(AU13="M",0,IF(ISNUMBER(AU13),AU13,0))) + IF(AV13="X",10,IF(AV13="M",0,IF(ISNUMBER(AV13),AV13,0))),"")</f>
        <v/>
      </c>
      <c r="AX13" s="65">
        <f>IF(AND(ISNUMBER(N13),ISNUMBER(N11)),IF(N13&gt;N11,2,IF(N13=N11,1,0)),0)+IF(AND(ISNUMBER(U13),ISNUMBER(U11)),IF(U13&gt;U11,2,IF(U13=U11,1,0)),0)+IF(AND(ISNUMBER(AB13),ISNUMBER(AB11)),IF(AB13&gt;AB11,2,IF(AB13=AB11,1,0)),0)+IF(AND(ISNUMBER(AI13),ISNUMBER(AI11)),IF(AI13&gt;AI11,2,IF(AI13=AI11,1,0)),0)+IF(AND(ISNUMBER(AP13),ISNUMBER(AP11)),IF(AP13&gt;AP11,2,IF(AP13=AP11,1,0)),0)</f>
        <v>0</v>
      </c>
      <c r="AY13" s="66"/>
      <c r="AZ13" s="67">
        <f>IF(AX13&gt;0,IF(H13="X",10,IF(H13="M",0,IF(ISNUMBER(H13),H13,0)))+IF(I13="X",10,IF(I13="M",0,IF(ISNUMBER(I13),I13,0)))+IF(J13="X",10,IF(J13="M",0,IF(ISNUMBER(J13),J13,0)))+IF(K13="X",10,IF(K13="M",0,IF(ISNUMBER(K13),K13,0)))+IF(L13="X",10,IF(L13="M",0,IF(ISNUMBER(L13),L13,0)))+IF(M13="X",10,IF(M13="M",0,IF(ISNUMBER(M13),M13,0)))+IF(O13="X",10,IF(O13="M",0,IF(ISNUMBER(O13),O13,0)))+IF(P13="X",10,IF(P13="M",0,IF(ISNUMBER(P13),P13,0)))+IF(Q13="X",10,IF(Q13="M",0,IF(ISNUMBER(Q13),Q13,0)))+IF(R13="X",10,IF(R13="M",0,IF(ISNUMBER(R13),R13,0)))+IF(S13="X",10,IF(S13="M",0,IF(ISNUMBER(S13),S13,0)))+IF(T13="X",10,IF(T13="M",0,IF(ISNUMBER(T13),T13,0)))+IF(V13="X",10,IF(V13="M",0,IF(ISNUMBER(V13),V13,0)))+IF(W13="X",10,IF(W13="M",0,IF(ISNUMBER(W13),W13,0)))+IF(X13="X",10,IF(X13="M",0,IF(ISNUMBER(X13),X13,0)))+IF(Y13="X",10,IF(Y13="M",0,IF(ISNUMBER(Y13),Y13,0)))+IF(Z13="X",10,IF(Z13="M",0,IF(ISNUMBER(Z13),Z13,0)))+IF(AA13="X",10,IF(AA13="M",0,IF(ISNUMBER(AA13),AA13,0)))+IF(AC13="X",10,IF(AC13="M",0,IF(ISNUMBER(AC13),AC13,0)))+IF(AD13="X",10,IF(AD13="M",0,IF(ISNUMBER(AD13),AD13,0)))+IF(AE13="X",10,IF(AE13="M",0,IF(ISNUMBER(AE13),AE13,0)))+IF(AF13="X",10,IF(AF13="M",0,IF(ISNUMBER(AF13),AF13,0)))+IF(AG13="X",10,IF(AG13="M",0,IF(ISNUMBER(AG13),AG13,0)))+IF(AH13="X",10,IF(AH13="M",0,IF(ISNUMBER(AH13),AH13,0)))+IF(AJ13="X",10,IF(AJ13="M",0,IF(ISNUMBER(AJ13),AJ13,0)))+IF(AK13="X",10,IF(AK13="M",0,IF(ISNUMBER(AK13),AK13,0)))+IF(AL13="X",10,IF(AL13="M",0,IF(ISNUMBER(AL13),AL13,0)))+IF(AM13="X",10,IF(AM13="M",0,IF(ISNUMBER(AM13),AM13,0)))+IF(AN13="X",10,IF(AN13="M",0,IF(ISNUMBER(AN13),AN13,0)))+IF(AO13="X",10,IF(AO13="M",0,IF(ISNUMBER(AO13),AO13,0)))+IF(AQ13="X",10,IF(AQ13="M",0,IF(ISNUMBER(AQ13),AQ13,0)))+IF(AR13="X",10,IF(AR13="M",0,IF(ISNUMBER(AR13),AR13,0)))+IF(AS13="X",10,IF(AS13="M",0,IF(ISNUMBER(AS13),AS13,0)))+IF(AT13="X",10,IF(AT13="M",0,IF(ISNUMBER(AT13),AT13,0)))+IF(AU13="X",10,IF(AU13="M",0,IF(ISNUMBER(AU13),AU13,0)))+IF(AV13="X",10,IF(AV13="M",0,IF(ISNUMBER(AV13),AV13,0))),0)</f>
        <v>0</v>
      </c>
      <c r="BA13" s="68" t="str">
        <f>IFERROR(IF(AY13="DQ","DISQUALIFIED",IF(AY11="DQ","&gt;&gt; Advance",IF(BC11="BYE","&gt;&gt; Advance",IF(BC13="BYE","BYE",IF(AX13&gt;=6,"WIN",IF(AX11&gt;=6,"LOSS",IF(AND(ISNUMBER(AW13),ISNUMBER(AW11)),IF(AW13&gt;AW11,"WIN",IF(AW13&lt;AW11,"LOSS","Shoot-Off")),"Playing"))))))),"Error")</f>
        <v>&gt;&gt; Advance</v>
      </c>
      <c r="BC13" s="69" t="str">
        <f>IFERROR(IF(INDEX('Beginner Adv 15M - Teams'!$L:$L,MATCH(9,'Beginner Adv 15M - Teams'!$A:$A,0))="Yes","BYE",IF(OR(INDEX('Beginner Adv 15M - Teams'!$B:$B,MATCH(9,'Beginner Adv 15M - Teams'!$A:$A,0))="",ISERROR(MATCH(9,'Beginner Adv 15M - Teams'!$A:$A,0))),"BYE","")),"BYE")</f>
        <v>BYE</v>
      </c>
      <c r="BD13" s="61" t="s">
        <v>195</v>
      </c>
      <c r="BE13" s="106" t="str">
        <f>IFERROR(IF(BC21="BYE",IF(BC23="BYE","TBD",B23),IF(BC23="BYE",B21,IF(OR(BA21="WIN",BA21="&gt;&gt; Advance"),B21,IF(OR(BA23="WIN",BA23="&gt;&gt; Advance"),B23,"TBD")))),"TBD")</f>
        <v>TBD</v>
      </c>
      <c r="BF13" s="106"/>
      <c r="BG13" s="106"/>
      <c r="BH13" s="107" t="str">
        <f>IF(AND(BE11&lt;&gt;"TBD",BE11&lt;&gt;"",BE13&lt;&gt;"TBD",BE13&lt;&gt;"",DD11&lt;&gt;"&gt;&gt; Advance",DD13&lt;&gt;"&gt;&gt; Advance"),IF((B2-A2+1)&gt;=8,(A2+3)&amp;"",IF((B2-A2+1)&gt;=4,(A2+1)&amp;" R",(A2+MOD(1,(B2-A2+1)))&amp;CHAR(65+FLOOR(1/(B2-A2+1),1)*2+1)&amp;" (R)")),"")</f>
        <v/>
      </c>
      <c r="BI13" s="107"/>
      <c r="BJ13" s="107"/>
      <c r="BK13" s="62"/>
      <c r="BL13" s="62"/>
      <c r="BM13" s="62"/>
      <c r="BN13" s="62"/>
      <c r="BO13" s="62"/>
      <c r="BP13" s="62"/>
      <c r="BQ13" s="63" t="str">
        <f>IF(OR(ISNUMBER(BK13),ISNUMBER(BL13),ISNUMBER(BM13),ISNUMBER(BN13),ISNUMBER(BO13),ISNUMBER(BP13),BK13="X",BL13="X",BM13="X",BN13="X",BO13="X",BP13="X",BK13="M",BL13="M",BM13="M",BN13="M",BO13="M",BP13="M"),IF(BK13="X",10,IF(BK13="M",0,IF(ISNUMBER(BK13),BK13,0))) + IF(BL13="X",10,IF(BL13="M",0,IF(ISNUMBER(BL13),BL13,0))) + IF(BM13="X",10,IF(BM13="M",0,IF(ISNUMBER(BM13),BM13,0))) + IF(BN13="X",10,IF(BN13="M",0,IF(ISNUMBER(BN13),BN13,0))) + IF(BO13="X",10,IF(BO13="M",0,IF(ISNUMBER(BO13),BO13,0))) + IF(BP13="X",10,IF(BP13="M",0,IF(ISNUMBER(BP13),BP13,0))),"")</f>
        <v/>
      </c>
      <c r="BR13" s="62"/>
      <c r="BS13" s="62"/>
      <c r="BT13" s="62"/>
      <c r="BU13" s="62"/>
      <c r="BV13" s="62"/>
      <c r="BW13" s="62"/>
      <c r="BX13" s="63" t="str">
        <f>IF(OR(ISNUMBER(BR13),ISNUMBER(BS13),ISNUMBER(BT13),ISNUMBER(BU13),ISNUMBER(BV13),ISNUMBER(BW13),BR13="X",BS13="X",BT13="X",BU13="X",BV13="X",BW13="X",BR13="M",BS13="M",BT13="M",BU13="M",BV13="M",BW13="M"),IF(BR13="X",10,IF(BR13="M",0,IF(ISNUMBER(BR13),BR13,0))) + IF(BS13="X",10,IF(BS13="M",0,IF(ISNUMBER(BS13),BS13,0))) + IF(BT13="X",10,IF(BT13="M",0,IF(ISNUMBER(BT13),BT13,0))) + IF(BU13="X",10,IF(BU13="M",0,IF(ISNUMBER(BU13),BU13,0))) + IF(BV13="X",10,IF(BV13="M",0,IF(ISNUMBER(BV13),BV13,0))) + IF(BW13="X",10,IF(BW13="M",0,IF(ISNUMBER(BW13),BW13,0))),"")</f>
        <v/>
      </c>
      <c r="BY13" s="62"/>
      <c r="BZ13" s="62"/>
      <c r="CA13" s="62"/>
      <c r="CB13" s="62"/>
      <c r="CC13" s="62"/>
      <c r="CD13" s="62"/>
      <c r="CE13" s="63" t="str">
        <f>IF(OR(ISNUMBER(BY13),ISNUMBER(BZ13),ISNUMBER(CA13),ISNUMBER(CB13),ISNUMBER(CC13),ISNUMBER(CD13),BY13="X",BZ13="X",CA13="X",CB13="X",CC13="X",CD13="X",BY13="M",BZ13="M",CA13="M",CB13="M",CC13="M",CD13="M"),IF(BY13="X",10,IF(BY13="M",0,IF(ISNUMBER(BY13),BY13,0))) + IF(BZ13="X",10,IF(BZ13="M",0,IF(ISNUMBER(BZ13),BZ13,0))) + IF(CA13="X",10,IF(CA13="M",0,IF(ISNUMBER(CA13),CA13,0))) + IF(CB13="X",10,IF(CB13="M",0,IF(ISNUMBER(CB13),CB13,0))) + IF(CC13="X",10,IF(CC13="M",0,IF(ISNUMBER(CC13),CC13,0))) + IF(CD13="X",10,IF(CD13="M",0,IF(ISNUMBER(CD13),CD13,0))),"")</f>
        <v/>
      </c>
      <c r="CF13" s="62"/>
      <c r="CG13" s="62"/>
      <c r="CH13" s="62"/>
      <c r="CI13" s="62"/>
      <c r="CJ13" s="62"/>
      <c r="CK13" s="62"/>
      <c r="CL13" s="63" t="str">
        <f>IF(OR(ISNUMBER(CF13),ISNUMBER(CG13),ISNUMBER(CH13),ISNUMBER(CI13),ISNUMBER(CJ13),ISNUMBER(CK13),CF13="X",CG13="X",CH13="X",CI13="X",CJ13="X",CK13="X",CF13="M",CG13="M",CH13="M",CI13="M",CJ13="M",CK13="M"),IF(CF13="X",10,IF(CF13="M",0,IF(ISNUMBER(CF13),CF13,0))) + IF(CG13="X",10,IF(CG13="M",0,IF(ISNUMBER(CG13),CG13,0))) + IF(CH13="X",10,IF(CH13="M",0,IF(ISNUMBER(CH13),CH13,0))) + IF(CI13="X",10,IF(CI13="M",0,IF(ISNUMBER(CI13),CI13,0))) + IF(CJ13="X",10,IF(CJ13="M",0,IF(ISNUMBER(CJ13),CJ13,0))) + IF(CK13="X",10,IF(CK13="M",0,IF(ISNUMBER(CK13),CK13,0))),"")</f>
        <v/>
      </c>
      <c r="CM13" s="62"/>
      <c r="CN13" s="62"/>
      <c r="CO13" s="62"/>
      <c r="CP13" s="62"/>
      <c r="CQ13" s="62"/>
      <c r="CR13" s="62"/>
      <c r="CS13" s="63" t="str">
        <f>IF(OR(ISNUMBER(CM13),ISNUMBER(CN13),ISNUMBER(CO13),ISNUMBER(CP13),ISNUMBER(CQ13),ISNUMBER(CR13),CM13="X",CN13="X",CO13="X",CP13="X",CQ13="X",CR13="X",CM13="M",CN13="M",CO13="M",CP13="M",CQ13="M",CR13="M"),IF(CM13="X",10,IF(CM13="M",0,IF(ISNUMBER(CM13),CM13,0))) + IF(CN13="X",10,IF(CN13="M",0,IF(ISNUMBER(CN13),CN13,0))) + IF(CO13="X",10,IF(CO13="M",0,IF(ISNUMBER(CO13),CO13,0))) + IF(CP13="X",10,IF(CP13="M",0,IF(ISNUMBER(CP13),CP13,0))) + IF(CQ13="X",10,IF(CQ13="M",0,IF(ISNUMBER(CQ13),CQ13,0))) + IF(CR13="X",10,IF(CR13="M",0,IF(ISNUMBER(CR13),CR13,0))),"")</f>
        <v/>
      </c>
      <c r="CT13" s="64"/>
      <c r="CU13" s="64"/>
      <c r="CV13" s="64"/>
      <c r="CW13" s="64"/>
      <c r="CX13" s="64"/>
      <c r="CY13" s="64"/>
      <c r="CZ13" s="63" t="str">
        <f>IF(OR(ISNUMBER(CT13),ISNUMBER(CU13),ISNUMBER(CV13),ISNUMBER(CW13),ISNUMBER(CX13),ISNUMBER(CY13),CT13="X",CU13="X",CV13="X",CW13="X",CX13="X",CY13="X",CT13="M",CU13="M",CV13="M",CW13="M",CX13="M",CY13="M"),IF(CT13="X",10,IF(CT13="M",0,IF(ISNUMBER(CT13),CT13,0))) + IF(CU13="X",10,IF(CU13="M",0,IF(ISNUMBER(CU13),CU13,0))) + IF(CV13="X",10,IF(CV13="M",0,IF(ISNUMBER(CV13),CV13,0))) + IF(CW13="X",10,IF(CW13="M",0,IF(ISNUMBER(CW13),CW13,0))) + IF(CX13="X",10,IF(CX13="M",0,IF(ISNUMBER(CX13),CX13,0))) + IF(CY13="X",10,IF(CY13="M",0,IF(ISNUMBER(CY13),CY13,0))),"")</f>
        <v/>
      </c>
      <c r="DA13" s="65">
        <f>IF(AND(ISNUMBER(BQ13),ISNUMBER(BQ11)),IF(BQ13&gt;BQ11,2,IF(BQ13=BQ11,1,0)),0)+IF(AND(ISNUMBER(BX13),ISNUMBER(BX11)),IF(BX13&gt;BX11,2,IF(BX13=BX11,1,0)),0)+IF(AND(ISNUMBER(CE13),ISNUMBER(CE11)),IF(CE13&gt;CE11,2,IF(CE13=CE11,1,0)),0)+IF(AND(ISNUMBER(CL13),ISNUMBER(CL11)),IF(CL13&gt;CL11,2,IF(CL13=CL11,1,0)),0)+IF(AND(ISNUMBER(CS13),ISNUMBER(CS11)),IF(CS13&gt;CS11,2,IF(CS13=CS11,1,0)),0)</f>
        <v>0</v>
      </c>
      <c r="DB13" s="66"/>
      <c r="DC13" s="67">
        <f>IF(DA13&gt;0,IF(BK13="X",10,IF(BK13="M",0,IF(ISNUMBER(BK13),BK13,0)))+IF(BL13="X",10,IF(BL13="M",0,IF(ISNUMBER(BL13),BL13,0)))+IF(BM13="X",10,IF(BM13="M",0,IF(ISNUMBER(BM13),BM13,0)))+IF(BN13="X",10,IF(BN13="M",0,IF(ISNUMBER(BN13),BN13,0)))+IF(BO13="X",10,IF(BO13="M",0,IF(ISNUMBER(BO13),BO13,0)))+IF(BP13="X",10,IF(BP13="M",0,IF(ISNUMBER(BP13),BP13,0)))+IF(BR13="X",10,IF(BR13="M",0,IF(ISNUMBER(BR13),BR13,0)))+IF(BS13="X",10,IF(BS13="M",0,IF(ISNUMBER(BS13),BS13,0)))+IF(BT13="X",10,IF(BT13="M",0,IF(ISNUMBER(BT13),BT13,0)))+IF(BU13="X",10,IF(BU13="M",0,IF(ISNUMBER(BU13),BU13,0)))+IF(BV13="X",10,IF(BV13="M",0,IF(ISNUMBER(BV13),BV13,0)))+IF(BW13="X",10,IF(BW13="M",0,IF(ISNUMBER(BW13),BW13,0)))+IF(BY13="X",10,IF(BY13="M",0,IF(ISNUMBER(BY13),BY13,0)))+IF(BZ13="X",10,IF(BZ13="M",0,IF(ISNUMBER(BZ13),BZ13,0)))+IF(CA13="X",10,IF(CA13="M",0,IF(ISNUMBER(CA13),CA13,0)))+IF(CB13="X",10,IF(CB13="M",0,IF(ISNUMBER(CB13),CB13,0)))+IF(CC13="X",10,IF(CC13="M",0,IF(ISNUMBER(CC13),CC13,0)))+IF(CD13="X",10,IF(CD13="M",0,IF(ISNUMBER(CD13),CD13,0)))+IF(CF13="X",10,IF(CF13="M",0,IF(ISNUMBER(CF13),CF13,0)))+IF(CG13="X",10,IF(CG13="M",0,IF(ISNUMBER(CG13),CG13,0)))+IF(CH13="X",10,IF(CH13="M",0,IF(ISNUMBER(CH13),CH13,0)))+IF(CI13="X",10,IF(CI13="M",0,IF(ISNUMBER(CI13),CI13,0)))+IF(CJ13="X",10,IF(CJ13="M",0,IF(ISNUMBER(CJ13),CJ13,0)))+IF(CK13="X",10,IF(CK13="M",0,IF(ISNUMBER(CK13),CK13,0)))+IF(CM13="X",10,IF(CM13="M",0,IF(ISNUMBER(CM13),CM13,0)))+IF(CN13="X",10,IF(CN13="M",0,IF(ISNUMBER(CN13),CN13,0)))+IF(CO13="X",10,IF(CO13="M",0,IF(ISNUMBER(CO13),CO13,0)))+IF(CP13="X",10,IF(CP13="M",0,IF(ISNUMBER(CP13),CP13,0)))+IF(CQ13="X",10,IF(CQ13="M",0,IF(ISNUMBER(CQ13),CQ13,0)))+IF(CR13="X",10,IF(CR13="M",0,IF(ISNUMBER(CR13),CR13,0)))+IF(CT13="X",10,IF(CT13="M",0,IF(ISNUMBER(CT13),CT13,0)))+IF(CU13="X",10,IF(CU13="M",0,IF(ISNUMBER(CU13),CU13,0)))+IF(CV13="X",10,IF(CV13="M",0,IF(ISNUMBER(CV13),CV13,0)))+IF(CW13="X",10,IF(CW13="M",0,IF(ISNUMBER(CW13),CW13,0)))+IF(CX13="X",10,IF(CX13="M",0,IF(ISNUMBER(CX13),CX13,0)))+IF(CY13="X",10,IF(CY13="M",0,IF(ISNUMBER(CY13),CY13,0))),0)</f>
        <v>0</v>
      </c>
      <c r="DD13" s="68" t="str">
        <f>IFERROR(IF(DB13="DQ","DISQUALIFIED",IF(DB11="DQ","&gt;&gt; Advance",IF(DF11="BYE","&gt;&gt; Advance",IF(DF13="BYE","BYE",IF(DA13&gt;=6,"WIN",IF(DA11&gt;=6,"LOSS",IF(AND(ISNUMBER(CZ13),ISNUMBER(CZ11)),IF(CZ13&gt;CZ11,"WIN",IF(CZ13&lt;CZ11,"LOSS","Shoot-Off")),"Playing"))))))),"Error")</f>
        <v>&gt;&gt; Advance</v>
      </c>
      <c r="DF13" s="69" t="str">
        <f>IFERROR(IF(AND(BC21="BYE",BC23="BYE"),"BYE",""),"")</f>
        <v>BYE</v>
      </c>
      <c r="DG13" s="61" t="s">
        <v>196</v>
      </c>
      <c r="DH13" s="106" t="str">
        <f>IFERROR(IF(DF21="BYE",IF(DF23="BYE","TBD",BE23),IF(DF23="BYE",BE21,IF(OR(DD21="WIN",DD21="&gt;&gt; Advance"),BE21,IF(OR(DD23="WIN",DD23="&gt;&gt; Advance"),BE23,"TBD")))),"TBD")</f>
        <v>TBD</v>
      </c>
      <c r="DI13" s="106"/>
      <c r="DJ13" s="106"/>
      <c r="DK13" s="107" t="str">
        <f>IF(AND(DH11&lt;&gt;"TBD",DH11&lt;&gt;"",DH13&lt;&gt;"TBD",DH13&lt;&gt;"",FG11&lt;&gt;"&gt;&gt; Advance",FG13&lt;&gt;"&gt;&gt; Advance"),IF((B2-A2+1)&gt;=4,(A2+3)&amp;"",IF((B2-A2+1)&gt;=2,(A2+1)&amp;" R",(A2+MOD(1,(B2-A2+1)))&amp;CHAR(65+FLOOR(1/(B2-A2+1),1)*2+1)&amp;" (R)")),"")</f>
        <v/>
      </c>
      <c r="DL13" s="107"/>
      <c r="DM13" s="107"/>
      <c r="DN13" s="62"/>
      <c r="DO13" s="62"/>
      <c r="DP13" s="62"/>
      <c r="DQ13" s="62"/>
      <c r="DR13" s="62"/>
      <c r="DS13" s="62"/>
      <c r="DT13" s="63" t="str">
        <f>IF(OR(ISNUMBER(DN13),ISNUMBER(DO13),ISNUMBER(DP13),ISNUMBER(DQ13),ISNUMBER(DR13),ISNUMBER(DS13),DN13="X",DO13="X",DP13="X",DQ13="X",DR13="X",DS13="X",DN13="M",DO13="M",DP13="M",DQ13="M",DR13="M",DS13="M"),IF(DN13="X",10,IF(DN13="M",0,IF(ISNUMBER(DN13),DN13,0))) + IF(DO13="X",10,IF(DO13="M",0,IF(ISNUMBER(DO13),DO13,0))) + IF(DP13="X",10,IF(DP13="M",0,IF(ISNUMBER(DP13),DP13,0))) + IF(DQ13="X",10,IF(DQ13="M",0,IF(ISNUMBER(DQ13),DQ13,0))) + IF(DR13="X",10,IF(DR13="M",0,IF(ISNUMBER(DR13),DR13,0))) + IF(DS13="X",10,IF(DS13="M",0,IF(ISNUMBER(DS13),DS13,0))),"")</f>
        <v/>
      </c>
      <c r="DU13" s="62"/>
      <c r="DV13" s="62"/>
      <c r="DW13" s="62"/>
      <c r="DX13" s="62"/>
      <c r="DY13" s="62"/>
      <c r="DZ13" s="62"/>
      <c r="EA13" s="63" t="str">
        <f>IF(OR(ISNUMBER(DU13),ISNUMBER(DV13),ISNUMBER(DW13),ISNUMBER(DX13),ISNUMBER(DY13),ISNUMBER(DZ13),DU13="X",DV13="X",DW13="X",DX13="X",DY13="X",DZ13="X",DU13="M",DV13="M",DW13="M",DX13="M",DY13="M",DZ13="M"),IF(DU13="X",10,IF(DU13="M",0,IF(ISNUMBER(DU13),DU13,0))) + IF(DV13="X",10,IF(DV13="M",0,IF(ISNUMBER(DV13),DV13,0))) + IF(DW13="X",10,IF(DW13="M",0,IF(ISNUMBER(DW13),DW13,0))) + IF(DX13="X",10,IF(DX13="M",0,IF(ISNUMBER(DX13),DX13,0))) + IF(DY13="X",10,IF(DY13="M",0,IF(ISNUMBER(DY13),DY13,0))) + IF(DZ13="X",10,IF(DZ13="M",0,IF(ISNUMBER(DZ13),DZ13,0))),"")</f>
        <v/>
      </c>
      <c r="EB13" s="62"/>
      <c r="EC13" s="62"/>
      <c r="ED13" s="62"/>
      <c r="EE13" s="62"/>
      <c r="EF13" s="62"/>
      <c r="EG13" s="62"/>
      <c r="EH13" s="63" t="str">
        <f>IF(OR(ISNUMBER(EB13),ISNUMBER(EC13),ISNUMBER(ED13),ISNUMBER(EE13),ISNUMBER(EF13),ISNUMBER(EG13),EB13="X",EC13="X",ED13="X",EE13="X",EF13="X",EG13="X",EB13="M",EC13="M",ED13="M",EE13="M",EF13="M",EG13="M"),IF(EB13="X",10,IF(EB13="M",0,IF(ISNUMBER(EB13),EB13,0))) + IF(EC13="X",10,IF(EC13="M",0,IF(ISNUMBER(EC13),EC13,0))) + IF(ED13="X",10,IF(ED13="M",0,IF(ISNUMBER(ED13),ED13,0))) + IF(EE13="X",10,IF(EE13="M",0,IF(ISNUMBER(EE13),EE13,0))) + IF(EF13="X",10,IF(EF13="M",0,IF(ISNUMBER(EF13),EF13,0))) + IF(EG13="X",10,IF(EG13="M",0,IF(ISNUMBER(EG13),EG13,0))),"")</f>
        <v/>
      </c>
      <c r="EI13" s="62"/>
      <c r="EJ13" s="62"/>
      <c r="EK13" s="62"/>
      <c r="EL13" s="62"/>
      <c r="EM13" s="62"/>
      <c r="EN13" s="62"/>
      <c r="EO13" s="63" t="str">
        <f>IF(OR(ISNUMBER(EI13),ISNUMBER(EJ13),ISNUMBER(EK13),ISNUMBER(EL13),ISNUMBER(EM13),ISNUMBER(EN13),EI13="X",EJ13="X",EK13="X",EL13="X",EM13="X",EN13="X",EI13="M",EJ13="M",EK13="M",EL13="M",EM13="M",EN13="M"),IF(EI13="X",10,IF(EI13="M",0,IF(ISNUMBER(EI13),EI13,0))) + IF(EJ13="X",10,IF(EJ13="M",0,IF(ISNUMBER(EJ13),EJ13,0))) + IF(EK13="X",10,IF(EK13="M",0,IF(ISNUMBER(EK13),EK13,0))) + IF(EL13="X",10,IF(EL13="M",0,IF(ISNUMBER(EL13),EL13,0))) + IF(EM13="X",10,IF(EM13="M",0,IF(ISNUMBER(EM13),EM13,0))) + IF(EN13="X",10,IF(EN13="M",0,IF(ISNUMBER(EN13),EN13,0))),"")</f>
        <v/>
      </c>
      <c r="EP13" s="62"/>
      <c r="EQ13" s="62"/>
      <c r="ER13" s="62"/>
      <c r="ES13" s="62"/>
      <c r="ET13" s="62"/>
      <c r="EU13" s="62"/>
      <c r="EV13" s="63" t="str">
        <f>IF(OR(ISNUMBER(EP13),ISNUMBER(EQ13),ISNUMBER(ER13),ISNUMBER(ES13),ISNUMBER(ET13),ISNUMBER(EU13),EP13="X",EQ13="X",ER13="X",ES13="X",ET13="X",EU13="X",EP13="M",EQ13="M",ER13="M",ES13="M",ET13="M",EU13="M"),IF(EP13="X",10,IF(EP13="M",0,IF(ISNUMBER(EP13),EP13,0))) + IF(EQ13="X",10,IF(EQ13="M",0,IF(ISNUMBER(EQ13),EQ13,0))) + IF(ER13="X",10,IF(ER13="M",0,IF(ISNUMBER(ER13),ER13,0))) + IF(ES13="X",10,IF(ES13="M",0,IF(ISNUMBER(ES13),ES13,0))) + IF(ET13="X",10,IF(ET13="M",0,IF(ISNUMBER(ET13),ET13,0))) + IF(EU13="X",10,IF(EU13="M",0,IF(ISNUMBER(EU13),EU13,0))),"")</f>
        <v/>
      </c>
      <c r="EW13" s="64"/>
      <c r="EX13" s="64"/>
      <c r="EY13" s="64"/>
      <c r="EZ13" s="64"/>
      <c r="FA13" s="64"/>
      <c r="FB13" s="64"/>
      <c r="FC13" s="63" t="str">
        <f>IF(OR(ISNUMBER(EW13),ISNUMBER(EX13),ISNUMBER(EY13),ISNUMBER(EZ13),ISNUMBER(FA13),ISNUMBER(FB13),EW13="X",EX13="X",EY13="X",EZ13="X",FA13="X",FB13="X",EW13="M",EX13="M",EY13="M",EZ13="M",FA13="M",FB13="M"),IF(EW13="X",10,IF(EW13="M",0,IF(ISNUMBER(EW13),EW13,0))) + IF(EX13="X",10,IF(EX13="M",0,IF(ISNUMBER(EX13),EX13,0))) + IF(EY13="X",10,IF(EY13="M",0,IF(ISNUMBER(EY13),EY13,0))) + IF(EZ13="X",10,IF(EZ13="M",0,IF(ISNUMBER(EZ13),EZ13,0))) + IF(FA13="X",10,IF(FA13="M",0,IF(ISNUMBER(FA13),FA13,0))) + IF(FB13="X",10,IF(FB13="M",0,IF(ISNUMBER(FB13),FB13,0))),"")</f>
        <v/>
      </c>
      <c r="FD13" s="65">
        <f>IF(AND(ISNUMBER(DT13),ISNUMBER(DT11)),IF(DT13&gt;DT11,2,IF(DT13=DT11,1,0)),0)+IF(AND(ISNUMBER(EA13),ISNUMBER(EA11)),IF(EA13&gt;EA11,2,IF(EA13=EA11,1,0)),0)+IF(AND(ISNUMBER(EH13),ISNUMBER(EH11)),IF(EH13&gt;EH11,2,IF(EH13=EH11,1,0)),0)+IF(AND(ISNUMBER(EO13),ISNUMBER(EO11)),IF(EO13&gt;EO11,2,IF(EO13=EO11,1,0)),0)+IF(AND(ISNUMBER(EV13),ISNUMBER(EV11)),IF(EV13&gt;EV11,2,IF(EV13=EV11,1,0)),0)</f>
        <v>0</v>
      </c>
      <c r="FE13" s="66"/>
      <c r="FF13" s="67">
        <f>IF(FD13&gt;0,IF(DN13="X",10,IF(DN13="M",0,IF(ISNUMBER(DN13),DN13,0)))+IF(DO13="X",10,IF(DO13="M",0,IF(ISNUMBER(DO13),DO13,0)))+IF(DP13="X",10,IF(DP13="M",0,IF(ISNUMBER(DP13),DP13,0)))+IF(DQ13="X",10,IF(DQ13="M",0,IF(ISNUMBER(DQ13),DQ13,0)))+IF(DR13="X",10,IF(DR13="M",0,IF(ISNUMBER(DR13),DR13,0)))+IF(DS13="X",10,IF(DS13="M",0,IF(ISNUMBER(DS13),DS13,0)))+IF(DU13="X",10,IF(DU13="M",0,IF(ISNUMBER(DU13),DU13,0)))+IF(DV13="X",10,IF(DV13="M",0,IF(ISNUMBER(DV13),DV13,0)))+IF(DW13="X",10,IF(DW13="M",0,IF(ISNUMBER(DW13),DW13,0)))+IF(DX13="X",10,IF(DX13="M",0,IF(ISNUMBER(DX13),DX13,0)))+IF(DY13="X",10,IF(DY13="M",0,IF(ISNUMBER(DY13),DY13,0)))+IF(DZ13="X",10,IF(DZ13="M",0,IF(ISNUMBER(DZ13),DZ13,0)))+IF(EB13="X",10,IF(EB13="M",0,IF(ISNUMBER(EB13),EB13,0)))+IF(EC13="X",10,IF(EC13="M",0,IF(ISNUMBER(EC13),EC13,0)))+IF(ED13="X",10,IF(ED13="M",0,IF(ISNUMBER(ED13),ED13,0)))+IF(EE13="X",10,IF(EE13="M",0,IF(ISNUMBER(EE13),EE13,0)))+IF(EF13="X",10,IF(EF13="M",0,IF(ISNUMBER(EF13),EF13,0)))+IF(EG13="X",10,IF(EG13="M",0,IF(ISNUMBER(EG13),EG13,0)))+IF(EI13="X",10,IF(EI13="M",0,IF(ISNUMBER(EI13),EI13,0)))+IF(EJ13="X",10,IF(EJ13="M",0,IF(ISNUMBER(EJ13),EJ13,0)))+IF(EK13="X",10,IF(EK13="M",0,IF(ISNUMBER(EK13),EK13,0)))+IF(EL13="X",10,IF(EL13="M",0,IF(ISNUMBER(EL13),EL13,0)))+IF(EM13="X",10,IF(EM13="M",0,IF(ISNUMBER(EM13),EM13,0)))+IF(EN13="X",10,IF(EN13="M",0,IF(ISNUMBER(EN13),EN13,0)))+IF(EP13="X",10,IF(EP13="M",0,IF(ISNUMBER(EP13),EP13,0)))+IF(EQ13="X",10,IF(EQ13="M",0,IF(ISNUMBER(EQ13),EQ13,0)))+IF(ER13="X",10,IF(ER13="M",0,IF(ISNUMBER(ER13),ER13,0)))+IF(ES13="X",10,IF(ES13="M",0,IF(ISNUMBER(ES13),ES13,0)))+IF(ET13="X",10,IF(ET13="M",0,IF(ISNUMBER(ET13),ET13,0)))+IF(EU13="X",10,IF(EU13="M",0,IF(ISNUMBER(EU13),EU13,0)))+IF(EW13="X",10,IF(EW13="M",0,IF(ISNUMBER(EW13),EW13,0)))+IF(EX13="X",10,IF(EX13="M",0,IF(ISNUMBER(EX13),EX13,0)))+IF(EY13="X",10,IF(EY13="M",0,IF(ISNUMBER(EY13),EY13,0)))+IF(EZ13="X",10,IF(EZ13="M",0,IF(ISNUMBER(EZ13),EZ13,0)))+IF(FA13="X",10,IF(FA13="M",0,IF(ISNUMBER(FA13),FA13,0)))+IF(FB13="X",10,IF(FB13="M",0,IF(ISNUMBER(FB13),FB13,0))),0)</f>
        <v>0</v>
      </c>
      <c r="FG13" s="68" t="str">
        <f>IFERROR(IF(FE13="DQ","DISQUALIFIED",IF(FE11="DQ","&gt;&gt; Advance",IF(FI11="BYE","&gt;&gt; Advance",IF(FI13="BYE","BYE",IF(FD13&gt;=6,"WIN",IF(FD11&gt;=6,"LOSS",IF(AND(ISNUMBER(FC13),ISNUMBER(FC11)),IF(FC13&gt;FC11,"WIN",IF(FC13&lt;FC11,"LOSS","Shoot-Off")),"Playing"))))))),"Error")</f>
        <v>&gt;&gt; Advance</v>
      </c>
      <c r="FI13" s="69" t="str">
        <f>IFERROR(IF(AND(DF21="BYE",DF23="BYE"),"BYE",""),"")</f>
        <v>BYE</v>
      </c>
      <c r="FJ13" s="72" t="s">
        <v>197</v>
      </c>
      <c r="FK13" s="106" t="str">
        <f>IFERROR(IF(OR(FI11="BYE",FI13="BYE"),"",IF(OR(FG11="WIN",FG11="&gt;&gt; Advance"),DH13,IF(OR(FG13="WIN",FG13="&gt;&gt; Advance"),DH11,"TBD"))),"TBD")</f>
        <v/>
      </c>
      <c r="FL13" s="106"/>
      <c r="FM13" s="106"/>
      <c r="FN13" s="107" t="str">
        <f>IF(AND(FK11&lt;&gt;"TBD",FK11&lt;&gt;"",FK13&lt;&gt;"TBD",FK13&lt;&gt;"",HJ11&lt;&gt;"&gt;&gt; Advance",HJ13&lt;&gt;"&gt;&gt; Advance"),IF((B2-A2+1)&gt;=4,(A2+3)&amp;"",IF((B2-A2+1)&gt;=2,(A2+1)&amp;" R",(A2+MOD(1,(B2-A2+1)))&amp;CHAR(65+FLOOR(1/(B2-A2+1),1)*2+1)&amp;" (R)")),"")</f>
        <v/>
      </c>
      <c r="FO13" s="107"/>
      <c r="FP13" s="107"/>
      <c r="FQ13" s="62"/>
      <c r="FR13" s="62"/>
      <c r="FS13" s="62"/>
      <c r="FT13" s="62"/>
      <c r="FU13" s="62"/>
      <c r="FV13" s="62"/>
      <c r="FW13" s="63" t="str">
        <f>IF(OR(ISNUMBER(FQ13),ISNUMBER(FR13),ISNUMBER(FS13),ISNUMBER(FT13),ISNUMBER(FU13),ISNUMBER(FV13),FQ13="X",FR13="X",FS13="X",FT13="X",FU13="X",FV13="X",FQ13="M",FR13="M",FS13="M",FT13="M",FU13="M",FV13="M"),IF(FQ13="X",10,IF(FQ13="M",0,IF(ISNUMBER(FQ13),FQ13,0))) + IF(FR13="X",10,IF(FR13="M",0,IF(ISNUMBER(FR13),FR13,0))) + IF(FS13="X",10,IF(FS13="M",0,IF(ISNUMBER(FS13),FS13,0))) + IF(FT13="X",10,IF(FT13="M",0,IF(ISNUMBER(FT13),FT13,0))) + IF(FU13="X",10,IF(FU13="M",0,IF(ISNUMBER(FU13),FU13,0))) + IF(FV13="X",10,IF(FV13="M",0,IF(ISNUMBER(FV13),FV13,0))),"")</f>
        <v/>
      </c>
      <c r="FX13" s="62"/>
      <c r="FY13" s="62"/>
      <c r="FZ13" s="62"/>
      <c r="GA13" s="62"/>
      <c r="GB13" s="62"/>
      <c r="GC13" s="62"/>
      <c r="GD13" s="63" t="str">
        <f>IF(OR(ISNUMBER(FX13),ISNUMBER(FY13),ISNUMBER(FZ13),ISNUMBER(GA13),ISNUMBER(GB13),ISNUMBER(GC13),FX13="X",FY13="X",FZ13="X",GA13="X",GB13="X",GC13="X",FX13="M",FY13="M",FZ13="M",GA13="M",GB13="M",GC13="M"),IF(FX13="X",10,IF(FX13="M",0,IF(ISNUMBER(FX13),FX13,0))) + IF(FY13="X",10,IF(FY13="M",0,IF(ISNUMBER(FY13),FY13,0))) + IF(FZ13="X",10,IF(FZ13="M",0,IF(ISNUMBER(FZ13),FZ13,0))) + IF(GA13="X",10,IF(GA13="M",0,IF(ISNUMBER(GA13),GA13,0))) + IF(GB13="X",10,IF(GB13="M",0,IF(ISNUMBER(GB13),GB13,0))) + IF(GC13="X",10,IF(GC13="M",0,IF(ISNUMBER(GC13),GC13,0))),"")</f>
        <v/>
      </c>
      <c r="GE13" s="62"/>
      <c r="GF13" s="62"/>
      <c r="GG13" s="62"/>
      <c r="GH13" s="62"/>
      <c r="GI13" s="62"/>
      <c r="GJ13" s="62"/>
      <c r="GK13" s="63" t="str">
        <f>IF(OR(ISNUMBER(GE13),ISNUMBER(GF13),ISNUMBER(GG13),ISNUMBER(GH13),ISNUMBER(GI13),ISNUMBER(GJ13),GE13="X",GF13="X",GG13="X",GH13="X",GI13="X",GJ13="X",GE13="M",GF13="M",GG13="M",GH13="M",GI13="M",GJ13="M"),IF(GE13="X",10,IF(GE13="M",0,IF(ISNUMBER(GE13),GE13,0))) + IF(GF13="X",10,IF(GF13="M",0,IF(ISNUMBER(GF13),GF13,0))) + IF(GG13="X",10,IF(GG13="M",0,IF(ISNUMBER(GG13),GG13,0))) + IF(GH13="X",10,IF(GH13="M",0,IF(ISNUMBER(GH13),GH13,0))) + IF(GI13="X",10,IF(GI13="M",0,IF(ISNUMBER(GI13),GI13,0))) + IF(GJ13="X",10,IF(GJ13="M",0,IF(ISNUMBER(GJ13),GJ13,0))),"")</f>
        <v/>
      </c>
      <c r="GL13" s="62"/>
      <c r="GM13" s="62"/>
      <c r="GN13" s="62"/>
      <c r="GO13" s="62"/>
      <c r="GP13" s="62"/>
      <c r="GQ13" s="62"/>
      <c r="GR13" s="63" t="str">
        <f>IF(OR(ISNUMBER(GL13),ISNUMBER(GM13),ISNUMBER(GN13),ISNUMBER(GO13),ISNUMBER(GP13),ISNUMBER(GQ13),GL13="X",GM13="X",GN13="X",GO13="X",GP13="X",GQ13="X",GL13="M",GM13="M",GN13="M",GO13="M",GP13="M",GQ13="M"),IF(GL13="X",10,IF(GL13="M",0,IF(ISNUMBER(GL13),GL13,0))) + IF(GM13="X",10,IF(GM13="M",0,IF(ISNUMBER(GM13),GM13,0))) + IF(GN13="X",10,IF(GN13="M",0,IF(ISNUMBER(GN13),GN13,0))) + IF(GO13="X",10,IF(GO13="M",0,IF(ISNUMBER(GO13),GO13,0))) + IF(GP13="X",10,IF(GP13="M",0,IF(ISNUMBER(GP13),GP13,0))) + IF(GQ13="X",10,IF(GQ13="M",0,IF(ISNUMBER(GQ13),GQ13,0))),"")</f>
        <v/>
      </c>
      <c r="GS13" s="62"/>
      <c r="GT13" s="62"/>
      <c r="GU13" s="62"/>
      <c r="GV13" s="62"/>
      <c r="GW13" s="62"/>
      <c r="GX13" s="62"/>
      <c r="GY13" s="63" t="str">
        <f>IF(OR(ISNUMBER(GS13),ISNUMBER(GT13),ISNUMBER(GU13),ISNUMBER(GV13),ISNUMBER(GW13),ISNUMBER(GX13),GS13="X",GT13="X",GU13="X",GV13="X",GW13="X",GX13="X",GS13="M",GT13="M",GU13="M",GV13="M",GW13="M",GX13="M"),IF(GS13="X",10,IF(GS13="M",0,IF(ISNUMBER(GS13),GS13,0))) + IF(GT13="X",10,IF(GT13="M",0,IF(ISNUMBER(GT13),GT13,0))) + IF(GU13="X",10,IF(GU13="M",0,IF(ISNUMBER(GU13),GU13,0))) + IF(GV13="X",10,IF(GV13="M",0,IF(ISNUMBER(GV13),GV13,0))) + IF(GW13="X",10,IF(GW13="M",0,IF(ISNUMBER(GW13),GW13,0))) + IF(GX13="X",10,IF(GX13="M",0,IF(ISNUMBER(GX13),GX13,0))),"")</f>
        <v/>
      </c>
      <c r="GZ13" s="64"/>
      <c r="HA13" s="64"/>
      <c r="HB13" s="64"/>
      <c r="HC13" s="64"/>
      <c r="HD13" s="64"/>
      <c r="HE13" s="64"/>
      <c r="HF13" s="63" t="str">
        <f>IF(OR(ISNUMBER(GZ13),ISNUMBER(HA13),ISNUMBER(HB13),ISNUMBER(HC13),ISNUMBER(HD13),ISNUMBER(HE13),GZ13="X",HA13="X",HB13="X",HC13="X",HD13="X",HE13="X",GZ13="M",HA13="M",HB13="M",HC13="M",HD13="M",HE13="M"),IF(GZ13="X",10,IF(GZ13="M",0,IF(ISNUMBER(GZ13),GZ13,0))) + IF(HA13="X",10,IF(HA13="M",0,IF(ISNUMBER(HA13),HA13,0))) + IF(HB13="X",10,IF(HB13="M",0,IF(ISNUMBER(HB13),HB13,0))) + IF(HC13="X",10,IF(HC13="M",0,IF(ISNUMBER(HC13),HC13,0))) + IF(HD13="X",10,IF(HD13="M",0,IF(ISNUMBER(HD13),HD13,0))) + IF(HE13="X",10,IF(HE13="M",0,IF(ISNUMBER(HE13),HE13,0))),"")</f>
        <v/>
      </c>
      <c r="HG13" s="65">
        <f>IF(AND(ISNUMBER(FW13),ISNUMBER(FW11)),IF(FW13&gt;FW11,2,IF(FW13=FW11,1,0)),0)+IF(AND(ISNUMBER(GD13),ISNUMBER(GD11)),IF(GD13&gt;GD11,2,IF(GD13=GD11,1,0)),0)+IF(AND(ISNUMBER(GK13),ISNUMBER(GK11)),IF(GK13&gt;GK11,2,IF(GK13=GK11,1,0)),0)+IF(AND(ISNUMBER(GR13),ISNUMBER(GR11)),IF(GR13&gt;GR11,2,IF(GR13=GR11,1,0)),0)+IF(AND(ISNUMBER(GY13),ISNUMBER(GY11)),IF(GY13&gt;GY11,2,IF(GY13=GY11,1,0)),0)</f>
        <v>0</v>
      </c>
      <c r="HH13" s="66"/>
      <c r="HI13" s="67">
        <f>IF(HG13&gt;0,IF(FQ13="X",10,IF(FQ13="M",0,IF(ISNUMBER(FQ13),FQ13,0)))+IF(FR13="X",10,IF(FR13="M",0,IF(ISNUMBER(FR13),FR13,0)))+IF(FS13="X",10,IF(FS13="M",0,IF(ISNUMBER(FS13),FS13,0)))+IF(FT13="X",10,IF(FT13="M",0,IF(ISNUMBER(FT13),FT13,0)))+IF(FU13="X",10,IF(FU13="M",0,IF(ISNUMBER(FU13),FU13,0)))+IF(FV13="X",10,IF(FV13="M",0,IF(ISNUMBER(FV13),FV13,0)))+IF(FX13="X",10,IF(FX13="M",0,IF(ISNUMBER(FX13),FX13,0)))+IF(FY13="X",10,IF(FY13="M",0,IF(ISNUMBER(FY13),FY13,0)))+IF(FZ13="X",10,IF(FZ13="M",0,IF(ISNUMBER(FZ13),FZ13,0)))+IF(GA13="X",10,IF(GA13="M",0,IF(ISNUMBER(GA13),GA13,0)))+IF(GB13="X",10,IF(GB13="M",0,IF(ISNUMBER(GB13),GB13,0)))+IF(GC13="X",10,IF(GC13="M",0,IF(ISNUMBER(GC13),GC13,0)))+IF(GE13="X",10,IF(GE13="M",0,IF(ISNUMBER(GE13),GE13,0)))+IF(GF13="X",10,IF(GF13="M",0,IF(ISNUMBER(GF13),GF13,0)))+IF(GG13="X",10,IF(GG13="M",0,IF(ISNUMBER(GG13),GG13,0)))+IF(GH13="X",10,IF(GH13="M",0,IF(ISNUMBER(GH13),GH13,0)))+IF(GI13="X",10,IF(GI13="M",0,IF(ISNUMBER(GI13),GI13,0)))+IF(GJ13="X",10,IF(GJ13="M",0,IF(ISNUMBER(GJ13),GJ13,0)))+IF(GL13="X",10,IF(GL13="M",0,IF(ISNUMBER(GL13),GL13,0)))+IF(GM13="X",10,IF(GM13="M",0,IF(ISNUMBER(GM13),GM13,0)))+IF(GN13="X",10,IF(GN13="M",0,IF(ISNUMBER(GN13),GN13,0)))+IF(GO13="X",10,IF(GO13="M",0,IF(ISNUMBER(GO13),GO13,0)))+IF(GP13="X",10,IF(GP13="M",0,IF(ISNUMBER(GP13),GP13,0)))+IF(GQ13="X",10,IF(GQ13="M",0,IF(ISNUMBER(GQ13),GQ13,0)))+IF(GS13="X",10,IF(GS13="M",0,IF(ISNUMBER(GS13),GS13,0)))+IF(GT13="X",10,IF(GT13="M",0,IF(ISNUMBER(GT13),GT13,0)))+IF(GU13="X",10,IF(GU13="M",0,IF(ISNUMBER(GU13),GU13,0)))+IF(GV13="X",10,IF(GV13="M",0,IF(ISNUMBER(GV13),GV13,0)))+IF(GW13="X",10,IF(GW13="M",0,IF(ISNUMBER(GW13),GW13,0)))+IF(GX13="X",10,IF(GX13="M",0,IF(ISNUMBER(GX13),GX13,0)))+IF(GZ13="X",10,IF(GZ13="M",0,IF(ISNUMBER(GZ13),GZ13,0)))+IF(HA13="X",10,IF(HA13="M",0,IF(ISNUMBER(HA13),HA13,0)))+IF(HB13="X",10,IF(HB13="M",0,IF(ISNUMBER(HB13),HB13,0)))+IF(HC13="X",10,IF(HC13="M",0,IF(ISNUMBER(HC13),HC13,0)))+IF(HD13="X",10,IF(HD13="M",0,IF(ISNUMBER(HD13),HD13,0)))+IF(HE13="X",10,IF(HE13="M",0,IF(ISNUMBER(HE13),HE13,0))),0)</f>
        <v>0</v>
      </c>
      <c r="HJ13" s="68" t="str">
        <f>IFERROR(IF(HH13="DQ","DISQUALIFIED",IF(HH11="DQ","&gt;&gt; Advance",IF(HL11="BYE","&gt;&gt; Advance",IF(HL13="BYE","BYE",IF(HG13&gt;=6,"WIN",IF(HG11&gt;=6,"LOSS",IF(AND(ISNUMBER(HF13),ISNUMBER(HF11)),IF(HF13&gt;HF11,"WIN",IF(HF13&lt;HF11,"LOSS","Shoot-Off")),"Playing"))))))),"Error")</f>
        <v>Playing</v>
      </c>
      <c r="HL13" s="69" t="str">
        <f>""</f>
        <v/>
      </c>
      <c r="HM13" s="113" t="str">
        <f>IFERROR(IF(OR(HM11="TBD",HM11=""),"",IF(OR(ISNUMBER(MATCH(HM11,'Beginner Adv 15M - Teams'!$N:$N,0)),ISNUMBER(MATCH(HM11,'Beginner Adv 15M - Teams'!$B:$B,0))),IF(ISNUMBER(MATCH(HM11,'Beginner Adv 15M - Teams'!$N:$N,0)),"Club: "&amp;INDEX('Beginner Adv 15M - Teams'!$C:$C,IF(ISNUMBER(MATCH(HM11,'Beginner Adv 15M - Teams'!$N:$N,0)),MATCH(HM11,'Beginner Adv 15M - Teams'!$N:$N,0),MATCH(HM11,'Beginner Adv 15M - Teams'!$B:$B,0)))&amp;"  |  "&amp;INDEX('Beginner Adv 15M - Teams'!$D:$D,IF(ISNUMBER(MATCH(HM11,'Beginner Adv 15M - Teams'!$N:$N,0)),MATCH(HM11,'Beginner Adv 15M - Teams'!$N:$N,0),MATCH(HM11,'Beginner Adv 15M - Teams'!$B:$B,0)))&amp;IF(INDEX('Beginner Adv 15M - Teams'!$E:$E,IF(ISNUMBER(MATCH(HM11,'Beginner Adv 15M - Teams'!$N:$N,0)),MATCH(HM11,'Beginner Adv 15M - Teams'!$N:$N,0),MATCH(HM11,'Beginner Adv 15M - Teams'!$B:$B,0)))&lt;&gt;"",", "&amp;INDEX('Beginner Adv 15M - Teams'!$E:$E,IF(ISNUMBER(MATCH(HM11,'Beginner Adv 15M - Teams'!$N:$N,0)),MATCH(HM11,'Beginner Adv 15M - Teams'!$N:$N,0),MATCH(HM11,'Beginner Adv 15M - Teams'!$B:$B,0))),"")&amp;IF(INDEX('Beginner Adv 15M - Teams'!$F:$F,IF(ISNUMBER(MATCH(HM11,'Beginner Adv 15M - Teams'!$N:$N,0)),MATCH(HM11,'Beginner Adv 15M - Teams'!$N:$N,0),MATCH(HM11,'Beginner Adv 15M - Teams'!$B:$B,0)))&lt;&gt;"",", "&amp;INDEX('Beginner Adv 15M - Teams'!$F:$F,IF(ISNUMBER(MATCH(HM11,'Beginner Adv 15M - Teams'!$N:$N,0)),MATCH(HM11,'Beginner Adv 15M - Teams'!$N:$N,0),MATCH(HM11,'Beginner Adv 15M - Teams'!$B:$B,0))),""),"Club: "&amp;INDEX('Beginner Adv 15M - Teams'!$C:$C,IF(ISNUMBER(MATCH(HM11,'Beginner Adv 15M - Teams'!$N:$N,0)),MATCH(HM11,'Beginner Adv 15M - Teams'!$N:$N,0),MATCH(HM11,'Beginner Adv 15M - Teams'!$B:$B,0)))),"")),"")</f>
        <v/>
      </c>
      <c r="HN13" s="113"/>
      <c r="HO13" s="113"/>
      <c r="HP13" s="113"/>
      <c r="HQ13" s="113"/>
      <c r="HR13" s="113"/>
      <c r="HS13" s="113"/>
      <c r="HT13" s="113"/>
      <c r="HU13" s="113"/>
      <c r="HV13" s="113"/>
      <c r="HW13" s="113"/>
      <c r="HX13" s="113"/>
      <c r="HY13" s="113"/>
      <c r="HZ13" s="113"/>
      <c r="IA13" s="113"/>
      <c r="IB13" s="113"/>
    </row>
    <row r="14" spans="1:237" ht="1.5" customHeight="1" x14ac:dyDescent="0.35">
      <c r="HM14" s="113"/>
      <c r="HN14" s="113"/>
      <c r="HO14" s="113"/>
      <c r="HP14" s="113"/>
      <c r="HQ14" s="113"/>
      <c r="HR14" s="113"/>
      <c r="HS14" s="113"/>
      <c r="HT14" s="113"/>
      <c r="HU14" s="113"/>
      <c r="HV14" s="113"/>
      <c r="HW14" s="113"/>
      <c r="HX14" s="113"/>
      <c r="HY14" s="113"/>
      <c r="HZ14" s="113"/>
      <c r="IA14" s="113"/>
      <c r="IB14" s="113"/>
    </row>
    <row r="15" spans="1:237" ht="10.5" customHeight="1" x14ac:dyDescent="0.35">
      <c r="A15" s="104" t="s">
        <v>198</v>
      </c>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t="s">
        <v>199</v>
      </c>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c r="CH15" s="104"/>
      <c r="CI15" s="104"/>
      <c r="CJ15" s="104"/>
      <c r="CK15" s="104"/>
      <c r="CL15" s="104"/>
      <c r="CM15" s="104"/>
      <c r="CN15" s="104"/>
      <c r="CO15" s="104"/>
      <c r="CP15" s="104"/>
      <c r="CQ15" s="104"/>
      <c r="CR15" s="104"/>
      <c r="CS15" s="104"/>
      <c r="CT15" s="104"/>
      <c r="CU15" s="104"/>
      <c r="CV15" s="104"/>
      <c r="CW15" s="104"/>
      <c r="CX15" s="104"/>
      <c r="CY15" s="104"/>
      <c r="CZ15" s="104"/>
      <c r="DA15" s="104"/>
      <c r="DB15" s="104"/>
      <c r="DC15" s="104"/>
      <c r="DD15" s="104"/>
      <c r="DE15" s="104"/>
      <c r="DF15" s="104"/>
      <c r="HM15" s="114" t="s">
        <v>200</v>
      </c>
      <c r="HN15" s="114"/>
      <c r="HO15" s="114"/>
      <c r="HP15" s="114"/>
      <c r="HQ15" s="114"/>
      <c r="HR15" s="114"/>
      <c r="HS15" s="114"/>
      <c r="HT15" s="114"/>
      <c r="HU15" s="114"/>
      <c r="HV15" s="114"/>
      <c r="HW15" s="114"/>
      <c r="HX15" s="114"/>
      <c r="HY15" s="114"/>
      <c r="HZ15" s="114"/>
      <c r="IA15" s="114"/>
      <c r="IB15" s="114"/>
    </row>
    <row r="16" spans="1:237" ht="15.75" customHeight="1" x14ac:dyDescent="0.35">
      <c r="A16" s="61" t="str">
        <f>IFERROR(IF(INDEX('Beginner Adv 15M - Teams'!$L:$L,MATCH(5,'Beginner Adv 15M - Teams'!$A:$A,0))="Yes","BYE",IF(OR(INDEX('Beginner Adv 15M - Teams'!$B:$B,MATCH(5,'Beginner Adv 15M - Teams'!$A:$A,0))="",ISERROR(MATCH(5,'Beginner Adv 15M - Teams'!$A:$A,0))),"BYE","#5")),"BYE")</f>
        <v>BYE</v>
      </c>
      <c r="B16" s="106" t="str">
        <f>IFERROR(IF(INDEX('Beginner Adv 15M - Teams'!$L:$L,MATCH(5,'Beginner Adv 15M - Teams'!$A:$A,0))="Yes","",IF(INDEX('Beginner Adv 15M - Teams'!$N:$N,MATCH(5,'Beginner Adv 15M - Teams'!$A:$A,0))&lt;&gt;"",INDEX('Beginner Adv 15M - Teams'!$N:$N,MATCH(5,'Beginner Adv 15M - Teams'!$A:$A,0)),IF(INDEX('Beginner Adv 15M - Teams'!$B:$B,MATCH(5,'Beginner Adv 15M - Teams'!$A:$A,0))="","",INDEX('Beginner Adv 15M - Teams'!$B:$B,MATCH(5,'Beginner Adv 15M - Teams'!$A:$A,0))))),"")</f>
        <v/>
      </c>
      <c r="C16" s="106"/>
      <c r="D16" s="106"/>
      <c r="E16" s="107" t="str">
        <f>IF(OR(A16="BYE",BA16="&gt;&gt; Advance"),"",IF((B2-A2+1)&gt;=8,(A2+MOD(INT((SUMPRODUCT(IF(A6&lt;&gt;"BYE",IF(A6&lt;&gt;"",IF(BA6&lt;&gt;"&gt;&gt; Advance",1,0),0),0)+IF(A8&lt;&gt;"BYE",IF(A8&lt;&gt;"",IF(BA8&lt;&gt;"&gt;&gt; Advance",1,0),0),0)+IF(A11&lt;&gt;"BYE",IF(A11&lt;&gt;"",IF(BA11&lt;&gt;"&gt;&gt; Advance",1,0),0),0)+IF(A13&lt;&gt;"BYE",IF(A13&lt;&gt;"",IF(BA13&lt;&gt;"&gt;&gt; Advance",1,0),0),0)+IF(A16&lt;&gt;"BYE",IF(A16&lt;&gt;"",IF(BA16&lt;&gt;"&gt;&gt; Advance",1,0),0),0))-1)/2),(B2-A2+1)))&amp;IF((MOD(SUMPRODUCT(IF(A6&lt;&gt;"BYE",IF(A6&lt;&gt;"",IF(BA6&lt;&gt;"&gt;&gt; Advance",1,0),0),0)+IF(A8&lt;&gt;"BYE",IF(A8&lt;&gt;"",IF(BA8&lt;&gt;"&gt;&gt; Advance",1,0),0),0)+IF(A11&lt;&gt;"BYE",IF(A11&lt;&gt;"",IF(BA11&lt;&gt;"&gt;&gt; Advance",1,0),0),0)+IF(A13&lt;&gt;"BYE",IF(A13&lt;&gt;"",IF(BA13&lt;&gt;"&gt;&gt; Advance",1,0),0),0)+IF(A16&lt;&gt;"BYE",IF(A16&lt;&gt;"",IF(BA16&lt;&gt;"&gt;&gt; Advance",1,0),0),0))-1,2)=0)," L"," R"),(A2+MOD(INT((SUMPRODUCT(IF(A6&lt;&gt;"BYE",IF(A6&lt;&gt;"",IF(BA6&lt;&gt;"&gt;&gt; Advance",1,0),0),0)+IF(A8&lt;&gt;"BYE",IF(A8&lt;&gt;"",IF(BA8&lt;&gt;"&gt;&gt; Advance",1,0),0),0)+IF(A11&lt;&gt;"BYE",IF(A11&lt;&gt;"",IF(BA11&lt;&gt;"&gt;&gt; Advance",1,0),0),0)+IF(A13&lt;&gt;"BYE",IF(A13&lt;&gt;"",IF(BA13&lt;&gt;"&gt;&gt; Advance",1,0),0),0)+IF(A16&lt;&gt;"BYE",IF(A16&lt;&gt;"",IF(BA16&lt;&gt;"&gt;&gt;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Advance",1,0),0),0))-1)/2)/(B2-A2+1),1)*2+MOD(SUMPRODUCT(IF(A6&lt;&gt;"BYE",IF(A6&lt;&gt;"",IF(BA6&lt;&gt;"&gt;&gt; Advance",1,0),0),0)+IF(A8&lt;&gt;"BYE",IF(A8&lt;&gt;"",IF(BA8&lt;&gt;"&gt;&gt; Advance",1,0),0),0)+IF(A11&lt;&gt;"BYE",IF(A11&lt;&gt;"",IF(BA11&lt;&gt;"&gt;&gt; Advance",1,0),0),0)+IF(A13&lt;&gt;"BYE",IF(A13&lt;&gt;"",IF(BA13&lt;&gt;"&gt;&gt; Advance",1,0),0),0)+IF(A16&lt;&gt;"BYE",IF(A16&lt;&gt;"",IF(BA16&lt;&gt;"&gt;&gt; Advance",1,0),0),0))-1,2))&amp;IF((MOD(SUMPRODUCT(IF(A6&lt;&gt;"BYE",IF(A6&lt;&gt;"",IF(BA6&lt;&gt;"&gt;&gt; Advance",1,0),0),0)+IF(A8&lt;&gt;"BYE",IF(A8&lt;&gt;"",IF(BA8&lt;&gt;"&gt;&gt; Advance",1,0),0),0)+IF(A11&lt;&gt;"BYE",IF(A11&lt;&gt;"",IF(BA11&lt;&gt;"&gt;&gt; Advance",1,0),0),0)+IF(A13&lt;&gt;"BYE",IF(A13&lt;&gt;"",IF(BA13&lt;&gt;"&gt;&gt; Advance",1,0),0),0)+IF(A16&lt;&gt;"BYE",IF(A16&lt;&gt;"",IF(BA16&lt;&gt;"&gt;&gt; Advance",1,0),0),0))-1,2)=0)," (L)"," (R)")))</f>
        <v/>
      </c>
      <c r="F16" s="107"/>
      <c r="G16" s="107"/>
      <c r="H16" s="62"/>
      <c r="I16" s="62"/>
      <c r="J16" s="62"/>
      <c r="K16" s="62"/>
      <c r="L16" s="62"/>
      <c r="M16" s="62"/>
      <c r="N16" s="63" t="str">
        <f>IF(OR(ISNUMBER(H16),ISNUMBER(I16),ISNUMBER(J16),ISNUMBER(K16),ISNUMBER(L16),ISNUMBER(M16),H16="X",I16="X",J16="X",K16="X",L16="X",M16="X",H16="M",I16="M",J16="M",K16="M",L16="M",M16="M"),IF(H16="X",10,IF(H16="M",0,IF(ISNUMBER(H16),H16,0))) + IF(I16="X",10,IF(I16="M",0,IF(ISNUMBER(I16),I16,0))) + IF(J16="X",10,IF(J16="M",0,IF(ISNUMBER(J16),J16,0))) + IF(K16="X",10,IF(K16="M",0,IF(ISNUMBER(K16),K16,0))) + IF(L16="X",10,IF(L16="M",0,IF(ISNUMBER(L16),L16,0))) + IF(M16="X",10,IF(M16="M",0,IF(ISNUMBER(M16),M16,0))),"")</f>
        <v/>
      </c>
      <c r="O16" s="62"/>
      <c r="P16" s="62"/>
      <c r="Q16" s="62"/>
      <c r="R16" s="62"/>
      <c r="S16" s="62"/>
      <c r="T16" s="62"/>
      <c r="U16" s="63" t="str">
        <f>IF(OR(ISNUMBER(O16),ISNUMBER(P16),ISNUMBER(Q16),ISNUMBER(R16),ISNUMBER(S16),ISNUMBER(T16),O16="X",P16="X",Q16="X",R16="X",S16="X",T16="X",O16="M",P16="M",Q16="M",R16="M",S16="M",T16="M"),IF(O16="X",10,IF(O16="M",0,IF(ISNUMBER(O16),O16,0))) + IF(P16="X",10,IF(P16="M",0,IF(ISNUMBER(P16),P16,0))) + IF(Q16="X",10,IF(Q16="M",0,IF(ISNUMBER(Q16),Q16,0))) + IF(R16="X",10,IF(R16="M",0,IF(ISNUMBER(R16),R16,0))) + IF(S16="X",10,IF(S16="M",0,IF(ISNUMBER(S16),S16,0))) + IF(T16="X",10,IF(T16="M",0,IF(ISNUMBER(T16),T16,0))),"")</f>
        <v/>
      </c>
      <c r="V16" s="62"/>
      <c r="W16" s="62"/>
      <c r="X16" s="62"/>
      <c r="Y16" s="62"/>
      <c r="Z16" s="62"/>
      <c r="AA16" s="62"/>
      <c r="AB16" s="63" t="str">
        <f>IF(OR(ISNUMBER(V16),ISNUMBER(W16),ISNUMBER(X16),ISNUMBER(Y16),ISNUMBER(Z16),ISNUMBER(AA16),V16="X",W16="X",X16="X",Y16="X",Z16="X",AA16="X",V16="M",W16="M",X16="M",Y16="M",Z16="M",AA16="M"),IF(V16="X",10,IF(V16="M",0,IF(ISNUMBER(V16),V16,0))) + IF(W16="X",10,IF(W16="M",0,IF(ISNUMBER(W16),W16,0))) + IF(X16="X",10,IF(X16="M",0,IF(ISNUMBER(X16),X16,0))) + IF(Y16="X",10,IF(Y16="M",0,IF(ISNUMBER(Y16),Y16,0))) + IF(Z16="X",10,IF(Z16="M",0,IF(ISNUMBER(Z16),Z16,0))) + IF(AA16="X",10,IF(AA16="M",0,IF(ISNUMBER(AA16),AA16,0))),"")</f>
        <v/>
      </c>
      <c r="AC16" s="62"/>
      <c r="AD16" s="62"/>
      <c r="AE16" s="62"/>
      <c r="AF16" s="62"/>
      <c r="AG16" s="62"/>
      <c r="AH16" s="62"/>
      <c r="AI16" s="63" t="str">
        <f>IF(OR(ISNUMBER(AC16),ISNUMBER(AD16),ISNUMBER(AE16),ISNUMBER(AF16),ISNUMBER(AG16),ISNUMBER(AH16),AC16="X",AD16="X",AE16="X",AF16="X",AG16="X",AH16="X",AC16="M",AD16="M",AE16="M",AF16="M",AG16="M",AH16="M"),IF(AC16="X",10,IF(AC16="M",0,IF(ISNUMBER(AC16),AC16,0))) + IF(AD16="X",10,IF(AD16="M",0,IF(ISNUMBER(AD16),AD16,0))) + IF(AE16="X",10,IF(AE16="M",0,IF(ISNUMBER(AE16),AE16,0))) + IF(AF16="X",10,IF(AF16="M",0,IF(ISNUMBER(AF16),AF16,0))) + IF(AG16="X",10,IF(AG16="M",0,IF(ISNUMBER(AG16),AG16,0))) + IF(AH16="X",10,IF(AH16="M",0,IF(ISNUMBER(AH16),AH16,0))),"")</f>
        <v/>
      </c>
      <c r="AJ16" s="62"/>
      <c r="AK16" s="62"/>
      <c r="AL16" s="62"/>
      <c r="AM16" s="62"/>
      <c r="AN16" s="62"/>
      <c r="AO16" s="62"/>
      <c r="AP16" s="63" t="str">
        <f>IF(OR(ISNUMBER(AJ16),ISNUMBER(AK16),ISNUMBER(AL16),ISNUMBER(AM16),ISNUMBER(AN16),ISNUMBER(AO16),AJ16="X",AK16="X",AL16="X",AM16="X",AN16="X",AO16="X",AJ16="M",AK16="M",AL16="M",AM16="M",AN16="M",AO16="M"),IF(AJ16="X",10,IF(AJ16="M",0,IF(ISNUMBER(AJ16),AJ16,0))) + IF(AK16="X",10,IF(AK16="M",0,IF(ISNUMBER(AK16),AK16,0))) + IF(AL16="X",10,IF(AL16="M",0,IF(ISNUMBER(AL16),AL16,0))) + IF(AM16="X",10,IF(AM16="M",0,IF(ISNUMBER(AM16),AM16,0))) + IF(AN16="X",10,IF(AN16="M",0,IF(ISNUMBER(AN16),AN16,0))) + IF(AO16="X",10,IF(AO16="M",0,IF(ISNUMBER(AO16),AO16,0))),"")</f>
        <v/>
      </c>
      <c r="AQ16" s="64"/>
      <c r="AR16" s="64"/>
      <c r="AS16" s="64"/>
      <c r="AT16" s="64"/>
      <c r="AU16" s="64"/>
      <c r="AV16" s="64"/>
      <c r="AW16" s="63" t="str">
        <f>IF(OR(ISNUMBER(AQ16),ISNUMBER(AR16),ISNUMBER(AS16),ISNUMBER(AT16),ISNUMBER(AU16),ISNUMBER(AV16),AQ16="X",AR16="X",AS16="X",AT16="X",AU16="X",AV16="X",AQ16="M",AR16="M",AS16="M",AT16="M",AU16="M",AV16="M"),IF(AQ16="X",10,IF(AQ16="M",0,IF(ISNUMBER(AQ16),AQ16,0))) + IF(AR16="X",10,IF(AR16="M",0,IF(ISNUMBER(AR16),AR16,0))) + IF(AS16="X",10,IF(AS16="M",0,IF(ISNUMBER(AS16),AS16,0))) + IF(AT16="X",10,IF(AT16="M",0,IF(ISNUMBER(AT16),AT16,0))) + IF(AU16="X",10,IF(AU16="M",0,IF(ISNUMBER(AU16),AU16,0))) + IF(AV16="X",10,IF(AV16="M",0,IF(ISNUMBER(AV16),AV16,0))),"")</f>
        <v/>
      </c>
      <c r="AX16" s="65">
        <f>IF(AND(ISNUMBER(N16),ISNUMBER(N18)),IF(N16&gt;N18,2,IF(N16=N18,1,0)),0)+IF(AND(ISNUMBER(U16),ISNUMBER(U18)),IF(U16&gt;U18,2,IF(U16=U18,1,0)),0)+IF(AND(ISNUMBER(AB16),ISNUMBER(AB18)),IF(AB16&gt;AB18,2,IF(AB16=AB18,1,0)),0)+IF(AND(ISNUMBER(AI16),ISNUMBER(AI18)),IF(AI16&gt;AI18,2,IF(AI16=AI18,1,0)),0)+IF(AND(ISNUMBER(AP16),ISNUMBER(AP18)),IF(AP16&gt;AP18,2,IF(AP16=AP18,1,0)),0)</f>
        <v>0</v>
      </c>
      <c r="AY16" s="66"/>
      <c r="AZ16" s="67">
        <f>IF(AX16&gt;0,IF(H16="X",10,IF(H16="M",0,IF(ISNUMBER(H16),H16,0)))+IF(I16="X",10,IF(I16="M",0,IF(ISNUMBER(I16),I16,0)))+IF(J16="X",10,IF(J16="M",0,IF(ISNUMBER(J16),J16,0)))+IF(K16="X",10,IF(K16="M",0,IF(ISNUMBER(K16),K16,0)))+IF(L16="X",10,IF(L16="M",0,IF(ISNUMBER(L16),L16,0)))+IF(M16="X",10,IF(M16="M",0,IF(ISNUMBER(M16),M16,0)))+IF(O16="X",10,IF(O16="M",0,IF(ISNUMBER(O16),O16,0)))+IF(P16="X",10,IF(P16="M",0,IF(ISNUMBER(P16),P16,0)))+IF(Q16="X",10,IF(Q16="M",0,IF(ISNUMBER(Q16),Q16,0)))+IF(R16="X",10,IF(R16="M",0,IF(ISNUMBER(R16),R16,0)))+IF(S16="X",10,IF(S16="M",0,IF(ISNUMBER(S16),S16,0)))+IF(T16="X",10,IF(T16="M",0,IF(ISNUMBER(T16),T16,0)))+IF(V16="X",10,IF(V16="M",0,IF(ISNUMBER(V16),V16,0)))+IF(W16="X",10,IF(W16="M",0,IF(ISNUMBER(W16),W16,0)))+IF(X16="X",10,IF(X16="M",0,IF(ISNUMBER(X16),X16,0)))+IF(Y16="X",10,IF(Y16="M",0,IF(ISNUMBER(Y16),Y16,0)))+IF(Z16="X",10,IF(Z16="M",0,IF(ISNUMBER(Z16),Z16,0)))+IF(AA16="X",10,IF(AA16="M",0,IF(ISNUMBER(AA16),AA16,0)))+IF(AC16="X",10,IF(AC16="M",0,IF(ISNUMBER(AC16),AC16,0)))+IF(AD16="X",10,IF(AD16="M",0,IF(ISNUMBER(AD16),AD16,0)))+IF(AE16="X",10,IF(AE16="M",0,IF(ISNUMBER(AE16),AE16,0)))+IF(AF16="X",10,IF(AF16="M",0,IF(ISNUMBER(AF16),AF16,0)))+IF(AG16="X",10,IF(AG16="M",0,IF(ISNUMBER(AG16),AG16,0)))+IF(AH16="X",10,IF(AH16="M",0,IF(ISNUMBER(AH16),AH16,0)))+IF(AJ16="X",10,IF(AJ16="M",0,IF(ISNUMBER(AJ16),AJ16,0)))+IF(AK16="X",10,IF(AK16="M",0,IF(ISNUMBER(AK16),AK16,0)))+IF(AL16="X",10,IF(AL16="M",0,IF(ISNUMBER(AL16),AL16,0)))+IF(AM16="X",10,IF(AM16="M",0,IF(ISNUMBER(AM16),AM16,0)))+IF(AN16="X",10,IF(AN16="M",0,IF(ISNUMBER(AN16),AN16,0)))+IF(AO16="X",10,IF(AO16="M",0,IF(ISNUMBER(AO16),AO16,0)))+IF(AQ16="X",10,IF(AQ16="M",0,IF(ISNUMBER(AQ16),AQ16,0)))+IF(AR16="X",10,IF(AR16="M",0,IF(ISNUMBER(AR16),AR16,0)))+IF(AS16="X",10,IF(AS16="M",0,IF(ISNUMBER(AS16),AS16,0)))+IF(AT16="X",10,IF(AT16="M",0,IF(ISNUMBER(AT16),AT16,0)))+IF(AU16="X",10,IF(AU16="M",0,IF(ISNUMBER(AU16),AU16,0)))+IF(AV16="X",10,IF(AV16="M",0,IF(ISNUMBER(AV16),AV16,0))),0)</f>
        <v>0</v>
      </c>
      <c r="BA16" s="68" t="str">
        <f>IFERROR(IF(AY16="DQ","DISQUALIFIED",IF(AY18="DQ","&gt;&gt; Advance",IF(BC18="BYE","&gt;&gt; Advance",IF(BC16="BYE","BYE",IF(AX16&gt;=6,"WIN",IF(AX18&gt;=6,"LOSS",IF(AND(ISNUMBER(AW16),ISNUMBER(AW18)),IF(AW16&gt;AW18,"WIN",IF(AW16&lt;AW18,"LOSS","Shoot-Off")),"Playing"))))))),"Error")</f>
        <v>&gt;&gt; Advance</v>
      </c>
      <c r="BC16" s="69" t="str">
        <f>IFERROR(IF(INDEX('Beginner Adv 15M - Teams'!$L:$L,MATCH(5,'Beginner Adv 15M - Teams'!$A:$A,0))="Yes","BYE",IF(OR(INDEX('Beginner Adv 15M - Teams'!$B:$B,MATCH(5,'Beginner Adv 15M - Teams'!$A:$A,0))="",ISERROR(MATCH(5,'Beginner Adv 15M - Teams'!$A:$A,0))),"BYE","")),"BYE")</f>
        <v>BYE</v>
      </c>
      <c r="BD16" s="61" t="s">
        <v>201</v>
      </c>
      <c r="BE16" s="106" t="str">
        <f>IFERROR(IF(BC26="BYE",IF(BC28="BYE","TBD",B28),IF(BC28="BYE",B26,IF(OR(BA26="WIN",BA26="&gt;&gt; Advance"),B26,IF(OR(BA28="WIN",BA28="&gt;&gt; Advance"),B28,"TBD")))),"TBD")</f>
        <v>TBD</v>
      </c>
      <c r="BF16" s="106"/>
      <c r="BG16" s="106"/>
      <c r="BH16" s="107" t="str">
        <f>IF(AND(BE16&lt;&gt;"TBD",BE16&lt;&gt;"",BE18&lt;&gt;"TBD",BE18&lt;&gt;"",DD16&lt;&gt;"&gt;&gt; Advance",DD18&lt;&gt;"&gt;&gt; Advance"),IF((B2-A2+1)&gt;=8,(A2+4)&amp;"",IF((B2-A2+1)&gt;=4,(A2+2)&amp;" L",(A2+MOD(2,(B2-A2+1)))&amp;CHAR(65+FLOOR(2/(B2-A2+1),1)*2)&amp;" (L)")),"")</f>
        <v/>
      </c>
      <c r="BI16" s="107"/>
      <c r="BJ16" s="107"/>
      <c r="BK16" s="62"/>
      <c r="BL16" s="62"/>
      <c r="BM16" s="62"/>
      <c r="BN16" s="62"/>
      <c r="BO16" s="62"/>
      <c r="BP16" s="62"/>
      <c r="BQ16" s="63" t="str">
        <f>IF(OR(ISNUMBER(BK16),ISNUMBER(BL16),ISNUMBER(BM16),ISNUMBER(BN16),ISNUMBER(BO16),ISNUMBER(BP16),BK16="X",BL16="X",BM16="X",BN16="X",BO16="X",BP16="X",BK16="M",BL16="M",BM16="M",BN16="M",BO16="M",BP16="M"),IF(BK16="X",10,IF(BK16="M",0,IF(ISNUMBER(BK16),BK16,0))) + IF(BL16="X",10,IF(BL16="M",0,IF(ISNUMBER(BL16),BL16,0))) + IF(BM16="X",10,IF(BM16="M",0,IF(ISNUMBER(BM16),BM16,0))) + IF(BN16="X",10,IF(BN16="M",0,IF(ISNUMBER(BN16),BN16,0))) + IF(BO16="X",10,IF(BO16="M",0,IF(ISNUMBER(BO16),BO16,0))) + IF(BP16="X",10,IF(BP16="M",0,IF(ISNUMBER(BP16),BP16,0))),"")</f>
        <v/>
      </c>
      <c r="BR16" s="62"/>
      <c r="BS16" s="62"/>
      <c r="BT16" s="62"/>
      <c r="BU16" s="62"/>
      <c r="BV16" s="62"/>
      <c r="BW16" s="62"/>
      <c r="BX16" s="63" t="str">
        <f>IF(OR(ISNUMBER(BR16),ISNUMBER(BS16),ISNUMBER(BT16),ISNUMBER(BU16),ISNUMBER(BV16),ISNUMBER(BW16),BR16="X",BS16="X",BT16="X",BU16="X",BV16="X",BW16="X",BR16="M",BS16="M",BT16="M",BU16="M",BV16="M",BW16="M"),IF(BR16="X",10,IF(BR16="M",0,IF(ISNUMBER(BR16),BR16,0))) + IF(BS16="X",10,IF(BS16="M",0,IF(ISNUMBER(BS16),BS16,0))) + IF(BT16="X",10,IF(BT16="M",0,IF(ISNUMBER(BT16),BT16,0))) + IF(BU16="X",10,IF(BU16="M",0,IF(ISNUMBER(BU16),BU16,0))) + IF(BV16="X",10,IF(BV16="M",0,IF(ISNUMBER(BV16),BV16,0))) + IF(BW16="X",10,IF(BW16="M",0,IF(ISNUMBER(BW16),BW16,0))),"")</f>
        <v/>
      </c>
      <c r="BY16" s="62"/>
      <c r="BZ16" s="62"/>
      <c r="CA16" s="62"/>
      <c r="CB16" s="62"/>
      <c r="CC16" s="62"/>
      <c r="CD16" s="62"/>
      <c r="CE16" s="63" t="str">
        <f>IF(OR(ISNUMBER(BY16),ISNUMBER(BZ16),ISNUMBER(CA16),ISNUMBER(CB16),ISNUMBER(CC16),ISNUMBER(CD16),BY16="X",BZ16="X",CA16="X",CB16="X",CC16="X",CD16="X",BY16="M",BZ16="M",CA16="M",CB16="M",CC16="M",CD16="M"),IF(BY16="X",10,IF(BY16="M",0,IF(ISNUMBER(BY16),BY16,0))) + IF(BZ16="X",10,IF(BZ16="M",0,IF(ISNUMBER(BZ16),BZ16,0))) + IF(CA16="X",10,IF(CA16="M",0,IF(ISNUMBER(CA16),CA16,0))) + IF(CB16="X",10,IF(CB16="M",0,IF(ISNUMBER(CB16),CB16,0))) + IF(CC16="X",10,IF(CC16="M",0,IF(ISNUMBER(CC16),CC16,0))) + IF(CD16="X",10,IF(CD16="M",0,IF(ISNUMBER(CD16),CD16,0))),"")</f>
        <v/>
      </c>
      <c r="CF16" s="62"/>
      <c r="CG16" s="62"/>
      <c r="CH16" s="62"/>
      <c r="CI16" s="62"/>
      <c r="CJ16" s="62"/>
      <c r="CK16" s="62"/>
      <c r="CL16" s="63" t="str">
        <f>IF(OR(ISNUMBER(CF16),ISNUMBER(CG16),ISNUMBER(CH16),ISNUMBER(CI16),ISNUMBER(CJ16),ISNUMBER(CK16),CF16="X",CG16="X",CH16="X",CI16="X",CJ16="X",CK16="X",CF16="M",CG16="M",CH16="M",CI16="M",CJ16="M",CK16="M"),IF(CF16="X",10,IF(CF16="M",0,IF(ISNUMBER(CF16),CF16,0))) + IF(CG16="X",10,IF(CG16="M",0,IF(ISNUMBER(CG16),CG16,0))) + IF(CH16="X",10,IF(CH16="M",0,IF(ISNUMBER(CH16),CH16,0))) + IF(CI16="X",10,IF(CI16="M",0,IF(ISNUMBER(CI16),CI16,0))) + IF(CJ16="X",10,IF(CJ16="M",0,IF(ISNUMBER(CJ16),CJ16,0))) + IF(CK16="X",10,IF(CK16="M",0,IF(ISNUMBER(CK16),CK16,0))),"")</f>
        <v/>
      </c>
      <c r="CM16" s="62"/>
      <c r="CN16" s="62"/>
      <c r="CO16" s="62"/>
      <c r="CP16" s="62"/>
      <c r="CQ16" s="62"/>
      <c r="CR16" s="62"/>
      <c r="CS16" s="63" t="str">
        <f>IF(OR(ISNUMBER(CM16),ISNUMBER(CN16),ISNUMBER(CO16),ISNUMBER(CP16),ISNUMBER(CQ16),ISNUMBER(CR16),CM16="X",CN16="X",CO16="X",CP16="X",CQ16="X",CR16="X",CM16="M",CN16="M",CO16="M",CP16="M",CQ16="M",CR16="M"),IF(CM16="X",10,IF(CM16="M",0,IF(ISNUMBER(CM16),CM16,0))) + IF(CN16="X",10,IF(CN16="M",0,IF(ISNUMBER(CN16),CN16,0))) + IF(CO16="X",10,IF(CO16="M",0,IF(ISNUMBER(CO16),CO16,0))) + IF(CP16="X",10,IF(CP16="M",0,IF(ISNUMBER(CP16),CP16,0))) + IF(CQ16="X",10,IF(CQ16="M",0,IF(ISNUMBER(CQ16),CQ16,0))) + IF(CR16="X",10,IF(CR16="M",0,IF(ISNUMBER(CR16),CR16,0))),"")</f>
        <v/>
      </c>
      <c r="CT16" s="64"/>
      <c r="CU16" s="64"/>
      <c r="CV16" s="64"/>
      <c r="CW16" s="64"/>
      <c r="CX16" s="64"/>
      <c r="CY16" s="64"/>
      <c r="CZ16" s="63" t="str">
        <f>IF(OR(ISNUMBER(CT16),ISNUMBER(CU16),ISNUMBER(CV16),ISNUMBER(CW16),ISNUMBER(CX16),ISNUMBER(CY16),CT16="X",CU16="X",CV16="X",CW16="X",CX16="X",CY16="X",CT16="M",CU16="M",CV16="M",CW16="M",CX16="M",CY16="M"),IF(CT16="X",10,IF(CT16="M",0,IF(ISNUMBER(CT16),CT16,0))) + IF(CU16="X",10,IF(CU16="M",0,IF(ISNUMBER(CU16),CU16,0))) + IF(CV16="X",10,IF(CV16="M",0,IF(ISNUMBER(CV16),CV16,0))) + IF(CW16="X",10,IF(CW16="M",0,IF(ISNUMBER(CW16),CW16,0))) + IF(CX16="X",10,IF(CX16="M",0,IF(ISNUMBER(CX16),CX16,0))) + IF(CY16="X",10,IF(CY16="M",0,IF(ISNUMBER(CY16),CY16,0))),"")</f>
        <v/>
      </c>
      <c r="DA16" s="65">
        <f>IF(AND(ISNUMBER(BQ16),ISNUMBER(BQ18)),IF(BQ16&gt;BQ18,2,IF(BQ16=BQ18,1,0)),0)+IF(AND(ISNUMBER(BX16),ISNUMBER(BX18)),IF(BX16&gt;BX18,2,IF(BX16=BX18,1,0)),0)+IF(AND(ISNUMBER(CE16),ISNUMBER(CE18)),IF(CE16&gt;CE18,2,IF(CE16=CE18,1,0)),0)+IF(AND(ISNUMBER(CL16),ISNUMBER(CL18)),IF(CL16&gt;CL18,2,IF(CL16=CL18,1,0)),0)+IF(AND(ISNUMBER(CS16),ISNUMBER(CS18)),IF(CS16&gt;CS18,2,IF(CS16=CS18,1,0)),0)</f>
        <v>0</v>
      </c>
      <c r="DB16" s="66"/>
      <c r="DC16" s="67">
        <f>IF(DA16&gt;0,IF(BK16="X",10,IF(BK16="M",0,IF(ISNUMBER(BK16),BK16,0)))+IF(BL16="X",10,IF(BL16="M",0,IF(ISNUMBER(BL16),BL16,0)))+IF(BM16="X",10,IF(BM16="M",0,IF(ISNUMBER(BM16),BM16,0)))+IF(BN16="X",10,IF(BN16="M",0,IF(ISNUMBER(BN16),BN16,0)))+IF(BO16="X",10,IF(BO16="M",0,IF(ISNUMBER(BO16),BO16,0)))+IF(BP16="X",10,IF(BP16="M",0,IF(ISNUMBER(BP16),BP16,0)))+IF(BR16="X",10,IF(BR16="M",0,IF(ISNUMBER(BR16),BR16,0)))+IF(BS16="X",10,IF(BS16="M",0,IF(ISNUMBER(BS16),BS16,0)))+IF(BT16="X",10,IF(BT16="M",0,IF(ISNUMBER(BT16),BT16,0)))+IF(BU16="X",10,IF(BU16="M",0,IF(ISNUMBER(BU16),BU16,0)))+IF(BV16="X",10,IF(BV16="M",0,IF(ISNUMBER(BV16),BV16,0)))+IF(BW16="X",10,IF(BW16="M",0,IF(ISNUMBER(BW16),BW16,0)))+IF(BY16="X",10,IF(BY16="M",0,IF(ISNUMBER(BY16),BY16,0)))+IF(BZ16="X",10,IF(BZ16="M",0,IF(ISNUMBER(BZ16),BZ16,0)))+IF(CA16="X",10,IF(CA16="M",0,IF(ISNUMBER(CA16),CA16,0)))+IF(CB16="X",10,IF(CB16="M",0,IF(ISNUMBER(CB16),CB16,0)))+IF(CC16="X",10,IF(CC16="M",0,IF(ISNUMBER(CC16),CC16,0)))+IF(CD16="X",10,IF(CD16="M",0,IF(ISNUMBER(CD16),CD16,0)))+IF(CF16="X",10,IF(CF16="M",0,IF(ISNUMBER(CF16),CF16,0)))+IF(CG16="X",10,IF(CG16="M",0,IF(ISNUMBER(CG16),CG16,0)))+IF(CH16="X",10,IF(CH16="M",0,IF(ISNUMBER(CH16),CH16,0)))+IF(CI16="X",10,IF(CI16="M",0,IF(ISNUMBER(CI16),CI16,0)))+IF(CJ16="X",10,IF(CJ16="M",0,IF(ISNUMBER(CJ16),CJ16,0)))+IF(CK16="X",10,IF(CK16="M",0,IF(ISNUMBER(CK16),CK16,0)))+IF(CM16="X",10,IF(CM16="M",0,IF(ISNUMBER(CM16),CM16,0)))+IF(CN16="X",10,IF(CN16="M",0,IF(ISNUMBER(CN16),CN16,0)))+IF(CO16="X",10,IF(CO16="M",0,IF(ISNUMBER(CO16),CO16,0)))+IF(CP16="X",10,IF(CP16="M",0,IF(ISNUMBER(CP16),CP16,0)))+IF(CQ16="X",10,IF(CQ16="M",0,IF(ISNUMBER(CQ16),CQ16,0)))+IF(CR16="X",10,IF(CR16="M",0,IF(ISNUMBER(CR16),CR16,0)))+IF(CT16="X",10,IF(CT16="M",0,IF(ISNUMBER(CT16),CT16,0)))+IF(CU16="X",10,IF(CU16="M",0,IF(ISNUMBER(CU16),CU16,0)))+IF(CV16="X",10,IF(CV16="M",0,IF(ISNUMBER(CV16),CV16,0)))+IF(CW16="X",10,IF(CW16="M",0,IF(ISNUMBER(CW16),CW16,0)))+IF(CX16="X",10,IF(CX16="M",0,IF(ISNUMBER(CX16),CX16,0)))+IF(CY16="X",10,IF(CY16="M",0,IF(ISNUMBER(CY16),CY16,0))),0)</f>
        <v>0</v>
      </c>
      <c r="DD16" s="68" t="str">
        <f>IFERROR(IF(DB16="DQ","DISQUALIFIED",IF(DB18="DQ","&gt;&gt; Advance",IF(DF18="BYE","&gt;&gt; Advance",IF(DF16="BYE","BYE",IF(DA16&gt;=6,"WIN",IF(DA18&gt;=6,"LOSS",IF(AND(ISNUMBER(CZ16),ISNUMBER(CZ18)),IF(CZ16&gt;CZ18,"WIN",IF(CZ16&lt;CZ18,"LOSS","Shoot-Off")),"Playing"))))))),"Error")</f>
        <v>&gt;&gt; Advance</v>
      </c>
      <c r="DF16" s="69" t="str">
        <f>IFERROR(IF(AND(BC26="BYE",BC28="BYE"),"BYE",""),"")</f>
        <v>BYE</v>
      </c>
      <c r="HM16" s="115" t="str">
        <f>IFERROR(IF(HL11="BYE",IF(HL13="BYE","TBD",FK13),IF(HL13="BYE",FK11,IF(OR(HJ11="WIN",HJ11="&gt;&gt; Advance"),FK11,IF(OR(HJ13="WIN",HJ13="&gt;&gt; Advance"),FK13,"TBD")))),"TBD")</f>
        <v>TBD</v>
      </c>
      <c r="HN16" s="115"/>
      <c r="HO16" s="115"/>
      <c r="HP16" s="115"/>
      <c r="HQ16" s="115"/>
      <c r="HR16" s="115"/>
      <c r="HS16" s="115"/>
      <c r="HT16" s="115"/>
      <c r="HU16" s="115"/>
      <c r="HV16" s="115"/>
      <c r="HW16" s="115"/>
      <c r="HX16" s="115"/>
      <c r="HY16" s="115"/>
      <c r="HZ16" s="115"/>
      <c r="IA16" s="115"/>
      <c r="IB16" s="115"/>
    </row>
    <row r="17" spans="1:236" ht="3" customHeight="1" x14ac:dyDescent="0.35">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HM17" s="115"/>
      <c r="HN17" s="115"/>
      <c r="HO17" s="115"/>
      <c r="HP17" s="115"/>
      <c r="HQ17" s="115"/>
      <c r="HR17" s="115"/>
      <c r="HS17" s="115"/>
      <c r="HT17" s="115"/>
      <c r="HU17" s="115"/>
      <c r="HV17" s="115"/>
      <c r="HW17" s="115"/>
      <c r="HX17" s="115"/>
      <c r="HY17" s="115"/>
      <c r="HZ17" s="115"/>
      <c r="IA17" s="115"/>
      <c r="IB17" s="115"/>
    </row>
    <row r="18" spans="1:236" ht="15.75" customHeight="1" x14ac:dyDescent="0.35">
      <c r="A18" s="61" t="str">
        <f>IFERROR(IF(INDEX('Beginner Adv 15M - Teams'!$L:$L,MATCH(12,'Beginner Adv 15M - Teams'!$A:$A,0))="Yes","BYE",IF(OR(INDEX('Beginner Adv 15M - Teams'!$B:$B,MATCH(12,'Beginner Adv 15M - Teams'!$A:$A,0))="",ISERROR(MATCH(12,'Beginner Adv 15M - Teams'!$A:$A,0))),"BYE","#12")),"BYE")</f>
        <v>BYE</v>
      </c>
      <c r="B18" s="106" t="str">
        <f>IFERROR(IF(INDEX('Beginner Adv 15M - Teams'!$L:$L,MATCH(12,'Beginner Adv 15M - Teams'!$A:$A,0))="Yes","",IF(INDEX('Beginner Adv 15M - Teams'!$N:$N,MATCH(12,'Beginner Adv 15M - Teams'!$A:$A,0))&lt;&gt;"",INDEX('Beginner Adv 15M - Teams'!$N:$N,MATCH(12,'Beginner Adv 15M - Teams'!$A:$A,0)),IF(INDEX('Beginner Adv 15M - Teams'!$B:$B,MATCH(12,'Beginner Adv 15M - Teams'!$A:$A,0))="","",INDEX('Beginner Adv 15M - Teams'!$B:$B,MATCH(12,'Beginner Adv 15M - Teams'!$A:$A,0))))),"")</f>
        <v/>
      </c>
      <c r="C18" s="106"/>
      <c r="D18" s="106"/>
      <c r="E18" s="107" t="str">
        <f>IF(OR(A18="BYE",BA18="&gt;&gt;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Advance",1,0),0),0))-1,2)=0)," (L)"," (R)")))</f>
        <v/>
      </c>
      <c r="F18" s="107"/>
      <c r="G18" s="107"/>
      <c r="H18" s="62"/>
      <c r="I18" s="62"/>
      <c r="J18" s="62"/>
      <c r="K18" s="62"/>
      <c r="L18" s="62"/>
      <c r="M18" s="62"/>
      <c r="N18" s="63" t="str">
        <f>IF(OR(ISNUMBER(H18),ISNUMBER(I18),ISNUMBER(J18),ISNUMBER(K18),ISNUMBER(L18),ISNUMBER(M18),H18="X",I18="X",J18="X",K18="X",L18="X",M18="X",H18="M",I18="M",J18="M",K18="M",L18="M",M18="M"),IF(H18="X",10,IF(H18="M",0,IF(ISNUMBER(H18),H18,0))) + IF(I18="X",10,IF(I18="M",0,IF(ISNUMBER(I18),I18,0))) + IF(J18="X",10,IF(J18="M",0,IF(ISNUMBER(J18),J18,0))) + IF(K18="X",10,IF(K18="M",0,IF(ISNUMBER(K18),K18,0))) + IF(L18="X",10,IF(L18="M",0,IF(ISNUMBER(L18),L18,0))) + IF(M18="X",10,IF(M18="M",0,IF(ISNUMBER(M18),M18,0))),"")</f>
        <v/>
      </c>
      <c r="O18" s="62"/>
      <c r="P18" s="62"/>
      <c r="Q18" s="62"/>
      <c r="R18" s="62"/>
      <c r="S18" s="62"/>
      <c r="T18" s="62"/>
      <c r="U18" s="63" t="str">
        <f>IF(OR(ISNUMBER(O18),ISNUMBER(P18),ISNUMBER(Q18),ISNUMBER(R18),ISNUMBER(S18),ISNUMBER(T18),O18="X",P18="X",Q18="X",R18="X",S18="X",T18="X",O18="M",P18="M",Q18="M",R18="M",S18="M",T18="M"),IF(O18="X",10,IF(O18="M",0,IF(ISNUMBER(O18),O18,0))) + IF(P18="X",10,IF(P18="M",0,IF(ISNUMBER(P18),P18,0))) + IF(Q18="X",10,IF(Q18="M",0,IF(ISNUMBER(Q18),Q18,0))) + IF(R18="X",10,IF(R18="M",0,IF(ISNUMBER(R18),R18,0))) + IF(S18="X",10,IF(S18="M",0,IF(ISNUMBER(S18),S18,0))) + IF(T18="X",10,IF(T18="M",0,IF(ISNUMBER(T18),T18,0))),"")</f>
        <v/>
      </c>
      <c r="V18" s="62"/>
      <c r="W18" s="62"/>
      <c r="X18" s="62"/>
      <c r="Y18" s="62"/>
      <c r="Z18" s="62"/>
      <c r="AA18" s="62"/>
      <c r="AB18" s="63" t="str">
        <f>IF(OR(ISNUMBER(V18),ISNUMBER(W18),ISNUMBER(X18),ISNUMBER(Y18),ISNUMBER(Z18),ISNUMBER(AA18),V18="X",W18="X",X18="X",Y18="X",Z18="X",AA18="X",V18="M",W18="M",X18="M",Y18="M",Z18="M",AA18="M"),IF(V18="X",10,IF(V18="M",0,IF(ISNUMBER(V18),V18,0))) + IF(W18="X",10,IF(W18="M",0,IF(ISNUMBER(W18),W18,0))) + IF(X18="X",10,IF(X18="M",0,IF(ISNUMBER(X18),X18,0))) + IF(Y18="X",10,IF(Y18="M",0,IF(ISNUMBER(Y18),Y18,0))) + IF(Z18="X",10,IF(Z18="M",0,IF(ISNUMBER(Z18),Z18,0))) + IF(AA18="X",10,IF(AA18="M",0,IF(ISNUMBER(AA18),AA18,0))),"")</f>
        <v/>
      </c>
      <c r="AC18" s="62"/>
      <c r="AD18" s="62"/>
      <c r="AE18" s="62"/>
      <c r="AF18" s="62"/>
      <c r="AG18" s="62"/>
      <c r="AH18" s="62"/>
      <c r="AI18" s="63" t="str">
        <f>IF(OR(ISNUMBER(AC18),ISNUMBER(AD18),ISNUMBER(AE18),ISNUMBER(AF18),ISNUMBER(AG18),ISNUMBER(AH18),AC18="X",AD18="X",AE18="X",AF18="X",AG18="X",AH18="X",AC18="M",AD18="M",AE18="M",AF18="M",AG18="M",AH18="M"),IF(AC18="X",10,IF(AC18="M",0,IF(ISNUMBER(AC18),AC18,0))) + IF(AD18="X",10,IF(AD18="M",0,IF(ISNUMBER(AD18),AD18,0))) + IF(AE18="X",10,IF(AE18="M",0,IF(ISNUMBER(AE18),AE18,0))) + IF(AF18="X",10,IF(AF18="M",0,IF(ISNUMBER(AF18),AF18,0))) + IF(AG18="X",10,IF(AG18="M",0,IF(ISNUMBER(AG18),AG18,0))) + IF(AH18="X",10,IF(AH18="M",0,IF(ISNUMBER(AH18),AH18,0))),"")</f>
        <v/>
      </c>
      <c r="AJ18" s="62"/>
      <c r="AK18" s="62"/>
      <c r="AL18" s="62"/>
      <c r="AM18" s="62"/>
      <c r="AN18" s="62"/>
      <c r="AO18" s="62"/>
      <c r="AP18" s="63" t="str">
        <f>IF(OR(ISNUMBER(AJ18),ISNUMBER(AK18),ISNUMBER(AL18),ISNUMBER(AM18),ISNUMBER(AN18),ISNUMBER(AO18),AJ18="X",AK18="X",AL18="X",AM18="X",AN18="X",AO18="X",AJ18="M",AK18="M",AL18="M",AM18="M",AN18="M",AO18="M"),IF(AJ18="X",10,IF(AJ18="M",0,IF(ISNUMBER(AJ18),AJ18,0))) + IF(AK18="X",10,IF(AK18="M",0,IF(ISNUMBER(AK18),AK18,0))) + IF(AL18="X",10,IF(AL18="M",0,IF(ISNUMBER(AL18),AL18,0))) + IF(AM18="X",10,IF(AM18="M",0,IF(ISNUMBER(AM18),AM18,0))) + IF(AN18="X",10,IF(AN18="M",0,IF(ISNUMBER(AN18),AN18,0))) + IF(AO18="X",10,IF(AO18="M",0,IF(ISNUMBER(AO18),AO18,0))),"")</f>
        <v/>
      </c>
      <c r="AQ18" s="64"/>
      <c r="AR18" s="64"/>
      <c r="AS18" s="64"/>
      <c r="AT18" s="64"/>
      <c r="AU18" s="64"/>
      <c r="AV18" s="64"/>
      <c r="AW18" s="63" t="str">
        <f>IF(OR(ISNUMBER(AQ18),ISNUMBER(AR18),ISNUMBER(AS18),ISNUMBER(AT18),ISNUMBER(AU18),ISNUMBER(AV18),AQ18="X",AR18="X",AS18="X",AT18="X",AU18="X",AV18="X",AQ18="M",AR18="M",AS18="M",AT18="M",AU18="M",AV18="M"),IF(AQ18="X",10,IF(AQ18="M",0,IF(ISNUMBER(AQ18),AQ18,0))) + IF(AR18="X",10,IF(AR18="M",0,IF(ISNUMBER(AR18),AR18,0))) + IF(AS18="X",10,IF(AS18="M",0,IF(ISNUMBER(AS18),AS18,0))) + IF(AT18="X",10,IF(AT18="M",0,IF(ISNUMBER(AT18),AT18,0))) + IF(AU18="X",10,IF(AU18="M",0,IF(ISNUMBER(AU18),AU18,0))) + IF(AV18="X",10,IF(AV18="M",0,IF(ISNUMBER(AV18),AV18,0))),"")</f>
        <v/>
      </c>
      <c r="AX18" s="65">
        <f>IF(AND(ISNUMBER(N18),ISNUMBER(N16)),IF(N18&gt;N16,2,IF(N18=N16,1,0)),0)+IF(AND(ISNUMBER(U18),ISNUMBER(U16)),IF(U18&gt;U16,2,IF(U18=U16,1,0)),0)+IF(AND(ISNUMBER(AB18),ISNUMBER(AB16)),IF(AB18&gt;AB16,2,IF(AB18=AB16,1,0)),0)+IF(AND(ISNUMBER(AI18),ISNUMBER(AI16)),IF(AI18&gt;AI16,2,IF(AI18=AI16,1,0)),0)+IF(AND(ISNUMBER(AP18),ISNUMBER(AP16)),IF(AP18&gt;AP16,2,IF(AP18=AP16,1,0)),0)</f>
        <v>0</v>
      </c>
      <c r="AY18" s="66"/>
      <c r="AZ18" s="67">
        <f>IF(AX18&gt;0,IF(H18="X",10,IF(H18="M",0,IF(ISNUMBER(H18),H18,0)))+IF(I18="X",10,IF(I18="M",0,IF(ISNUMBER(I18),I18,0)))+IF(J18="X",10,IF(J18="M",0,IF(ISNUMBER(J18),J18,0)))+IF(K18="X",10,IF(K18="M",0,IF(ISNUMBER(K18),K18,0)))+IF(L18="X",10,IF(L18="M",0,IF(ISNUMBER(L18),L18,0)))+IF(M18="X",10,IF(M18="M",0,IF(ISNUMBER(M18),M18,0)))+IF(O18="X",10,IF(O18="M",0,IF(ISNUMBER(O18),O18,0)))+IF(P18="X",10,IF(P18="M",0,IF(ISNUMBER(P18),P18,0)))+IF(Q18="X",10,IF(Q18="M",0,IF(ISNUMBER(Q18),Q18,0)))+IF(R18="X",10,IF(R18="M",0,IF(ISNUMBER(R18),R18,0)))+IF(S18="X",10,IF(S18="M",0,IF(ISNUMBER(S18),S18,0)))+IF(T18="X",10,IF(T18="M",0,IF(ISNUMBER(T18),T18,0)))+IF(V18="X",10,IF(V18="M",0,IF(ISNUMBER(V18),V18,0)))+IF(W18="X",10,IF(W18="M",0,IF(ISNUMBER(W18),W18,0)))+IF(X18="X",10,IF(X18="M",0,IF(ISNUMBER(X18),X18,0)))+IF(Y18="X",10,IF(Y18="M",0,IF(ISNUMBER(Y18),Y18,0)))+IF(Z18="X",10,IF(Z18="M",0,IF(ISNUMBER(Z18),Z18,0)))+IF(AA18="X",10,IF(AA18="M",0,IF(ISNUMBER(AA18),AA18,0)))+IF(AC18="X",10,IF(AC18="M",0,IF(ISNUMBER(AC18),AC18,0)))+IF(AD18="X",10,IF(AD18="M",0,IF(ISNUMBER(AD18),AD18,0)))+IF(AE18="X",10,IF(AE18="M",0,IF(ISNUMBER(AE18),AE18,0)))+IF(AF18="X",10,IF(AF18="M",0,IF(ISNUMBER(AF18),AF18,0)))+IF(AG18="X",10,IF(AG18="M",0,IF(ISNUMBER(AG18),AG18,0)))+IF(AH18="X",10,IF(AH18="M",0,IF(ISNUMBER(AH18),AH18,0)))+IF(AJ18="X",10,IF(AJ18="M",0,IF(ISNUMBER(AJ18),AJ18,0)))+IF(AK18="X",10,IF(AK18="M",0,IF(ISNUMBER(AK18),AK18,0)))+IF(AL18="X",10,IF(AL18="M",0,IF(ISNUMBER(AL18),AL18,0)))+IF(AM18="X",10,IF(AM18="M",0,IF(ISNUMBER(AM18),AM18,0)))+IF(AN18="X",10,IF(AN18="M",0,IF(ISNUMBER(AN18),AN18,0)))+IF(AO18="X",10,IF(AO18="M",0,IF(ISNUMBER(AO18),AO18,0)))+IF(AQ18="X",10,IF(AQ18="M",0,IF(ISNUMBER(AQ18),AQ18,0)))+IF(AR18="X",10,IF(AR18="M",0,IF(ISNUMBER(AR18),AR18,0)))+IF(AS18="X",10,IF(AS18="M",0,IF(ISNUMBER(AS18),AS18,0)))+IF(AT18="X",10,IF(AT18="M",0,IF(ISNUMBER(AT18),AT18,0)))+IF(AU18="X",10,IF(AU18="M",0,IF(ISNUMBER(AU18),AU18,0)))+IF(AV18="X",10,IF(AV18="M",0,IF(ISNUMBER(AV18),AV18,0))),0)</f>
        <v>0</v>
      </c>
      <c r="BA18" s="68" t="str">
        <f>IFERROR(IF(AY18="DQ","DISQUALIFIED",IF(AY16="DQ","&gt;&gt; Advance",IF(BC16="BYE","&gt;&gt; Advance",IF(BC18="BYE","BYE",IF(AX18&gt;=6,"WIN",IF(AX16&gt;=6,"LOSS",IF(AND(ISNUMBER(AW18),ISNUMBER(AW16)),IF(AW18&gt;AW16,"WIN",IF(AW18&lt;AW16,"LOSS","Shoot-Off")),"Playing"))))))),"Error")</f>
        <v>&gt;&gt; Advance</v>
      </c>
      <c r="BC18" s="69" t="str">
        <f>IFERROR(IF(INDEX('Beginner Adv 15M - Teams'!$L:$L,MATCH(12,'Beginner Adv 15M - Teams'!$A:$A,0))="Yes","BYE",IF(OR(INDEX('Beginner Adv 15M - Teams'!$B:$B,MATCH(12,'Beginner Adv 15M - Teams'!$A:$A,0))="",ISERROR(MATCH(12,'Beginner Adv 15M - Teams'!$A:$A,0))),"BYE","")),"BYE")</f>
        <v>BYE</v>
      </c>
      <c r="BD18" s="61" t="s">
        <v>202</v>
      </c>
      <c r="BE18" s="106" t="str">
        <f>IFERROR(IF(BC31="BYE",IF(BC33="BYE","TBD",B33),IF(BC33="BYE",B31,IF(OR(BA31="WIN",BA31="&gt;&gt; Advance"),B31,IF(OR(BA33="WIN",BA33="&gt;&gt; Advance"),B33,"TBD")))),"TBD")</f>
        <v>TBD</v>
      </c>
      <c r="BF18" s="106"/>
      <c r="BG18" s="106"/>
      <c r="BH18" s="107" t="str">
        <f>IF(AND(BE16&lt;&gt;"TBD",BE16&lt;&gt;"",BE18&lt;&gt;"TBD",BE18&lt;&gt;"",DD16&lt;&gt;"&gt;&gt; Advance",DD18&lt;&gt;"&gt;&gt; Advance"),IF((B2-A2+1)&gt;=8,(A2+5)&amp;"",IF((B2-A2+1)&gt;=4,(A2+2)&amp;" R",(A2+MOD(2,(B2-A2+1)))&amp;CHAR(65+FLOOR(2/(B2-A2+1),1)*2+1)&amp;" (R)")),"")</f>
        <v/>
      </c>
      <c r="BI18" s="107"/>
      <c r="BJ18" s="107"/>
      <c r="BK18" s="62"/>
      <c r="BL18" s="62"/>
      <c r="BM18" s="62"/>
      <c r="BN18" s="62"/>
      <c r="BO18" s="62"/>
      <c r="BP18" s="62"/>
      <c r="BQ18" s="63" t="str">
        <f>IF(OR(ISNUMBER(BK18),ISNUMBER(BL18),ISNUMBER(BM18),ISNUMBER(BN18),ISNUMBER(BO18),ISNUMBER(BP18),BK18="X",BL18="X",BM18="X",BN18="X",BO18="X",BP18="X",BK18="M",BL18="M",BM18="M",BN18="M",BO18="M",BP18="M"),IF(BK18="X",10,IF(BK18="M",0,IF(ISNUMBER(BK18),BK18,0))) + IF(BL18="X",10,IF(BL18="M",0,IF(ISNUMBER(BL18),BL18,0))) + IF(BM18="X",10,IF(BM18="M",0,IF(ISNUMBER(BM18),BM18,0))) + IF(BN18="X",10,IF(BN18="M",0,IF(ISNUMBER(BN18),BN18,0))) + IF(BO18="X",10,IF(BO18="M",0,IF(ISNUMBER(BO18),BO18,0))) + IF(BP18="X",10,IF(BP18="M",0,IF(ISNUMBER(BP18),BP18,0))),"")</f>
        <v/>
      </c>
      <c r="BR18" s="62"/>
      <c r="BS18" s="62"/>
      <c r="BT18" s="62"/>
      <c r="BU18" s="62"/>
      <c r="BV18" s="62"/>
      <c r="BW18" s="62"/>
      <c r="BX18" s="63" t="str">
        <f>IF(OR(ISNUMBER(BR18),ISNUMBER(BS18),ISNUMBER(BT18),ISNUMBER(BU18),ISNUMBER(BV18),ISNUMBER(BW18),BR18="X",BS18="X",BT18="X",BU18="X",BV18="X",BW18="X",BR18="M",BS18="M",BT18="M",BU18="M",BV18="M",BW18="M"),IF(BR18="X",10,IF(BR18="M",0,IF(ISNUMBER(BR18),BR18,0))) + IF(BS18="X",10,IF(BS18="M",0,IF(ISNUMBER(BS18),BS18,0))) + IF(BT18="X",10,IF(BT18="M",0,IF(ISNUMBER(BT18),BT18,0))) + IF(BU18="X",10,IF(BU18="M",0,IF(ISNUMBER(BU18),BU18,0))) + IF(BV18="X",10,IF(BV18="M",0,IF(ISNUMBER(BV18),BV18,0))) + IF(BW18="X",10,IF(BW18="M",0,IF(ISNUMBER(BW18),BW18,0))),"")</f>
        <v/>
      </c>
      <c r="BY18" s="62"/>
      <c r="BZ18" s="62"/>
      <c r="CA18" s="62"/>
      <c r="CB18" s="62"/>
      <c r="CC18" s="62"/>
      <c r="CD18" s="62"/>
      <c r="CE18" s="63" t="str">
        <f>IF(OR(ISNUMBER(BY18),ISNUMBER(BZ18),ISNUMBER(CA18),ISNUMBER(CB18),ISNUMBER(CC18),ISNUMBER(CD18),BY18="X",BZ18="X",CA18="X",CB18="X",CC18="X",CD18="X",BY18="M",BZ18="M",CA18="M",CB18="M",CC18="M",CD18="M"),IF(BY18="X",10,IF(BY18="M",0,IF(ISNUMBER(BY18),BY18,0))) + IF(BZ18="X",10,IF(BZ18="M",0,IF(ISNUMBER(BZ18),BZ18,0))) + IF(CA18="X",10,IF(CA18="M",0,IF(ISNUMBER(CA18),CA18,0))) + IF(CB18="X",10,IF(CB18="M",0,IF(ISNUMBER(CB18),CB18,0))) + IF(CC18="X",10,IF(CC18="M",0,IF(ISNUMBER(CC18),CC18,0))) + IF(CD18="X",10,IF(CD18="M",0,IF(ISNUMBER(CD18),CD18,0))),"")</f>
        <v/>
      </c>
      <c r="CF18" s="62"/>
      <c r="CG18" s="62"/>
      <c r="CH18" s="62"/>
      <c r="CI18" s="62"/>
      <c r="CJ18" s="62"/>
      <c r="CK18" s="62"/>
      <c r="CL18" s="63" t="str">
        <f>IF(OR(ISNUMBER(CF18),ISNUMBER(CG18),ISNUMBER(CH18),ISNUMBER(CI18),ISNUMBER(CJ18),ISNUMBER(CK18),CF18="X",CG18="X",CH18="X",CI18="X",CJ18="X",CK18="X",CF18="M",CG18="M",CH18="M",CI18="M",CJ18="M",CK18="M"),IF(CF18="X",10,IF(CF18="M",0,IF(ISNUMBER(CF18),CF18,0))) + IF(CG18="X",10,IF(CG18="M",0,IF(ISNUMBER(CG18),CG18,0))) + IF(CH18="X",10,IF(CH18="M",0,IF(ISNUMBER(CH18),CH18,0))) + IF(CI18="X",10,IF(CI18="M",0,IF(ISNUMBER(CI18),CI18,0))) + IF(CJ18="X",10,IF(CJ18="M",0,IF(ISNUMBER(CJ18),CJ18,0))) + IF(CK18="X",10,IF(CK18="M",0,IF(ISNUMBER(CK18),CK18,0))),"")</f>
        <v/>
      </c>
      <c r="CM18" s="62"/>
      <c r="CN18" s="62"/>
      <c r="CO18" s="62"/>
      <c r="CP18" s="62"/>
      <c r="CQ18" s="62"/>
      <c r="CR18" s="62"/>
      <c r="CS18" s="63" t="str">
        <f>IF(OR(ISNUMBER(CM18),ISNUMBER(CN18),ISNUMBER(CO18),ISNUMBER(CP18),ISNUMBER(CQ18),ISNUMBER(CR18),CM18="X",CN18="X",CO18="X",CP18="X",CQ18="X",CR18="X",CM18="M",CN18="M",CO18="M",CP18="M",CQ18="M",CR18="M"),IF(CM18="X",10,IF(CM18="M",0,IF(ISNUMBER(CM18),CM18,0))) + IF(CN18="X",10,IF(CN18="M",0,IF(ISNUMBER(CN18),CN18,0))) + IF(CO18="X",10,IF(CO18="M",0,IF(ISNUMBER(CO18),CO18,0))) + IF(CP18="X",10,IF(CP18="M",0,IF(ISNUMBER(CP18),CP18,0))) + IF(CQ18="X",10,IF(CQ18="M",0,IF(ISNUMBER(CQ18),CQ18,0))) + IF(CR18="X",10,IF(CR18="M",0,IF(ISNUMBER(CR18),CR18,0))),"")</f>
        <v/>
      </c>
      <c r="CT18" s="64"/>
      <c r="CU18" s="64"/>
      <c r="CV18" s="64"/>
      <c r="CW18" s="64"/>
      <c r="CX18" s="64"/>
      <c r="CY18" s="64"/>
      <c r="CZ18" s="63" t="str">
        <f>IF(OR(ISNUMBER(CT18),ISNUMBER(CU18),ISNUMBER(CV18),ISNUMBER(CW18),ISNUMBER(CX18),ISNUMBER(CY18),CT18="X",CU18="X",CV18="X",CW18="X",CX18="X",CY18="X",CT18="M",CU18="M",CV18="M",CW18="M",CX18="M",CY18="M"),IF(CT18="X",10,IF(CT18="M",0,IF(ISNUMBER(CT18),CT18,0))) + IF(CU18="X",10,IF(CU18="M",0,IF(ISNUMBER(CU18),CU18,0))) + IF(CV18="X",10,IF(CV18="M",0,IF(ISNUMBER(CV18),CV18,0))) + IF(CW18="X",10,IF(CW18="M",0,IF(ISNUMBER(CW18),CW18,0))) + IF(CX18="X",10,IF(CX18="M",0,IF(ISNUMBER(CX18),CX18,0))) + IF(CY18="X",10,IF(CY18="M",0,IF(ISNUMBER(CY18),CY18,0))),"")</f>
        <v/>
      </c>
      <c r="DA18" s="65">
        <f>IF(AND(ISNUMBER(BQ18),ISNUMBER(BQ16)),IF(BQ18&gt;BQ16,2,IF(BQ18=BQ16,1,0)),0)+IF(AND(ISNUMBER(BX18),ISNUMBER(BX16)),IF(BX18&gt;BX16,2,IF(BX18=BX16,1,0)),0)+IF(AND(ISNUMBER(CE18),ISNUMBER(CE16)),IF(CE18&gt;CE16,2,IF(CE18=CE16,1,0)),0)+IF(AND(ISNUMBER(CL18),ISNUMBER(CL16)),IF(CL18&gt;CL16,2,IF(CL18=CL16,1,0)),0)+IF(AND(ISNUMBER(CS18),ISNUMBER(CS16)),IF(CS18&gt;CS16,2,IF(CS18=CS16,1,0)),0)</f>
        <v>0</v>
      </c>
      <c r="DB18" s="66"/>
      <c r="DC18" s="67">
        <f>IF(DA18&gt;0,IF(BK18="X",10,IF(BK18="M",0,IF(ISNUMBER(BK18),BK18,0)))+IF(BL18="X",10,IF(BL18="M",0,IF(ISNUMBER(BL18),BL18,0)))+IF(BM18="X",10,IF(BM18="M",0,IF(ISNUMBER(BM18),BM18,0)))+IF(BN18="X",10,IF(BN18="M",0,IF(ISNUMBER(BN18),BN18,0)))+IF(BO18="X",10,IF(BO18="M",0,IF(ISNUMBER(BO18),BO18,0)))+IF(BP18="X",10,IF(BP18="M",0,IF(ISNUMBER(BP18),BP18,0)))+IF(BR18="X",10,IF(BR18="M",0,IF(ISNUMBER(BR18),BR18,0)))+IF(BS18="X",10,IF(BS18="M",0,IF(ISNUMBER(BS18),BS18,0)))+IF(BT18="X",10,IF(BT18="M",0,IF(ISNUMBER(BT18),BT18,0)))+IF(BU18="X",10,IF(BU18="M",0,IF(ISNUMBER(BU18),BU18,0)))+IF(BV18="X",10,IF(BV18="M",0,IF(ISNUMBER(BV18),BV18,0)))+IF(BW18="X",10,IF(BW18="M",0,IF(ISNUMBER(BW18),BW18,0)))+IF(BY18="X",10,IF(BY18="M",0,IF(ISNUMBER(BY18),BY18,0)))+IF(BZ18="X",10,IF(BZ18="M",0,IF(ISNUMBER(BZ18),BZ18,0)))+IF(CA18="X",10,IF(CA18="M",0,IF(ISNUMBER(CA18),CA18,0)))+IF(CB18="X",10,IF(CB18="M",0,IF(ISNUMBER(CB18),CB18,0)))+IF(CC18="X",10,IF(CC18="M",0,IF(ISNUMBER(CC18),CC18,0)))+IF(CD18="X",10,IF(CD18="M",0,IF(ISNUMBER(CD18),CD18,0)))+IF(CF18="X",10,IF(CF18="M",0,IF(ISNUMBER(CF18),CF18,0)))+IF(CG18="X",10,IF(CG18="M",0,IF(ISNUMBER(CG18),CG18,0)))+IF(CH18="X",10,IF(CH18="M",0,IF(ISNUMBER(CH18),CH18,0)))+IF(CI18="X",10,IF(CI18="M",0,IF(ISNUMBER(CI18),CI18,0)))+IF(CJ18="X",10,IF(CJ18="M",0,IF(ISNUMBER(CJ18),CJ18,0)))+IF(CK18="X",10,IF(CK18="M",0,IF(ISNUMBER(CK18),CK18,0)))+IF(CM18="X",10,IF(CM18="M",0,IF(ISNUMBER(CM18),CM18,0)))+IF(CN18="X",10,IF(CN18="M",0,IF(ISNUMBER(CN18),CN18,0)))+IF(CO18="X",10,IF(CO18="M",0,IF(ISNUMBER(CO18),CO18,0)))+IF(CP18="X",10,IF(CP18="M",0,IF(ISNUMBER(CP18),CP18,0)))+IF(CQ18="X",10,IF(CQ18="M",0,IF(ISNUMBER(CQ18),CQ18,0)))+IF(CR18="X",10,IF(CR18="M",0,IF(ISNUMBER(CR18),CR18,0)))+IF(CT18="X",10,IF(CT18="M",0,IF(ISNUMBER(CT18),CT18,0)))+IF(CU18="X",10,IF(CU18="M",0,IF(ISNUMBER(CU18),CU18,0)))+IF(CV18="X",10,IF(CV18="M",0,IF(ISNUMBER(CV18),CV18,0)))+IF(CW18="X",10,IF(CW18="M",0,IF(ISNUMBER(CW18),CW18,0)))+IF(CX18="X",10,IF(CX18="M",0,IF(ISNUMBER(CX18),CX18,0)))+IF(CY18="X",10,IF(CY18="M",0,IF(ISNUMBER(CY18),CY18,0))),0)</f>
        <v>0</v>
      </c>
      <c r="DD18" s="68" t="str">
        <f>IFERROR(IF(DB18="DQ","DISQUALIFIED",IF(DB16="DQ","&gt;&gt; Advance",IF(DF16="BYE","&gt;&gt; Advance",IF(DF18="BYE","BYE",IF(DA18&gt;=6,"WIN",IF(DA16&gt;=6,"LOSS",IF(AND(ISNUMBER(CZ18),ISNUMBER(CZ16)),IF(CZ18&gt;CZ16,"WIN",IF(CZ18&lt;CZ16,"LOSS","Shoot-Off")),"Playing"))))))),"Error")</f>
        <v>&gt;&gt; Advance</v>
      </c>
      <c r="DF18" s="69" t="str">
        <f>IFERROR(IF(AND(BC31="BYE",BC33="BYE"),"BYE",""),"")</f>
        <v>BYE</v>
      </c>
      <c r="HM18" s="116" t="str">
        <f>IFERROR(IF(OR(HM16="TBD",HM16=""),"",IF(OR(ISNUMBER(MATCH(HM16,'Beginner Adv 15M - Teams'!$N:$N,0)),ISNUMBER(MATCH(HM16,'Beginner Adv 15M - Teams'!$B:$B,0))),IF(ISNUMBER(MATCH(HM16,'Beginner Adv 15M - Teams'!$N:$N,0)),"Club: "&amp;INDEX('Beginner Adv 15M - Teams'!$C:$C,IF(ISNUMBER(MATCH(HM16,'Beginner Adv 15M - Teams'!$N:$N,0)),MATCH(HM16,'Beginner Adv 15M - Teams'!$N:$N,0),MATCH(HM16,'Beginner Adv 15M - Teams'!$B:$B,0)))&amp;"  |  "&amp;INDEX('Beginner Adv 15M - Teams'!$D:$D,IF(ISNUMBER(MATCH(HM16,'Beginner Adv 15M - Teams'!$N:$N,0)),MATCH(HM16,'Beginner Adv 15M - Teams'!$N:$N,0),MATCH(HM16,'Beginner Adv 15M - Teams'!$B:$B,0)))&amp;IF(INDEX('Beginner Adv 15M - Teams'!$E:$E,IF(ISNUMBER(MATCH(HM16,'Beginner Adv 15M - Teams'!$N:$N,0)),MATCH(HM16,'Beginner Adv 15M - Teams'!$N:$N,0),MATCH(HM16,'Beginner Adv 15M - Teams'!$B:$B,0)))&lt;&gt;"",", "&amp;INDEX('Beginner Adv 15M - Teams'!$E:$E,IF(ISNUMBER(MATCH(HM16,'Beginner Adv 15M - Teams'!$N:$N,0)),MATCH(HM16,'Beginner Adv 15M - Teams'!$N:$N,0),MATCH(HM16,'Beginner Adv 15M - Teams'!$B:$B,0))),"")&amp;IF(INDEX('Beginner Adv 15M - Teams'!$F:$F,IF(ISNUMBER(MATCH(HM16,'Beginner Adv 15M - Teams'!$N:$N,0)),MATCH(HM16,'Beginner Adv 15M - Teams'!$N:$N,0),MATCH(HM16,'Beginner Adv 15M - Teams'!$B:$B,0)))&lt;&gt;"",", "&amp;INDEX('Beginner Adv 15M - Teams'!$F:$F,IF(ISNUMBER(MATCH(HM16,'Beginner Adv 15M - Teams'!$N:$N,0)),MATCH(HM16,'Beginner Adv 15M - Teams'!$N:$N,0),MATCH(HM16,'Beginner Adv 15M - Teams'!$B:$B,0))),""),"Club: "&amp;INDEX('Beginner Adv 15M - Teams'!$C:$C,IF(ISNUMBER(MATCH(HM16,'Beginner Adv 15M - Teams'!$N:$N,0)),MATCH(HM16,'Beginner Adv 15M - Teams'!$N:$N,0),MATCH(HM16,'Beginner Adv 15M - Teams'!$B:$B,0)))),"")),"")</f>
        <v/>
      </c>
      <c r="HN18" s="116"/>
      <c r="HO18" s="116"/>
      <c r="HP18" s="116"/>
      <c r="HQ18" s="116"/>
      <c r="HR18" s="116"/>
      <c r="HS18" s="116"/>
      <c r="HT18" s="116"/>
      <c r="HU18" s="116"/>
      <c r="HV18" s="116"/>
      <c r="HW18" s="116"/>
      <c r="HX18" s="116"/>
      <c r="HY18" s="116"/>
      <c r="HZ18" s="116"/>
      <c r="IA18" s="116"/>
      <c r="IB18" s="116"/>
    </row>
    <row r="19" spans="1:236" ht="1.5" customHeight="1" x14ac:dyDescent="0.35">
      <c r="HM19" s="116"/>
      <c r="HN19" s="116"/>
      <c r="HO19" s="116"/>
      <c r="HP19" s="116"/>
      <c r="HQ19" s="116"/>
      <c r="HR19" s="116"/>
      <c r="HS19" s="116"/>
      <c r="HT19" s="116"/>
      <c r="HU19" s="116"/>
      <c r="HV19" s="116"/>
      <c r="HW19" s="116"/>
      <c r="HX19" s="116"/>
      <c r="HY19" s="116"/>
      <c r="HZ19" s="116"/>
      <c r="IA19" s="116"/>
      <c r="IB19" s="116"/>
    </row>
    <row r="20" spans="1:236" ht="10.5" customHeight="1" x14ac:dyDescent="0.35">
      <c r="A20" s="104" t="s">
        <v>203</v>
      </c>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t="s">
        <v>204</v>
      </c>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4"/>
      <c r="CD20" s="104"/>
      <c r="CE20" s="104"/>
      <c r="CF20" s="104"/>
      <c r="CG20" s="104"/>
      <c r="CH20" s="104"/>
      <c r="CI20" s="104"/>
      <c r="CJ20" s="104"/>
      <c r="CK20" s="104"/>
      <c r="CL20" s="104"/>
      <c r="CM20" s="104"/>
      <c r="CN20" s="104"/>
      <c r="CO20" s="104"/>
      <c r="CP20" s="104"/>
      <c r="CQ20" s="104"/>
      <c r="CR20" s="104"/>
      <c r="CS20" s="104"/>
      <c r="CT20" s="104"/>
      <c r="CU20" s="104"/>
      <c r="CV20" s="104"/>
      <c r="CW20" s="104"/>
      <c r="CX20" s="104"/>
      <c r="CY20" s="104"/>
      <c r="CZ20" s="104"/>
      <c r="DA20" s="104"/>
      <c r="DB20" s="104"/>
      <c r="DC20" s="104"/>
      <c r="DD20" s="104"/>
      <c r="DE20" s="104"/>
      <c r="DF20" s="104"/>
    </row>
    <row r="21" spans="1:236" ht="15.75" customHeight="1" x14ac:dyDescent="0.35">
      <c r="A21" s="61" t="str">
        <f>IFERROR(IF(INDEX('Beginner Adv 15M - Teams'!$L:$L,MATCH(4,'Beginner Adv 15M - Teams'!$A:$A,0))="Yes","BYE",IF(OR(INDEX('Beginner Adv 15M - Teams'!$B:$B,MATCH(4,'Beginner Adv 15M - Teams'!$A:$A,0))="",ISERROR(MATCH(4,'Beginner Adv 15M - Teams'!$A:$A,0))),"BYE","#4")),"BYE")</f>
        <v>BYE</v>
      </c>
      <c r="B21" s="106" t="str">
        <f>IFERROR(IF(INDEX('Beginner Adv 15M - Teams'!$L:$L,MATCH(4,'Beginner Adv 15M - Teams'!$A:$A,0))="Yes","",IF(INDEX('Beginner Adv 15M - Teams'!$N:$N,MATCH(4,'Beginner Adv 15M - Teams'!$A:$A,0))&lt;&gt;"",INDEX('Beginner Adv 15M - Teams'!$N:$N,MATCH(4,'Beginner Adv 15M - Teams'!$A:$A,0)),IF(INDEX('Beginner Adv 15M - Teams'!$B:$B,MATCH(4,'Beginner Adv 15M - Teams'!$A:$A,0))="","",INDEX('Beginner Adv 15M - Teams'!$B:$B,MATCH(4,'Beginner Adv 15M - Teams'!$A:$A,0))))),"")</f>
        <v/>
      </c>
      <c r="C21" s="106"/>
      <c r="D21" s="106"/>
      <c r="E21" s="107" t="str">
        <f>IF(OR(A21="BYE",BA21="&gt;&gt;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Advance",1,0),0),0))-1,2)=0)," (L)"," (R)")))</f>
        <v/>
      </c>
      <c r="F21" s="107"/>
      <c r="G21" s="107"/>
      <c r="H21" s="62"/>
      <c r="I21" s="62"/>
      <c r="J21" s="62"/>
      <c r="K21" s="62"/>
      <c r="L21" s="62"/>
      <c r="M21" s="62"/>
      <c r="N21" s="63" t="str">
        <f>IF(OR(ISNUMBER(H21),ISNUMBER(I21),ISNUMBER(J21),ISNUMBER(K21),ISNUMBER(L21),ISNUMBER(M21),H21="X",I21="X",J21="X",K21="X",L21="X",M21="X",H21="M",I21="M",J21="M",K21="M",L21="M",M21="M"),IF(H21="X",10,IF(H21="M",0,IF(ISNUMBER(H21),H21,0))) + IF(I21="X",10,IF(I21="M",0,IF(ISNUMBER(I21),I21,0))) + IF(J21="X",10,IF(J21="M",0,IF(ISNUMBER(J21),J21,0))) + IF(K21="X",10,IF(K21="M",0,IF(ISNUMBER(K21),K21,0))) + IF(L21="X",10,IF(L21="M",0,IF(ISNUMBER(L21),L21,0))) + IF(M21="X",10,IF(M21="M",0,IF(ISNUMBER(M21),M21,0))),"")</f>
        <v/>
      </c>
      <c r="O21" s="62"/>
      <c r="P21" s="62"/>
      <c r="Q21" s="62"/>
      <c r="R21" s="62"/>
      <c r="S21" s="62"/>
      <c r="T21" s="62"/>
      <c r="U21" s="63" t="str">
        <f>IF(OR(ISNUMBER(O21),ISNUMBER(P21),ISNUMBER(Q21),ISNUMBER(R21),ISNUMBER(S21),ISNUMBER(T21),O21="X",P21="X",Q21="X",R21="X",S21="X",T21="X",O21="M",P21="M",Q21="M",R21="M",S21="M",T21="M"),IF(O21="X",10,IF(O21="M",0,IF(ISNUMBER(O21),O21,0))) + IF(P21="X",10,IF(P21="M",0,IF(ISNUMBER(P21),P21,0))) + IF(Q21="X",10,IF(Q21="M",0,IF(ISNUMBER(Q21),Q21,0))) + IF(R21="X",10,IF(R21="M",0,IF(ISNUMBER(R21),R21,0))) + IF(S21="X",10,IF(S21="M",0,IF(ISNUMBER(S21),S21,0))) + IF(T21="X",10,IF(T21="M",0,IF(ISNUMBER(T21),T21,0))),"")</f>
        <v/>
      </c>
      <c r="V21" s="62"/>
      <c r="W21" s="62"/>
      <c r="X21" s="62"/>
      <c r="Y21" s="62"/>
      <c r="Z21" s="62"/>
      <c r="AA21" s="62"/>
      <c r="AB21" s="63" t="str">
        <f>IF(OR(ISNUMBER(V21),ISNUMBER(W21),ISNUMBER(X21),ISNUMBER(Y21),ISNUMBER(Z21),ISNUMBER(AA21),V21="X",W21="X",X21="X",Y21="X",Z21="X",AA21="X",V21="M",W21="M",X21="M",Y21="M",Z21="M",AA21="M"),IF(V21="X",10,IF(V21="M",0,IF(ISNUMBER(V21),V21,0))) + IF(W21="X",10,IF(W21="M",0,IF(ISNUMBER(W21),W21,0))) + IF(X21="X",10,IF(X21="M",0,IF(ISNUMBER(X21),X21,0))) + IF(Y21="X",10,IF(Y21="M",0,IF(ISNUMBER(Y21),Y21,0))) + IF(Z21="X",10,IF(Z21="M",0,IF(ISNUMBER(Z21),Z21,0))) + IF(AA21="X",10,IF(AA21="M",0,IF(ISNUMBER(AA21),AA21,0))),"")</f>
        <v/>
      </c>
      <c r="AC21" s="62"/>
      <c r="AD21" s="62"/>
      <c r="AE21" s="62"/>
      <c r="AF21" s="62"/>
      <c r="AG21" s="62"/>
      <c r="AH21" s="62"/>
      <c r="AI21" s="63" t="str">
        <f>IF(OR(ISNUMBER(AC21),ISNUMBER(AD21),ISNUMBER(AE21),ISNUMBER(AF21),ISNUMBER(AG21),ISNUMBER(AH21),AC21="X",AD21="X",AE21="X",AF21="X",AG21="X",AH21="X",AC21="M",AD21="M",AE21="M",AF21="M",AG21="M",AH21="M"),IF(AC21="X",10,IF(AC21="M",0,IF(ISNUMBER(AC21),AC21,0))) + IF(AD21="X",10,IF(AD21="M",0,IF(ISNUMBER(AD21),AD21,0))) + IF(AE21="X",10,IF(AE21="M",0,IF(ISNUMBER(AE21),AE21,0))) + IF(AF21="X",10,IF(AF21="M",0,IF(ISNUMBER(AF21),AF21,0))) + IF(AG21="X",10,IF(AG21="M",0,IF(ISNUMBER(AG21),AG21,0))) + IF(AH21="X",10,IF(AH21="M",0,IF(ISNUMBER(AH21),AH21,0))),"")</f>
        <v/>
      </c>
      <c r="AJ21" s="62"/>
      <c r="AK21" s="62"/>
      <c r="AL21" s="62"/>
      <c r="AM21" s="62"/>
      <c r="AN21" s="62"/>
      <c r="AO21" s="62"/>
      <c r="AP21" s="63" t="str">
        <f>IF(OR(ISNUMBER(AJ21),ISNUMBER(AK21),ISNUMBER(AL21),ISNUMBER(AM21),ISNUMBER(AN21),ISNUMBER(AO21),AJ21="X",AK21="X",AL21="X",AM21="X",AN21="X",AO21="X",AJ21="M",AK21="M",AL21="M",AM21="M",AN21="M",AO21="M"),IF(AJ21="X",10,IF(AJ21="M",0,IF(ISNUMBER(AJ21),AJ21,0))) + IF(AK21="X",10,IF(AK21="M",0,IF(ISNUMBER(AK21),AK21,0))) + IF(AL21="X",10,IF(AL21="M",0,IF(ISNUMBER(AL21),AL21,0))) + IF(AM21="X",10,IF(AM21="M",0,IF(ISNUMBER(AM21),AM21,0))) + IF(AN21="X",10,IF(AN21="M",0,IF(ISNUMBER(AN21),AN21,0))) + IF(AO21="X",10,IF(AO21="M",0,IF(ISNUMBER(AO21),AO21,0))),"")</f>
        <v/>
      </c>
      <c r="AQ21" s="64"/>
      <c r="AR21" s="64"/>
      <c r="AS21" s="64"/>
      <c r="AT21" s="64"/>
      <c r="AU21" s="64"/>
      <c r="AV21" s="64"/>
      <c r="AW21" s="63" t="str">
        <f>IF(OR(ISNUMBER(AQ21),ISNUMBER(AR21),ISNUMBER(AS21),ISNUMBER(AT21),ISNUMBER(AU21),ISNUMBER(AV21),AQ21="X",AR21="X",AS21="X",AT21="X",AU21="X",AV21="X",AQ21="M",AR21="M",AS21="M",AT21="M",AU21="M",AV21="M"),IF(AQ21="X",10,IF(AQ21="M",0,IF(ISNUMBER(AQ21),AQ21,0))) + IF(AR21="X",10,IF(AR21="M",0,IF(ISNUMBER(AR21),AR21,0))) + IF(AS21="X",10,IF(AS21="M",0,IF(ISNUMBER(AS21),AS21,0))) + IF(AT21="X",10,IF(AT21="M",0,IF(ISNUMBER(AT21),AT21,0))) + IF(AU21="X",10,IF(AU21="M",0,IF(ISNUMBER(AU21),AU21,0))) + IF(AV21="X",10,IF(AV21="M",0,IF(ISNUMBER(AV21),AV21,0))),"")</f>
        <v/>
      </c>
      <c r="AX21" s="65">
        <f>IF(AND(ISNUMBER(N21),ISNUMBER(N23)),IF(N21&gt;N23,2,IF(N21=N23,1,0)),0)+IF(AND(ISNUMBER(U21),ISNUMBER(U23)),IF(U21&gt;U23,2,IF(U21=U23,1,0)),0)+IF(AND(ISNUMBER(AB21),ISNUMBER(AB23)),IF(AB21&gt;AB23,2,IF(AB21=AB23,1,0)),0)+IF(AND(ISNUMBER(AI21),ISNUMBER(AI23)),IF(AI21&gt;AI23,2,IF(AI21=AI23,1,0)),0)+IF(AND(ISNUMBER(AP21),ISNUMBER(AP23)),IF(AP21&gt;AP23,2,IF(AP21=AP23,1,0)),0)</f>
        <v>0</v>
      </c>
      <c r="AY21" s="66"/>
      <c r="AZ21" s="67">
        <f>IF(AX21&gt;0,IF(H21="X",10,IF(H21="M",0,IF(ISNUMBER(H21),H21,0)))+IF(I21="X",10,IF(I21="M",0,IF(ISNUMBER(I21),I21,0)))+IF(J21="X",10,IF(J21="M",0,IF(ISNUMBER(J21),J21,0)))+IF(K21="X",10,IF(K21="M",0,IF(ISNUMBER(K21),K21,0)))+IF(L21="X",10,IF(L21="M",0,IF(ISNUMBER(L21),L21,0)))+IF(M21="X",10,IF(M21="M",0,IF(ISNUMBER(M21),M21,0)))+IF(O21="X",10,IF(O21="M",0,IF(ISNUMBER(O21),O21,0)))+IF(P21="X",10,IF(P21="M",0,IF(ISNUMBER(P21),P21,0)))+IF(Q21="X",10,IF(Q21="M",0,IF(ISNUMBER(Q21),Q21,0)))+IF(R21="X",10,IF(R21="M",0,IF(ISNUMBER(R21),R21,0)))+IF(S21="X",10,IF(S21="M",0,IF(ISNUMBER(S21),S21,0)))+IF(T21="X",10,IF(T21="M",0,IF(ISNUMBER(T21),T21,0)))+IF(V21="X",10,IF(V21="M",0,IF(ISNUMBER(V21),V21,0)))+IF(W21="X",10,IF(W21="M",0,IF(ISNUMBER(W21),W21,0)))+IF(X21="X",10,IF(X21="M",0,IF(ISNUMBER(X21),X21,0)))+IF(Y21="X",10,IF(Y21="M",0,IF(ISNUMBER(Y21),Y21,0)))+IF(Z21="X",10,IF(Z21="M",0,IF(ISNUMBER(Z21),Z21,0)))+IF(AA21="X",10,IF(AA21="M",0,IF(ISNUMBER(AA21),AA21,0)))+IF(AC21="X",10,IF(AC21="M",0,IF(ISNUMBER(AC21),AC21,0)))+IF(AD21="X",10,IF(AD21="M",0,IF(ISNUMBER(AD21),AD21,0)))+IF(AE21="X",10,IF(AE21="M",0,IF(ISNUMBER(AE21),AE21,0)))+IF(AF21="X",10,IF(AF21="M",0,IF(ISNUMBER(AF21),AF21,0)))+IF(AG21="X",10,IF(AG21="M",0,IF(ISNUMBER(AG21),AG21,0)))+IF(AH21="X",10,IF(AH21="M",0,IF(ISNUMBER(AH21),AH21,0)))+IF(AJ21="X",10,IF(AJ21="M",0,IF(ISNUMBER(AJ21),AJ21,0)))+IF(AK21="X",10,IF(AK21="M",0,IF(ISNUMBER(AK21),AK21,0)))+IF(AL21="X",10,IF(AL21="M",0,IF(ISNUMBER(AL21),AL21,0)))+IF(AM21="X",10,IF(AM21="M",0,IF(ISNUMBER(AM21),AM21,0)))+IF(AN21="X",10,IF(AN21="M",0,IF(ISNUMBER(AN21),AN21,0)))+IF(AO21="X",10,IF(AO21="M",0,IF(ISNUMBER(AO21),AO21,0)))+IF(AQ21="X",10,IF(AQ21="M",0,IF(ISNUMBER(AQ21),AQ21,0)))+IF(AR21="X",10,IF(AR21="M",0,IF(ISNUMBER(AR21),AR21,0)))+IF(AS21="X",10,IF(AS21="M",0,IF(ISNUMBER(AS21),AS21,0)))+IF(AT21="X",10,IF(AT21="M",0,IF(ISNUMBER(AT21),AT21,0)))+IF(AU21="X",10,IF(AU21="M",0,IF(ISNUMBER(AU21),AU21,0)))+IF(AV21="X",10,IF(AV21="M",0,IF(ISNUMBER(AV21),AV21,0))),0)</f>
        <v>0</v>
      </c>
      <c r="BA21" s="68" t="str">
        <f>IFERROR(IF(AY21="DQ","DISQUALIFIED",IF(AY23="DQ","&gt;&gt; Advance",IF(BC23="BYE","&gt;&gt; Advance",IF(BC21="BYE","BYE",IF(AX21&gt;=6,"WIN",IF(AX23&gt;=6,"LOSS",IF(AND(ISNUMBER(AW21),ISNUMBER(AW23)),IF(AW21&gt;AW23,"WIN",IF(AW21&lt;AW23,"LOSS","Shoot-Off")),"Playing"))))))),"Error")</f>
        <v>&gt;&gt; Advance</v>
      </c>
      <c r="BC21" s="69" t="str">
        <f>IFERROR(IF(INDEX('Beginner Adv 15M - Teams'!$L:$L,MATCH(4,'Beginner Adv 15M - Teams'!$A:$A,0))="Yes","BYE",IF(OR(INDEX('Beginner Adv 15M - Teams'!$B:$B,MATCH(4,'Beginner Adv 15M - Teams'!$A:$A,0))="",ISERROR(MATCH(4,'Beginner Adv 15M - Teams'!$A:$A,0))),"BYE","")),"BYE")</f>
        <v>BYE</v>
      </c>
      <c r="BD21" s="61" t="s">
        <v>205</v>
      </c>
      <c r="BE21" s="106" t="str">
        <f>IFERROR(IF(BC36="BYE",IF(BC38="BYE","TBD",B38),IF(BC38="BYE",B36,IF(OR(BA36="WIN",BA36="&gt;&gt; Advance"),B36,IF(OR(BA38="WIN",BA38="&gt;&gt; Advance"),B38,"TBD")))),"TBD")</f>
        <v>TBD</v>
      </c>
      <c r="BF21" s="106"/>
      <c r="BG21" s="106"/>
      <c r="BH21" s="107" t="str">
        <f>IF(AND(BE21&lt;&gt;"TBD",BE21&lt;&gt;"",BE23&lt;&gt;"TBD",BE23&lt;&gt;"",DD21&lt;&gt;"&gt;&gt; Advance",DD23&lt;&gt;"&gt;&gt; Advance"),IF((B2-A2+1)&gt;=8,(A2+6)&amp;"",IF((B2-A2+1)&gt;=4,(A2+3)&amp;" L",(A2+MOD(3,(B2-A2+1)))&amp;CHAR(65+FLOOR(3/(B2-A2+1),1)*2)&amp;" (L)")),"")</f>
        <v/>
      </c>
      <c r="BI21" s="107"/>
      <c r="BJ21" s="107"/>
      <c r="BK21" s="62"/>
      <c r="BL21" s="62"/>
      <c r="BM21" s="62"/>
      <c r="BN21" s="62"/>
      <c r="BO21" s="62"/>
      <c r="BP21" s="62"/>
      <c r="BQ21" s="63" t="str">
        <f>IF(OR(ISNUMBER(BK21),ISNUMBER(BL21),ISNUMBER(BM21),ISNUMBER(BN21),ISNUMBER(BO21),ISNUMBER(BP21),BK21="X",BL21="X",BM21="X",BN21="X",BO21="X",BP21="X",BK21="M",BL21="M",BM21="M",BN21="M",BO21="M",BP21="M"),IF(BK21="X",10,IF(BK21="M",0,IF(ISNUMBER(BK21),BK21,0))) + IF(BL21="X",10,IF(BL21="M",0,IF(ISNUMBER(BL21),BL21,0))) + IF(BM21="X",10,IF(BM21="M",0,IF(ISNUMBER(BM21),BM21,0))) + IF(BN21="X",10,IF(BN21="M",0,IF(ISNUMBER(BN21),BN21,0))) + IF(BO21="X",10,IF(BO21="M",0,IF(ISNUMBER(BO21),BO21,0))) + IF(BP21="X",10,IF(BP21="M",0,IF(ISNUMBER(BP21),BP21,0))),"")</f>
        <v/>
      </c>
      <c r="BR21" s="62"/>
      <c r="BS21" s="62"/>
      <c r="BT21" s="62"/>
      <c r="BU21" s="62"/>
      <c r="BV21" s="62"/>
      <c r="BW21" s="62"/>
      <c r="BX21" s="63" t="str">
        <f>IF(OR(ISNUMBER(BR21),ISNUMBER(BS21),ISNUMBER(BT21),ISNUMBER(BU21),ISNUMBER(BV21),ISNUMBER(BW21),BR21="X",BS21="X",BT21="X",BU21="X",BV21="X",BW21="X",BR21="M",BS21="M",BT21="M",BU21="M",BV21="M",BW21="M"),IF(BR21="X",10,IF(BR21="M",0,IF(ISNUMBER(BR21),BR21,0))) + IF(BS21="X",10,IF(BS21="M",0,IF(ISNUMBER(BS21),BS21,0))) + IF(BT21="X",10,IF(BT21="M",0,IF(ISNUMBER(BT21),BT21,0))) + IF(BU21="X",10,IF(BU21="M",0,IF(ISNUMBER(BU21),BU21,0))) + IF(BV21="X",10,IF(BV21="M",0,IF(ISNUMBER(BV21),BV21,0))) + IF(BW21="X",10,IF(BW21="M",0,IF(ISNUMBER(BW21),BW21,0))),"")</f>
        <v/>
      </c>
      <c r="BY21" s="62"/>
      <c r="BZ21" s="62"/>
      <c r="CA21" s="62"/>
      <c r="CB21" s="62"/>
      <c r="CC21" s="62"/>
      <c r="CD21" s="62"/>
      <c r="CE21" s="63" t="str">
        <f>IF(OR(ISNUMBER(BY21),ISNUMBER(BZ21),ISNUMBER(CA21),ISNUMBER(CB21),ISNUMBER(CC21),ISNUMBER(CD21),BY21="X",BZ21="X",CA21="X",CB21="X",CC21="X",CD21="X",BY21="M",BZ21="M",CA21="M",CB21="M",CC21="M",CD21="M"),IF(BY21="X",10,IF(BY21="M",0,IF(ISNUMBER(BY21),BY21,0))) + IF(BZ21="X",10,IF(BZ21="M",0,IF(ISNUMBER(BZ21),BZ21,0))) + IF(CA21="X",10,IF(CA21="M",0,IF(ISNUMBER(CA21),CA21,0))) + IF(CB21="X",10,IF(CB21="M",0,IF(ISNUMBER(CB21),CB21,0))) + IF(CC21="X",10,IF(CC21="M",0,IF(ISNUMBER(CC21),CC21,0))) + IF(CD21="X",10,IF(CD21="M",0,IF(ISNUMBER(CD21),CD21,0))),"")</f>
        <v/>
      </c>
      <c r="CF21" s="62"/>
      <c r="CG21" s="62"/>
      <c r="CH21" s="62"/>
      <c r="CI21" s="62"/>
      <c r="CJ21" s="62"/>
      <c r="CK21" s="62"/>
      <c r="CL21" s="63" t="str">
        <f>IF(OR(ISNUMBER(CF21),ISNUMBER(CG21),ISNUMBER(CH21),ISNUMBER(CI21),ISNUMBER(CJ21),ISNUMBER(CK21),CF21="X",CG21="X",CH21="X",CI21="X",CJ21="X",CK21="X",CF21="M",CG21="M",CH21="M",CI21="M",CJ21="M",CK21="M"),IF(CF21="X",10,IF(CF21="M",0,IF(ISNUMBER(CF21),CF21,0))) + IF(CG21="X",10,IF(CG21="M",0,IF(ISNUMBER(CG21),CG21,0))) + IF(CH21="X",10,IF(CH21="M",0,IF(ISNUMBER(CH21),CH21,0))) + IF(CI21="X",10,IF(CI21="M",0,IF(ISNUMBER(CI21),CI21,0))) + IF(CJ21="X",10,IF(CJ21="M",0,IF(ISNUMBER(CJ21),CJ21,0))) + IF(CK21="X",10,IF(CK21="M",0,IF(ISNUMBER(CK21),CK21,0))),"")</f>
        <v/>
      </c>
      <c r="CM21" s="62"/>
      <c r="CN21" s="62"/>
      <c r="CO21" s="62"/>
      <c r="CP21" s="62"/>
      <c r="CQ21" s="62"/>
      <c r="CR21" s="62"/>
      <c r="CS21" s="63" t="str">
        <f>IF(OR(ISNUMBER(CM21),ISNUMBER(CN21),ISNUMBER(CO21),ISNUMBER(CP21),ISNUMBER(CQ21),ISNUMBER(CR21),CM21="X",CN21="X",CO21="X",CP21="X",CQ21="X",CR21="X",CM21="M",CN21="M",CO21="M",CP21="M",CQ21="M",CR21="M"),IF(CM21="X",10,IF(CM21="M",0,IF(ISNUMBER(CM21),CM21,0))) + IF(CN21="X",10,IF(CN21="M",0,IF(ISNUMBER(CN21),CN21,0))) + IF(CO21="X",10,IF(CO21="M",0,IF(ISNUMBER(CO21),CO21,0))) + IF(CP21="X",10,IF(CP21="M",0,IF(ISNUMBER(CP21),CP21,0))) + IF(CQ21="X",10,IF(CQ21="M",0,IF(ISNUMBER(CQ21),CQ21,0))) + IF(CR21="X",10,IF(CR21="M",0,IF(ISNUMBER(CR21),CR21,0))),"")</f>
        <v/>
      </c>
      <c r="CT21" s="64"/>
      <c r="CU21" s="64"/>
      <c r="CV21" s="64"/>
      <c r="CW21" s="64"/>
      <c r="CX21" s="64"/>
      <c r="CY21" s="64"/>
      <c r="CZ21" s="63" t="str">
        <f>IF(OR(ISNUMBER(CT21),ISNUMBER(CU21),ISNUMBER(CV21),ISNUMBER(CW21),ISNUMBER(CX21),ISNUMBER(CY21),CT21="X",CU21="X",CV21="X",CW21="X",CX21="X",CY21="X",CT21="M",CU21="M",CV21="M",CW21="M",CX21="M",CY21="M"),IF(CT21="X",10,IF(CT21="M",0,IF(ISNUMBER(CT21),CT21,0))) + IF(CU21="X",10,IF(CU21="M",0,IF(ISNUMBER(CU21),CU21,0))) + IF(CV21="X",10,IF(CV21="M",0,IF(ISNUMBER(CV21),CV21,0))) + IF(CW21="X",10,IF(CW21="M",0,IF(ISNUMBER(CW21),CW21,0))) + IF(CX21="X",10,IF(CX21="M",0,IF(ISNUMBER(CX21),CX21,0))) + IF(CY21="X",10,IF(CY21="M",0,IF(ISNUMBER(CY21),CY21,0))),"")</f>
        <v/>
      </c>
      <c r="DA21" s="65">
        <f>IF(AND(ISNUMBER(BQ21),ISNUMBER(BQ23)),IF(BQ21&gt;BQ23,2,IF(BQ21=BQ23,1,0)),0)+IF(AND(ISNUMBER(BX21),ISNUMBER(BX23)),IF(BX21&gt;BX23,2,IF(BX21=BX23,1,0)),0)+IF(AND(ISNUMBER(CE21),ISNUMBER(CE23)),IF(CE21&gt;CE23,2,IF(CE21=CE23,1,0)),0)+IF(AND(ISNUMBER(CL21),ISNUMBER(CL23)),IF(CL21&gt;CL23,2,IF(CL21=CL23,1,0)),0)+IF(AND(ISNUMBER(CS21),ISNUMBER(CS23)),IF(CS21&gt;CS23,2,IF(CS21=CS23,1,0)),0)</f>
        <v>0</v>
      </c>
      <c r="DB21" s="66"/>
      <c r="DC21" s="67">
        <f>IF(DA21&gt;0,IF(BK21="X",10,IF(BK21="M",0,IF(ISNUMBER(BK21),BK21,0)))+IF(BL21="X",10,IF(BL21="M",0,IF(ISNUMBER(BL21),BL21,0)))+IF(BM21="X",10,IF(BM21="M",0,IF(ISNUMBER(BM21),BM21,0)))+IF(BN21="X",10,IF(BN21="M",0,IF(ISNUMBER(BN21),BN21,0)))+IF(BO21="X",10,IF(BO21="M",0,IF(ISNUMBER(BO21),BO21,0)))+IF(BP21="X",10,IF(BP21="M",0,IF(ISNUMBER(BP21),BP21,0)))+IF(BR21="X",10,IF(BR21="M",0,IF(ISNUMBER(BR21),BR21,0)))+IF(BS21="X",10,IF(BS21="M",0,IF(ISNUMBER(BS21),BS21,0)))+IF(BT21="X",10,IF(BT21="M",0,IF(ISNUMBER(BT21),BT21,0)))+IF(BU21="X",10,IF(BU21="M",0,IF(ISNUMBER(BU21),BU21,0)))+IF(BV21="X",10,IF(BV21="M",0,IF(ISNUMBER(BV21),BV21,0)))+IF(BW21="X",10,IF(BW21="M",0,IF(ISNUMBER(BW21),BW21,0)))+IF(BY21="X",10,IF(BY21="M",0,IF(ISNUMBER(BY21),BY21,0)))+IF(BZ21="X",10,IF(BZ21="M",0,IF(ISNUMBER(BZ21),BZ21,0)))+IF(CA21="X",10,IF(CA21="M",0,IF(ISNUMBER(CA21),CA21,0)))+IF(CB21="X",10,IF(CB21="M",0,IF(ISNUMBER(CB21),CB21,0)))+IF(CC21="X",10,IF(CC21="M",0,IF(ISNUMBER(CC21),CC21,0)))+IF(CD21="X",10,IF(CD21="M",0,IF(ISNUMBER(CD21),CD21,0)))+IF(CF21="X",10,IF(CF21="M",0,IF(ISNUMBER(CF21),CF21,0)))+IF(CG21="X",10,IF(CG21="M",0,IF(ISNUMBER(CG21),CG21,0)))+IF(CH21="X",10,IF(CH21="M",0,IF(ISNUMBER(CH21),CH21,0)))+IF(CI21="X",10,IF(CI21="M",0,IF(ISNUMBER(CI21),CI21,0)))+IF(CJ21="X",10,IF(CJ21="M",0,IF(ISNUMBER(CJ21),CJ21,0)))+IF(CK21="X",10,IF(CK21="M",0,IF(ISNUMBER(CK21),CK21,0)))+IF(CM21="X",10,IF(CM21="M",0,IF(ISNUMBER(CM21),CM21,0)))+IF(CN21="X",10,IF(CN21="M",0,IF(ISNUMBER(CN21),CN21,0)))+IF(CO21="X",10,IF(CO21="M",0,IF(ISNUMBER(CO21),CO21,0)))+IF(CP21="X",10,IF(CP21="M",0,IF(ISNUMBER(CP21),CP21,0)))+IF(CQ21="X",10,IF(CQ21="M",0,IF(ISNUMBER(CQ21),CQ21,0)))+IF(CR21="X",10,IF(CR21="M",0,IF(ISNUMBER(CR21),CR21,0)))+IF(CT21="X",10,IF(CT21="M",0,IF(ISNUMBER(CT21),CT21,0)))+IF(CU21="X",10,IF(CU21="M",0,IF(ISNUMBER(CU21),CU21,0)))+IF(CV21="X",10,IF(CV21="M",0,IF(ISNUMBER(CV21),CV21,0)))+IF(CW21="X",10,IF(CW21="M",0,IF(ISNUMBER(CW21),CW21,0)))+IF(CX21="X",10,IF(CX21="M",0,IF(ISNUMBER(CX21),CX21,0)))+IF(CY21="X",10,IF(CY21="M",0,IF(ISNUMBER(CY21),CY21,0))),0)</f>
        <v>0</v>
      </c>
      <c r="DD21" s="68" t="str">
        <f>IFERROR(IF(DB21="DQ","DISQUALIFIED",IF(DB23="DQ","&gt;&gt; Advance",IF(DF23="BYE","&gt;&gt; Advance",IF(DF21="BYE","BYE",IF(DA21&gt;=6,"WIN",IF(DA23&gt;=6,"LOSS",IF(AND(ISNUMBER(CZ21),ISNUMBER(CZ23)),IF(CZ21&gt;CZ23,"WIN",IF(CZ21&lt;CZ23,"LOSS","Shoot-Off")),"Playing"))))))),"Error")</f>
        <v>&gt;&gt; Advance</v>
      </c>
      <c r="DF21" s="69" t="str">
        <f>IFERROR(IF(AND(BC36="BYE",BC38="BYE"),"BYE",""),"")</f>
        <v>BYE</v>
      </c>
    </row>
    <row r="22" spans="1:236" ht="3" customHeight="1" x14ac:dyDescent="0.35">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row>
    <row r="23" spans="1:236" ht="15.75" customHeight="1" x14ac:dyDescent="0.35">
      <c r="A23" s="61" t="str">
        <f>IFERROR(IF(INDEX('Beginner Adv 15M - Teams'!$L:$L,MATCH(13,'Beginner Adv 15M - Teams'!$A:$A,0))="Yes","BYE",IF(OR(INDEX('Beginner Adv 15M - Teams'!$B:$B,MATCH(13,'Beginner Adv 15M - Teams'!$A:$A,0))="",ISERROR(MATCH(13,'Beginner Adv 15M - Teams'!$A:$A,0))),"BYE","#13")),"BYE")</f>
        <v>BYE</v>
      </c>
      <c r="B23" s="106" t="str">
        <f>IFERROR(IF(INDEX('Beginner Adv 15M - Teams'!$L:$L,MATCH(13,'Beginner Adv 15M - Teams'!$A:$A,0))="Yes","",IF(INDEX('Beginner Adv 15M - Teams'!$N:$N,MATCH(13,'Beginner Adv 15M - Teams'!$A:$A,0))&lt;&gt;"",INDEX('Beginner Adv 15M - Teams'!$N:$N,MATCH(13,'Beginner Adv 15M - Teams'!$A:$A,0)),IF(INDEX('Beginner Adv 15M - Teams'!$B:$B,MATCH(13,'Beginner Adv 15M - Teams'!$A:$A,0))="","",INDEX('Beginner Adv 15M - Teams'!$B:$B,MATCH(13,'Beginner Adv 15M - Teams'!$A:$A,0))))),"")</f>
        <v/>
      </c>
      <c r="C23" s="106"/>
      <c r="D23" s="106"/>
      <c r="E23" s="107" t="str">
        <f>IF(OR(A23="BYE",BA23="&gt;&gt;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Advance",1,0),0),0))-1,2)=0)," (L)"," (R)")))</f>
        <v/>
      </c>
      <c r="F23" s="107"/>
      <c r="G23" s="107"/>
      <c r="H23" s="62"/>
      <c r="I23" s="62"/>
      <c r="J23" s="62"/>
      <c r="K23" s="62"/>
      <c r="L23" s="62"/>
      <c r="M23" s="62"/>
      <c r="N23" s="63" t="str">
        <f>IF(OR(ISNUMBER(H23),ISNUMBER(I23),ISNUMBER(J23),ISNUMBER(K23),ISNUMBER(L23),ISNUMBER(M23),H23="X",I23="X",J23="X",K23="X",L23="X",M23="X",H23="M",I23="M",J23="M",K23="M",L23="M",M23="M"),IF(H23="X",10,IF(H23="M",0,IF(ISNUMBER(H23),H23,0))) + IF(I23="X",10,IF(I23="M",0,IF(ISNUMBER(I23),I23,0))) + IF(J23="X",10,IF(J23="M",0,IF(ISNUMBER(J23),J23,0))) + IF(K23="X",10,IF(K23="M",0,IF(ISNUMBER(K23),K23,0))) + IF(L23="X",10,IF(L23="M",0,IF(ISNUMBER(L23),L23,0))) + IF(M23="X",10,IF(M23="M",0,IF(ISNUMBER(M23),M23,0))),"")</f>
        <v/>
      </c>
      <c r="O23" s="62"/>
      <c r="P23" s="62"/>
      <c r="Q23" s="62"/>
      <c r="R23" s="62"/>
      <c r="S23" s="62"/>
      <c r="T23" s="62"/>
      <c r="U23" s="63" t="str">
        <f>IF(OR(ISNUMBER(O23),ISNUMBER(P23),ISNUMBER(Q23),ISNUMBER(R23),ISNUMBER(S23),ISNUMBER(T23),O23="X",P23="X",Q23="X",R23="X",S23="X",T23="X",O23="M",P23="M",Q23="M",R23="M",S23="M",T23="M"),IF(O23="X",10,IF(O23="M",0,IF(ISNUMBER(O23),O23,0))) + IF(P23="X",10,IF(P23="M",0,IF(ISNUMBER(P23),P23,0))) + IF(Q23="X",10,IF(Q23="M",0,IF(ISNUMBER(Q23),Q23,0))) + IF(R23="X",10,IF(R23="M",0,IF(ISNUMBER(R23),R23,0))) + IF(S23="X",10,IF(S23="M",0,IF(ISNUMBER(S23),S23,0))) + IF(T23="X",10,IF(T23="M",0,IF(ISNUMBER(T23),T23,0))),"")</f>
        <v/>
      </c>
      <c r="V23" s="62"/>
      <c r="W23" s="62"/>
      <c r="X23" s="62"/>
      <c r="Y23" s="62"/>
      <c r="Z23" s="62"/>
      <c r="AA23" s="62"/>
      <c r="AB23" s="63" t="str">
        <f>IF(OR(ISNUMBER(V23),ISNUMBER(W23),ISNUMBER(X23),ISNUMBER(Y23),ISNUMBER(Z23),ISNUMBER(AA23),V23="X",W23="X",X23="X",Y23="X",Z23="X",AA23="X",V23="M",W23="M",X23="M",Y23="M",Z23="M",AA23="M"),IF(V23="X",10,IF(V23="M",0,IF(ISNUMBER(V23),V23,0))) + IF(W23="X",10,IF(W23="M",0,IF(ISNUMBER(W23),W23,0))) + IF(X23="X",10,IF(X23="M",0,IF(ISNUMBER(X23),X23,0))) + IF(Y23="X",10,IF(Y23="M",0,IF(ISNUMBER(Y23),Y23,0))) + IF(Z23="X",10,IF(Z23="M",0,IF(ISNUMBER(Z23),Z23,0))) + IF(AA23="X",10,IF(AA23="M",0,IF(ISNUMBER(AA23),AA23,0))),"")</f>
        <v/>
      </c>
      <c r="AC23" s="62"/>
      <c r="AD23" s="62"/>
      <c r="AE23" s="62"/>
      <c r="AF23" s="62"/>
      <c r="AG23" s="62"/>
      <c r="AH23" s="62"/>
      <c r="AI23" s="63" t="str">
        <f>IF(OR(ISNUMBER(AC23),ISNUMBER(AD23),ISNUMBER(AE23),ISNUMBER(AF23),ISNUMBER(AG23),ISNUMBER(AH23),AC23="X",AD23="X",AE23="X",AF23="X",AG23="X",AH23="X",AC23="M",AD23="M",AE23="M",AF23="M",AG23="M",AH23="M"),IF(AC23="X",10,IF(AC23="M",0,IF(ISNUMBER(AC23),AC23,0))) + IF(AD23="X",10,IF(AD23="M",0,IF(ISNUMBER(AD23),AD23,0))) + IF(AE23="X",10,IF(AE23="M",0,IF(ISNUMBER(AE23),AE23,0))) + IF(AF23="X",10,IF(AF23="M",0,IF(ISNUMBER(AF23),AF23,0))) + IF(AG23="X",10,IF(AG23="M",0,IF(ISNUMBER(AG23),AG23,0))) + IF(AH23="X",10,IF(AH23="M",0,IF(ISNUMBER(AH23),AH23,0))),"")</f>
        <v/>
      </c>
      <c r="AJ23" s="62"/>
      <c r="AK23" s="62"/>
      <c r="AL23" s="62"/>
      <c r="AM23" s="62"/>
      <c r="AN23" s="62"/>
      <c r="AO23" s="62"/>
      <c r="AP23" s="63" t="str">
        <f>IF(OR(ISNUMBER(AJ23),ISNUMBER(AK23),ISNUMBER(AL23),ISNUMBER(AM23),ISNUMBER(AN23),ISNUMBER(AO23),AJ23="X",AK23="X",AL23="X",AM23="X",AN23="X",AO23="X",AJ23="M",AK23="M",AL23="M",AM23="M",AN23="M",AO23="M"),IF(AJ23="X",10,IF(AJ23="M",0,IF(ISNUMBER(AJ23),AJ23,0))) + IF(AK23="X",10,IF(AK23="M",0,IF(ISNUMBER(AK23),AK23,0))) + IF(AL23="X",10,IF(AL23="M",0,IF(ISNUMBER(AL23),AL23,0))) + IF(AM23="X",10,IF(AM23="M",0,IF(ISNUMBER(AM23),AM23,0))) + IF(AN23="X",10,IF(AN23="M",0,IF(ISNUMBER(AN23),AN23,0))) + IF(AO23="X",10,IF(AO23="M",0,IF(ISNUMBER(AO23),AO23,0))),"")</f>
        <v/>
      </c>
      <c r="AQ23" s="64"/>
      <c r="AR23" s="64"/>
      <c r="AS23" s="64"/>
      <c r="AT23" s="64"/>
      <c r="AU23" s="64"/>
      <c r="AV23" s="64"/>
      <c r="AW23" s="63" t="str">
        <f>IF(OR(ISNUMBER(AQ23),ISNUMBER(AR23),ISNUMBER(AS23),ISNUMBER(AT23),ISNUMBER(AU23),ISNUMBER(AV23),AQ23="X",AR23="X",AS23="X",AT23="X",AU23="X",AV23="X",AQ23="M",AR23="M",AS23="M",AT23="M",AU23="M",AV23="M"),IF(AQ23="X",10,IF(AQ23="M",0,IF(ISNUMBER(AQ23),AQ23,0))) + IF(AR23="X",10,IF(AR23="M",0,IF(ISNUMBER(AR23),AR23,0))) + IF(AS23="X",10,IF(AS23="M",0,IF(ISNUMBER(AS23),AS23,0))) + IF(AT23="X",10,IF(AT23="M",0,IF(ISNUMBER(AT23),AT23,0))) + IF(AU23="X",10,IF(AU23="M",0,IF(ISNUMBER(AU23),AU23,0))) + IF(AV23="X",10,IF(AV23="M",0,IF(ISNUMBER(AV23),AV23,0))),"")</f>
        <v/>
      </c>
      <c r="AX23" s="65">
        <f>IF(AND(ISNUMBER(N23),ISNUMBER(N21)),IF(N23&gt;N21,2,IF(N23=N21,1,0)),0)+IF(AND(ISNUMBER(U23),ISNUMBER(U21)),IF(U23&gt;U21,2,IF(U23=U21,1,0)),0)+IF(AND(ISNUMBER(AB23),ISNUMBER(AB21)),IF(AB23&gt;AB21,2,IF(AB23=AB21,1,0)),0)+IF(AND(ISNUMBER(AI23),ISNUMBER(AI21)),IF(AI23&gt;AI21,2,IF(AI23=AI21,1,0)),0)+IF(AND(ISNUMBER(AP23),ISNUMBER(AP21)),IF(AP23&gt;AP21,2,IF(AP23=AP21,1,0)),0)</f>
        <v>0</v>
      </c>
      <c r="AY23" s="66"/>
      <c r="AZ23" s="67">
        <f>IF(AX23&gt;0,IF(H23="X",10,IF(H23="M",0,IF(ISNUMBER(H23),H23,0)))+IF(I23="X",10,IF(I23="M",0,IF(ISNUMBER(I23),I23,0)))+IF(J23="X",10,IF(J23="M",0,IF(ISNUMBER(J23),J23,0)))+IF(K23="X",10,IF(K23="M",0,IF(ISNUMBER(K23),K23,0)))+IF(L23="X",10,IF(L23="M",0,IF(ISNUMBER(L23),L23,0)))+IF(M23="X",10,IF(M23="M",0,IF(ISNUMBER(M23),M23,0)))+IF(O23="X",10,IF(O23="M",0,IF(ISNUMBER(O23),O23,0)))+IF(P23="X",10,IF(P23="M",0,IF(ISNUMBER(P23),P23,0)))+IF(Q23="X",10,IF(Q23="M",0,IF(ISNUMBER(Q23),Q23,0)))+IF(R23="X",10,IF(R23="M",0,IF(ISNUMBER(R23),R23,0)))+IF(S23="X",10,IF(S23="M",0,IF(ISNUMBER(S23),S23,0)))+IF(T23="X",10,IF(T23="M",0,IF(ISNUMBER(T23),T23,0)))+IF(V23="X",10,IF(V23="M",0,IF(ISNUMBER(V23),V23,0)))+IF(W23="X",10,IF(W23="M",0,IF(ISNUMBER(W23),W23,0)))+IF(X23="X",10,IF(X23="M",0,IF(ISNUMBER(X23),X23,0)))+IF(Y23="X",10,IF(Y23="M",0,IF(ISNUMBER(Y23),Y23,0)))+IF(Z23="X",10,IF(Z23="M",0,IF(ISNUMBER(Z23),Z23,0)))+IF(AA23="X",10,IF(AA23="M",0,IF(ISNUMBER(AA23),AA23,0)))+IF(AC23="X",10,IF(AC23="M",0,IF(ISNUMBER(AC23),AC23,0)))+IF(AD23="X",10,IF(AD23="M",0,IF(ISNUMBER(AD23),AD23,0)))+IF(AE23="X",10,IF(AE23="M",0,IF(ISNUMBER(AE23),AE23,0)))+IF(AF23="X",10,IF(AF23="M",0,IF(ISNUMBER(AF23),AF23,0)))+IF(AG23="X",10,IF(AG23="M",0,IF(ISNUMBER(AG23),AG23,0)))+IF(AH23="X",10,IF(AH23="M",0,IF(ISNUMBER(AH23),AH23,0)))+IF(AJ23="X",10,IF(AJ23="M",0,IF(ISNUMBER(AJ23),AJ23,0)))+IF(AK23="X",10,IF(AK23="M",0,IF(ISNUMBER(AK23),AK23,0)))+IF(AL23="X",10,IF(AL23="M",0,IF(ISNUMBER(AL23),AL23,0)))+IF(AM23="X",10,IF(AM23="M",0,IF(ISNUMBER(AM23),AM23,0)))+IF(AN23="X",10,IF(AN23="M",0,IF(ISNUMBER(AN23),AN23,0)))+IF(AO23="X",10,IF(AO23="M",0,IF(ISNUMBER(AO23),AO23,0)))+IF(AQ23="X",10,IF(AQ23="M",0,IF(ISNUMBER(AQ23),AQ23,0)))+IF(AR23="X",10,IF(AR23="M",0,IF(ISNUMBER(AR23),AR23,0)))+IF(AS23="X",10,IF(AS23="M",0,IF(ISNUMBER(AS23),AS23,0)))+IF(AT23="X",10,IF(AT23="M",0,IF(ISNUMBER(AT23),AT23,0)))+IF(AU23="X",10,IF(AU23="M",0,IF(ISNUMBER(AU23),AU23,0)))+IF(AV23="X",10,IF(AV23="M",0,IF(ISNUMBER(AV23),AV23,0))),0)</f>
        <v>0</v>
      </c>
      <c r="BA23" s="68" t="str">
        <f>IFERROR(IF(AY23="DQ","DISQUALIFIED",IF(AY21="DQ","&gt;&gt; Advance",IF(BC21="BYE","&gt;&gt; Advance",IF(BC23="BYE","BYE",IF(AX23&gt;=6,"WIN",IF(AX21&gt;=6,"LOSS",IF(AND(ISNUMBER(AW23),ISNUMBER(AW21)),IF(AW23&gt;AW21,"WIN",IF(AW23&lt;AW21,"LOSS","Shoot-Off")),"Playing"))))))),"Error")</f>
        <v>&gt;&gt; Advance</v>
      </c>
      <c r="BC23" s="69" t="str">
        <f>IFERROR(IF(INDEX('Beginner Adv 15M - Teams'!$L:$L,MATCH(13,'Beginner Adv 15M - Teams'!$A:$A,0))="Yes","BYE",IF(OR(INDEX('Beginner Adv 15M - Teams'!$B:$B,MATCH(13,'Beginner Adv 15M - Teams'!$A:$A,0))="",ISERROR(MATCH(13,'Beginner Adv 15M - Teams'!$A:$A,0))),"BYE","")),"BYE")</f>
        <v>BYE</v>
      </c>
      <c r="BD23" s="61" t="s">
        <v>206</v>
      </c>
      <c r="BE23" s="106" t="str">
        <f>IFERROR(IF(BC41="BYE",IF(BC43="BYE","TBD",B43),IF(BC43="BYE",B41,IF(OR(BA41="WIN",BA41="&gt;&gt; Advance"),B41,IF(OR(BA43="WIN",BA43="&gt;&gt; Advance"),B43,"TBD")))),"TBD")</f>
        <v>TBD</v>
      </c>
      <c r="BF23" s="106"/>
      <c r="BG23" s="106"/>
      <c r="BH23" s="107" t="str">
        <f>IF(AND(BE21&lt;&gt;"TBD",BE21&lt;&gt;"",BE23&lt;&gt;"TBD",BE23&lt;&gt;"",DD21&lt;&gt;"&gt;&gt; Advance",DD23&lt;&gt;"&gt;&gt; Advance"),IF((B2-A2+1)&gt;=8,(A2+7)&amp;"",IF((B2-A2+1)&gt;=4,(A2+3)&amp;" R",(A2+MOD(3,(B2-A2+1)))&amp;CHAR(65+FLOOR(3/(B2-A2+1),1)*2+1)&amp;" (R)")),"")</f>
        <v/>
      </c>
      <c r="BI23" s="107"/>
      <c r="BJ23" s="107"/>
      <c r="BK23" s="62"/>
      <c r="BL23" s="62"/>
      <c r="BM23" s="62"/>
      <c r="BN23" s="62"/>
      <c r="BO23" s="62"/>
      <c r="BP23" s="62"/>
      <c r="BQ23" s="63" t="str">
        <f>IF(OR(ISNUMBER(BK23),ISNUMBER(BL23),ISNUMBER(BM23),ISNUMBER(BN23),ISNUMBER(BO23),ISNUMBER(BP23),BK23="X",BL23="X",BM23="X",BN23="X",BO23="X",BP23="X",BK23="M",BL23="M",BM23="M",BN23="M",BO23="M",BP23="M"),IF(BK23="X",10,IF(BK23="M",0,IF(ISNUMBER(BK23),BK23,0))) + IF(BL23="X",10,IF(BL23="M",0,IF(ISNUMBER(BL23),BL23,0))) + IF(BM23="X",10,IF(BM23="M",0,IF(ISNUMBER(BM23),BM23,0))) + IF(BN23="X",10,IF(BN23="M",0,IF(ISNUMBER(BN23),BN23,0))) + IF(BO23="X",10,IF(BO23="M",0,IF(ISNUMBER(BO23),BO23,0))) + IF(BP23="X",10,IF(BP23="M",0,IF(ISNUMBER(BP23),BP23,0))),"")</f>
        <v/>
      </c>
      <c r="BR23" s="62"/>
      <c r="BS23" s="62"/>
      <c r="BT23" s="62"/>
      <c r="BU23" s="62"/>
      <c r="BV23" s="62"/>
      <c r="BW23" s="62"/>
      <c r="BX23" s="63" t="str">
        <f>IF(OR(ISNUMBER(BR23),ISNUMBER(BS23),ISNUMBER(BT23),ISNUMBER(BU23),ISNUMBER(BV23),ISNUMBER(BW23),BR23="X",BS23="X",BT23="X",BU23="X",BV23="X",BW23="X",BR23="M",BS23="M",BT23="M",BU23="M",BV23="M",BW23="M"),IF(BR23="X",10,IF(BR23="M",0,IF(ISNUMBER(BR23),BR23,0))) + IF(BS23="X",10,IF(BS23="M",0,IF(ISNUMBER(BS23),BS23,0))) + IF(BT23="X",10,IF(BT23="M",0,IF(ISNUMBER(BT23),BT23,0))) + IF(BU23="X",10,IF(BU23="M",0,IF(ISNUMBER(BU23),BU23,0))) + IF(BV23="X",10,IF(BV23="M",0,IF(ISNUMBER(BV23),BV23,0))) + IF(BW23="X",10,IF(BW23="M",0,IF(ISNUMBER(BW23),BW23,0))),"")</f>
        <v/>
      </c>
      <c r="BY23" s="62"/>
      <c r="BZ23" s="62"/>
      <c r="CA23" s="62"/>
      <c r="CB23" s="62"/>
      <c r="CC23" s="62"/>
      <c r="CD23" s="62"/>
      <c r="CE23" s="63" t="str">
        <f>IF(OR(ISNUMBER(BY23),ISNUMBER(BZ23),ISNUMBER(CA23),ISNUMBER(CB23),ISNUMBER(CC23),ISNUMBER(CD23),BY23="X",BZ23="X",CA23="X",CB23="X",CC23="X",CD23="X",BY23="M",BZ23="M",CA23="M",CB23="M",CC23="M",CD23="M"),IF(BY23="X",10,IF(BY23="M",0,IF(ISNUMBER(BY23),BY23,0))) + IF(BZ23="X",10,IF(BZ23="M",0,IF(ISNUMBER(BZ23),BZ23,0))) + IF(CA23="X",10,IF(CA23="M",0,IF(ISNUMBER(CA23),CA23,0))) + IF(CB23="X",10,IF(CB23="M",0,IF(ISNUMBER(CB23),CB23,0))) + IF(CC23="X",10,IF(CC23="M",0,IF(ISNUMBER(CC23),CC23,0))) + IF(CD23="X",10,IF(CD23="M",0,IF(ISNUMBER(CD23),CD23,0))),"")</f>
        <v/>
      </c>
      <c r="CF23" s="62"/>
      <c r="CG23" s="62"/>
      <c r="CH23" s="62"/>
      <c r="CI23" s="62"/>
      <c r="CJ23" s="62"/>
      <c r="CK23" s="62"/>
      <c r="CL23" s="63" t="str">
        <f>IF(OR(ISNUMBER(CF23),ISNUMBER(CG23),ISNUMBER(CH23),ISNUMBER(CI23),ISNUMBER(CJ23),ISNUMBER(CK23),CF23="X",CG23="X",CH23="X",CI23="X",CJ23="X",CK23="X",CF23="M",CG23="M",CH23="M",CI23="M",CJ23="M",CK23="M"),IF(CF23="X",10,IF(CF23="M",0,IF(ISNUMBER(CF23),CF23,0))) + IF(CG23="X",10,IF(CG23="M",0,IF(ISNUMBER(CG23),CG23,0))) + IF(CH23="X",10,IF(CH23="M",0,IF(ISNUMBER(CH23),CH23,0))) + IF(CI23="X",10,IF(CI23="M",0,IF(ISNUMBER(CI23),CI23,0))) + IF(CJ23="X",10,IF(CJ23="M",0,IF(ISNUMBER(CJ23),CJ23,0))) + IF(CK23="X",10,IF(CK23="M",0,IF(ISNUMBER(CK23),CK23,0))),"")</f>
        <v/>
      </c>
      <c r="CM23" s="62"/>
      <c r="CN23" s="62"/>
      <c r="CO23" s="62"/>
      <c r="CP23" s="62"/>
      <c r="CQ23" s="62"/>
      <c r="CR23" s="62"/>
      <c r="CS23" s="63" t="str">
        <f>IF(OR(ISNUMBER(CM23),ISNUMBER(CN23),ISNUMBER(CO23),ISNUMBER(CP23),ISNUMBER(CQ23),ISNUMBER(CR23),CM23="X",CN23="X",CO23="X",CP23="X",CQ23="X",CR23="X",CM23="M",CN23="M",CO23="M",CP23="M",CQ23="M",CR23="M"),IF(CM23="X",10,IF(CM23="M",0,IF(ISNUMBER(CM23),CM23,0))) + IF(CN23="X",10,IF(CN23="M",0,IF(ISNUMBER(CN23),CN23,0))) + IF(CO23="X",10,IF(CO23="M",0,IF(ISNUMBER(CO23),CO23,0))) + IF(CP23="X",10,IF(CP23="M",0,IF(ISNUMBER(CP23),CP23,0))) + IF(CQ23="X",10,IF(CQ23="M",0,IF(ISNUMBER(CQ23),CQ23,0))) + IF(CR23="X",10,IF(CR23="M",0,IF(ISNUMBER(CR23),CR23,0))),"")</f>
        <v/>
      </c>
      <c r="CT23" s="64"/>
      <c r="CU23" s="64"/>
      <c r="CV23" s="64"/>
      <c r="CW23" s="64"/>
      <c r="CX23" s="64"/>
      <c r="CY23" s="64"/>
      <c r="CZ23" s="63" t="str">
        <f>IF(OR(ISNUMBER(CT23),ISNUMBER(CU23),ISNUMBER(CV23),ISNUMBER(CW23),ISNUMBER(CX23),ISNUMBER(CY23),CT23="X",CU23="X",CV23="X",CW23="X",CX23="X",CY23="X",CT23="M",CU23="M",CV23="M",CW23="M",CX23="M",CY23="M"),IF(CT23="X",10,IF(CT23="M",0,IF(ISNUMBER(CT23),CT23,0))) + IF(CU23="X",10,IF(CU23="M",0,IF(ISNUMBER(CU23),CU23,0))) + IF(CV23="X",10,IF(CV23="M",0,IF(ISNUMBER(CV23),CV23,0))) + IF(CW23="X",10,IF(CW23="M",0,IF(ISNUMBER(CW23),CW23,0))) + IF(CX23="X",10,IF(CX23="M",0,IF(ISNUMBER(CX23),CX23,0))) + IF(CY23="X",10,IF(CY23="M",0,IF(ISNUMBER(CY23),CY23,0))),"")</f>
        <v/>
      </c>
      <c r="DA23" s="65">
        <f>IF(AND(ISNUMBER(BQ23),ISNUMBER(BQ21)),IF(BQ23&gt;BQ21,2,IF(BQ23=BQ21,1,0)),0)+IF(AND(ISNUMBER(BX23),ISNUMBER(BX21)),IF(BX23&gt;BX21,2,IF(BX23=BX21,1,0)),0)+IF(AND(ISNUMBER(CE23),ISNUMBER(CE21)),IF(CE23&gt;CE21,2,IF(CE23=CE21,1,0)),0)+IF(AND(ISNUMBER(CL23),ISNUMBER(CL21)),IF(CL23&gt;CL21,2,IF(CL23=CL21,1,0)),0)+IF(AND(ISNUMBER(CS23),ISNUMBER(CS21)),IF(CS23&gt;CS21,2,IF(CS23=CS21,1,0)),0)</f>
        <v>0</v>
      </c>
      <c r="DB23" s="66"/>
      <c r="DC23" s="67">
        <f>IF(DA23&gt;0,IF(BK23="X",10,IF(BK23="M",0,IF(ISNUMBER(BK23),BK23,0)))+IF(BL23="X",10,IF(BL23="M",0,IF(ISNUMBER(BL23),BL23,0)))+IF(BM23="X",10,IF(BM23="M",0,IF(ISNUMBER(BM23),BM23,0)))+IF(BN23="X",10,IF(BN23="M",0,IF(ISNUMBER(BN23),BN23,0)))+IF(BO23="X",10,IF(BO23="M",0,IF(ISNUMBER(BO23),BO23,0)))+IF(BP23="X",10,IF(BP23="M",0,IF(ISNUMBER(BP23),BP23,0)))+IF(BR23="X",10,IF(BR23="M",0,IF(ISNUMBER(BR23),BR23,0)))+IF(BS23="X",10,IF(BS23="M",0,IF(ISNUMBER(BS23),BS23,0)))+IF(BT23="X",10,IF(BT23="M",0,IF(ISNUMBER(BT23),BT23,0)))+IF(BU23="X",10,IF(BU23="M",0,IF(ISNUMBER(BU23),BU23,0)))+IF(BV23="X",10,IF(BV23="M",0,IF(ISNUMBER(BV23),BV23,0)))+IF(BW23="X",10,IF(BW23="M",0,IF(ISNUMBER(BW23),BW23,0)))+IF(BY23="X",10,IF(BY23="M",0,IF(ISNUMBER(BY23),BY23,0)))+IF(BZ23="X",10,IF(BZ23="M",0,IF(ISNUMBER(BZ23),BZ23,0)))+IF(CA23="X",10,IF(CA23="M",0,IF(ISNUMBER(CA23),CA23,0)))+IF(CB23="X",10,IF(CB23="M",0,IF(ISNUMBER(CB23),CB23,0)))+IF(CC23="X",10,IF(CC23="M",0,IF(ISNUMBER(CC23),CC23,0)))+IF(CD23="X",10,IF(CD23="M",0,IF(ISNUMBER(CD23),CD23,0)))+IF(CF23="X",10,IF(CF23="M",0,IF(ISNUMBER(CF23),CF23,0)))+IF(CG23="X",10,IF(CG23="M",0,IF(ISNUMBER(CG23),CG23,0)))+IF(CH23="X",10,IF(CH23="M",0,IF(ISNUMBER(CH23),CH23,0)))+IF(CI23="X",10,IF(CI23="M",0,IF(ISNUMBER(CI23),CI23,0)))+IF(CJ23="X",10,IF(CJ23="M",0,IF(ISNUMBER(CJ23),CJ23,0)))+IF(CK23="X",10,IF(CK23="M",0,IF(ISNUMBER(CK23),CK23,0)))+IF(CM23="X",10,IF(CM23="M",0,IF(ISNUMBER(CM23),CM23,0)))+IF(CN23="X",10,IF(CN23="M",0,IF(ISNUMBER(CN23),CN23,0)))+IF(CO23="X",10,IF(CO23="M",0,IF(ISNUMBER(CO23),CO23,0)))+IF(CP23="X",10,IF(CP23="M",0,IF(ISNUMBER(CP23),CP23,0)))+IF(CQ23="X",10,IF(CQ23="M",0,IF(ISNUMBER(CQ23),CQ23,0)))+IF(CR23="X",10,IF(CR23="M",0,IF(ISNUMBER(CR23),CR23,0)))+IF(CT23="X",10,IF(CT23="M",0,IF(ISNUMBER(CT23),CT23,0)))+IF(CU23="X",10,IF(CU23="M",0,IF(ISNUMBER(CU23),CU23,0)))+IF(CV23="X",10,IF(CV23="M",0,IF(ISNUMBER(CV23),CV23,0)))+IF(CW23="X",10,IF(CW23="M",0,IF(ISNUMBER(CW23),CW23,0)))+IF(CX23="X",10,IF(CX23="M",0,IF(ISNUMBER(CX23),CX23,0)))+IF(CY23="X",10,IF(CY23="M",0,IF(ISNUMBER(CY23),CY23,0))),0)</f>
        <v>0</v>
      </c>
      <c r="DD23" s="68" t="str">
        <f>IFERROR(IF(DB23="DQ","DISQUALIFIED",IF(DB21="DQ","&gt;&gt; Advance",IF(DF21="BYE","&gt;&gt; Advance",IF(DF23="BYE","BYE",IF(DA23&gt;=6,"WIN",IF(DA21&gt;=6,"LOSS",IF(AND(ISNUMBER(CZ23),ISNUMBER(CZ21)),IF(CZ23&gt;CZ21,"WIN",IF(CZ23&lt;CZ21,"LOSS","Shoot-Off")),"Playing"))))))),"Error")</f>
        <v>&gt;&gt; Advance</v>
      </c>
      <c r="DF23" s="69" t="str">
        <f>IFERROR(IF(AND(BC41="BYE",BC43="BYE"),"BYE",""),"")</f>
        <v>BYE</v>
      </c>
    </row>
    <row r="24" spans="1:236" ht="1.5" customHeight="1" x14ac:dyDescent="0.35"/>
    <row r="25" spans="1:236" ht="10.5" customHeight="1" x14ac:dyDescent="0.35">
      <c r="A25" s="104" t="s">
        <v>207</v>
      </c>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row>
    <row r="26" spans="1:236" ht="15.75" customHeight="1" x14ac:dyDescent="0.35">
      <c r="A26" s="61" t="str">
        <f>IFERROR(IF(INDEX('Beginner Adv 15M - Teams'!$L:$L,MATCH(3,'Beginner Adv 15M - Teams'!$A:$A,0))="Yes","BYE",IF(OR(INDEX('Beginner Adv 15M - Teams'!$B:$B,MATCH(3,'Beginner Adv 15M - Teams'!$A:$A,0))="",ISERROR(MATCH(3,'Beginner Adv 15M - Teams'!$A:$A,0))),"BYE","#3")),"BYE")</f>
        <v>BYE</v>
      </c>
      <c r="B26" s="106" t="str">
        <f>IFERROR(IF(INDEX('Beginner Adv 15M - Teams'!$L:$L,MATCH(3,'Beginner Adv 15M - Teams'!$A:$A,0))="Yes","",IF(INDEX('Beginner Adv 15M - Teams'!$N:$N,MATCH(3,'Beginner Adv 15M - Teams'!$A:$A,0))&lt;&gt;"",INDEX('Beginner Adv 15M - Teams'!$N:$N,MATCH(3,'Beginner Adv 15M - Teams'!$A:$A,0)),IF(INDEX('Beginner Adv 15M - Teams'!$B:$B,MATCH(3,'Beginner Adv 15M - Teams'!$A:$A,0))="","",INDEX('Beginner Adv 15M - Teams'!$B:$B,MATCH(3,'Beginner Adv 15M - Teams'!$A:$A,0))))),"")</f>
        <v/>
      </c>
      <c r="C26" s="106"/>
      <c r="D26" s="106"/>
      <c r="E26" s="107" t="str">
        <f>IF(OR(A26="BYE",BA26="&gt;&gt;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Advance",1,0),0),0))-1,2)=0)," (L)"," (R)")))</f>
        <v/>
      </c>
      <c r="F26" s="107"/>
      <c r="G26" s="107"/>
      <c r="H26" s="62"/>
      <c r="I26" s="62"/>
      <c r="J26" s="62"/>
      <c r="K26" s="62"/>
      <c r="L26" s="62"/>
      <c r="M26" s="62"/>
      <c r="N26" s="63" t="str">
        <f>IF(OR(ISNUMBER(H26),ISNUMBER(I26),ISNUMBER(J26),ISNUMBER(K26),ISNUMBER(L26),ISNUMBER(M26),H26="X",I26="X",J26="X",K26="X",L26="X",M26="X",H26="M",I26="M",J26="M",K26="M",L26="M",M26="M"),IF(H26="X",10,IF(H26="M",0,IF(ISNUMBER(H26),H26,0))) + IF(I26="X",10,IF(I26="M",0,IF(ISNUMBER(I26),I26,0))) + IF(J26="X",10,IF(J26="M",0,IF(ISNUMBER(J26),J26,0))) + IF(K26="X",10,IF(K26="M",0,IF(ISNUMBER(K26),K26,0))) + IF(L26="X",10,IF(L26="M",0,IF(ISNUMBER(L26),L26,0))) + IF(M26="X",10,IF(M26="M",0,IF(ISNUMBER(M26),M26,0))),"")</f>
        <v/>
      </c>
      <c r="O26" s="62"/>
      <c r="P26" s="62"/>
      <c r="Q26" s="62"/>
      <c r="R26" s="62"/>
      <c r="S26" s="62"/>
      <c r="T26" s="62"/>
      <c r="U26" s="63" t="str">
        <f>IF(OR(ISNUMBER(O26),ISNUMBER(P26),ISNUMBER(Q26),ISNUMBER(R26),ISNUMBER(S26),ISNUMBER(T26),O26="X",P26="X",Q26="X",R26="X",S26="X",T26="X",O26="M",P26="M",Q26="M",R26="M",S26="M",T26="M"),IF(O26="X",10,IF(O26="M",0,IF(ISNUMBER(O26),O26,0))) + IF(P26="X",10,IF(P26="M",0,IF(ISNUMBER(P26),P26,0))) + IF(Q26="X",10,IF(Q26="M",0,IF(ISNUMBER(Q26),Q26,0))) + IF(R26="X",10,IF(R26="M",0,IF(ISNUMBER(R26),R26,0))) + IF(S26="X",10,IF(S26="M",0,IF(ISNUMBER(S26),S26,0))) + IF(T26="X",10,IF(T26="M",0,IF(ISNUMBER(T26),T26,0))),"")</f>
        <v/>
      </c>
      <c r="V26" s="62"/>
      <c r="W26" s="62"/>
      <c r="X26" s="62"/>
      <c r="Y26" s="62"/>
      <c r="Z26" s="62"/>
      <c r="AA26" s="62"/>
      <c r="AB26" s="63" t="str">
        <f>IF(OR(ISNUMBER(V26),ISNUMBER(W26),ISNUMBER(X26),ISNUMBER(Y26),ISNUMBER(Z26),ISNUMBER(AA26),V26="X",W26="X",X26="X",Y26="X",Z26="X",AA26="X",V26="M",W26="M",X26="M",Y26="M",Z26="M",AA26="M"),IF(V26="X",10,IF(V26="M",0,IF(ISNUMBER(V26),V26,0))) + IF(W26="X",10,IF(W26="M",0,IF(ISNUMBER(W26),W26,0))) + IF(X26="X",10,IF(X26="M",0,IF(ISNUMBER(X26),X26,0))) + IF(Y26="X",10,IF(Y26="M",0,IF(ISNUMBER(Y26),Y26,0))) + IF(Z26="X",10,IF(Z26="M",0,IF(ISNUMBER(Z26),Z26,0))) + IF(AA26="X",10,IF(AA26="M",0,IF(ISNUMBER(AA26),AA26,0))),"")</f>
        <v/>
      </c>
      <c r="AC26" s="62"/>
      <c r="AD26" s="62"/>
      <c r="AE26" s="62"/>
      <c r="AF26" s="62"/>
      <c r="AG26" s="62"/>
      <c r="AH26" s="62"/>
      <c r="AI26" s="63" t="str">
        <f>IF(OR(ISNUMBER(AC26),ISNUMBER(AD26),ISNUMBER(AE26),ISNUMBER(AF26),ISNUMBER(AG26),ISNUMBER(AH26),AC26="X",AD26="X",AE26="X",AF26="X",AG26="X",AH26="X",AC26="M",AD26="M",AE26="M",AF26="M",AG26="M",AH26="M"),IF(AC26="X",10,IF(AC26="M",0,IF(ISNUMBER(AC26),AC26,0))) + IF(AD26="X",10,IF(AD26="M",0,IF(ISNUMBER(AD26),AD26,0))) + IF(AE26="X",10,IF(AE26="M",0,IF(ISNUMBER(AE26),AE26,0))) + IF(AF26="X",10,IF(AF26="M",0,IF(ISNUMBER(AF26),AF26,0))) + IF(AG26="X",10,IF(AG26="M",0,IF(ISNUMBER(AG26),AG26,0))) + IF(AH26="X",10,IF(AH26="M",0,IF(ISNUMBER(AH26),AH26,0))),"")</f>
        <v/>
      </c>
      <c r="AJ26" s="62"/>
      <c r="AK26" s="62"/>
      <c r="AL26" s="62"/>
      <c r="AM26" s="62"/>
      <c r="AN26" s="62"/>
      <c r="AO26" s="62"/>
      <c r="AP26" s="63" t="str">
        <f>IF(OR(ISNUMBER(AJ26),ISNUMBER(AK26),ISNUMBER(AL26),ISNUMBER(AM26),ISNUMBER(AN26),ISNUMBER(AO26),AJ26="X",AK26="X",AL26="X",AM26="X",AN26="X",AO26="X",AJ26="M",AK26="M",AL26="M",AM26="M",AN26="M",AO26="M"),IF(AJ26="X",10,IF(AJ26="M",0,IF(ISNUMBER(AJ26),AJ26,0))) + IF(AK26="X",10,IF(AK26="M",0,IF(ISNUMBER(AK26),AK26,0))) + IF(AL26="X",10,IF(AL26="M",0,IF(ISNUMBER(AL26),AL26,0))) + IF(AM26="X",10,IF(AM26="M",0,IF(ISNUMBER(AM26),AM26,0))) + IF(AN26="X",10,IF(AN26="M",0,IF(ISNUMBER(AN26),AN26,0))) + IF(AO26="X",10,IF(AO26="M",0,IF(ISNUMBER(AO26),AO26,0))),"")</f>
        <v/>
      </c>
      <c r="AQ26" s="64"/>
      <c r="AR26" s="64"/>
      <c r="AS26" s="64"/>
      <c r="AT26" s="64"/>
      <c r="AU26" s="64"/>
      <c r="AV26" s="64"/>
      <c r="AW26" s="63" t="str">
        <f>IF(OR(ISNUMBER(AQ26),ISNUMBER(AR26),ISNUMBER(AS26),ISNUMBER(AT26),ISNUMBER(AU26),ISNUMBER(AV26),AQ26="X",AR26="X",AS26="X",AT26="X",AU26="X",AV26="X",AQ26="M",AR26="M",AS26="M",AT26="M",AU26="M",AV26="M"),IF(AQ26="X",10,IF(AQ26="M",0,IF(ISNUMBER(AQ26),AQ26,0))) + IF(AR26="X",10,IF(AR26="M",0,IF(ISNUMBER(AR26),AR26,0))) + IF(AS26="X",10,IF(AS26="M",0,IF(ISNUMBER(AS26),AS26,0))) + IF(AT26="X",10,IF(AT26="M",0,IF(ISNUMBER(AT26),AT26,0))) + IF(AU26="X",10,IF(AU26="M",0,IF(ISNUMBER(AU26),AU26,0))) + IF(AV26="X",10,IF(AV26="M",0,IF(ISNUMBER(AV26),AV26,0))),"")</f>
        <v/>
      </c>
      <c r="AX26" s="65">
        <f>IF(AND(ISNUMBER(N26),ISNUMBER(N28)),IF(N26&gt;N28,2,IF(N26=N28,1,0)),0)+IF(AND(ISNUMBER(U26),ISNUMBER(U28)),IF(U26&gt;U28,2,IF(U26=U28,1,0)),0)+IF(AND(ISNUMBER(AB26),ISNUMBER(AB28)),IF(AB26&gt;AB28,2,IF(AB26=AB28,1,0)),0)+IF(AND(ISNUMBER(AI26),ISNUMBER(AI28)),IF(AI26&gt;AI28,2,IF(AI26=AI28,1,0)),0)+IF(AND(ISNUMBER(AP26),ISNUMBER(AP28)),IF(AP26&gt;AP28,2,IF(AP26=AP28,1,0)),0)</f>
        <v>0</v>
      </c>
      <c r="AY26" s="66"/>
      <c r="AZ26" s="67">
        <f>IF(AX26&gt;0,IF(H26="X",10,IF(H26="M",0,IF(ISNUMBER(H26),H26,0)))+IF(I26="X",10,IF(I26="M",0,IF(ISNUMBER(I26),I26,0)))+IF(J26="X",10,IF(J26="M",0,IF(ISNUMBER(J26),J26,0)))+IF(K26="X",10,IF(K26="M",0,IF(ISNUMBER(K26),K26,0)))+IF(L26="X",10,IF(L26="M",0,IF(ISNUMBER(L26),L26,0)))+IF(M26="X",10,IF(M26="M",0,IF(ISNUMBER(M26),M26,0)))+IF(O26="X",10,IF(O26="M",0,IF(ISNUMBER(O26),O26,0)))+IF(P26="X",10,IF(P26="M",0,IF(ISNUMBER(P26),P26,0)))+IF(Q26="X",10,IF(Q26="M",0,IF(ISNUMBER(Q26),Q26,0)))+IF(R26="X",10,IF(R26="M",0,IF(ISNUMBER(R26),R26,0)))+IF(S26="X",10,IF(S26="M",0,IF(ISNUMBER(S26),S26,0)))+IF(T26="X",10,IF(T26="M",0,IF(ISNUMBER(T26),T26,0)))+IF(V26="X",10,IF(V26="M",0,IF(ISNUMBER(V26),V26,0)))+IF(W26="X",10,IF(W26="M",0,IF(ISNUMBER(W26),W26,0)))+IF(X26="X",10,IF(X26="M",0,IF(ISNUMBER(X26),X26,0)))+IF(Y26="X",10,IF(Y26="M",0,IF(ISNUMBER(Y26),Y26,0)))+IF(Z26="X",10,IF(Z26="M",0,IF(ISNUMBER(Z26),Z26,0)))+IF(AA26="X",10,IF(AA26="M",0,IF(ISNUMBER(AA26),AA26,0)))+IF(AC26="X",10,IF(AC26="M",0,IF(ISNUMBER(AC26),AC26,0)))+IF(AD26="X",10,IF(AD26="M",0,IF(ISNUMBER(AD26),AD26,0)))+IF(AE26="X",10,IF(AE26="M",0,IF(ISNUMBER(AE26),AE26,0)))+IF(AF26="X",10,IF(AF26="M",0,IF(ISNUMBER(AF26),AF26,0)))+IF(AG26="X",10,IF(AG26="M",0,IF(ISNUMBER(AG26),AG26,0)))+IF(AH26="X",10,IF(AH26="M",0,IF(ISNUMBER(AH26),AH26,0)))+IF(AJ26="X",10,IF(AJ26="M",0,IF(ISNUMBER(AJ26),AJ26,0)))+IF(AK26="X",10,IF(AK26="M",0,IF(ISNUMBER(AK26),AK26,0)))+IF(AL26="X",10,IF(AL26="M",0,IF(ISNUMBER(AL26),AL26,0)))+IF(AM26="X",10,IF(AM26="M",0,IF(ISNUMBER(AM26),AM26,0)))+IF(AN26="X",10,IF(AN26="M",0,IF(ISNUMBER(AN26),AN26,0)))+IF(AO26="X",10,IF(AO26="M",0,IF(ISNUMBER(AO26),AO26,0)))+IF(AQ26="X",10,IF(AQ26="M",0,IF(ISNUMBER(AQ26),AQ26,0)))+IF(AR26="X",10,IF(AR26="M",0,IF(ISNUMBER(AR26),AR26,0)))+IF(AS26="X",10,IF(AS26="M",0,IF(ISNUMBER(AS26),AS26,0)))+IF(AT26="X",10,IF(AT26="M",0,IF(ISNUMBER(AT26),AT26,0)))+IF(AU26="X",10,IF(AU26="M",0,IF(ISNUMBER(AU26),AU26,0)))+IF(AV26="X",10,IF(AV26="M",0,IF(ISNUMBER(AV26),AV26,0))),0)</f>
        <v>0</v>
      </c>
      <c r="BA26" s="68" t="str">
        <f>IFERROR(IF(AY26="DQ","DISQUALIFIED",IF(AY28="DQ","&gt;&gt; Advance",IF(BC28="BYE","&gt;&gt; Advance",IF(BC26="BYE","BYE",IF(AX26&gt;=6,"WIN",IF(AX28&gt;=6,"LOSS",IF(AND(ISNUMBER(AW26),ISNUMBER(AW28)),IF(AW26&gt;AW28,"WIN",IF(AW26&lt;AW28,"LOSS","Shoot-Off")),"Playing"))))))),"Error")</f>
        <v>&gt;&gt; Advance</v>
      </c>
      <c r="BC26" s="69" t="str">
        <f>IFERROR(IF(INDEX('Beginner Adv 15M - Teams'!$L:$L,MATCH(3,'Beginner Adv 15M - Teams'!$A:$A,0))="Yes","BYE",IF(OR(INDEX('Beginner Adv 15M - Teams'!$B:$B,MATCH(3,'Beginner Adv 15M - Teams'!$A:$A,0))="",ISERROR(MATCH(3,'Beginner Adv 15M - Teams'!$A:$A,0))),"BYE","")),"BYE")</f>
        <v>BYE</v>
      </c>
    </row>
    <row r="27" spans="1:236" ht="3" customHeight="1" x14ac:dyDescent="0.35">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row>
    <row r="28" spans="1:236" ht="15.75" customHeight="1" x14ac:dyDescent="0.35">
      <c r="A28" s="61" t="str">
        <f>IFERROR(IF(INDEX('Beginner Adv 15M - Teams'!$L:$L,MATCH(14,'Beginner Adv 15M - Teams'!$A:$A,0))="Yes","BYE",IF(OR(INDEX('Beginner Adv 15M - Teams'!$B:$B,MATCH(14,'Beginner Adv 15M - Teams'!$A:$A,0))="",ISERROR(MATCH(14,'Beginner Adv 15M - Teams'!$A:$A,0))),"BYE","#14")),"BYE")</f>
        <v>BYE</v>
      </c>
      <c r="B28" s="106" t="str">
        <f>IFERROR(IF(INDEX('Beginner Adv 15M - Teams'!$L:$L,MATCH(14,'Beginner Adv 15M - Teams'!$A:$A,0))="Yes","",IF(INDEX('Beginner Adv 15M - Teams'!$N:$N,MATCH(14,'Beginner Adv 15M - Teams'!$A:$A,0))&lt;&gt;"",INDEX('Beginner Adv 15M - Teams'!$N:$N,MATCH(14,'Beginner Adv 15M - Teams'!$A:$A,0)),IF(INDEX('Beginner Adv 15M - Teams'!$B:$B,MATCH(14,'Beginner Adv 15M - Teams'!$A:$A,0))="","",INDEX('Beginner Adv 15M - Teams'!$B:$B,MATCH(14,'Beginner Adv 15M - Teams'!$A:$A,0))))),"")</f>
        <v/>
      </c>
      <c r="C28" s="106"/>
      <c r="D28" s="106"/>
      <c r="E28" s="107" t="str">
        <f>IF(OR(A28="BYE",BA28="&gt;&gt;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Advance",1,0),0),0))-1,2)=0)," (L)"," (R)")))</f>
        <v/>
      </c>
      <c r="F28" s="107"/>
      <c r="G28" s="107"/>
      <c r="H28" s="62"/>
      <c r="I28" s="62"/>
      <c r="J28" s="62"/>
      <c r="K28" s="62"/>
      <c r="L28" s="62"/>
      <c r="M28" s="62"/>
      <c r="N28" s="63" t="str">
        <f>IF(OR(ISNUMBER(H28),ISNUMBER(I28),ISNUMBER(J28),ISNUMBER(K28),ISNUMBER(L28),ISNUMBER(M28),H28="X",I28="X",J28="X",K28="X",L28="X",M28="X",H28="M",I28="M",J28="M",K28="M",L28="M",M28="M"),IF(H28="X",10,IF(H28="M",0,IF(ISNUMBER(H28),H28,0))) + IF(I28="X",10,IF(I28="M",0,IF(ISNUMBER(I28),I28,0))) + IF(J28="X",10,IF(J28="M",0,IF(ISNUMBER(J28),J28,0))) + IF(K28="X",10,IF(K28="M",0,IF(ISNUMBER(K28),K28,0))) + IF(L28="X",10,IF(L28="M",0,IF(ISNUMBER(L28),L28,0))) + IF(M28="X",10,IF(M28="M",0,IF(ISNUMBER(M28),M28,0))),"")</f>
        <v/>
      </c>
      <c r="O28" s="62"/>
      <c r="P28" s="62"/>
      <c r="Q28" s="62"/>
      <c r="R28" s="62"/>
      <c r="S28" s="62"/>
      <c r="T28" s="62"/>
      <c r="U28" s="63" t="str">
        <f>IF(OR(ISNUMBER(O28),ISNUMBER(P28),ISNUMBER(Q28),ISNUMBER(R28),ISNUMBER(S28),ISNUMBER(T28),O28="X",P28="X",Q28="X",R28="X",S28="X",T28="X",O28="M",P28="M",Q28="M",R28="M",S28="M",T28="M"),IF(O28="X",10,IF(O28="M",0,IF(ISNUMBER(O28),O28,0))) + IF(P28="X",10,IF(P28="M",0,IF(ISNUMBER(P28),P28,0))) + IF(Q28="X",10,IF(Q28="M",0,IF(ISNUMBER(Q28),Q28,0))) + IF(R28="X",10,IF(R28="M",0,IF(ISNUMBER(R28),R28,0))) + IF(S28="X",10,IF(S28="M",0,IF(ISNUMBER(S28),S28,0))) + IF(T28="X",10,IF(T28="M",0,IF(ISNUMBER(T28),T28,0))),"")</f>
        <v/>
      </c>
      <c r="V28" s="62"/>
      <c r="W28" s="62"/>
      <c r="X28" s="62"/>
      <c r="Y28" s="62"/>
      <c r="Z28" s="62"/>
      <c r="AA28" s="62"/>
      <c r="AB28" s="63" t="str">
        <f>IF(OR(ISNUMBER(V28),ISNUMBER(W28),ISNUMBER(X28),ISNUMBER(Y28),ISNUMBER(Z28),ISNUMBER(AA28),V28="X",W28="X",X28="X",Y28="X",Z28="X",AA28="X",V28="M",W28="M",X28="M",Y28="M",Z28="M",AA28="M"),IF(V28="X",10,IF(V28="M",0,IF(ISNUMBER(V28),V28,0))) + IF(W28="X",10,IF(W28="M",0,IF(ISNUMBER(W28),W28,0))) + IF(X28="X",10,IF(X28="M",0,IF(ISNUMBER(X28),X28,0))) + IF(Y28="X",10,IF(Y28="M",0,IF(ISNUMBER(Y28),Y28,0))) + IF(Z28="X",10,IF(Z28="M",0,IF(ISNUMBER(Z28),Z28,0))) + IF(AA28="X",10,IF(AA28="M",0,IF(ISNUMBER(AA28),AA28,0))),"")</f>
        <v/>
      </c>
      <c r="AC28" s="62"/>
      <c r="AD28" s="62"/>
      <c r="AE28" s="62"/>
      <c r="AF28" s="62"/>
      <c r="AG28" s="62"/>
      <c r="AH28" s="62"/>
      <c r="AI28" s="63" t="str">
        <f>IF(OR(ISNUMBER(AC28),ISNUMBER(AD28),ISNUMBER(AE28),ISNUMBER(AF28),ISNUMBER(AG28),ISNUMBER(AH28),AC28="X",AD28="X",AE28="X",AF28="X",AG28="X",AH28="X",AC28="M",AD28="M",AE28="M",AF28="M",AG28="M",AH28="M"),IF(AC28="X",10,IF(AC28="M",0,IF(ISNUMBER(AC28),AC28,0))) + IF(AD28="X",10,IF(AD28="M",0,IF(ISNUMBER(AD28),AD28,0))) + IF(AE28="X",10,IF(AE28="M",0,IF(ISNUMBER(AE28),AE28,0))) + IF(AF28="X",10,IF(AF28="M",0,IF(ISNUMBER(AF28),AF28,0))) + IF(AG28="X",10,IF(AG28="M",0,IF(ISNUMBER(AG28),AG28,0))) + IF(AH28="X",10,IF(AH28="M",0,IF(ISNUMBER(AH28),AH28,0))),"")</f>
        <v/>
      </c>
      <c r="AJ28" s="62"/>
      <c r="AK28" s="62"/>
      <c r="AL28" s="62"/>
      <c r="AM28" s="62"/>
      <c r="AN28" s="62"/>
      <c r="AO28" s="62"/>
      <c r="AP28" s="63" t="str">
        <f>IF(OR(ISNUMBER(AJ28),ISNUMBER(AK28),ISNUMBER(AL28),ISNUMBER(AM28),ISNUMBER(AN28),ISNUMBER(AO28),AJ28="X",AK28="X",AL28="X",AM28="X",AN28="X",AO28="X",AJ28="M",AK28="M",AL28="M",AM28="M",AN28="M",AO28="M"),IF(AJ28="X",10,IF(AJ28="M",0,IF(ISNUMBER(AJ28),AJ28,0))) + IF(AK28="X",10,IF(AK28="M",0,IF(ISNUMBER(AK28),AK28,0))) + IF(AL28="X",10,IF(AL28="M",0,IF(ISNUMBER(AL28),AL28,0))) + IF(AM28="X",10,IF(AM28="M",0,IF(ISNUMBER(AM28),AM28,0))) + IF(AN28="X",10,IF(AN28="M",0,IF(ISNUMBER(AN28),AN28,0))) + IF(AO28="X",10,IF(AO28="M",0,IF(ISNUMBER(AO28),AO28,0))),"")</f>
        <v/>
      </c>
      <c r="AQ28" s="64"/>
      <c r="AR28" s="64"/>
      <c r="AS28" s="64"/>
      <c r="AT28" s="64"/>
      <c r="AU28" s="64"/>
      <c r="AV28" s="64"/>
      <c r="AW28" s="63" t="str">
        <f>IF(OR(ISNUMBER(AQ28),ISNUMBER(AR28),ISNUMBER(AS28),ISNUMBER(AT28),ISNUMBER(AU28),ISNUMBER(AV28),AQ28="X",AR28="X",AS28="X",AT28="X",AU28="X",AV28="X",AQ28="M",AR28="M",AS28="M",AT28="M",AU28="M",AV28="M"),IF(AQ28="X",10,IF(AQ28="M",0,IF(ISNUMBER(AQ28),AQ28,0))) + IF(AR28="X",10,IF(AR28="M",0,IF(ISNUMBER(AR28),AR28,0))) + IF(AS28="X",10,IF(AS28="M",0,IF(ISNUMBER(AS28),AS28,0))) + IF(AT28="X",10,IF(AT28="M",0,IF(ISNUMBER(AT28),AT28,0))) + IF(AU28="X",10,IF(AU28="M",0,IF(ISNUMBER(AU28),AU28,0))) + IF(AV28="X",10,IF(AV28="M",0,IF(ISNUMBER(AV28),AV28,0))),"")</f>
        <v/>
      </c>
      <c r="AX28" s="65">
        <f>IF(AND(ISNUMBER(N28),ISNUMBER(N26)),IF(N28&gt;N26,2,IF(N28=N26,1,0)),0)+IF(AND(ISNUMBER(U28),ISNUMBER(U26)),IF(U28&gt;U26,2,IF(U28=U26,1,0)),0)+IF(AND(ISNUMBER(AB28),ISNUMBER(AB26)),IF(AB28&gt;AB26,2,IF(AB28=AB26,1,0)),0)+IF(AND(ISNUMBER(AI28),ISNUMBER(AI26)),IF(AI28&gt;AI26,2,IF(AI28=AI26,1,0)),0)+IF(AND(ISNUMBER(AP28),ISNUMBER(AP26)),IF(AP28&gt;AP26,2,IF(AP28=AP26,1,0)),0)</f>
        <v>0</v>
      </c>
      <c r="AY28" s="66"/>
      <c r="AZ28" s="67">
        <f>IF(AX28&gt;0,IF(H28="X",10,IF(H28="M",0,IF(ISNUMBER(H28),H28,0)))+IF(I28="X",10,IF(I28="M",0,IF(ISNUMBER(I28),I28,0)))+IF(J28="X",10,IF(J28="M",0,IF(ISNUMBER(J28),J28,0)))+IF(K28="X",10,IF(K28="M",0,IF(ISNUMBER(K28),K28,0)))+IF(L28="X",10,IF(L28="M",0,IF(ISNUMBER(L28),L28,0)))+IF(M28="X",10,IF(M28="M",0,IF(ISNUMBER(M28),M28,0)))+IF(O28="X",10,IF(O28="M",0,IF(ISNUMBER(O28),O28,0)))+IF(P28="X",10,IF(P28="M",0,IF(ISNUMBER(P28),P28,0)))+IF(Q28="X",10,IF(Q28="M",0,IF(ISNUMBER(Q28),Q28,0)))+IF(R28="X",10,IF(R28="M",0,IF(ISNUMBER(R28),R28,0)))+IF(S28="X",10,IF(S28="M",0,IF(ISNUMBER(S28),S28,0)))+IF(T28="X",10,IF(T28="M",0,IF(ISNUMBER(T28),T28,0)))+IF(V28="X",10,IF(V28="M",0,IF(ISNUMBER(V28),V28,0)))+IF(W28="X",10,IF(W28="M",0,IF(ISNUMBER(W28),W28,0)))+IF(X28="X",10,IF(X28="M",0,IF(ISNUMBER(X28),X28,0)))+IF(Y28="X",10,IF(Y28="M",0,IF(ISNUMBER(Y28),Y28,0)))+IF(Z28="X",10,IF(Z28="M",0,IF(ISNUMBER(Z28),Z28,0)))+IF(AA28="X",10,IF(AA28="M",0,IF(ISNUMBER(AA28),AA28,0)))+IF(AC28="X",10,IF(AC28="M",0,IF(ISNUMBER(AC28),AC28,0)))+IF(AD28="X",10,IF(AD28="M",0,IF(ISNUMBER(AD28),AD28,0)))+IF(AE28="X",10,IF(AE28="M",0,IF(ISNUMBER(AE28),AE28,0)))+IF(AF28="X",10,IF(AF28="M",0,IF(ISNUMBER(AF28),AF28,0)))+IF(AG28="X",10,IF(AG28="M",0,IF(ISNUMBER(AG28),AG28,0)))+IF(AH28="X",10,IF(AH28="M",0,IF(ISNUMBER(AH28),AH28,0)))+IF(AJ28="X",10,IF(AJ28="M",0,IF(ISNUMBER(AJ28),AJ28,0)))+IF(AK28="X",10,IF(AK28="M",0,IF(ISNUMBER(AK28),AK28,0)))+IF(AL28="X",10,IF(AL28="M",0,IF(ISNUMBER(AL28),AL28,0)))+IF(AM28="X",10,IF(AM28="M",0,IF(ISNUMBER(AM28),AM28,0)))+IF(AN28="X",10,IF(AN28="M",0,IF(ISNUMBER(AN28),AN28,0)))+IF(AO28="X",10,IF(AO28="M",0,IF(ISNUMBER(AO28),AO28,0)))+IF(AQ28="X",10,IF(AQ28="M",0,IF(ISNUMBER(AQ28),AQ28,0)))+IF(AR28="X",10,IF(AR28="M",0,IF(ISNUMBER(AR28),AR28,0)))+IF(AS28="X",10,IF(AS28="M",0,IF(ISNUMBER(AS28),AS28,0)))+IF(AT28="X",10,IF(AT28="M",0,IF(ISNUMBER(AT28),AT28,0)))+IF(AU28="X",10,IF(AU28="M",0,IF(ISNUMBER(AU28),AU28,0)))+IF(AV28="X",10,IF(AV28="M",0,IF(ISNUMBER(AV28),AV28,0))),0)</f>
        <v>0</v>
      </c>
      <c r="BA28" s="68" t="str">
        <f>IFERROR(IF(AY28="DQ","DISQUALIFIED",IF(AY26="DQ","&gt;&gt; Advance",IF(BC26="BYE","&gt;&gt; Advance",IF(BC28="BYE","BYE",IF(AX28&gt;=6,"WIN",IF(AX26&gt;=6,"LOSS",IF(AND(ISNUMBER(AW28),ISNUMBER(AW26)),IF(AW28&gt;AW26,"WIN",IF(AW28&lt;AW26,"LOSS","Shoot-Off")),"Playing"))))))),"Error")</f>
        <v>&gt;&gt; Advance</v>
      </c>
      <c r="BC28" s="69" t="str">
        <f>IFERROR(IF(INDEX('Beginner Adv 15M - Teams'!$L:$L,MATCH(14,'Beginner Adv 15M - Teams'!$A:$A,0))="Yes","BYE",IF(OR(INDEX('Beginner Adv 15M - Teams'!$B:$B,MATCH(14,'Beginner Adv 15M - Teams'!$A:$A,0))="",ISERROR(MATCH(14,'Beginner Adv 15M - Teams'!$A:$A,0))),"BYE","")),"BYE")</f>
        <v>BYE</v>
      </c>
    </row>
    <row r="29" spans="1:236" ht="1.5" customHeight="1" x14ac:dyDescent="0.35"/>
    <row r="30" spans="1:236" ht="10.5" customHeight="1" x14ac:dyDescent="0.35">
      <c r="A30" s="104" t="s">
        <v>208</v>
      </c>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row>
    <row r="31" spans="1:236" ht="15.75" customHeight="1" x14ac:dyDescent="0.35">
      <c r="A31" s="61" t="str">
        <f>IFERROR(IF(INDEX('Beginner Adv 15M - Teams'!$L:$L,MATCH(6,'Beginner Adv 15M - Teams'!$A:$A,0))="Yes","BYE",IF(OR(INDEX('Beginner Adv 15M - Teams'!$B:$B,MATCH(6,'Beginner Adv 15M - Teams'!$A:$A,0))="",ISERROR(MATCH(6,'Beginner Adv 15M - Teams'!$A:$A,0))),"BYE","#6")),"BYE")</f>
        <v>BYE</v>
      </c>
      <c r="B31" s="106" t="str">
        <f>IFERROR(IF(INDEX('Beginner Adv 15M - Teams'!$L:$L,MATCH(6,'Beginner Adv 15M - Teams'!$A:$A,0))="Yes","",IF(INDEX('Beginner Adv 15M - Teams'!$N:$N,MATCH(6,'Beginner Adv 15M - Teams'!$A:$A,0))&lt;&gt;"",INDEX('Beginner Adv 15M - Teams'!$N:$N,MATCH(6,'Beginner Adv 15M - Teams'!$A:$A,0)),IF(INDEX('Beginner Adv 15M - Teams'!$B:$B,MATCH(6,'Beginner Adv 15M - Teams'!$A:$A,0))="","",INDEX('Beginner Adv 15M - Teams'!$B:$B,MATCH(6,'Beginner Adv 15M - Teams'!$A:$A,0))))),"")</f>
        <v/>
      </c>
      <c r="C31" s="106"/>
      <c r="D31" s="106"/>
      <c r="E31" s="107" t="str">
        <f>IF(OR(A31="BYE",BA31="&gt;&gt;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Advance",1,0),0),0))-1,2)=0)," (L)"," (R)")))</f>
        <v/>
      </c>
      <c r="F31" s="107"/>
      <c r="G31" s="107"/>
      <c r="H31" s="62"/>
      <c r="I31" s="62"/>
      <c r="J31" s="62"/>
      <c r="K31" s="62"/>
      <c r="L31" s="62"/>
      <c r="M31" s="62"/>
      <c r="N31" s="63" t="str">
        <f>IF(OR(ISNUMBER(H31),ISNUMBER(I31),ISNUMBER(J31),ISNUMBER(K31),ISNUMBER(L31),ISNUMBER(M31),H31="X",I31="X",J31="X",K31="X",L31="X",M31="X",H31="M",I31="M",J31="M",K31="M",L31="M",M31="M"),IF(H31="X",10,IF(H31="M",0,IF(ISNUMBER(H31),H31,0))) + IF(I31="X",10,IF(I31="M",0,IF(ISNUMBER(I31),I31,0))) + IF(J31="X",10,IF(J31="M",0,IF(ISNUMBER(J31),J31,0))) + IF(K31="X",10,IF(K31="M",0,IF(ISNUMBER(K31),K31,0))) + IF(L31="X",10,IF(L31="M",0,IF(ISNUMBER(L31),L31,0))) + IF(M31="X",10,IF(M31="M",0,IF(ISNUMBER(M31),M31,0))),"")</f>
        <v/>
      </c>
      <c r="O31" s="62"/>
      <c r="P31" s="62"/>
      <c r="Q31" s="62"/>
      <c r="R31" s="62"/>
      <c r="S31" s="62"/>
      <c r="T31" s="62"/>
      <c r="U31" s="63" t="str">
        <f>IF(OR(ISNUMBER(O31),ISNUMBER(P31),ISNUMBER(Q31),ISNUMBER(R31),ISNUMBER(S31),ISNUMBER(T31),O31="X",P31="X",Q31="X",R31="X",S31="X",T31="X",O31="M",P31="M",Q31="M",R31="M",S31="M",T31="M"),IF(O31="X",10,IF(O31="M",0,IF(ISNUMBER(O31),O31,0))) + IF(P31="X",10,IF(P31="M",0,IF(ISNUMBER(P31),P31,0))) + IF(Q31="X",10,IF(Q31="M",0,IF(ISNUMBER(Q31),Q31,0))) + IF(R31="X",10,IF(R31="M",0,IF(ISNUMBER(R31),R31,0))) + IF(S31="X",10,IF(S31="M",0,IF(ISNUMBER(S31),S31,0))) + IF(T31="X",10,IF(T31="M",0,IF(ISNUMBER(T31),T31,0))),"")</f>
        <v/>
      </c>
      <c r="V31" s="62"/>
      <c r="W31" s="62"/>
      <c r="X31" s="62"/>
      <c r="Y31" s="62"/>
      <c r="Z31" s="62"/>
      <c r="AA31" s="62"/>
      <c r="AB31" s="63" t="str">
        <f>IF(OR(ISNUMBER(V31),ISNUMBER(W31),ISNUMBER(X31),ISNUMBER(Y31),ISNUMBER(Z31),ISNUMBER(AA31),V31="X",W31="X",X31="X",Y31="X",Z31="X",AA31="X",V31="M",W31="M",X31="M",Y31="M",Z31="M",AA31="M"),IF(V31="X",10,IF(V31="M",0,IF(ISNUMBER(V31),V31,0))) + IF(W31="X",10,IF(W31="M",0,IF(ISNUMBER(W31),W31,0))) + IF(X31="X",10,IF(X31="M",0,IF(ISNUMBER(X31),X31,0))) + IF(Y31="X",10,IF(Y31="M",0,IF(ISNUMBER(Y31),Y31,0))) + IF(Z31="X",10,IF(Z31="M",0,IF(ISNUMBER(Z31),Z31,0))) + IF(AA31="X",10,IF(AA31="M",0,IF(ISNUMBER(AA31),AA31,0))),"")</f>
        <v/>
      </c>
      <c r="AC31" s="62"/>
      <c r="AD31" s="62"/>
      <c r="AE31" s="62"/>
      <c r="AF31" s="62"/>
      <c r="AG31" s="62"/>
      <c r="AH31" s="62"/>
      <c r="AI31" s="63" t="str">
        <f>IF(OR(ISNUMBER(AC31),ISNUMBER(AD31),ISNUMBER(AE31),ISNUMBER(AF31),ISNUMBER(AG31),ISNUMBER(AH31),AC31="X",AD31="X",AE31="X",AF31="X",AG31="X",AH31="X",AC31="M",AD31="M",AE31="M",AF31="M",AG31="M",AH31="M"),IF(AC31="X",10,IF(AC31="M",0,IF(ISNUMBER(AC31),AC31,0))) + IF(AD31="X",10,IF(AD31="M",0,IF(ISNUMBER(AD31),AD31,0))) + IF(AE31="X",10,IF(AE31="M",0,IF(ISNUMBER(AE31),AE31,0))) + IF(AF31="X",10,IF(AF31="M",0,IF(ISNUMBER(AF31),AF31,0))) + IF(AG31="X",10,IF(AG31="M",0,IF(ISNUMBER(AG31),AG31,0))) + IF(AH31="X",10,IF(AH31="M",0,IF(ISNUMBER(AH31),AH31,0))),"")</f>
        <v/>
      </c>
      <c r="AJ31" s="62"/>
      <c r="AK31" s="62"/>
      <c r="AL31" s="62"/>
      <c r="AM31" s="62"/>
      <c r="AN31" s="62"/>
      <c r="AO31" s="62"/>
      <c r="AP31" s="63" t="str">
        <f>IF(OR(ISNUMBER(AJ31),ISNUMBER(AK31),ISNUMBER(AL31),ISNUMBER(AM31),ISNUMBER(AN31),ISNUMBER(AO31),AJ31="X",AK31="X",AL31="X",AM31="X",AN31="X",AO31="X",AJ31="M",AK31="M",AL31="M",AM31="M",AN31="M",AO31="M"),IF(AJ31="X",10,IF(AJ31="M",0,IF(ISNUMBER(AJ31),AJ31,0))) + IF(AK31="X",10,IF(AK31="M",0,IF(ISNUMBER(AK31),AK31,0))) + IF(AL31="X",10,IF(AL31="M",0,IF(ISNUMBER(AL31),AL31,0))) + IF(AM31="X",10,IF(AM31="M",0,IF(ISNUMBER(AM31),AM31,0))) + IF(AN31="X",10,IF(AN31="M",0,IF(ISNUMBER(AN31),AN31,0))) + IF(AO31="X",10,IF(AO31="M",0,IF(ISNUMBER(AO31),AO31,0))),"")</f>
        <v/>
      </c>
      <c r="AQ31" s="64"/>
      <c r="AR31" s="64"/>
      <c r="AS31" s="64"/>
      <c r="AT31" s="64"/>
      <c r="AU31" s="64"/>
      <c r="AV31" s="64"/>
      <c r="AW31" s="63" t="str">
        <f>IF(OR(ISNUMBER(AQ31),ISNUMBER(AR31),ISNUMBER(AS31),ISNUMBER(AT31),ISNUMBER(AU31),ISNUMBER(AV31),AQ31="X",AR31="X",AS31="X",AT31="X",AU31="X",AV31="X",AQ31="M",AR31="M",AS31="M",AT31="M",AU31="M",AV31="M"),IF(AQ31="X",10,IF(AQ31="M",0,IF(ISNUMBER(AQ31),AQ31,0))) + IF(AR31="X",10,IF(AR31="M",0,IF(ISNUMBER(AR31),AR31,0))) + IF(AS31="X",10,IF(AS31="M",0,IF(ISNUMBER(AS31),AS31,0))) + IF(AT31="X",10,IF(AT31="M",0,IF(ISNUMBER(AT31),AT31,0))) + IF(AU31="X",10,IF(AU31="M",0,IF(ISNUMBER(AU31),AU31,0))) + IF(AV31="X",10,IF(AV31="M",0,IF(ISNUMBER(AV31),AV31,0))),"")</f>
        <v/>
      </c>
      <c r="AX31" s="65">
        <f>IF(AND(ISNUMBER(N31),ISNUMBER(N33)),IF(N31&gt;N33,2,IF(N31=N33,1,0)),0)+IF(AND(ISNUMBER(U31),ISNUMBER(U33)),IF(U31&gt;U33,2,IF(U31=U33,1,0)),0)+IF(AND(ISNUMBER(AB31),ISNUMBER(AB33)),IF(AB31&gt;AB33,2,IF(AB31=AB33,1,0)),0)+IF(AND(ISNUMBER(AI31),ISNUMBER(AI33)),IF(AI31&gt;AI33,2,IF(AI31=AI33,1,0)),0)+IF(AND(ISNUMBER(AP31),ISNUMBER(AP33)),IF(AP31&gt;AP33,2,IF(AP31=AP33,1,0)),0)</f>
        <v>0</v>
      </c>
      <c r="AY31" s="66"/>
      <c r="AZ31" s="67">
        <f>IF(AX31&gt;0,IF(H31="X",10,IF(H31="M",0,IF(ISNUMBER(H31),H31,0)))+IF(I31="X",10,IF(I31="M",0,IF(ISNUMBER(I31),I31,0)))+IF(J31="X",10,IF(J31="M",0,IF(ISNUMBER(J31),J31,0)))+IF(K31="X",10,IF(K31="M",0,IF(ISNUMBER(K31),K31,0)))+IF(L31="X",10,IF(L31="M",0,IF(ISNUMBER(L31),L31,0)))+IF(M31="X",10,IF(M31="M",0,IF(ISNUMBER(M31),M31,0)))+IF(O31="X",10,IF(O31="M",0,IF(ISNUMBER(O31),O31,0)))+IF(P31="X",10,IF(P31="M",0,IF(ISNUMBER(P31),P31,0)))+IF(Q31="X",10,IF(Q31="M",0,IF(ISNUMBER(Q31),Q31,0)))+IF(R31="X",10,IF(R31="M",0,IF(ISNUMBER(R31),R31,0)))+IF(S31="X",10,IF(S31="M",0,IF(ISNUMBER(S31),S31,0)))+IF(T31="X",10,IF(T31="M",0,IF(ISNUMBER(T31),T31,0)))+IF(V31="X",10,IF(V31="M",0,IF(ISNUMBER(V31),V31,0)))+IF(W31="X",10,IF(W31="M",0,IF(ISNUMBER(W31),W31,0)))+IF(X31="X",10,IF(X31="M",0,IF(ISNUMBER(X31),X31,0)))+IF(Y31="X",10,IF(Y31="M",0,IF(ISNUMBER(Y31),Y31,0)))+IF(Z31="X",10,IF(Z31="M",0,IF(ISNUMBER(Z31),Z31,0)))+IF(AA31="X",10,IF(AA31="M",0,IF(ISNUMBER(AA31),AA31,0)))+IF(AC31="X",10,IF(AC31="M",0,IF(ISNUMBER(AC31),AC31,0)))+IF(AD31="X",10,IF(AD31="M",0,IF(ISNUMBER(AD31),AD31,0)))+IF(AE31="X",10,IF(AE31="M",0,IF(ISNUMBER(AE31),AE31,0)))+IF(AF31="X",10,IF(AF31="M",0,IF(ISNUMBER(AF31),AF31,0)))+IF(AG31="X",10,IF(AG31="M",0,IF(ISNUMBER(AG31),AG31,0)))+IF(AH31="X",10,IF(AH31="M",0,IF(ISNUMBER(AH31),AH31,0)))+IF(AJ31="X",10,IF(AJ31="M",0,IF(ISNUMBER(AJ31),AJ31,0)))+IF(AK31="X",10,IF(AK31="M",0,IF(ISNUMBER(AK31),AK31,0)))+IF(AL31="X",10,IF(AL31="M",0,IF(ISNUMBER(AL31),AL31,0)))+IF(AM31="X",10,IF(AM31="M",0,IF(ISNUMBER(AM31),AM31,0)))+IF(AN31="X",10,IF(AN31="M",0,IF(ISNUMBER(AN31),AN31,0)))+IF(AO31="X",10,IF(AO31="M",0,IF(ISNUMBER(AO31),AO31,0)))+IF(AQ31="X",10,IF(AQ31="M",0,IF(ISNUMBER(AQ31),AQ31,0)))+IF(AR31="X",10,IF(AR31="M",0,IF(ISNUMBER(AR31),AR31,0)))+IF(AS31="X",10,IF(AS31="M",0,IF(ISNUMBER(AS31),AS31,0)))+IF(AT31="X",10,IF(AT31="M",0,IF(ISNUMBER(AT31),AT31,0)))+IF(AU31="X",10,IF(AU31="M",0,IF(ISNUMBER(AU31),AU31,0)))+IF(AV31="X",10,IF(AV31="M",0,IF(ISNUMBER(AV31),AV31,0))),0)</f>
        <v>0</v>
      </c>
      <c r="BA31" s="68" t="str">
        <f>IFERROR(IF(AY31="DQ","DISQUALIFIED",IF(AY33="DQ","&gt;&gt; Advance",IF(BC33="BYE","&gt;&gt; Advance",IF(BC31="BYE","BYE",IF(AX31&gt;=6,"WIN",IF(AX33&gt;=6,"LOSS",IF(AND(ISNUMBER(AW31),ISNUMBER(AW33)),IF(AW31&gt;AW33,"WIN",IF(AW31&lt;AW33,"LOSS","Shoot-Off")),"Playing"))))))),"Error")</f>
        <v>&gt;&gt; Advance</v>
      </c>
      <c r="BC31" s="69" t="str">
        <f>IFERROR(IF(INDEX('Beginner Adv 15M - Teams'!$L:$L,MATCH(6,'Beginner Adv 15M - Teams'!$A:$A,0))="Yes","BYE",IF(OR(INDEX('Beginner Adv 15M - Teams'!$B:$B,MATCH(6,'Beginner Adv 15M - Teams'!$A:$A,0))="",ISERROR(MATCH(6,'Beginner Adv 15M - Teams'!$A:$A,0))),"BYE","")),"BYE")</f>
        <v>BYE</v>
      </c>
    </row>
    <row r="32" spans="1:236" ht="3" customHeight="1" x14ac:dyDescent="0.35">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row>
    <row r="33" spans="1:237" ht="15.75" customHeight="1" x14ac:dyDescent="0.35">
      <c r="A33" s="61" t="str">
        <f>IFERROR(IF(INDEX('Beginner Adv 15M - Teams'!$L:$L,MATCH(11,'Beginner Adv 15M - Teams'!$A:$A,0))="Yes","BYE",IF(OR(INDEX('Beginner Adv 15M - Teams'!$B:$B,MATCH(11,'Beginner Adv 15M - Teams'!$A:$A,0))="",ISERROR(MATCH(11,'Beginner Adv 15M - Teams'!$A:$A,0))),"BYE","#11")),"BYE")</f>
        <v>BYE</v>
      </c>
      <c r="B33" s="106" t="str">
        <f>IFERROR(IF(INDEX('Beginner Adv 15M - Teams'!$L:$L,MATCH(11,'Beginner Adv 15M - Teams'!$A:$A,0))="Yes","",IF(INDEX('Beginner Adv 15M - Teams'!$N:$N,MATCH(11,'Beginner Adv 15M - Teams'!$A:$A,0))&lt;&gt;"",INDEX('Beginner Adv 15M - Teams'!$N:$N,MATCH(11,'Beginner Adv 15M - Teams'!$A:$A,0)),IF(INDEX('Beginner Adv 15M - Teams'!$B:$B,MATCH(11,'Beginner Adv 15M - Teams'!$A:$A,0))="","",INDEX('Beginner Adv 15M - Teams'!$B:$B,MATCH(11,'Beginner Adv 15M - Teams'!$A:$A,0))))),"")</f>
        <v/>
      </c>
      <c r="C33" s="106"/>
      <c r="D33" s="106"/>
      <c r="E33" s="107" t="str">
        <f>IF(OR(A33="BYE",BA33="&gt;&gt;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Advance",1,0),0),0))-1,2)=0)," (L)"," (R)")))</f>
        <v/>
      </c>
      <c r="F33" s="107"/>
      <c r="G33" s="107"/>
      <c r="H33" s="62"/>
      <c r="I33" s="62"/>
      <c r="J33" s="62"/>
      <c r="K33" s="62"/>
      <c r="L33" s="62"/>
      <c r="M33" s="62"/>
      <c r="N33" s="63" t="str">
        <f>IF(OR(ISNUMBER(H33),ISNUMBER(I33),ISNUMBER(J33),ISNUMBER(K33),ISNUMBER(L33),ISNUMBER(M33),H33="X",I33="X",J33="X",K33="X",L33="X",M33="X",H33="M",I33="M",J33="M",K33="M",L33="M",M33="M"),IF(H33="X",10,IF(H33="M",0,IF(ISNUMBER(H33),H33,0))) + IF(I33="X",10,IF(I33="M",0,IF(ISNUMBER(I33),I33,0))) + IF(J33="X",10,IF(J33="M",0,IF(ISNUMBER(J33),J33,0))) + IF(K33="X",10,IF(K33="M",0,IF(ISNUMBER(K33),K33,0))) + IF(L33="X",10,IF(L33="M",0,IF(ISNUMBER(L33),L33,0))) + IF(M33="X",10,IF(M33="M",0,IF(ISNUMBER(M33),M33,0))),"")</f>
        <v/>
      </c>
      <c r="O33" s="62"/>
      <c r="P33" s="62"/>
      <c r="Q33" s="62"/>
      <c r="R33" s="62"/>
      <c r="S33" s="62"/>
      <c r="T33" s="62"/>
      <c r="U33" s="63" t="str">
        <f>IF(OR(ISNUMBER(O33),ISNUMBER(P33),ISNUMBER(Q33),ISNUMBER(R33),ISNUMBER(S33),ISNUMBER(T33),O33="X",P33="X",Q33="X",R33="X",S33="X",T33="X",O33="M",P33="M",Q33="M",R33="M",S33="M",T33="M"),IF(O33="X",10,IF(O33="M",0,IF(ISNUMBER(O33),O33,0))) + IF(P33="X",10,IF(P33="M",0,IF(ISNUMBER(P33),P33,0))) + IF(Q33="X",10,IF(Q33="M",0,IF(ISNUMBER(Q33),Q33,0))) + IF(R33="X",10,IF(R33="M",0,IF(ISNUMBER(R33),R33,0))) + IF(S33="X",10,IF(S33="M",0,IF(ISNUMBER(S33),S33,0))) + IF(T33="X",10,IF(T33="M",0,IF(ISNUMBER(T33),T33,0))),"")</f>
        <v/>
      </c>
      <c r="V33" s="62"/>
      <c r="W33" s="62"/>
      <c r="X33" s="62"/>
      <c r="Y33" s="62"/>
      <c r="Z33" s="62"/>
      <c r="AA33" s="62"/>
      <c r="AB33" s="63" t="str">
        <f>IF(OR(ISNUMBER(V33),ISNUMBER(W33),ISNUMBER(X33),ISNUMBER(Y33),ISNUMBER(Z33),ISNUMBER(AA33),V33="X",W33="X",X33="X",Y33="X",Z33="X",AA33="X",V33="M",W33="M",X33="M",Y33="M",Z33="M",AA33="M"),IF(V33="X",10,IF(V33="M",0,IF(ISNUMBER(V33),V33,0))) + IF(W33="X",10,IF(W33="M",0,IF(ISNUMBER(W33),W33,0))) + IF(X33="X",10,IF(X33="M",0,IF(ISNUMBER(X33),X33,0))) + IF(Y33="X",10,IF(Y33="M",0,IF(ISNUMBER(Y33),Y33,0))) + IF(Z33="X",10,IF(Z33="M",0,IF(ISNUMBER(Z33),Z33,0))) + IF(AA33="X",10,IF(AA33="M",0,IF(ISNUMBER(AA33),AA33,0))),"")</f>
        <v/>
      </c>
      <c r="AC33" s="62"/>
      <c r="AD33" s="62"/>
      <c r="AE33" s="62"/>
      <c r="AF33" s="62"/>
      <c r="AG33" s="62"/>
      <c r="AH33" s="62"/>
      <c r="AI33" s="63" t="str">
        <f>IF(OR(ISNUMBER(AC33),ISNUMBER(AD33),ISNUMBER(AE33),ISNUMBER(AF33),ISNUMBER(AG33),ISNUMBER(AH33),AC33="X",AD33="X",AE33="X",AF33="X",AG33="X",AH33="X",AC33="M",AD33="M",AE33="M",AF33="M",AG33="M",AH33="M"),IF(AC33="X",10,IF(AC33="M",0,IF(ISNUMBER(AC33),AC33,0))) + IF(AD33="X",10,IF(AD33="M",0,IF(ISNUMBER(AD33),AD33,0))) + IF(AE33="X",10,IF(AE33="M",0,IF(ISNUMBER(AE33),AE33,0))) + IF(AF33="X",10,IF(AF33="M",0,IF(ISNUMBER(AF33),AF33,0))) + IF(AG33="X",10,IF(AG33="M",0,IF(ISNUMBER(AG33),AG33,0))) + IF(AH33="X",10,IF(AH33="M",0,IF(ISNUMBER(AH33),AH33,0))),"")</f>
        <v/>
      </c>
      <c r="AJ33" s="62"/>
      <c r="AK33" s="62"/>
      <c r="AL33" s="62"/>
      <c r="AM33" s="62"/>
      <c r="AN33" s="62"/>
      <c r="AO33" s="62"/>
      <c r="AP33" s="63" t="str">
        <f>IF(OR(ISNUMBER(AJ33),ISNUMBER(AK33),ISNUMBER(AL33),ISNUMBER(AM33),ISNUMBER(AN33),ISNUMBER(AO33),AJ33="X",AK33="X",AL33="X",AM33="X",AN33="X",AO33="X",AJ33="M",AK33="M",AL33="M",AM33="M",AN33="M",AO33="M"),IF(AJ33="X",10,IF(AJ33="M",0,IF(ISNUMBER(AJ33),AJ33,0))) + IF(AK33="X",10,IF(AK33="M",0,IF(ISNUMBER(AK33),AK33,0))) + IF(AL33="X",10,IF(AL33="M",0,IF(ISNUMBER(AL33),AL33,0))) + IF(AM33="X",10,IF(AM33="M",0,IF(ISNUMBER(AM33),AM33,0))) + IF(AN33="X",10,IF(AN33="M",0,IF(ISNUMBER(AN33),AN33,0))) + IF(AO33="X",10,IF(AO33="M",0,IF(ISNUMBER(AO33),AO33,0))),"")</f>
        <v/>
      </c>
      <c r="AQ33" s="64"/>
      <c r="AR33" s="64"/>
      <c r="AS33" s="64"/>
      <c r="AT33" s="64"/>
      <c r="AU33" s="64"/>
      <c r="AV33" s="64"/>
      <c r="AW33" s="63" t="str">
        <f>IF(OR(ISNUMBER(AQ33),ISNUMBER(AR33),ISNUMBER(AS33),ISNUMBER(AT33),ISNUMBER(AU33),ISNUMBER(AV33),AQ33="X",AR33="X",AS33="X",AT33="X",AU33="X",AV33="X",AQ33="M",AR33="M",AS33="M",AT33="M",AU33="M",AV33="M"),IF(AQ33="X",10,IF(AQ33="M",0,IF(ISNUMBER(AQ33),AQ33,0))) + IF(AR33="X",10,IF(AR33="M",0,IF(ISNUMBER(AR33),AR33,0))) + IF(AS33="X",10,IF(AS33="M",0,IF(ISNUMBER(AS33),AS33,0))) + IF(AT33="X",10,IF(AT33="M",0,IF(ISNUMBER(AT33),AT33,0))) + IF(AU33="X",10,IF(AU33="M",0,IF(ISNUMBER(AU33),AU33,0))) + IF(AV33="X",10,IF(AV33="M",0,IF(ISNUMBER(AV33),AV33,0))),"")</f>
        <v/>
      </c>
      <c r="AX33" s="65">
        <f>IF(AND(ISNUMBER(N33),ISNUMBER(N31)),IF(N33&gt;N31,2,IF(N33=N31,1,0)),0)+IF(AND(ISNUMBER(U33),ISNUMBER(U31)),IF(U33&gt;U31,2,IF(U33=U31,1,0)),0)+IF(AND(ISNUMBER(AB33),ISNUMBER(AB31)),IF(AB33&gt;AB31,2,IF(AB33=AB31,1,0)),0)+IF(AND(ISNUMBER(AI33),ISNUMBER(AI31)),IF(AI33&gt;AI31,2,IF(AI33=AI31,1,0)),0)+IF(AND(ISNUMBER(AP33),ISNUMBER(AP31)),IF(AP33&gt;AP31,2,IF(AP33=AP31,1,0)),0)</f>
        <v>0</v>
      </c>
      <c r="AY33" s="66"/>
      <c r="AZ33" s="67">
        <f>IF(AX33&gt;0,IF(H33="X",10,IF(H33="M",0,IF(ISNUMBER(H33),H33,0)))+IF(I33="X",10,IF(I33="M",0,IF(ISNUMBER(I33),I33,0)))+IF(J33="X",10,IF(J33="M",0,IF(ISNUMBER(J33),J33,0)))+IF(K33="X",10,IF(K33="M",0,IF(ISNUMBER(K33),K33,0)))+IF(L33="X",10,IF(L33="M",0,IF(ISNUMBER(L33),L33,0)))+IF(M33="X",10,IF(M33="M",0,IF(ISNUMBER(M33),M33,0)))+IF(O33="X",10,IF(O33="M",0,IF(ISNUMBER(O33),O33,0)))+IF(P33="X",10,IF(P33="M",0,IF(ISNUMBER(P33),P33,0)))+IF(Q33="X",10,IF(Q33="M",0,IF(ISNUMBER(Q33),Q33,0)))+IF(R33="X",10,IF(R33="M",0,IF(ISNUMBER(R33),R33,0)))+IF(S33="X",10,IF(S33="M",0,IF(ISNUMBER(S33),S33,0)))+IF(T33="X",10,IF(T33="M",0,IF(ISNUMBER(T33),T33,0)))+IF(V33="X",10,IF(V33="M",0,IF(ISNUMBER(V33),V33,0)))+IF(W33="X",10,IF(W33="M",0,IF(ISNUMBER(W33),W33,0)))+IF(X33="X",10,IF(X33="M",0,IF(ISNUMBER(X33),X33,0)))+IF(Y33="X",10,IF(Y33="M",0,IF(ISNUMBER(Y33),Y33,0)))+IF(Z33="X",10,IF(Z33="M",0,IF(ISNUMBER(Z33),Z33,0)))+IF(AA33="X",10,IF(AA33="M",0,IF(ISNUMBER(AA33),AA33,0)))+IF(AC33="X",10,IF(AC33="M",0,IF(ISNUMBER(AC33),AC33,0)))+IF(AD33="X",10,IF(AD33="M",0,IF(ISNUMBER(AD33),AD33,0)))+IF(AE33="X",10,IF(AE33="M",0,IF(ISNUMBER(AE33),AE33,0)))+IF(AF33="X",10,IF(AF33="M",0,IF(ISNUMBER(AF33),AF33,0)))+IF(AG33="X",10,IF(AG33="M",0,IF(ISNUMBER(AG33),AG33,0)))+IF(AH33="X",10,IF(AH33="M",0,IF(ISNUMBER(AH33),AH33,0)))+IF(AJ33="X",10,IF(AJ33="M",0,IF(ISNUMBER(AJ33),AJ33,0)))+IF(AK33="X",10,IF(AK33="M",0,IF(ISNUMBER(AK33),AK33,0)))+IF(AL33="X",10,IF(AL33="M",0,IF(ISNUMBER(AL33),AL33,0)))+IF(AM33="X",10,IF(AM33="M",0,IF(ISNUMBER(AM33),AM33,0)))+IF(AN33="X",10,IF(AN33="M",0,IF(ISNUMBER(AN33),AN33,0)))+IF(AO33="X",10,IF(AO33="M",0,IF(ISNUMBER(AO33),AO33,0)))+IF(AQ33="X",10,IF(AQ33="M",0,IF(ISNUMBER(AQ33),AQ33,0)))+IF(AR33="X",10,IF(AR33="M",0,IF(ISNUMBER(AR33),AR33,0)))+IF(AS33="X",10,IF(AS33="M",0,IF(ISNUMBER(AS33),AS33,0)))+IF(AT33="X",10,IF(AT33="M",0,IF(ISNUMBER(AT33),AT33,0)))+IF(AU33="X",10,IF(AU33="M",0,IF(ISNUMBER(AU33),AU33,0)))+IF(AV33="X",10,IF(AV33="M",0,IF(ISNUMBER(AV33),AV33,0))),0)</f>
        <v>0</v>
      </c>
      <c r="BA33" s="68" t="str">
        <f>IFERROR(IF(AY33="DQ","DISQUALIFIED",IF(AY31="DQ","&gt;&gt; Advance",IF(BC31="BYE","&gt;&gt; Advance",IF(BC33="BYE","BYE",IF(AX33&gt;=6,"WIN",IF(AX31&gt;=6,"LOSS",IF(AND(ISNUMBER(AW33),ISNUMBER(AW31)),IF(AW33&gt;AW31,"WIN",IF(AW33&lt;AW31,"LOSS","Shoot-Off")),"Playing"))))))),"Error")</f>
        <v>&gt;&gt; Advance</v>
      </c>
      <c r="BC33" s="69" t="str">
        <f>IFERROR(IF(INDEX('Beginner Adv 15M - Teams'!$L:$L,MATCH(11,'Beginner Adv 15M - Teams'!$A:$A,0))="Yes","BYE",IF(OR(INDEX('Beginner Adv 15M - Teams'!$B:$B,MATCH(11,'Beginner Adv 15M - Teams'!$A:$A,0))="",ISERROR(MATCH(11,'Beginner Adv 15M - Teams'!$A:$A,0))),"BYE","")),"BYE")</f>
        <v>BYE</v>
      </c>
    </row>
    <row r="34" spans="1:237" ht="1.5" customHeight="1" x14ac:dyDescent="0.35"/>
    <row r="35" spans="1:237" ht="10.5" customHeight="1" x14ac:dyDescent="0.35">
      <c r="A35" s="104" t="s">
        <v>209</v>
      </c>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row>
    <row r="36" spans="1:237" ht="15.75" customHeight="1" x14ac:dyDescent="0.35">
      <c r="A36" s="61" t="str">
        <f>IFERROR(IF(INDEX('Beginner Adv 15M - Teams'!$L:$L,MATCH(7,'Beginner Adv 15M - Teams'!$A:$A,0))="Yes","BYE",IF(OR(INDEX('Beginner Adv 15M - Teams'!$B:$B,MATCH(7,'Beginner Adv 15M - Teams'!$A:$A,0))="",ISERROR(MATCH(7,'Beginner Adv 15M - Teams'!$A:$A,0))),"BYE","#7")),"BYE")</f>
        <v>BYE</v>
      </c>
      <c r="B36" s="106" t="str">
        <f>IFERROR(IF(INDEX('Beginner Adv 15M - Teams'!$L:$L,MATCH(7,'Beginner Adv 15M - Teams'!$A:$A,0))="Yes","",IF(INDEX('Beginner Adv 15M - Teams'!$N:$N,MATCH(7,'Beginner Adv 15M - Teams'!$A:$A,0))&lt;&gt;"",INDEX('Beginner Adv 15M - Teams'!$N:$N,MATCH(7,'Beginner Adv 15M - Teams'!$A:$A,0)),IF(INDEX('Beginner Adv 15M - Teams'!$B:$B,MATCH(7,'Beginner Adv 15M - Teams'!$A:$A,0))="","",INDEX('Beginner Adv 15M - Teams'!$B:$B,MATCH(7,'Beginner Adv 15M - Teams'!$A:$A,0))))),"")</f>
        <v/>
      </c>
      <c r="C36" s="106"/>
      <c r="D36" s="106"/>
      <c r="E36" s="107" t="str">
        <f>IF(OR(A36="BYE",BA36="&gt;&gt;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Advance",1,0),0),0))-1,2)=0)," (L)"," (R)")))</f>
        <v/>
      </c>
      <c r="F36" s="107"/>
      <c r="G36" s="107"/>
      <c r="H36" s="62"/>
      <c r="I36" s="62"/>
      <c r="J36" s="62"/>
      <c r="K36" s="62"/>
      <c r="L36" s="62"/>
      <c r="M36" s="62"/>
      <c r="N36" s="63" t="str">
        <f>IF(OR(ISNUMBER(H36),ISNUMBER(I36),ISNUMBER(J36),ISNUMBER(K36),ISNUMBER(L36),ISNUMBER(M36),H36="X",I36="X",J36="X",K36="X",L36="X",M36="X",H36="M",I36="M",J36="M",K36="M",L36="M",M36="M"),IF(H36="X",10,IF(H36="M",0,IF(ISNUMBER(H36),H36,0))) + IF(I36="X",10,IF(I36="M",0,IF(ISNUMBER(I36),I36,0))) + IF(J36="X",10,IF(J36="M",0,IF(ISNUMBER(J36),J36,0))) + IF(K36="X",10,IF(K36="M",0,IF(ISNUMBER(K36),K36,0))) + IF(L36="X",10,IF(L36="M",0,IF(ISNUMBER(L36),L36,0))) + IF(M36="X",10,IF(M36="M",0,IF(ISNUMBER(M36),M36,0))),"")</f>
        <v/>
      </c>
      <c r="O36" s="62"/>
      <c r="P36" s="62"/>
      <c r="Q36" s="62"/>
      <c r="R36" s="62"/>
      <c r="S36" s="62"/>
      <c r="T36" s="62"/>
      <c r="U36" s="63" t="str">
        <f>IF(OR(ISNUMBER(O36),ISNUMBER(P36),ISNUMBER(Q36),ISNUMBER(R36),ISNUMBER(S36),ISNUMBER(T36),O36="X",P36="X",Q36="X",R36="X",S36="X",T36="X",O36="M",P36="M",Q36="M",R36="M",S36="M",T36="M"),IF(O36="X",10,IF(O36="M",0,IF(ISNUMBER(O36),O36,0))) + IF(P36="X",10,IF(P36="M",0,IF(ISNUMBER(P36),P36,0))) + IF(Q36="X",10,IF(Q36="M",0,IF(ISNUMBER(Q36),Q36,0))) + IF(R36="X",10,IF(R36="M",0,IF(ISNUMBER(R36),R36,0))) + IF(S36="X",10,IF(S36="M",0,IF(ISNUMBER(S36),S36,0))) + IF(T36="X",10,IF(T36="M",0,IF(ISNUMBER(T36),T36,0))),"")</f>
        <v/>
      </c>
      <c r="V36" s="62"/>
      <c r="W36" s="62"/>
      <c r="X36" s="62"/>
      <c r="Y36" s="62"/>
      <c r="Z36" s="62"/>
      <c r="AA36" s="62"/>
      <c r="AB36" s="63" t="str">
        <f>IF(OR(ISNUMBER(V36),ISNUMBER(W36),ISNUMBER(X36),ISNUMBER(Y36),ISNUMBER(Z36),ISNUMBER(AA36),V36="X",W36="X",X36="X",Y36="X",Z36="X",AA36="X",V36="M",W36="M",X36="M",Y36="M",Z36="M",AA36="M"),IF(V36="X",10,IF(V36="M",0,IF(ISNUMBER(V36),V36,0))) + IF(W36="X",10,IF(W36="M",0,IF(ISNUMBER(W36),W36,0))) + IF(X36="X",10,IF(X36="M",0,IF(ISNUMBER(X36),X36,0))) + IF(Y36="X",10,IF(Y36="M",0,IF(ISNUMBER(Y36),Y36,0))) + IF(Z36="X",10,IF(Z36="M",0,IF(ISNUMBER(Z36),Z36,0))) + IF(AA36="X",10,IF(AA36="M",0,IF(ISNUMBER(AA36),AA36,0))),"")</f>
        <v/>
      </c>
      <c r="AC36" s="62"/>
      <c r="AD36" s="62"/>
      <c r="AE36" s="62"/>
      <c r="AF36" s="62"/>
      <c r="AG36" s="62"/>
      <c r="AH36" s="62"/>
      <c r="AI36" s="63" t="str">
        <f>IF(OR(ISNUMBER(AC36),ISNUMBER(AD36),ISNUMBER(AE36),ISNUMBER(AF36),ISNUMBER(AG36),ISNUMBER(AH36),AC36="X",AD36="X",AE36="X",AF36="X",AG36="X",AH36="X",AC36="M",AD36="M",AE36="M",AF36="M",AG36="M",AH36="M"),IF(AC36="X",10,IF(AC36="M",0,IF(ISNUMBER(AC36),AC36,0))) + IF(AD36="X",10,IF(AD36="M",0,IF(ISNUMBER(AD36),AD36,0))) + IF(AE36="X",10,IF(AE36="M",0,IF(ISNUMBER(AE36),AE36,0))) + IF(AF36="X",10,IF(AF36="M",0,IF(ISNUMBER(AF36),AF36,0))) + IF(AG36="X",10,IF(AG36="M",0,IF(ISNUMBER(AG36),AG36,0))) + IF(AH36="X",10,IF(AH36="M",0,IF(ISNUMBER(AH36),AH36,0))),"")</f>
        <v/>
      </c>
      <c r="AJ36" s="62"/>
      <c r="AK36" s="62"/>
      <c r="AL36" s="62"/>
      <c r="AM36" s="62"/>
      <c r="AN36" s="62"/>
      <c r="AO36" s="62"/>
      <c r="AP36" s="63" t="str">
        <f>IF(OR(ISNUMBER(AJ36),ISNUMBER(AK36),ISNUMBER(AL36),ISNUMBER(AM36),ISNUMBER(AN36),ISNUMBER(AO36),AJ36="X",AK36="X",AL36="X",AM36="X",AN36="X",AO36="X",AJ36="M",AK36="M",AL36="M",AM36="M",AN36="M",AO36="M"),IF(AJ36="X",10,IF(AJ36="M",0,IF(ISNUMBER(AJ36),AJ36,0))) + IF(AK36="X",10,IF(AK36="M",0,IF(ISNUMBER(AK36),AK36,0))) + IF(AL36="X",10,IF(AL36="M",0,IF(ISNUMBER(AL36),AL36,0))) + IF(AM36="X",10,IF(AM36="M",0,IF(ISNUMBER(AM36),AM36,0))) + IF(AN36="X",10,IF(AN36="M",0,IF(ISNUMBER(AN36),AN36,0))) + IF(AO36="X",10,IF(AO36="M",0,IF(ISNUMBER(AO36),AO36,0))),"")</f>
        <v/>
      </c>
      <c r="AQ36" s="64"/>
      <c r="AR36" s="64"/>
      <c r="AS36" s="64"/>
      <c r="AT36" s="64"/>
      <c r="AU36" s="64"/>
      <c r="AV36" s="64"/>
      <c r="AW36" s="63" t="str">
        <f>IF(OR(ISNUMBER(AQ36),ISNUMBER(AR36),ISNUMBER(AS36),ISNUMBER(AT36),ISNUMBER(AU36),ISNUMBER(AV36),AQ36="X",AR36="X",AS36="X",AT36="X",AU36="X",AV36="X",AQ36="M",AR36="M",AS36="M",AT36="M",AU36="M",AV36="M"),IF(AQ36="X",10,IF(AQ36="M",0,IF(ISNUMBER(AQ36),AQ36,0))) + IF(AR36="X",10,IF(AR36="M",0,IF(ISNUMBER(AR36),AR36,0))) + IF(AS36="X",10,IF(AS36="M",0,IF(ISNUMBER(AS36),AS36,0))) + IF(AT36="X",10,IF(AT36="M",0,IF(ISNUMBER(AT36),AT36,0))) + IF(AU36="X",10,IF(AU36="M",0,IF(ISNUMBER(AU36),AU36,0))) + IF(AV36="X",10,IF(AV36="M",0,IF(ISNUMBER(AV36),AV36,0))),"")</f>
        <v/>
      </c>
      <c r="AX36" s="65">
        <f>IF(AND(ISNUMBER(N36),ISNUMBER(N38)),IF(N36&gt;N38,2,IF(N36=N38,1,0)),0)+IF(AND(ISNUMBER(U36),ISNUMBER(U38)),IF(U36&gt;U38,2,IF(U36=U38,1,0)),0)+IF(AND(ISNUMBER(AB36),ISNUMBER(AB38)),IF(AB36&gt;AB38,2,IF(AB36=AB38,1,0)),0)+IF(AND(ISNUMBER(AI36),ISNUMBER(AI38)),IF(AI36&gt;AI38,2,IF(AI36=AI38,1,0)),0)+IF(AND(ISNUMBER(AP36),ISNUMBER(AP38)),IF(AP36&gt;AP38,2,IF(AP36=AP38,1,0)),0)</f>
        <v>0</v>
      </c>
      <c r="AY36" s="66"/>
      <c r="AZ36" s="67">
        <f>IF(AX36&gt;0,IF(H36="X",10,IF(H36="M",0,IF(ISNUMBER(H36),H36,0)))+IF(I36="X",10,IF(I36="M",0,IF(ISNUMBER(I36),I36,0)))+IF(J36="X",10,IF(J36="M",0,IF(ISNUMBER(J36),J36,0)))+IF(K36="X",10,IF(K36="M",0,IF(ISNUMBER(K36),K36,0)))+IF(L36="X",10,IF(L36="M",0,IF(ISNUMBER(L36),L36,0)))+IF(M36="X",10,IF(M36="M",0,IF(ISNUMBER(M36),M36,0)))+IF(O36="X",10,IF(O36="M",0,IF(ISNUMBER(O36),O36,0)))+IF(P36="X",10,IF(P36="M",0,IF(ISNUMBER(P36),P36,0)))+IF(Q36="X",10,IF(Q36="M",0,IF(ISNUMBER(Q36),Q36,0)))+IF(R36="X",10,IF(R36="M",0,IF(ISNUMBER(R36),R36,0)))+IF(S36="X",10,IF(S36="M",0,IF(ISNUMBER(S36),S36,0)))+IF(T36="X",10,IF(T36="M",0,IF(ISNUMBER(T36),T36,0)))+IF(V36="X",10,IF(V36="M",0,IF(ISNUMBER(V36),V36,0)))+IF(W36="X",10,IF(W36="M",0,IF(ISNUMBER(W36),W36,0)))+IF(X36="X",10,IF(X36="M",0,IF(ISNUMBER(X36),X36,0)))+IF(Y36="X",10,IF(Y36="M",0,IF(ISNUMBER(Y36),Y36,0)))+IF(Z36="X",10,IF(Z36="M",0,IF(ISNUMBER(Z36),Z36,0)))+IF(AA36="X",10,IF(AA36="M",0,IF(ISNUMBER(AA36),AA36,0)))+IF(AC36="X",10,IF(AC36="M",0,IF(ISNUMBER(AC36),AC36,0)))+IF(AD36="X",10,IF(AD36="M",0,IF(ISNUMBER(AD36),AD36,0)))+IF(AE36="X",10,IF(AE36="M",0,IF(ISNUMBER(AE36),AE36,0)))+IF(AF36="X",10,IF(AF36="M",0,IF(ISNUMBER(AF36),AF36,0)))+IF(AG36="X",10,IF(AG36="M",0,IF(ISNUMBER(AG36),AG36,0)))+IF(AH36="X",10,IF(AH36="M",0,IF(ISNUMBER(AH36),AH36,0)))+IF(AJ36="X",10,IF(AJ36="M",0,IF(ISNUMBER(AJ36),AJ36,0)))+IF(AK36="X",10,IF(AK36="M",0,IF(ISNUMBER(AK36),AK36,0)))+IF(AL36="X",10,IF(AL36="M",0,IF(ISNUMBER(AL36),AL36,0)))+IF(AM36="X",10,IF(AM36="M",0,IF(ISNUMBER(AM36),AM36,0)))+IF(AN36="X",10,IF(AN36="M",0,IF(ISNUMBER(AN36),AN36,0)))+IF(AO36="X",10,IF(AO36="M",0,IF(ISNUMBER(AO36),AO36,0)))+IF(AQ36="X",10,IF(AQ36="M",0,IF(ISNUMBER(AQ36),AQ36,0)))+IF(AR36="X",10,IF(AR36="M",0,IF(ISNUMBER(AR36),AR36,0)))+IF(AS36="X",10,IF(AS36="M",0,IF(ISNUMBER(AS36),AS36,0)))+IF(AT36="X",10,IF(AT36="M",0,IF(ISNUMBER(AT36),AT36,0)))+IF(AU36="X",10,IF(AU36="M",0,IF(ISNUMBER(AU36),AU36,0)))+IF(AV36="X",10,IF(AV36="M",0,IF(ISNUMBER(AV36),AV36,0))),0)</f>
        <v>0</v>
      </c>
      <c r="BA36" s="68" t="str">
        <f>IFERROR(IF(AY36="DQ","DISQUALIFIED",IF(AY38="DQ","&gt;&gt; Advance",IF(BC38="BYE","&gt;&gt; Advance",IF(BC36="BYE","BYE",IF(AX36&gt;=6,"WIN",IF(AX38&gt;=6,"LOSS",IF(AND(ISNUMBER(AW36),ISNUMBER(AW38)),IF(AW36&gt;AW38,"WIN",IF(AW36&lt;AW38,"LOSS","Shoot-Off")),"Playing"))))))),"Error")</f>
        <v>&gt;&gt; Advance</v>
      </c>
      <c r="BC36" s="69" t="str">
        <f>IFERROR(IF(INDEX('Beginner Adv 15M - Teams'!$L:$L,MATCH(7,'Beginner Adv 15M - Teams'!$A:$A,0))="Yes","BYE",IF(OR(INDEX('Beginner Adv 15M - Teams'!$B:$B,MATCH(7,'Beginner Adv 15M - Teams'!$A:$A,0))="",ISERROR(MATCH(7,'Beginner Adv 15M - Teams'!$A:$A,0))),"BYE","")),"BYE")</f>
        <v>BYE</v>
      </c>
    </row>
    <row r="37" spans="1:237" ht="3" customHeight="1" x14ac:dyDescent="0.35">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row>
    <row r="38" spans="1:237" ht="15.75" customHeight="1" x14ac:dyDescent="0.35">
      <c r="A38" s="61" t="str">
        <f>IFERROR(IF(INDEX('Beginner Adv 15M - Teams'!$L:$L,MATCH(10,'Beginner Adv 15M - Teams'!$A:$A,0))="Yes","BYE",IF(OR(INDEX('Beginner Adv 15M - Teams'!$B:$B,MATCH(10,'Beginner Adv 15M - Teams'!$A:$A,0))="",ISERROR(MATCH(10,'Beginner Adv 15M - Teams'!$A:$A,0))),"BYE","#10")),"BYE")</f>
        <v>BYE</v>
      </c>
      <c r="B38" s="106" t="str">
        <f>IFERROR(IF(INDEX('Beginner Adv 15M - Teams'!$L:$L,MATCH(10,'Beginner Adv 15M - Teams'!$A:$A,0))="Yes","",IF(INDEX('Beginner Adv 15M - Teams'!$N:$N,MATCH(10,'Beginner Adv 15M - Teams'!$A:$A,0))&lt;&gt;"",INDEX('Beginner Adv 15M - Teams'!$N:$N,MATCH(10,'Beginner Adv 15M - Teams'!$A:$A,0)),IF(INDEX('Beginner Adv 15M - Teams'!$B:$B,MATCH(10,'Beginner Adv 15M - Teams'!$A:$A,0))="","",INDEX('Beginner Adv 15M - Teams'!$B:$B,MATCH(10,'Beginner Adv 15M - Teams'!$A:$A,0))))),"")</f>
        <v/>
      </c>
      <c r="C38" s="106"/>
      <c r="D38" s="106"/>
      <c r="E38" s="107" t="str">
        <f>IF(OR(A38="BYE",BA38="&gt;&gt;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Advance",1,0),0),0))-1,2)=0)," (L)"," (R)")))</f>
        <v/>
      </c>
      <c r="F38" s="107"/>
      <c r="G38" s="107"/>
      <c r="H38" s="62"/>
      <c r="I38" s="62"/>
      <c r="J38" s="62"/>
      <c r="K38" s="62"/>
      <c r="L38" s="62"/>
      <c r="M38" s="62"/>
      <c r="N38" s="63" t="str">
        <f>IF(OR(ISNUMBER(H38),ISNUMBER(I38),ISNUMBER(J38),ISNUMBER(K38),ISNUMBER(L38),ISNUMBER(M38),H38="X",I38="X",J38="X",K38="X",L38="X",M38="X",H38="M",I38="M",J38="M",K38="M",L38="M",M38="M"),IF(H38="X",10,IF(H38="M",0,IF(ISNUMBER(H38),H38,0))) + IF(I38="X",10,IF(I38="M",0,IF(ISNUMBER(I38),I38,0))) + IF(J38="X",10,IF(J38="M",0,IF(ISNUMBER(J38),J38,0))) + IF(K38="X",10,IF(K38="M",0,IF(ISNUMBER(K38),K38,0))) + IF(L38="X",10,IF(L38="M",0,IF(ISNUMBER(L38),L38,0))) + IF(M38="X",10,IF(M38="M",0,IF(ISNUMBER(M38),M38,0))),"")</f>
        <v/>
      </c>
      <c r="O38" s="62"/>
      <c r="P38" s="62"/>
      <c r="Q38" s="62"/>
      <c r="R38" s="62"/>
      <c r="S38" s="62"/>
      <c r="T38" s="62"/>
      <c r="U38" s="63" t="str">
        <f>IF(OR(ISNUMBER(O38),ISNUMBER(P38),ISNUMBER(Q38),ISNUMBER(R38),ISNUMBER(S38),ISNUMBER(T38),O38="X",P38="X",Q38="X",R38="X",S38="X",T38="X",O38="M",P38="M",Q38="M",R38="M",S38="M",T38="M"),IF(O38="X",10,IF(O38="M",0,IF(ISNUMBER(O38),O38,0))) + IF(P38="X",10,IF(P38="M",0,IF(ISNUMBER(P38),P38,0))) + IF(Q38="X",10,IF(Q38="M",0,IF(ISNUMBER(Q38),Q38,0))) + IF(R38="X",10,IF(R38="M",0,IF(ISNUMBER(R38),R38,0))) + IF(S38="X",10,IF(S38="M",0,IF(ISNUMBER(S38),S38,0))) + IF(T38="X",10,IF(T38="M",0,IF(ISNUMBER(T38),T38,0))),"")</f>
        <v/>
      </c>
      <c r="V38" s="62"/>
      <c r="W38" s="62"/>
      <c r="X38" s="62"/>
      <c r="Y38" s="62"/>
      <c r="Z38" s="62"/>
      <c r="AA38" s="62"/>
      <c r="AB38" s="63" t="str">
        <f>IF(OR(ISNUMBER(V38),ISNUMBER(W38),ISNUMBER(X38),ISNUMBER(Y38),ISNUMBER(Z38),ISNUMBER(AA38),V38="X",W38="X",X38="X",Y38="X",Z38="X",AA38="X",V38="M",W38="M",X38="M",Y38="M",Z38="M",AA38="M"),IF(V38="X",10,IF(V38="M",0,IF(ISNUMBER(V38),V38,0))) + IF(W38="X",10,IF(W38="M",0,IF(ISNUMBER(W38),W38,0))) + IF(X38="X",10,IF(X38="M",0,IF(ISNUMBER(X38),X38,0))) + IF(Y38="X",10,IF(Y38="M",0,IF(ISNUMBER(Y38),Y38,0))) + IF(Z38="X",10,IF(Z38="M",0,IF(ISNUMBER(Z38),Z38,0))) + IF(AA38="X",10,IF(AA38="M",0,IF(ISNUMBER(AA38),AA38,0))),"")</f>
        <v/>
      </c>
      <c r="AC38" s="62"/>
      <c r="AD38" s="62"/>
      <c r="AE38" s="62"/>
      <c r="AF38" s="62"/>
      <c r="AG38" s="62"/>
      <c r="AH38" s="62"/>
      <c r="AI38" s="63" t="str">
        <f>IF(OR(ISNUMBER(AC38),ISNUMBER(AD38),ISNUMBER(AE38),ISNUMBER(AF38),ISNUMBER(AG38),ISNUMBER(AH38),AC38="X",AD38="X",AE38="X",AF38="X",AG38="X",AH38="X",AC38="M",AD38="M",AE38="M",AF38="M",AG38="M",AH38="M"),IF(AC38="X",10,IF(AC38="M",0,IF(ISNUMBER(AC38),AC38,0))) + IF(AD38="X",10,IF(AD38="M",0,IF(ISNUMBER(AD38),AD38,0))) + IF(AE38="X",10,IF(AE38="M",0,IF(ISNUMBER(AE38),AE38,0))) + IF(AF38="X",10,IF(AF38="M",0,IF(ISNUMBER(AF38),AF38,0))) + IF(AG38="X",10,IF(AG38="M",0,IF(ISNUMBER(AG38),AG38,0))) + IF(AH38="X",10,IF(AH38="M",0,IF(ISNUMBER(AH38),AH38,0))),"")</f>
        <v/>
      </c>
      <c r="AJ38" s="62"/>
      <c r="AK38" s="62"/>
      <c r="AL38" s="62"/>
      <c r="AM38" s="62"/>
      <c r="AN38" s="62"/>
      <c r="AO38" s="62"/>
      <c r="AP38" s="63" t="str">
        <f>IF(OR(ISNUMBER(AJ38),ISNUMBER(AK38),ISNUMBER(AL38),ISNUMBER(AM38),ISNUMBER(AN38),ISNUMBER(AO38),AJ38="X",AK38="X",AL38="X",AM38="X",AN38="X",AO38="X",AJ38="M",AK38="M",AL38="M",AM38="M",AN38="M",AO38="M"),IF(AJ38="X",10,IF(AJ38="M",0,IF(ISNUMBER(AJ38),AJ38,0))) + IF(AK38="X",10,IF(AK38="M",0,IF(ISNUMBER(AK38),AK38,0))) + IF(AL38="X",10,IF(AL38="M",0,IF(ISNUMBER(AL38),AL38,0))) + IF(AM38="X",10,IF(AM38="M",0,IF(ISNUMBER(AM38),AM38,0))) + IF(AN38="X",10,IF(AN38="M",0,IF(ISNUMBER(AN38),AN38,0))) + IF(AO38="X",10,IF(AO38="M",0,IF(ISNUMBER(AO38),AO38,0))),"")</f>
        <v/>
      </c>
      <c r="AQ38" s="64"/>
      <c r="AR38" s="64"/>
      <c r="AS38" s="64"/>
      <c r="AT38" s="64"/>
      <c r="AU38" s="64"/>
      <c r="AV38" s="64"/>
      <c r="AW38" s="63" t="str">
        <f>IF(OR(ISNUMBER(AQ38),ISNUMBER(AR38),ISNUMBER(AS38),ISNUMBER(AT38),ISNUMBER(AU38),ISNUMBER(AV38),AQ38="X",AR38="X",AS38="X",AT38="X",AU38="X",AV38="X",AQ38="M",AR38="M",AS38="M",AT38="M",AU38="M",AV38="M"),IF(AQ38="X",10,IF(AQ38="M",0,IF(ISNUMBER(AQ38),AQ38,0))) + IF(AR38="X",10,IF(AR38="M",0,IF(ISNUMBER(AR38),AR38,0))) + IF(AS38="X",10,IF(AS38="M",0,IF(ISNUMBER(AS38),AS38,0))) + IF(AT38="X",10,IF(AT38="M",0,IF(ISNUMBER(AT38),AT38,0))) + IF(AU38="X",10,IF(AU38="M",0,IF(ISNUMBER(AU38),AU38,0))) + IF(AV38="X",10,IF(AV38="M",0,IF(ISNUMBER(AV38),AV38,0))),"")</f>
        <v/>
      </c>
      <c r="AX38" s="65">
        <f>IF(AND(ISNUMBER(N38),ISNUMBER(N36)),IF(N38&gt;N36,2,IF(N38=N36,1,0)),0)+IF(AND(ISNUMBER(U38),ISNUMBER(U36)),IF(U38&gt;U36,2,IF(U38=U36,1,0)),0)+IF(AND(ISNUMBER(AB38),ISNUMBER(AB36)),IF(AB38&gt;AB36,2,IF(AB38=AB36,1,0)),0)+IF(AND(ISNUMBER(AI38),ISNUMBER(AI36)),IF(AI38&gt;AI36,2,IF(AI38=AI36,1,0)),0)+IF(AND(ISNUMBER(AP38),ISNUMBER(AP36)),IF(AP38&gt;AP36,2,IF(AP38=AP36,1,0)),0)</f>
        <v>0</v>
      </c>
      <c r="AY38" s="66"/>
      <c r="AZ38" s="67">
        <f>IF(AX38&gt;0,IF(H38="X",10,IF(H38="M",0,IF(ISNUMBER(H38),H38,0)))+IF(I38="X",10,IF(I38="M",0,IF(ISNUMBER(I38),I38,0)))+IF(J38="X",10,IF(J38="M",0,IF(ISNUMBER(J38),J38,0)))+IF(K38="X",10,IF(K38="M",0,IF(ISNUMBER(K38),K38,0)))+IF(L38="X",10,IF(L38="M",0,IF(ISNUMBER(L38),L38,0)))+IF(M38="X",10,IF(M38="M",0,IF(ISNUMBER(M38),M38,0)))+IF(O38="X",10,IF(O38="M",0,IF(ISNUMBER(O38),O38,0)))+IF(P38="X",10,IF(P38="M",0,IF(ISNUMBER(P38),P38,0)))+IF(Q38="X",10,IF(Q38="M",0,IF(ISNUMBER(Q38),Q38,0)))+IF(R38="X",10,IF(R38="M",0,IF(ISNUMBER(R38),R38,0)))+IF(S38="X",10,IF(S38="M",0,IF(ISNUMBER(S38),S38,0)))+IF(T38="X",10,IF(T38="M",0,IF(ISNUMBER(T38),T38,0)))+IF(V38="X",10,IF(V38="M",0,IF(ISNUMBER(V38),V38,0)))+IF(W38="X",10,IF(W38="M",0,IF(ISNUMBER(W38),W38,0)))+IF(X38="X",10,IF(X38="M",0,IF(ISNUMBER(X38),X38,0)))+IF(Y38="X",10,IF(Y38="M",0,IF(ISNUMBER(Y38),Y38,0)))+IF(Z38="X",10,IF(Z38="M",0,IF(ISNUMBER(Z38),Z38,0)))+IF(AA38="X",10,IF(AA38="M",0,IF(ISNUMBER(AA38),AA38,0)))+IF(AC38="X",10,IF(AC38="M",0,IF(ISNUMBER(AC38),AC38,0)))+IF(AD38="X",10,IF(AD38="M",0,IF(ISNUMBER(AD38),AD38,0)))+IF(AE38="X",10,IF(AE38="M",0,IF(ISNUMBER(AE38),AE38,0)))+IF(AF38="X",10,IF(AF38="M",0,IF(ISNUMBER(AF38),AF38,0)))+IF(AG38="X",10,IF(AG38="M",0,IF(ISNUMBER(AG38),AG38,0)))+IF(AH38="X",10,IF(AH38="M",0,IF(ISNUMBER(AH38),AH38,0)))+IF(AJ38="X",10,IF(AJ38="M",0,IF(ISNUMBER(AJ38),AJ38,0)))+IF(AK38="X",10,IF(AK38="M",0,IF(ISNUMBER(AK38),AK38,0)))+IF(AL38="X",10,IF(AL38="M",0,IF(ISNUMBER(AL38),AL38,0)))+IF(AM38="X",10,IF(AM38="M",0,IF(ISNUMBER(AM38),AM38,0)))+IF(AN38="X",10,IF(AN38="M",0,IF(ISNUMBER(AN38),AN38,0)))+IF(AO38="X",10,IF(AO38="M",0,IF(ISNUMBER(AO38),AO38,0)))+IF(AQ38="X",10,IF(AQ38="M",0,IF(ISNUMBER(AQ38),AQ38,0)))+IF(AR38="X",10,IF(AR38="M",0,IF(ISNUMBER(AR38),AR38,0)))+IF(AS38="X",10,IF(AS38="M",0,IF(ISNUMBER(AS38),AS38,0)))+IF(AT38="X",10,IF(AT38="M",0,IF(ISNUMBER(AT38),AT38,0)))+IF(AU38="X",10,IF(AU38="M",0,IF(ISNUMBER(AU38),AU38,0)))+IF(AV38="X",10,IF(AV38="M",0,IF(ISNUMBER(AV38),AV38,0))),0)</f>
        <v>0</v>
      </c>
      <c r="BA38" s="68" t="str">
        <f>IFERROR(IF(AY38="DQ","DISQUALIFIED",IF(AY36="DQ","&gt;&gt; Advance",IF(BC36="BYE","&gt;&gt; Advance",IF(BC38="BYE","BYE",IF(AX38&gt;=6,"WIN",IF(AX36&gt;=6,"LOSS",IF(AND(ISNUMBER(AW38),ISNUMBER(AW36)),IF(AW38&gt;AW36,"WIN",IF(AW38&lt;AW36,"LOSS","Shoot-Off")),"Playing"))))))),"Error")</f>
        <v>&gt;&gt; Advance</v>
      </c>
      <c r="BC38" s="69" t="str">
        <f>IFERROR(IF(INDEX('Beginner Adv 15M - Teams'!$L:$L,MATCH(10,'Beginner Adv 15M - Teams'!$A:$A,0))="Yes","BYE",IF(OR(INDEX('Beginner Adv 15M - Teams'!$B:$B,MATCH(10,'Beginner Adv 15M - Teams'!$A:$A,0))="",ISERROR(MATCH(10,'Beginner Adv 15M - Teams'!$A:$A,0))),"BYE","")),"BYE")</f>
        <v>BYE</v>
      </c>
    </row>
    <row r="39" spans="1:237" ht="1.5" customHeight="1" x14ac:dyDescent="0.35"/>
    <row r="40" spans="1:237" ht="10.5" customHeight="1" x14ac:dyDescent="0.35">
      <c r="A40" s="104" t="s">
        <v>210</v>
      </c>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row>
    <row r="41" spans="1:237" ht="15.75" customHeight="1" x14ac:dyDescent="0.35">
      <c r="A41" s="61" t="str">
        <f>IFERROR(IF(INDEX('Beginner Adv 15M - Teams'!$L:$L,MATCH(2,'Beginner Adv 15M - Teams'!$A:$A,0))="Yes","BYE",IF(OR(INDEX('Beginner Adv 15M - Teams'!$B:$B,MATCH(2,'Beginner Adv 15M - Teams'!$A:$A,0))="",ISERROR(MATCH(2,'Beginner Adv 15M - Teams'!$A:$A,0))),"BYE","#2")),"BYE")</f>
        <v>BYE</v>
      </c>
      <c r="B41" s="106" t="str">
        <f>IFERROR(IF(INDEX('Beginner Adv 15M - Teams'!$L:$L,MATCH(2,'Beginner Adv 15M - Teams'!$A:$A,0))="Yes","",IF(INDEX('Beginner Adv 15M - Teams'!$N:$N,MATCH(2,'Beginner Adv 15M - Teams'!$A:$A,0))&lt;&gt;"",INDEX('Beginner Adv 15M - Teams'!$N:$N,MATCH(2,'Beginner Adv 15M - Teams'!$A:$A,0)),IF(INDEX('Beginner Adv 15M - Teams'!$B:$B,MATCH(2,'Beginner Adv 15M - Teams'!$A:$A,0))="","",INDEX('Beginner Adv 15M - Teams'!$B:$B,MATCH(2,'Beginner Adv 15M - Teams'!$A:$A,0))))),"")</f>
        <v/>
      </c>
      <c r="C41" s="106"/>
      <c r="D41" s="106"/>
      <c r="E41" s="107" t="str">
        <f>IF(OR(A41="BYE",BA41="&gt;&gt;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Advance",1,0),0),0))-1,2)=0)," (L)"," (R)")))</f>
        <v/>
      </c>
      <c r="F41" s="107"/>
      <c r="G41" s="107"/>
      <c r="H41" s="62"/>
      <c r="I41" s="62"/>
      <c r="J41" s="62"/>
      <c r="K41" s="62"/>
      <c r="L41" s="62"/>
      <c r="M41" s="62"/>
      <c r="N41" s="63" t="str">
        <f>IF(OR(ISNUMBER(H41),ISNUMBER(I41),ISNUMBER(J41),ISNUMBER(K41),ISNUMBER(L41),ISNUMBER(M41),H41="X",I41="X",J41="X",K41="X",L41="X",M41="X",H41="M",I41="M",J41="M",K41="M",L41="M",M41="M"),IF(H41="X",10,IF(H41="M",0,IF(ISNUMBER(H41),H41,0))) + IF(I41="X",10,IF(I41="M",0,IF(ISNUMBER(I41),I41,0))) + IF(J41="X",10,IF(J41="M",0,IF(ISNUMBER(J41),J41,0))) + IF(K41="X",10,IF(K41="M",0,IF(ISNUMBER(K41),K41,0))) + IF(L41="X",10,IF(L41="M",0,IF(ISNUMBER(L41),L41,0))) + IF(M41="X",10,IF(M41="M",0,IF(ISNUMBER(M41),M41,0))),"")</f>
        <v/>
      </c>
      <c r="O41" s="62"/>
      <c r="P41" s="62"/>
      <c r="Q41" s="62"/>
      <c r="R41" s="62"/>
      <c r="S41" s="62"/>
      <c r="T41" s="62"/>
      <c r="U41" s="63" t="str">
        <f>IF(OR(ISNUMBER(O41),ISNUMBER(P41),ISNUMBER(Q41),ISNUMBER(R41),ISNUMBER(S41),ISNUMBER(T41),O41="X",P41="X",Q41="X",R41="X",S41="X",T41="X",O41="M",P41="M",Q41="M",R41="M",S41="M",T41="M"),IF(O41="X",10,IF(O41="M",0,IF(ISNUMBER(O41),O41,0))) + IF(P41="X",10,IF(P41="M",0,IF(ISNUMBER(P41),P41,0))) + IF(Q41="X",10,IF(Q41="M",0,IF(ISNUMBER(Q41),Q41,0))) + IF(R41="X",10,IF(R41="M",0,IF(ISNUMBER(R41),R41,0))) + IF(S41="X",10,IF(S41="M",0,IF(ISNUMBER(S41),S41,0))) + IF(T41="X",10,IF(T41="M",0,IF(ISNUMBER(T41),T41,0))),"")</f>
        <v/>
      </c>
      <c r="V41" s="62"/>
      <c r="W41" s="62"/>
      <c r="X41" s="62"/>
      <c r="Y41" s="62"/>
      <c r="Z41" s="62"/>
      <c r="AA41" s="62"/>
      <c r="AB41" s="63" t="str">
        <f>IF(OR(ISNUMBER(V41),ISNUMBER(W41),ISNUMBER(X41),ISNUMBER(Y41),ISNUMBER(Z41),ISNUMBER(AA41),V41="X",W41="X",X41="X",Y41="X",Z41="X",AA41="X",V41="M",W41="M",X41="M",Y41="M",Z41="M",AA41="M"),IF(V41="X",10,IF(V41="M",0,IF(ISNUMBER(V41),V41,0))) + IF(W41="X",10,IF(W41="M",0,IF(ISNUMBER(W41),W41,0))) + IF(X41="X",10,IF(X41="M",0,IF(ISNUMBER(X41),X41,0))) + IF(Y41="X",10,IF(Y41="M",0,IF(ISNUMBER(Y41),Y41,0))) + IF(Z41="X",10,IF(Z41="M",0,IF(ISNUMBER(Z41),Z41,0))) + IF(AA41="X",10,IF(AA41="M",0,IF(ISNUMBER(AA41),AA41,0))),"")</f>
        <v/>
      </c>
      <c r="AC41" s="62"/>
      <c r="AD41" s="62"/>
      <c r="AE41" s="62"/>
      <c r="AF41" s="62"/>
      <c r="AG41" s="62"/>
      <c r="AH41" s="62"/>
      <c r="AI41" s="63" t="str">
        <f>IF(OR(ISNUMBER(AC41),ISNUMBER(AD41),ISNUMBER(AE41),ISNUMBER(AF41),ISNUMBER(AG41),ISNUMBER(AH41),AC41="X",AD41="X",AE41="X",AF41="X",AG41="X",AH41="X",AC41="M",AD41="M",AE41="M",AF41="M",AG41="M",AH41="M"),IF(AC41="X",10,IF(AC41="M",0,IF(ISNUMBER(AC41),AC41,0))) + IF(AD41="X",10,IF(AD41="M",0,IF(ISNUMBER(AD41),AD41,0))) + IF(AE41="X",10,IF(AE41="M",0,IF(ISNUMBER(AE41),AE41,0))) + IF(AF41="X",10,IF(AF41="M",0,IF(ISNUMBER(AF41),AF41,0))) + IF(AG41="X",10,IF(AG41="M",0,IF(ISNUMBER(AG41),AG41,0))) + IF(AH41="X",10,IF(AH41="M",0,IF(ISNUMBER(AH41),AH41,0))),"")</f>
        <v/>
      </c>
      <c r="AJ41" s="62"/>
      <c r="AK41" s="62"/>
      <c r="AL41" s="62"/>
      <c r="AM41" s="62"/>
      <c r="AN41" s="62"/>
      <c r="AO41" s="62"/>
      <c r="AP41" s="63" t="str">
        <f>IF(OR(ISNUMBER(AJ41),ISNUMBER(AK41),ISNUMBER(AL41),ISNUMBER(AM41),ISNUMBER(AN41),ISNUMBER(AO41),AJ41="X",AK41="X",AL41="X",AM41="X",AN41="X",AO41="X",AJ41="M",AK41="M",AL41="M",AM41="M",AN41="M",AO41="M"),IF(AJ41="X",10,IF(AJ41="M",0,IF(ISNUMBER(AJ41),AJ41,0))) + IF(AK41="X",10,IF(AK41="M",0,IF(ISNUMBER(AK41),AK41,0))) + IF(AL41="X",10,IF(AL41="M",0,IF(ISNUMBER(AL41),AL41,0))) + IF(AM41="X",10,IF(AM41="M",0,IF(ISNUMBER(AM41),AM41,0))) + IF(AN41="X",10,IF(AN41="M",0,IF(ISNUMBER(AN41),AN41,0))) + IF(AO41="X",10,IF(AO41="M",0,IF(ISNUMBER(AO41),AO41,0))),"")</f>
        <v/>
      </c>
      <c r="AQ41" s="64"/>
      <c r="AR41" s="64"/>
      <c r="AS41" s="64"/>
      <c r="AT41" s="64"/>
      <c r="AU41" s="64"/>
      <c r="AV41" s="64"/>
      <c r="AW41" s="63" t="str">
        <f>IF(OR(ISNUMBER(AQ41),ISNUMBER(AR41),ISNUMBER(AS41),ISNUMBER(AT41),ISNUMBER(AU41),ISNUMBER(AV41),AQ41="X",AR41="X",AS41="X",AT41="X",AU41="X",AV41="X",AQ41="M",AR41="M",AS41="M",AT41="M",AU41="M",AV41="M"),IF(AQ41="X",10,IF(AQ41="M",0,IF(ISNUMBER(AQ41),AQ41,0))) + IF(AR41="X",10,IF(AR41="M",0,IF(ISNUMBER(AR41),AR41,0))) + IF(AS41="X",10,IF(AS41="M",0,IF(ISNUMBER(AS41),AS41,0))) + IF(AT41="X",10,IF(AT41="M",0,IF(ISNUMBER(AT41),AT41,0))) + IF(AU41="X",10,IF(AU41="M",0,IF(ISNUMBER(AU41),AU41,0))) + IF(AV41="X",10,IF(AV41="M",0,IF(ISNUMBER(AV41),AV41,0))),"")</f>
        <v/>
      </c>
      <c r="AX41" s="65">
        <f>IF(AND(ISNUMBER(N41),ISNUMBER(N43)),IF(N41&gt;N43,2,IF(N41=N43,1,0)),0)+IF(AND(ISNUMBER(U41),ISNUMBER(U43)),IF(U41&gt;U43,2,IF(U41=U43,1,0)),0)+IF(AND(ISNUMBER(AB41),ISNUMBER(AB43)),IF(AB41&gt;AB43,2,IF(AB41=AB43,1,0)),0)+IF(AND(ISNUMBER(AI41),ISNUMBER(AI43)),IF(AI41&gt;AI43,2,IF(AI41=AI43,1,0)),0)+IF(AND(ISNUMBER(AP41),ISNUMBER(AP43)),IF(AP41&gt;AP43,2,IF(AP41=AP43,1,0)),0)</f>
        <v>0</v>
      </c>
      <c r="AY41" s="66"/>
      <c r="AZ41" s="67">
        <f>IF(AX41&gt;0,IF(H41="X",10,IF(H41="M",0,IF(ISNUMBER(H41),H41,0)))+IF(I41="X",10,IF(I41="M",0,IF(ISNUMBER(I41),I41,0)))+IF(J41="X",10,IF(J41="M",0,IF(ISNUMBER(J41),J41,0)))+IF(K41="X",10,IF(K41="M",0,IF(ISNUMBER(K41),K41,0)))+IF(L41="X",10,IF(L41="M",0,IF(ISNUMBER(L41),L41,0)))+IF(M41="X",10,IF(M41="M",0,IF(ISNUMBER(M41),M41,0)))+IF(O41="X",10,IF(O41="M",0,IF(ISNUMBER(O41),O41,0)))+IF(P41="X",10,IF(P41="M",0,IF(ISNUMBER(P41),P41,0)))+IF(Q41="X",10,IF(Q41="M",0,IF(ISNUMBER(Q41),Q41,0)))+IF(R41="X",10,IF(R41="M",0,IF(ISNUMBER(R41),R41,0)))+IF(S41="X",10,IF(S41="M",0,IF(ISNUMBER(S41),S41,0)))+IF(T41="X",10,IF(T41="M",0,IF(ISNUMBER(T41),T41,0)))+IF(V41="X",10,IF(V41="M",0,IF(ISNUMBER(V41),V41,0)))+IF(W41="X",10,IF(W41="M",0,IF(ISNUMBER(W41),W41,0)))+IF(X41="X",10,IF(X41="M",0,IF(ISNUMBER(X41),X41,0)))+IF(Y41="X",10,IF(Y41="M",0,IF(ISNUMBER(Y41),Y41,0)))+IF(Z41="X",10,IF(Z41="M",0,IF(ISNUMBER(Z41),Z41,0)))+IF(AA41="X",10,IF(AA41="M",0,IF(ISNUMBER(AA41),AA41,0)))+IF(AC41="X",10,IF(AC41="M",0,IF(ISNUMBER(AC41),AC41,0)))+IF(AD41="X",10,IF(AD41="M",0,IF(ISNUMBER(AD41),AD41,0)))+IF(AE41="X",10,IF(AE41="M",0,IF(ISNUMBER(AE41),AE41,0)))+IF(AF41="X",10,IF(AF41="M",0,IF(ISNUMBER(AF41),AF41,0)))+IF(AG41="X",10,IF(AG41="M",0,IF(ISNUMBER(AG41),AG41,0)))+IF(AH41="X",10,IF(AH41="M",0,IF(ISNUMBER(AH41),AH41,0)))+IF(AJ41="X",10,IF(AJ41="M",0,IF(ISNUMBER(AJ41),AJ41,0)))+IF(AK41="X",10,IF(AK41="M",0,IF(ISNUMBER(AK41),AK41,0)))+IF(AL41="X",10,IF(AL41="M",0,IF(ISNUMBER(AL41),AL41,0)))+IF(AM41="X",10,IF(AM41="M",0,IF(ISNUMBER(AM41),AM41,0)))+IF(AN41="X",10,IF(AN41="M",0,IF(ISNUMBER(AN41),AN41,0)))+IF(AO41="X",10,IF(AO41="M",0,IF(ISNUMBER(AO41),AO41,0)))+IF(AQ41="X",10,IF(AQ41="M",0,IF(ISNUMBER(AQ41),AQ41,0)))+IF(AR41="X",10,IF(AR41="M",0,IF(ISNUMBER(AR41),AR41,0)))+IF(AS41="X",10,IF(AS41="M",0,IF(ISNUMBER(AS41),AS41,0)))+IF(AT41="X",10,IF(AT41="M",0,IF(ISNUMBER(AT41),AT41,0)))+IF(AU41="X",10,IF(AU41="M",0,IF(ISNUMBER(AU41),AU41,0)))+IF(AV41="X",10,IF(AV41="M",0,IF(ISNUMBER(AV41),AV41,0))),0)</f>
        <v>0</v>
      </c>
      <c r="BA41" s="68" t="str">
        <f>IFERROR(IF(AY41="DQ","DISQUALIFIED",IF(AY43="DQ","&gt;&gt; Advance",IF(BC43="BYE","&gt;&gt; Advance",IF(BC41="BYE","BYE",IF(AX41&gt;=6,"WIN",IF(AX43&gt;=6,"LOSS",IF(AND(ISNUMBER(AW41),ISNUMBER(AW43)),IF(AW41&gt;AW43,"WIN",IF(AW41&lt;AW43,"LOSS","Shoot-Off")),"Playing"))))))),"Error")</f>
        <v>&gt;&gt; Advance</v>
      </c>
      <c r="BC41" s="69" t="str">
        <f>IFERROR(IF(INDEX('Beginner Adv 15M - Teams'!$L:$L,MATCH(2,'Beginner Adv 15M - Teams'!$A:$A,0))="Yes","BYE",IF(OR(INDEX('Beginner Adv 15M - Teams'!$B:$B,MATCH(2,'Beginner Adv 15M - Teams'!$A:$A,0))="",ISERROR(MATCH(2,'Beginner Adv 15M - Teams'!$A:$A,0))),"BYE","")),"BYE")</f>
        <v>BYE</v>
      </c>
    </row>
    <row r="42" spans="1:237" ht="3" customHeight="1" x14ac:dyDescent="0.35">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row>
    <row r="43" spans="1:237" ht="15.75" customHeight="1" x14ac:dyDescent="0.35">
      <c r="A43" s="61" t="str">
        <f>IFERROR(IF(INDEX('Beginner Adv 15M - Teams'!$L:$L,MATCH(15,'Beginner Adv 15M - Teams'!$A:$A,0))="Yes","BYE",IF(OR(INDEX('Beginner Adv 15M - Teams'!$B:$B,MATCH(15,'Beginner Adv 15M - Teams'!$A:$A,0))="",ISERROR(MATCH(15,'Beginner Adv 15M - Teams'!$A:$A,0))),"BYE","#15")),"BYE")</f>
        <v>BYE</v>
      </c>
      <c r="B43" s="106" t="str">
        <f>IFERROR(IF(INDEX('Beginner Adv 15M - Teams'!$L:$L,MATCH(15,'Beginner Adv 15M - Teams'!$A:$A,0))="Yes","",IF(INDEX('Beginner Adv 15M - Teams'!$N:$N,MATCH(15,'Beginner Adv 15M - Teams'!$A:$A,0))&lt;&gt;"",INDEX('Beginner Adv 15M - Teams'!$N:$N,MATCH(15,'Beginner Adv 15M - Teams'!$A:$A,0)),IF(INDEX('Beginner Adv 15M - Teams'!$B:$B,MATCH(15,'Beginner Adv 15M - Teams'!$A:$A,0))="","",INDEX('Beginner Adv 15M - Teams'!$B:$B,MATCH(15,'Beginner Adv 15M - Teams'!$A:$A,0))))),"")</f>
        <v/>
      </c>
      <c r="C43" s="106"/>
      <c r="D43" s="106"/>
      <c r="E43" s="107" t="str">
        <f>IF(OR(A43="BYE",BA43="&gt;&gt;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Advance",1,0),0),0))-1,2)=0)," (L)"," (R)")))</f>
        <v/>
      </c>
      <c r="F43" s="107"/>
      <c r="G43" s="107"/>
      <c r="H43" s="62"/>
      <c r="I43" s="62"/>
      <c r="J43" s="62"/>
      <c r="K43" s="62"/>
      <c r="L43" s="62"/>
      <c r="M43" s="62"/>
      <c r="N43" s="63" t="str">
        <f>IF(OR(ISNUMBER(H43),ISNUMBER(I43),ISNUMBER(J43),ISNUMBER(K43),ISNUMBER(L43),ISNUMBER(M43),H43="X",I43="X",J43="X",K43="X",L43="X",M43="X",H43="M",I43="M",J43="M",K43="M",L43="M",M43="M"),IF(H43="X",10,IF(H43="M",0,IF(ISNUMBER(H43),H43,0))) + IF(I43="X",10,IF(I43="M",0,IF(ISNUMBER(I43),I43,0))) + IF(J43="X",10,IF(J43="M",0,IF(ISNUMBER(J43),J43,0))) + IF(K43="X",10,IF(K43="M",0,IF(ISNUMBER(K43),K43,0))) + IF(L43="X",10,IF(L43="M",0,IF(ISNUMBER(L43),L43,0))) + IF(M43="X",10,IF(M43="M",0,IF(ISNUMBER(M43),M43,0))),"")</f>
        <v/>
      </c>
      <c r="O43" s="62"/>
      <c r="P43" s="62"/>
      <c r="Q43" s="62"/>
      <c r="R43" s="62"/>
      <c r="S43" s="62"/>
      <c r="T43" s="62"/>
      <c r="U43" s="63" t="str">
        <f>IF(OR(ISNUMBER(O43),ISNUMBER(P43),ISNUMBER(Q43),ISNUMBER(R43),ISNUMBER(S43),ISNUMBER(T43),O43="X",P43="X",Q43="X",R43="X",S43="X",T43="X",O43="M",P43="M",Q43="M",R43="M",S43="M",T43="M"),IF(O43="X",10,IF(O43="M",0,IF(ISNUMBER(O43),O43,0))) + IF(P43="X",10,IF(P43="M",0,IF(ISNUMBER(P43),P43,0))) + IF(Q43="X",10,IF(Q43="M",0,IF(ISNUMBER(Q43),Q43,0))) + IF(R43="X",10,IF(R43="M",0,IF(ISNUMBER(R43),R43,0))) + IF(S43="X",10,IF(S43="M",0,IF(ISNUMBER(S43),S43,0))) + IF(T43="X",10,IF(T43="M",0,IF(ISNUMBER(T43),T43,0))),"")</f>
        <v/>
      </c>
      <c r="V43" s="62"/>
      <c r="W43" s="62"/>
      <c r="X43" s="62"/>
      <c r="Y43" s="62"/>
      <c r="Z43" s="62"/>
      <c r="AA43" s="62"/>
      <c r="AB43" s="63" t="str">
        <f>IF(OR(ISNUMBER(V43),ISNUMBER(W43),ISNUMBER(X43),ISNUMBER(Y43),ISNUMBER(Z43),ISNUMBER(AA43),V43="X",W43="X",X43="X",Y43="X",Z43="X",AA43="X",V43="M",W43="M",X43="M",Y43="M",Z43="M",AA43="M"),IF(V43="X",10,IF(V43="M",0,IF(ISNUMBER(V43),V43,0))) + IF(W43="X",10,IF(W43="M",0,IF(ISNUMBER(W43),W43,0))) + IF(X43="X",10,IF(X43="M",0,IF(ISNUMBER(X43),X43,0))) + IF(Y43="X",10,IF(Y43="M",0,IF(ISNUMBER(Y43),Y43,0))) + IF(Z43="X",10,IF(Z43="M",0,IF(ISNUMBER(Z43),Z43,0))) + IF(AA43="X",10,IF(AA43="M",0,IF(ISNUMBER(AA43),AA43,0))),"")</f>
        <v/>
      </c>
      <c r="AC43" s="62"/>
      <c r="AD43" s="62"/>
      <c r="AE43" s="62"/>
      <c r="AF43" s="62"/>
      <c r="AG43" s="62"/>
      <c r="AH43" s="62"/>
      <c r="AI43" s="63" t="str">
        <f>IF(OR(ISNUMBER(AC43),ISNUMBER(AD43),ISNUMBER(AE43),ISNUMBER(AF43),ISNUMBER(AG43),ISNUMBER(AH43),AC43="X",AD43="X",AE43="X",AF43="X",AG43="X",AH43="X",AC43="M",AD43="M",AE43="M",AF43="M",AG43="M",AH43="M"),IF(AC43="X",10,IF(AC43="M",0,IF(ISNUMBER(AC43),AC43,0))) + IF(AD43="X",10,IF(AD43="M",0,IF(ISNUMBER(AD43),AD43,0))) + IF(AE43="X",10,IF(AE43="M",0,IF(ISNUMBER(AE43),AE43,0))) + IF(AF43="X",10,IF(AF43="M",0,IF(ISNUMBER(AF43),AF43,0))) + IF(AG43="X",10,IF(AG43="M",0,IF(ISNUMBER(AG43),AG43,0))) + IF(AH43="X",10,IF(AH43="M",0,IF(ISNUMBER(AH43),AH43,0))),"")</f>
        <v/>
      </c>
      <c r="AJ43" s="62"/>
      <c r="AK43" s="62"/>
      <c r="AL43" s="62"/>
      <c r="AM43" s="62"/>
      <c r="AN43" s="62"/>
      <c r="AO43" s="62"/>
      <c r="AP43" s="63" t="str">
        <f>IF(OR(ISNUMBER(AJ43),ISNUMBER(AK43),ISNUMBER(AL43),ISNUMBER(AM43),ISNUMBER(AN43),ISNUMBER(AO43),AJ43="X",AK43="X",AL43="X",AM43="X",AN43="X",AO43="X",AJ43="M",AK43="M",AL43="M",AM43="M",AN43="M",AO43="M"),IF(AJ43="X",10,IF(AJ43="M",0,IF(ISNUMBER(AJ43),AJ43,0))) + IF(AK43="X",10,IF(AK43="M",0,IF(ISNUMBER(AK43),AK43,0))) + IF(AL43="X",10,IF(AL43="M",0,IF(ISNUMBER(AL43),AL43,0))) + IF(AM43="X",10,IF(AM43="M",0,IF(ISNUMBER(AM43),AM43,0))) + IF(AN43="X",10,IF(AN43="M",0,IF(ISNUMBER(AN43),AN43,0))) + IF(AO43="X",10,IF(AO43="M",0,IF(ISNUMBER(AO43),AO43,0))),"")</f>
        <v/>
      </c>
      <c r="AQ43" s="64"/>
      <c r="AR43" s="64"/>
      <c r="AS43" s="64"/>
      <c r="AT43" s="64"/>
      <c r="AU43" s="64"/>
      <c r="AV43" s="64"/>
      <c r="AW43" s="63" t="str">
        <f>IF(OR(ISNUMBER(AQ43),ISNUMBER(AR43),ISNUMBER(AS43),ISNUMBER(AT43),ISNUMBER(AU43),ISNUMBER(AV43),AQ43="X",AR43="X",AS43="X",AT43="X",AU43="X",AV43="X",AQ43="M",AR43="M",AS43="M",AT43="M",AU43="M",AV43="M"),IF(AQ43="X",10,IF(AQ43="M",0,IF(ISNUMBER(AQ43),AQ43,0))) + IF(AR43="X",10,IF(AR43="M",0,IF(ISNUMBER(AR43),AR43,0))) + IF(AS43="X",10,IF(AS43="M",0,IF(ISNUMBER(AS43),AS43,0))) + IF(AT43="X",10,IF(AT43="M",0,IF(ISNUMBER(AT43),AT43,0))) + IF(AU43="X",10,IF(AU43="M",0,IF(ISNUMBER(AU43),AU43,0))) + IF(AV43="X",10,IF(AV43="M",0,IF(ISNUMBER(AV43),AV43,0))),"")</f>
        <v/>
      </c>
      <c r="AX43" s="65">
        <f>IF(AND(ISNUMBER(N43),ISNUMBER(N41)),IF(N43&gt;N41,2,IF(N43=N41,1,0)),0)+IF(AND(ISNUMBER(U43),ISNUMBER(U41)),IF(U43&gt;U41,2,IF(U43=U41,1,0)),0)+IF(AND(ISNUMBER(AB43),ISNUMBER(AB41)),IF(AB43&gt;AB41,2,IF(AB43=AB41,1,0)),0)+IF(AND(ISNUMBER(AI43),ISNUMBER(AI41)),IF(AI43&gt;AI41,2,IF(AI43=AI41,1,0)),0)+IF(AND(ISNUMBER(AP43),ISNUMBER(AP41)),IF(AP43&gt;AP41,2,IF(AP43=AP41,1,0)),0)</f>
        <v>0</v>
      </c>
      <c r="AY43" s="66"/>
      <c r="AZ43" s="67">
        <f>IF(AX43&gt;0,IF(H43="X",10,IF(H43="M",0,IF(ISNUMBER(H43),H43,0)))+IF(I43="X",10,IF(I43="M",0,IF(ISNUMBER(I43),I43,0)))+IF(J43="X",10,IF(J43="M",0,IF(ISNUMBER(J43),J43,0)))+IF(K43="X",10,IF(K43="M",0,IF(ISNUMBER(K43),K43,0)))+IF(L43="X",10,IF(L43="M",0,IF(ISNUMBER(L43),L43,0)))+IF(M43="X",10,IF(M43="M",0,IF(ISNUMBER(M43),M43,0)))+IF(O43="X",10,IF(O43="M",0,IF(ISNUMBER(O43),O43,0)))+IF(P43="X",10,IF(P43="M",0,IF(ISNUMBER(P43),P43,0)))+IF(Q43="X",10,IF(Q43="M",0,IF(ISNUMBER(Q43),Q43,0)))+IF(R43="X",10,IF(R43="M",0,IF(ISNUMBER(R43),R43,0)))+IF(S43="X",10,IF(S43="M",0,IF(ISNUMBER(S43),S43,0)))+IF(T43="X",10,IF(T43="M",0,IF(ISNUMBER(T43),T43,0)))+IF(V43="X",10,IF(V43="M",0,IF(ISNUMBER(V43),V43,0)))+IF(W43="X",10,IF(W43="M",0,IF(ISNUMBER(W43),W43,0)))+IF(X43="X",10,IF(X43="M",0,IF(ISNUMBER(X43),X43,0)))+IF(Y43="X",10,IF(Y43="M",0,IF(ISNUMBER(Y43),Y43,0)))+IF(Z43="X",10,IF(Z43="M",0,IF(ISNUMBER(Z43),Z43,0)))+IF(AA43="X",10,IF(AA43="M",0,IF(ISNUMBER(AA43),AA43,0)))+IF(AC43="X",10,IF(AC43="M",0,IF(ISNUMBER(AC43),AC43,0)))+IF(AD43="X",10,IF(AD43="M",0,IF(ISNUMBER(AD43),AD43,0)))+IF(AE43="X",10,IF(AE43="M",0,IF(ISNUMBER(AE43),AE43,0)))+IF(AF43="X",10,IF(AF43="M",0,IF(ISNUMBER(AF43),AF43,0)))+IF(AG43="X",10,IF(AG43="M",0,IF(ISNUMBER(AG43),AG43,0)))+IF(AH43="X",10,IF(AH43="M",0,IF(ISNUMBER(AH43),AH43,0)))+IF(AJ43="X",10,IF(AJ43="M",0,IF(ISNUMBER(AJ43),AJ43,0)))+IF(AK43="X",10,IF(AK43="M",0,IF(ISNUMBER(AK43),AK43,0)))+IF(AL43="X",10,IF(AL43="M",0,IF(ISNUMBER(AL43),AL43,0)))+IF(AM43="X",10,IF(AM43="M",0,IF(ISNUMBER(AM43),AM43,0)))+IF(AN43="X",10,IF(AN43="M",0,IF(ISNUMBER(AN43),AN43,0)))+IF(AO43="X",10,IF(AO43="M",0,IF(ISNUMBER(AO43),AO43,0)))+IF(AQ43="X",10,IF(AQ43="M",0,IF(ISNUMBER(AQ43),AQ43,0)))+IF(AR43="X",10,IF(AR43="M",0,IF(ISNUMBER(AR43),AR43,0)))+IF(AS43="X",10,IF(AS43="M",0,IF(ISNUMBER(AS43),AS43,0)))+IF(AT43="X",10,IF(AT43="M",0,IF(ISNUMBER(AT43),AT43,0)))+IF(AU43="X",10,IF(AU43="M",0,IF(ISNUMBER(AU43),AU43,0)))+IF(AV43="X",10,IF(AV43="M",0,IF(ISNUMBER(AV43),AV43,0))),0)</f>
        <v>0</v>
      </c>
      <c r="BA43" s="68" t="str">
        <f>IFERROR(IF(AY43="DQ","DISQUALIFIED",IF(AY41="DQ","&gt;&gt; Advance",IF(BC41="BYE","&gt;&gt; Advance",IF(BC43="BYE","BYE",IF(AX43&gt;=6,"WIN",IF(AX41&gt;=6,"LOSS",IF(AND(ISNUMBER(AW43),ISNUMBER(AW41)),IF(AW43&gt;AW41,"WIN",IF(AW43&lt;AW41,"LOSS","Shoot-Off")),"Playing"))))))),"Error")</f>
        <v>&gt;&gt; Advance</v>
      </c>
      <c r="BC43" s="69" t="str">
        <f>IFERROR(IF(INDEX('Beginner Adv 15M - Teams'!$L:$L,MATCH(15,'Beginner Adv 15M - Teams'!$A:$A,0))="Yes","BYE",IF(OR(INDEX('Beginner Adv 15M - Teams'!$B:$B,MATCH(15,'Beginner Adv 15M - Teams'!$A:$A,0))="",ISERROR(MATCH(15,'Beginner Adv 15M - Teams'!$A:$A,0))),"BYE","")),"BYE")</f>
        <v>BYE</v>
      </c>
    </row>
    <row r="44" spans="1:237" ht="1.5" customHeight="1" x14ac:dyDescent="0.35"/>
    <row r="45" spans="1:237" ht="15.75" customHeight="1" x14ac:dyDescent="0.35">
      <c r="A45" s="117" t="s">
        <v>211</v>
      </c>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117"/>
      <c r="BS45" s="117"/>
      <c r="BT45" s="117"/>
      <c r="BU45" s="117"/>
      <c r="BV45" s="117"/>
      <c r="BW45" s="117"/>
      <c r="BX45" s="117"/>
      <c r="BY45" s="117"/>
      <c r="BZ45" s="117"/>
      <c r="CA45" s="117"/>
      <c r="CB45" s="117"/>
      <c r="CC45" s="117"/>
      <c r="CD45" s="117"/>
      <c r="CE45" s="117"/>
      <c r="CF45" s="117"/>
      <c r="CG45" s="117"/>
      <c r="CH45" s="117"/>
      <c r="CI45" s="117"/>
      <c r="CJ45" s="117"/>
      <c r="CK45" s="117"/>
      <c r="CL45" s="117"/>
      <c r="CM45" s="117"/>
      <c r="CN45" s="117"/>
      <c r="CO45" s="117"/>
      <c r="CP45" s="117"/>
      <c r="CQ45" s="117"/>
      <c r="CR45" s="117"/>
      <c r="CS45" s="117"/>
      <c r="CT45" s="117"/>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7"/>
      <c r="EB45" s="117"/>
      <c r="EC45" s="117"/>
      <c r="ED45" s="117"/>
      <c r="EE45" s="117"/>
      <c r="EF45" s="117"/>
      <c r="EG45" s="117"/>
      <c r="EH45" s="117"/>
      <c r="EI45" s="117"/>
      <c r="EJ45" s="117"/>
      <c r="EK45" s="117"/>
      <c r="EL45" s="117"/>
      <c r="EM45" s="117"/>
      <c r="EN45" s="117"/>
      <c r="EO45" s="117"/>
      <c r="EP45" s="117"/>
      <c r="EQ45" s="117"/>
      <c r="ER45" s="117"/>
      <c r="ES45" s="117"/>
      <c r="ET45" s="117"/>
      <c r="EU45" s="117"/>
      <c r="EV45" s="117"/>
      <c r="EW45" s="117"/>
      <c r="EX45" s="117"/>
      <c r="EY45" s="117"/>
      <c r="EZ45" s="117"/>
      <c r="FA45" s="117"/>
      <c r="FB45" s="117"/>
      <c r="FC45" s="117"/>
      <c r="FD45" s="117"/>
      <c r="FE45" s="117"/>
      <c r="FF45" s="117"/>
      <c r="FG45" s="117"/>
      <c r="FH45" s="117"/>
      <c r="FI45" s="117"/>
      <c r="FJ45" s="117"/>
      <c r="FK45" s="117"/>
      <c r="FL45" s="117"/>
      <c r="FM45" s="117"/>
      <c r="FN45" s="117"/>
      <c r="FO45" s="117"/>
      <c r="FP45" s="117"/>
      <c r="FQ45" s="117"/>
      <c r="FR45" s="117"/>
      <c r="FS45" s="117"/>
      <c r="FT45" s="117"/>
      <c r="FU45" s="117"/>
      <c r="FV45" s="117"/>
      <c r="FW45" s="117"/>
      <c r="FX45" s="117"/>
      <c r="FY45" s="117"/>
      <c r="FZ45" s="117"/>
      <c r="GA45" s="117"/>
      <c r="GB45" s="117"/>
      <c r="GC45" s="117"/>
      <c r="GD45" s="117"/>
      <c r="GE45" s="117"/>
      <c r="GF45" s="117"/>
      <c r="GG45" s="117"/>
      <c r="GH45" s="117"/>
      <c r="GI45" s="117"/>
      <c r="GJ45" s="117"/>
      <c r="GK45" s="117"/>
      <c r="GL45" s="117"/>
      <c r="GM45" s="117"/>
      <c r="GN45" s="117"/>
      <c r="GO45" s="117"/>
      <c r="GP45" s="117"/>
      <c r="GQ45" s="117"/>
      <c r="GR45" s="117"/>
      <c r="GS45" s="117"/>
      <c r="GT45" s="117"/>
      <c r="GU45" s="117"/>
      <c r="GV45" s="117"/>
      <c r="GW45" s="117"/>
      <c r="GX45" s="117"/>
      <c r="GY45" s="117"/>
      <c r="GZ45" s="117"/>
      <c r="HA45" s="117"/>
      <c r="HB45" s="117"/>
      <c r="HC45" s="117"/>
      <c r="HD45" s="117"/>
      <c r="HE45" s="117"/>
      <c r="HF45" s="117"/>
      <c r="HG45" s="117"/>
      <c r="HH45" s="117"/>
      <c r="HI45" s="117"/>
      <c r="HJ45" s="117"/>
      <c r="HK45" s="117"/>
      <c r="HL45" s="117"/>
      <c r="HM45" s="117"/>
      <c r="HN45" s="117"/>
      <c r="HO45" s="117"/>
      <c r="HP45" s="117"/>
      <c r="HQ45" s="117"/>
      <c r="HR45" s="117"/>
      <c r="HS45" s="117"/>
      <c r="HT45" s="117"/>
      <c r="HU45" s="117"/>
      <c r="HV45" s="117"/>
      <c r="HW45" s="117"/>
      <c r="HX45" s="117"/>
      <c r="HY45" s="117"/>
      <c r="HZ45" s="117"/>
      <c r="IA45" s="117"/>
      <c r="IB45" s="117"/>
      <c r="IC45" s="117"/>
    </row>
    <row r="46" spans="1:237" ht="13.5" customHeight="1" x14ac:dyDescent="0.35">
      <c r="A46" s="4" t="s">
        <v>212</v>
      </c>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row>
    <row r="47" spans="1:237" ht="13.5" customHeight="1" x14ac:dyDescent="0.35">
      <c r="A47" s="118" t="s">
        <v>213</v>
      </c>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8"/>
      <c r="DY47" s="118"/>
      <c r="DZ47" s="118"/>
      <c r="EA47" s="118"/>
      <c r="EB47" s="118"/>
      <c r="EC47" s="118"/>
      <c r="ED47" s="118"/>
      <c r="EE47" s="118"/>
      <c r="EF47" s="118"/>
      <c r="EG47" s="118"/>
      <c r="EH47" s="118"/>
      <c r="EI47" s="118"/>
      <c r="EJ47" s="118"/>
      <c r="EK47" s="118"/>
      <c r="EL47" s="118"/>
      <c r="EM47" s="118"/>
      <c r="EN47" s="118"/>
      <c r="EO47" s="118"/>
      <c r="EP47" s="118"/>
      <c r="EQ47" s="118"/>
      <c r="ER47" s="118"/>
      <c r="ES47" s="118"/>
      <c r="ET47" s="118"/>
      <c r="EU47" s="118"/>
      <c r="EV47" s="118"/>
      <c r="EW47" s="118"/>
      <c r="EX47" s="118"/>
      <c r="EY47" s="118"/>
      <c r="EZ47" s="118"/>
      <c r="FA47" s="118"/>
      <c r="FB47" s="118"/>
      <c r="FC47" s="118"/>
      <c r="FD47" s="118"/>
      <c r="FE47" s="118"/>
      <c r="FF47" s="118"/>
      <c r="FG47" s="118"/>
      <c r="FH47" s="118"/>
      <c r="FI47" s="118"/>
      <c r="FJ47" s="118"/>
      <c r="FK47" s="118"/>
      <c r="FL47" s="118"/>
      <c r="FM47" s="118"/>
      <c r="FN47" s="118"/>
      <c r="FO47" s="118"/>
      <c r="FP47" s="118"/>
      <c r="FQ47" s="118"/>
      <c r="FR47" s="118"/>
      <c r="FS47" s="118"/>
      <c r="FT47" s="118"/>
      <c r="FU47" s="118"/>
      <c r="FV47" s="118"/>
      <c r="FW47" s="118"/>
      <c r="FX47" s="118"/>
      <c r="FY47" s="118"/>
      <c r="FZ47" s="118"/>
      <c r="GA47" s="118"/>
      <c r="GB47" s="118"/>
      <c r="GC47" s="118"/>
      <c r="GD47" s="118"/>
      <c r="GE47" s="118"/>
      <c r="GF47" s="118"/>
      <c r="GG47" s="118"/>
      <c r="GH47" s="118"/>
      <c r="GI47" s="118"/>
      <c r="GJ47" s="118"/>
      <c r="GK47" s="118"/>
      <c r="GL47" s="118"/>
      <c r="GM47" s="118"/>
      <c r="GN47" s="118"/>
      <c r="GO47" s="118"/>
      <c r="GP47" s="118"/>
      <c r="GQ47" s="118"/>
      <c r="GR47" s="118"/>
      <c r="GS47" s="118"/>
      <c r="GT47" s="118"/>
      <c r="GU47" s="118"/>
      <c r="GV47" s="118"/>
      <c r="GW47" s="118"/>
      <c r="GX47" s="118"/>
      <c r="GY47" s="118"/>
      <c r="GZ47" s="118"/>
      <c r="HA47" s="118"/>
      <c r="HB47" s="118"/>
      <c r="HC47" s="118"/>
      <c r="HD47" s="118"/>
      <c r="HE47" s="118"/>
      <c r="HF47" s="118"/>
      <c r="HG47" s="118"/>
      <c r="HH47" s="118"/>
      <c r="HI47" s="118"/>
      <c r="HJ47" s="118"/>
      <c r="HK47" s="118"/>
      <c r="HL47" s="118"/>
      <c r="HM47" s="118"/>
      <c r="HN47" s="118"/>
      <c r="HO47" s="118"/>
      <c r="HP47" s="118"/>
      <c r="HQ47" s="118"/>
      <c r="HR47" s="118"/>
      <c r="HS47" s="118"/>
      <c r="HT47" s="118"/>
      <c r="HU47" s="118"/>
      <c r="HV47" s="118"/>
      <c r="HW47" s="118"/>
      <c r="HX47" s="118"/>
      <c r="HY47" s="118"/>
      <c r="HZ47" s="118"/>
      <c r="IA47" s="118"/>
      <c r="IB47" s="118"/>
      <c r="IC47" s="118"/>
    </row>
    <row r="48" spans="1:237" ht="13.5" customHeight="1" x14ac:dyDescent="0.35">
      <c r="A48" s="9" t="s">
        <v>214</v>
      </c>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row>
  </sheetData>
  <mergeCells count="134">
    <mergeCell ref="A45:IC45"/>
    <mergeCell ref="A46:IC46"/>
    <mergeCell ref="A47:IC47"/>
    <mergeCell ref="A48:IC48"/>
    <mergeCell ref="A35:BC35"/>
    <mergeCell ref="B36:D36"/>
    <mergeCell ref="E36:G36"/>
    <mergeCell ref="B38:D38"/>
    <mergeCell ref="E38:G38"/>
    <mergeCell ref="A40:BC40"/>
    <mergeCell ref="B41:D41"/>
    <mergeCell ref="E41:G41"/>
    <mergeCell ref="B43:D43"/>
    <mergeCell ref="E43:G43"/>
    <mergeCell ref="A25:BC25"/>
    <mergeCell ref="B26:D26"/>
    <mergeCell ref="E26:G26"/>
    <mergeCell ref="B28:D28"/>
    <mergeCell ref="E28:G28"/>
    <mergeCell ref="A30:BC30"/>
    <mergeCell ref="B31:D31"/>
    <mergeCell ref="E31:G31"/>
    <mergeCell ref="B33:D33"/>
    <mergeCell ref="E33:G33"/>
    <mergeCell ref="A20:BC20"/>
    <mergeCell ref="BD20:DF20"/>
    <mergeCell ref="B21:D21"/>
    <mergeCell ref="E21:G21"/>
    <mergeCell ref="BE21:BG21"/>
    <mergeCell ref="BH21:BJ21"/>
    <mergeCell ref="B23:D23"/>
    <mergeCell ref="E23:G23"/>
    <mergeCell ref="BE23:BG23"/>
    <mergeCell ref="BH23:BJ23"/>
    <mergeCell ref="A15:BC15"/>
    <mergeCell ref="BD15:DF15"/>
    <mergeCell ref="HM15:IB15"/>
    <mergeCell ref="B16:D16"/>
    <mergeCell ref="E16:G16"/>
    <mergeCell ref="BE16:BG16"/>
    <mergeCell ref="BH16:BJ16"/>
    <mergeCell ref="HM16:IB17"/>
    <mergeCell ref="B18:D18"/>
    <mergeCell ref="E18:G18"/>
    <mergeCell ref="BE18:BG18"/>
    <mergeCell ref="BH18:BJ18"/>
    <mergeCell ref="HM18:IB19"/>
    <mergeCell ref="B13:D13"/>
    <mergeCell ref="E13:G13"/>
    <mergeCell ref="BE13:BG13"/>
    <mergeCell ref="BH13:BJ13"/>
    <mergeCell ref="DH13:DJ13"/>
    <mergeCell ref="DK13:DM13"/>
    <mergeCell ref="FK13:FM13"/>
    <mergeCell ref="FN13:FP13"/>
    <mergeCell ref="HM13:IB14"/>
    <mergeCell ref="A10:BC10"/>
    <mergeCell ref="BD10:DF10"/>
    <mergeCell ref="DG10:FI10"/>
    <mergeCell ref="FJ10:HL10"/>
    <mergeCell ref="HM10:IB10"/>
    <mergeCell ref="B11:D11"/>
    <mergeCell ref="E11:G11"/>
    <mergeCell ref="BE11:BG11"/>
    <mergeCell ref="BH11:BJ11"/>
    <mergeCell ref="DH11:DJ11"/>
    <mergeCell ref="DK11:DM11"/>
    <mergeCell ref="FK11:FM11"/>
    <mergeCell ref="FN11:FP11"/>
    <mergeCell ref="HM11:IB12"/>
    <mergeCell ref="B8:D8"/>
    <mergeCell ref="E8:G8"/>
    <mergeCell ref="BE8:BG8"/>
    <mergeCell ref="BH8:BJ8"/>
    <mergeCell ref="DH8:DJ8"/>
    <mergeCell ref="DK8:DM8"/>
    <mergeCell ref="FK8:FM8"/>
    <mergeCell ref="FN8:FP8"/>
    <mergeCell ref="HM8:IB9"/>
    <mergeCell ref="FJ9:HL9"/>
    <mergeCell ref="HM5:IB5"/>
    <mergeCell ref="B6:D6"/>
    <mergeCell ref="E6:G6"/>
    <mergeCell ref="BE6:BG6"/>
    <mergeCell ref="BH6:BJ6"/>
    <mergeCell ref="DH6:DJ6"/>
    <mergeCell ref="DK6:DM6"/>
    <mergeCell ref="FK6:FM6"/>
    <mergeCell ref="FN6:FP6"/>
    <mergeCell ref="HM6:IB7"/>
    <mergeCell ref="FN4:FP4"/>
    <mergeCell ref="FQ4:FW4"/>
    <mergeCell ref="FX4:GD4"/>
    <mergeCell ref="GE4:GK4"/>
    <mergeCell ref="GL4:GR4"/>
    <mergeCell ref="GS4:GY4"/>
    <mergeCell ref="GZ4:HF4"/>
    <mergeCell ref="A5:BC5"/>
    <mergeCell ref="BD5:DF5"/>
    <mergeCell ref="DG5:FI5"/>
    <mergeCell ref="FJ5:HL5"/>
    <mergeCell ref="DH4:DJ4"/>
    <mergeCell ref="DK4:DM4"/>
    <mergeCell ref="DN4:DT4"/>
    <mergeCell ref="DU4:EA4"/>
    <mergeCell ref="EB4:EH4"/>
    <mergeCell ref="EI4:EO4"/>
    <mergeCell ref="EP4:EV4"/>
    <mergeCell ref="EW4:FC4"/>
    <mergeCell ref="FK4:FM4"/>
    <mergeCell ref="A1:IC1"/>
    <mergeCell ref="C2:J2"/>
    <mergeCell ref="K2:IC2"/>
    <mergeCell ref="A3:BC3"/>
    <mergeCell ref="BD3:DF3"/>
    <mergeCell ref="DG3:FI3"/>
    <mergeCell ref="FJ3:HL3"/>
    <mergeCell ref="HM3:IB4"/>
    <mergeCell ref="B4:D4"/>
    <mergeCell ref="E4:G4"/>
    <mergeCell ref="H4:N4"/>
    <mergeCell ref="O4:U4"/>
    <mergeCell ref="V4:AB4"/>
    <mergeCell ref="AC4:AI4"/>
    <mergeCell ref="AJ4:AP4"/>
    <mergeCell ref="AQ4:AW4"/>
    <mergeCell ref="BE4:BG4"/>
    <mergeCell ref="BH4:BJ4"/>
    <mergeCell ref="BK4:BQ4"/>
    <mergeCell ref="BR4:BX4"/>
    <mergeCell ref="BY4:CE4"/>
    <mergeCell ref="CF4:CL4"/>
    <mergeCell ref="CM4:CS4"/>
    <mergeCell ref="CT4:CZ4"/>
  </mergeCells>
  <dataValidations count="1">
    <dataValidation type="list" sqref="AY6 DB6 FE6 HH6 AY8 DB8 FE8 HH8 AY11 DB11 FE11 HH11 AY13 DB13 FE13 HH13 AY16 DB16 AY18 DB18 AY21 DB21 AY23 DB23 AY26 AY28 AY31 AY33 AY36 AY38 AY41 AY43" xr:uid="{00000000-0002-0000-0900-000000000000}">
      <formula1>"DQ"</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A148C"/>
    <pageSetUpPr fitToPage="1"/>
  </sheetPr>
  <dimension ref="A1:M549"/>
  <sheetViews>
    <sheetView showGridLines="0" zoomScaleNormal="100" workbookViewId="0"/>
  </sheetViews>
  <sheetFormatPr defaultColWidth="8.6328125" defaultRowHeight="14.5" x14ac:dyDescent="0.35"/>
  <cols>
    <col min="1" max="1" width="4" customWidth="1"/>
    <col min="2" max="4" width="7" customWidth="1"/>
    <col min="5" max="5" width="8" customWidth="1"/>
    <col min="6" max="6" width="9" customWidth="1"/>
    <col min="7" max="7" width="3" customWidth="1"/>
    <col min="8" max="8" width="4" customWidth="1"/>
    <col min="9" max="11" width="7" customWidth="1"/>
    <col min="12" max="12" width="8" customWidth="1"/>
    <col min="13" max="13" width="9" customWidth="1"/>
  </cols>
  <sheetData>
    <row r="1" spans="1:13" ht="39.75" customHeight="1" x14ac:dyDescent="0.35">
      <c r="A1" s="119" t="s">
        <v>215</v>
      </c>
      <c r="B1" s="119"/>
      <c r="C1" s="119"/>
      <c r="D1" s="119"/>
      <c r="E1" s="119"/>
      <c r="F1" s="119"/>
      <c r="G1" s="119"/>
      <c r="H1" s="119"/>
      <c r="I1" s="119"/>
      <c r="J1" s="119"/>
      <c r="K1" s="119"/>
      <c r="L1" s="119"/>
      <c r="M1" s="119"/>
    </row>
    <row r="2" spans="1:13" ht="13.5" customHeight="1" x14ac:dyDescent="0.35">
      <c r="A2" s="120" t="s">
        <v>257</v>
      </c>
      <c r="B2" s="120"/>
      <c r="C2" s="120"/>
      <c r="D2" s="120"/>
      <c r="E2" s="120"/>
      <c r="F2" s="120"/>
      <c r="G2" s="120"/>
      <c r="H2" s="120"/>
      <c r="I2" s="120"/>
      <c r="J2" s="120"/>
      <c r="K2" s="120"/>
      <c r="L2" s="120"/>
      <c r="M2" s="120"/>
    </row>
    <row r="3" spans="1:13" ht="6" customHeight="1" x14ac:dyDescent="0.35"/>
    <row r="4" spans="1:13" ht="12" customHeight="1" x14ac:dyDescent="0.35">
      <c r="A4" s="121" t="s">
        <v>217</v>
      </c>
      <c r="B4" s="121"/>
      <c r="C4" s="121"/>
      <c r="D4" s="121"/>
      <c r="E4" s="121"/>
      <c r="F4" s="121"/>
      <c r="G4" s="121"/>
      <c r="H4" s="121"/>
      <c r="I4" s="121"/>
      <c r="J4" s="121"/>
      <c r="K4" s="121"/>
      <c r="L4" s="121"/>
      <c r="M4" s="121"/>
    </row>
    <row r="5" spans="1:13" ht="6" customHeight="1" x14ac:dyDescent="0.35"/>
    <row r="6" spans="1:13" ht="15.75" customHeight="1" x14ac:dyDescent="0.35">
      <c r="A6" s="73" t="s">
        <v>218</v>
      </c>
      <c r="B6" s="122" t="str">
        <f>IF('Beginner Adv 15M - Scoring'!B6&lt;&gt;"",'Beginner Adv 15M - Scoring'!B6,"")</f>
        <v>Sheena Marie Monico</v>
      </c>
      <c r="C6" s="122"/>
      <c r="D6" s="122"/>
      <c r="E6" s="73" t="s">
        <v>219</v>
      </c>
      <c r="F6" s="74">
        <f>IF('Beginner Adv 15M - Scoring'!B6&lt;&gt;"",'Beginner Adv 15M - Scoring'!BB6,"")</f>
        <v>1</v>
      </c>
      <c r="H6" s="73" t="s">
        <v>218</v>
      </c>
      <c r="I6" s="122" t="str">
        <f>IF('Beginner Adv 15M - Scoring'!B7&lt;&gt;"",'Beginner Adv 15M - Scoring'!B7,"")</f>
        <v>Aizen Zainna Quiellan M. Riego</v>
      </c>
      <c r="J6" s="122"/>
      <c r="K6" s="122"/>
      <c r="L6" s="73" t="s">
        <v>219</v>
      </c>
      <c r="M6" s="74">
        <f>IF('Beginner Adv 15M - Scoring'!B7&lt;&gt;"",'Beginner Adv 15M - Scoring'!BB7,"")</f>
        <v>1</v>
      </c>
    </row>
    <row r="7" spans="1:13" ht="15.75" customHeight="1" x14ac:dyDescent="0.35">
      <c r="A7" s="73" t="s">
        <v>220</v>
      </c>
      <c r="B7" s="123" t="str">
        <f>IF('Beginner Adv 15M - Scoring'!B6&lt;&gt;"",'Beginner Adv 15M - Scoring'!D6,"")</f>
        <v>Pasig AC</v>
      </c>
      <c r="C7" s="123"/>
      <c r="D7" s="123"/>
      <c r="E7" s="73" t="s">
        <v>8</v>
      </c>
      <c r="F7" s="75" t="str">
        <f>IF('Beginner Adv 15M - Scoring'!B6&lt;&gt;"",'Beginner Adv 15M - Scoring'!E6,"")</f>
        <v>3A</v>
      </c>
      <c r="H7" s="73" t="s">
        <v>220</v>
      </c>
      <c r="I7" s="123" t="str">
        <f>IF('Beginner Adv 15M - Scoring'!B7&lt;&gt;"",'Beginner Adv 15M - Scoring'!D7,"")</f>
        <v>PAC Maybunga</v>
      </c>
      <c r="J7" s="123"/>
      <c r="K7" s="123"/>
      <c r="L7" s="73" t="s">
        <v>8</v>
      </c>
      <c r="M7" s="75" t="str">
        <f>IF('Beginner Adv 15M - Scoring'!B7&lt;&gt;"",'Beginner Adv 15M - Scoring'!E7,"")</f>
        <v>4A</v>
      </c>
    </row>
    <row r="8" spans="1:13" ht="3.75" customHeight="1" x14ac:dyDescent="0.35"/>
    <row r="9" spans="1:13" ht="25.5" customHeight="1" x14ac:dyDescent="0.35">
      <c r="A9" s="76" t="s">
        <v>221</v>
      </c>
      <c r="B9" s="77" t="s">
        <v>222</v>
      </c>
      <c r="C9" s="77" t="s">
        <v>223</v>
      </c>
      <c r="D9" s="77" t="s">
        <v>224</v>
      </c>
      <c r="E9" s="76" t="s">
        <v>225</v>
      </c>
      <c r="F9" s="76" t="s">
        <v>226</v>
      </c>
      <c r="H9" s="76" t="s">
        <v>221</v>
      </c>
      <c r="I9" s="77" t="s">
        <v>222</v>
      </c>
      <c r="J9" s="77" t="s">
        <v>223</v>
      </c>
      <c r="K9" s="77" t="s">
        <v>224</v>
      </c>
      <c r="L9" s="76" t="s">
        <v>225</v>
      </c>
      <c r="M9" s="76" t="s">
        <v>226</v>
      </c>
    </row>
    <row r="10" spans="1:13" ht="19.5" customHeight="1" x14ac:dyDescent="0.35">
      <c r="A10" s="78" t="s">
        <v>222</v>
      </c>
      <c r="B10" s="79" t="str">
        <f>IF('Beginner Adv 15M - Scoring'!B6&lt;&gt;"",IF('Beginner Adv 15M - Scoring'!F6&lt;&gt;"",'Beginner Adv 15M - Scoring'!F6,""),"")</f>
        <v/>
      </c>
      <c r="C10" s="79" t="str">
        <f>IF('Beginner Adv 15M - Scoring'!B6&lt;&gt;"",IF('Beginner Adv 15M - Scoring'!G6&lt;&gt;"",'Beginner Adv 15M - Scoring'!G6,""),"")</f>
        <v/>
      </c>
      <c r="D10" s="79" t="str">
        <f>IF('Beginner Adv 15M - Scoring'!B6&lt;&gt;"",IF('Beginner Adv 15M - Scoring'!H6&lt;&gt;"",'Beginner Adv 15M - Scoring'!H6,""),"")</f>
        <v/>
      </c>
      <c r="E10" s="80">
        <f>IF('Beginner Adv 15M - Scoring'!B6&lt;&gt;"",'Beginner Adv 15M - Scoring'!AP6,"")</f>
        <v>0</v>
      </c>
      <c r="F10" s="81">
        <f>IFERROR(IF(ISNUMBER(E10),E10,""),"")</f>
        <v>0</v>
      </c>
      <c r="H10" s="78" t="s">
        <v>222</v>
      </c>
      <c r="I10" s="79" t="str">
        <f>IF('Beginner Adv 15M - Scoring'!B7&lt;&gt;"",IF('Beginner Adv 15M - Scoring'!F7&lt;&gt;"",'Beginner Adv 15M - Scoring'!F7,""),"")</f>
        <v/>
      </c>
      <c r="J10" s="79" t="str">
        <f>IF('Beginner Adv 15M - Scoring'!B7&lt;&gt;"",IF('Beginner Adv 15M - Scoring'!G7&lt;&gt;"",'Beginner Adv 15M - Scoring'!G7,""),"")</f>
        <v/>
      </c>
      <c r="K10" s="79" t="str">
        <f>IF('Beginner Adv 15M - Scoring'!B7&lt;&gt;"",IF('Beginner Adv 15M - Scoring'!H7&lt;&gt;"",'Beginner Adv 15M - Scoring'!H7,""),"")</f>
        <v/>
      </c>
      <c r="L10" s="80">
        <f>IF('Beginner Adv 15M - Scoring'!B7&lt;&gt;"",'Beginner Adv 15M - Scoring'!AP7,"")</f>
        <v>0</v>
      </c>
      <c r="M10" s="81">
        <f>IFERROR(IF(ISNUMBER(L10),L10,""),"")</f>
        <v>0</v>
      </c>
    </row>
    <row r="11" spans="1:13" ht="19.5" customHeight="1" x14ac:dyDescent="0.35">
      <c r="A11" s="78" t="s">
        <v>223</v>
      </c>
      <c r="B11" s="79" t="str">
        <f>IF('Beginner Adv 15M - Scoring'!B6&lt;&gt;"",IF('Beginner Adv 15M - Scoring'!L6&lt;&gt;"",'Beginner Adv 15M - Scoring'!L6,""),"")</f>
        <v/>
      </c>
      <c r="C11" s="79" t="str">
        <f>IF('Beginner Adv 15M - Scoring'!B6&lt;&gt;"",IF('Beginner Adv 15M - Scoring'!M6&lt;&gt;"",'Beginner Adv 15M - Scoring'!M6,""),"")</f>
        <v/>
      </c>
      <c r="D11" s="79" t="str">
        <f>IF('Beginner Adv 15M - Scoring'!B6&lt;&gt;"",IF('Beginner Adv 15M - Scoring'!N6&lt;&gt;"",'Beginner Adv 15M - Scoring'!N6,""),"")</f>
        <v/>
      </c>
      <c r="E11" s="80">
        <f>IF('Beginner Adv 15M - Scoring'!B6&lt;&gt;"",'Beginner Adv 15M - Scoring'!AQ6,"")</f>
        <v>0</v>
      </c>
      <c r="F11" s="81">
        <f>IF(E10&lt;&gt;"",IFERROR(IF(ISNUMBER(E10),E10,0),0)+IFERROR(IF(ISNUMBER(E11),E11,0),0),"")</f>
        <v>0</v>
      </c>
      <c r="H11" s="78" t="s">
        <v>223</v>
      </c>
      <c r="I11" s="79" t="str">
        <f>IF('Beginner Adv 15M - Scoring'!B7&lt;&gt;"",IF('Beginner Adv 15M - Scoring'!L7&lt;&gt;"",'Beginner Adv 15M - Scoring'!L7,""),"")</f>
        <v/>
      </c>
      <c r="J11" s="79" t="str">
        <f>IF('Beginner Adv 15M - Scoring'!B7&lt;&gt;"",IF('Beginner Adv 15M - Scoring'!M7&lt;&gt;"",'Beginner Adv 15M - Scoring'!M7,""),"")</f>
        <v/>
      </c>
      <c r="K11" s="79" t="str">
        <f>IF('Beginner Adv 15M - Scoring'!B7&lt;&gt;"",IF('Beginner Adv 15M - Scoring'!N7&lt;&gt;"",'Beginner Adv 15M - Scoring'!N7,""),"")</f>
        <v/>
      </c>
      <c r="L11" s="80">
        <f>IF('Beginner Adv 15M - Scoring'!B7&lt;&gt;"",'Beginner Adv 15M - Scoring'!AQ7,"")</f>
        <v>0</v>
      </c>
      <c r="M11" s="81">
        <f>IF(L10&lt;&gt;"",IFERROR(IF(ISNUMBER(L10),L10,0),0)+IFERROR(IF(ISNUMBER(L11),L11,0),0),"")</f>
        <v>0</v>
      </c>
    </row>
    <row r="12" spans="1:13" ht="19.5" customHeight="1" x14ac:dyDescent="0.35">
      <c r="A12" s="78" t="s">
        <v>224</v>
      </c>
      <c r="B12" s="79" t="str">
        <f>IF('Beginner Adv 15M - Scoring'!B6&lt;&gt;"",IF('Beginner Adv 15M - Scoring'!R6&lt;&gt;"",'Beginner Adv 15M - Scoring'!R6,""),"")</f>
        <v/>
      </c>
      <c r="C12" s="79" t="str">
        <f>IF('Beginner Adv 15M - Scoring'!B6&lt;&gt;"",IF('Beginner Adv 15M - Scoring'!S6&lt;&gt;"",'Beginner Adv 15M - Scoring'!S6,""),"")</f>
        <v/>
      </c>
      <c r="D12" s="79" t="str">
        <f>IF('Beginner Adv 15M - Scoring'!B6&lt;&gt;"",IF('Beginner Adv 15M - Scoring'!T6&lt;&gt;"",'Beginner Adv 15M - Scoring'!T6,""),"")</f>
        <v/>
      </c>
      <c r="E12" s="80">
        <f>IF('Beginner Adv 15M - Scoring'!B6&lt;&gt;"",'Beginner Adv 15M - Scoring'!AR6,"")</f>
        <v>0</v>
      </c>
      <c r="F12" s="81">
        <f>IF(E10&lt;&gt;"",IFERROR(IF(ISNUMBER(E10),E10,0),0)+IFERROR(IF(ISNUMBER(E11),E11,0),0)+IFERROR(IF(ISNUMBER(E12),E12,0),0),"")</f>
        <v>0</v>
      </c>
      <c r="H12" s="78" t="s">
        <v>224</v>
      </c>
      <c r="I12" s="79" t="str">
        <f>IF('Beginner Adv 15M - Scoring'!B7&lt;&gt;"",IF('Beginner Adv 15M - Scoring'!R7&lt;&gt;"",'Beginner Adv 15M - Scoring'!R7,""),"")</f>
        <v/>
      </c>
      <c r="J12" s="79" t="str">
        <f>IF('Beginner Adv 15M - Scoring'!B7&lt;&gt;"",IF('Beginner Adv 15M - Scoring'!S7&lt;&gt;"",'Beginner Adv 15M - Scoring'!S7,""),"")</f>
        <v/>
      </c>
      <c r="K12" s="79" t="str">
        <f>IF('Beginner Adv 15M - Scoring'!B7&lt;&gt;"",IF('Beginner Adv 15M - Scoring'!T7&lt;&gt;"",'Beginner Adv 15M - Scoring'!T7,""),"")</f>
        <v/>
      </c>
      <c r="L12" s="80">
        <f>IF('Beginner Adv 15M - Scoring'!B7&lt;&gt;"",'Beginner Adv 15M - Scoring'!AR7,"")</f>
        <v>0</v>
      </c>
      <c r="M12" s="81">
        <f>IF(L10&lt;&gt;"",IFERROR(IF(ISNUMBER(L10),L10,0),0)+IFERROR(IF(ISNUMBER(L11),L11,0),0)+IFERROR(IF(ISNUMBER(L12),L12,0),0),"")</f>
        <v>0</v>
      </c>
    </row>
    <row r="13" spans="1:13" ht="19.5" customHeight="1" x14ac:dyDescent="0.35">
      <c r="A13" s="78" t="s">
        <v>227</v>
      </c>
      <c r="B13" s="79" t="str">
        <f>IF('Beginner Adv 15M - Scoring'!B6&lt;&gt;"",IF('Beginner Adv 15M - Scoring'!X6&lt;&gt;"",'Beginner Adv 15M - Scoring'!X6,""),"")</f>
        <v/>
      </c>
      <c r="C13" s="79" t="str">
        <f>IF('Beginner Adv 15M - Scoring'!B6&lt;&gt;"",IF('Beginner Adv 15M - Scoring'!Y6&lt;&gt;"",'Beginner Adv 15M - Scoring'!Y6,""),"")</f>
        <v/>
      </c>
      <c r="D13" s="79" t="str">
        <f>IF('Beginner Adv 15M - Scoring'!B6&lt;&gt;"",IF('Beginner Adv 15M - Scoring'!Z6&lt;&gt;"",'Beginner Adv 15M - Scoring'!Z6,""),"")</f>
        <v/>
      </c>
      <c r="E13" s="80">
        <f>IF('Beginner Adv 15M - Scoring'!B6&lt;&gt;"",'Beginner Adv 15M - Scoring'!AS6,"")</f>
        <v>0</v>
      </c>
      <c r="F13" s="81">
        <f>IF(E10&lt;&gt;"",IFERROR(IF(ISNUMBER(E10),E10,0),0)+IFERROR(IF(ISNUMBER(E11),E11,0),0)+IFERROR(IF(ISNUMBER(E12),E12,0),0)+IFERROR(IF(ISNUMBER(E13),E13,0),0),"")</f>
        <v>0</v>
      </c>
      <c r="H13" s="78" t="s">
        <v>227</v>
      </c>
      <c r="I13" s="79" t="str">
        <f>IF('Beginner Adv 15M - Scoring'!B7&lt;&gt;"",IF('Beginner Adv 15M - Scoring'!X7&lt;&gt;"",'Beginner Adv 15M - Scoring'!X7,""),"")</f>
        <v/>
      </c>
      <c r="J13" s="79" t="str">
        <f>IF('Beginner Adv 15M - Scoring'!B7&lt;&gt;"",IF('Beginner Adv 15M - Scoring'!Y7&lt;&gt;"",'Beginner Adv 15M - Scoring'!Y7,""),"")</f>
        <v/>
      </c>
      <c r="K13" s="79" t="str">
        <f>IF('Beginner Adv 15M - Scoring'!B7&lt;&gt;"",IF('Beginner Adv 15M - Scoring'!Z7&lt;&gt;"",'Beginner Adv 15M - Scoring'!Z7,""),"")</f>
        <v/>
      </c>
      <c r="L13" s="80">
        <f>IF('Beginner Adv 15M - Scoring'!B7&lt;&gt;"",'Beginner Adv 15M - Scoring'!AS7,"")</f>
        <v>0</v>
      </c>
      <c r="M13" s="81">
        <f>IF(L10&lt;&gt;"",IFERROR(IF(ISNUMBER(L10),L10,0),0)+IFERROR(IF(ISNUMBER(L11),L11,0),0)+IFERROR(IF(ISNUMBER(L12),L12,0),0)+IFERROR(IF(ISNUMBER(L13),L13,0),0),"")</f>
        <v>0</v>
      </c>
    </row>
    <row r="14" spans="1:13" ht="19.5" customHeight="1" x14ac:dyDescent="0.35">
      <c r="A14" s="78" t="s">
        <v>228</v>
      </c>
      <c r="B14" s="79" t="str">
        <f>IF('Beginner Adv 15M - Scoring'!B6&lt;&gt;"",IF('Beginner Adv 15M - Scoring'!AD6&lt;&gt;"",'Beginner Adv 15M - Scoring'!AD6,""),"")</f>
        <v/>
      </c>
      <c r="C14" s="79" t="str">
        <f>IF('Beginner Adv 15M - Scoring'!B6&lt;&gt;"",IF('Beginner Adv 15M - Scoring'!AE6&lt;&gt;"",'Beginner Adv 15M - Scoring'!AE6,""),"")</f>
        <v/>
      </c>
      <c r="D14" s="79" t="str">
        <f>IF('Beginner Adv 15M - Scoring'!B6&lt;&gt;"",IF('Beginner Adv 15M - Scoring'!AF6&lt;&gt;"",'Beginner Adv 15M - Scoring'!AF6,""),"")</f>
        <v/>
      </c>
      <c r="E14" s="80">
        <f>IF('Beginner Adv 15M - Scoring'!B6&lt;&gt;"",'Beginner Adv 15M - Scoring'!AT6,"")</f>
        <v>0</v>
      </c>
      <c r="F14" s="81">
        <f>IF(E10&lt;&gt;"",IFERROR(IF(ISNUMBER(E10),E10,0),0)+IFERROR(IF(ISNUMBER(E11),E11,0),0)+IFERROR(IF(ISNUMBER(E12),E12,0),0)+IFERROR(IF(ISNUMBER(E13),E13,0),0)+IFERROR(IF(ISNUMBER(E14),E14,0),0),"")</f>
        <v>0</v>
      </c>
      <c r="H14" s="78" t="s">
        <v>228</v>
      </c>
      <c r="I14" s="79" t="str">
        <f>IF('Beginner Adv 15M - Scoring'!B7&lt;&gt;"",IF('Beginner Adv 15M - Scoring'!AD7&lt;&gt;"",'Beginner Adv 15M - Scoring'!AD7,""),"")</f>
        <v/>
      </c>
      <c r="J14" s="79" t="str">
        <f>IF('Beginner Adv 15M - Scoring'!B7&lt;&gt;"",IF('Beginner Adv 15M - Scoring'!AE7&lt;&gt;"",'Beginner Adv 15M - Scoring'!AE7,""),"")</f>
        <v/>
      </c>
      <c r="K14" s="79" t="str">
        <f>IF('Beginner Adv 15M - Scoring'!B7&lt;&gt;"",IF('Beginner Adv 15M - Scoring'!AF7&lt;&gt;"",'Beginner Adv 15M - Scoring'!AF7,""),"")</f>
        <v/>
      </c>
      <c r="L14" s="80">
        <f>IF('Beginner Adv 15M - Scoring'!B7&lt;&gt;"",'Beginner Adv 15M - Scoring'!AT7,"")</f>
        <v>0</v>
      </c>
      <c r="M14" s="81">
        <f>IF(L10&lt;&gt;"",IFERROR(IF(ISNUMBER(L10),L10,0),0)+IFERROR(IF(ISNUMBER(L11),L11,0),0)+IFERROR(IF(ISNUMBER(L12),L12,0),0)+IFERROR(IF(ISNUMBER(L13),L13,0),0)+IFERROR(IF(ISNUMBER(L14),L14,0),0),"")</f>
        <v>0</v>
      </c>
    </row>
    <row r="15" spans="1:13" ht="19.5" customHeight="1" x14ac:dyDescent="0.35">
      <c r="A15" s="78" t="s">
        <v>229</v>
      </c>
      <c r="B15" s="79" t="str">
        <f>IF('Beginner Adv 15M - Scoring'!B6&lt;&gt;"",IF('Beginner Adv 15M - Scoring'!AJ6&lt;&gt;"",'Beginner Adv 15M - Scoring'!AJ6,""),"")</f>
        <v/>
      </c>
      <c r="C15" s="79" t="str">
        <f>IF('Beginner Adv 15M - Scoring'!B6&lt;&gt;"",IF('Beginner Adv 15M - Scoring'!AK6&lt;&gt;"",'Beginner Adv 15M - Scoring'!AK6,""),"")</f>
        <v/>
      </c>
      <c r="D15" s="79" t="str">
        <f>IF('Beginner Adv 15M - Scoring'!B6&lt;&gt;"",IF('Beginner Adv 15M - Scoring'!AL6&lt;&gt;"",'Beginner Adv 15M - Scoring'!AL6,""),"")</f>
        <v/>
      </c>
      <c r="E15" s="80">
        <f>IF('Beginner Adv 15M - Scoring'!B6&lt;&gt;"",'Beginner Adv 15M - Scoring'!AU6,"")</f>
        <v>0</v>
      </c>
      <c r="F15" s="81">
        <f>IF(E10&lt;&gt;"",IFERROR(IF(ISNUMBER(E10),E10,0),0)+IFERROR(IF(ISNUMBER(E11),E11,0),0)+IFERROR(IF(ISNUMBER(E12),E12,0),0)+IFERROR(IF(ISNUMBER(E13),E13,0),0)+IFERROR(IF(ISNUMBER(E14),E14,0),0)+IFERROR(IF(ISNUMBER(E15),E15,0),0),"")</f>
        <v>0</v>
      </c>
      <c r="H15" s="78" t="s">
        <v>229</v>
      </c>
      <c r="I15" s="79" t="str">
        <f>IF('Beginner Adv 15M - Scoring'!B7&lt;&gt;"",IF('Beginner Adv 15M - Scoring'!AJ7&lt;&gt;"",'Beginner Adv 15M - Scoring'!AJ7,""),"")</f>
        <v/>
      </c>
      <c r="J15" s="79" t="str">
        <f>IF('Beginner Adv 15M - Scoring'!B7&lt;&gt;"",IF('Beginner Adv 15M - Scoring'!AK7&lt;&gt;"",'Beginner Adv 15M - Scoring'!AK7,""),"")</f>
        <v/>
      </c>
      <c r="K15" s="79" t="str">
        <f>IF('Beginner Adv 15M - Scoring'!B7&lt;&gt;"",IF('Beginner Adv 15M - Scoring'!AL7&lt;&gt;"",'Beginner Adv 15M - Scoring'!AL7,""),"")</f>
        <v/>
      </c>
      <c r="L15" s="80">
        <f>IF('Beginner Adv 15M - Scoring'!B7&lt;&gt;"",'Beginner Adv 15M - Scoring'!AU7,"")</f>
        <v>0</v>
      </c>
      <c r="M15" s="81">
        <f>IF(L10&lt;&gt;"",IFERROR(IF(ISNUMBER(L10),L10,0),0)+IFERROR(IF(ISNUMBER(L11),L11,0),0)+IFERROR(IF(ISNUMBER(L12),L12,0),0)+IFERROR(IF(ISNUMBER(L13),L13,0),0)+IFERROR(IF(ISNUMBER(L14),L14,0),0)+IFERROR(IF(ISNUMBER(L15),L15,0),0),"")</f>
        <v>0</v>
      </c>
    </row>
    <row r="16" spans="1:13" ht="3.75" customHeight="1" x14ac:dyDescent="0.35"/>
    <row r="17" spans="1:13" ht="24" customHeight="1" x14ac:dyDescent="0.35">
      <c r="A17" s="124" t="s">
        <v>230</v>
      </c>
      <c r="B17" s="124"/>
      <c r="C17" s="124"/>
      <c r="D17" s="124"/>
      <c r="E17" s="125">
        <f>IF('Beginner Adv 15M - Scoring'!B6&lt;&gt;"",'Beginner Adv 15M - Scoring'!AV6,"")</f>
        <v>0</v>
      </c>
      <c r="F17" s="125"/>
      <c r="H17" s="124" t="s">
        <v>230</v>
      </c>
      <c r="I17" s="124"/>
      <c r="J17" s="124"/>
      <c r="K17" s="124"/>
      <c r="L17" s="125">
        <f>IF('Beginner Adv 15M - Scoring'!B7&lt;&gt;"",'Beginner Adv 15M - Scoring'!AV7,"")</f>
        <v>0</v>
      </c>
      <c r="M17" s="125"/>
    </row>
    <row r="18" spans="1:13" ht="19.5" customHeight="1" x14ac:dyDescent="0.35">
      <c r="E18" s="125"/>
      <c r="F18" s="125"/>
      <c r="L18" s="125"/>
      <c r="M18" s="125"/>
    </row>
    <row r="19" spans="1:13" ht="3.75" customHeight="1" x14ac:dyDescent="0.35"/>
    <row r="20" spans="1:13" ht="18" customHeight="1" x14ac:dyDescent="0.35">
      <c r="A20" s="73" t="s">
        <v>126</v>
      </c>
      <c r="B20" s="82">
        <f>IF('Beginner Adv 15M - Scoring'!B6&lt;&gt;"",'Beginner Adv 15M - Scoring'!AW6,"")</f>
        <v>0</v>
      </c>
      <c r="C20" s="73" t="s">
        <v>127</v>
      </c>
      <c r="D20" s="83">
        <f>IF('Beginner Adv 15M - Scoring'!B6&lt;&gt;"",'Beginner Adv 15M - Scoring'!AX6,"")</f>
        <v>0</v>
      </c>
      <c r="E20" s="73" t="s">
        <v>128</v>
      </c>
      <c r="F20" s="83">
        <f>IF('Beginner Adv 15M - Scoring'!B6&lt;&gt;"",'Beginner Adv 15M - Scoring'!AY6,"")</f>
        <v>0</v>
      </c>
      <c r="H20" s="73" t="s">
        <v>126</v>
      </c>
      <c r="I20" s="82">
        <f>IF('Beginner Adv 15M - Scoring'!B7&lt;&gt;"",'Beginner Adv 15M - Scoring'!AW7,"")</f>
        <v>0</v>
      </c>
      <c r="J20" s="73" t="s">
        <v>127</v>
      </c>
      <c r="K20" s="83">
        <f>IF('Beginner Adv 15M - Scoring'!B7&lt;&gt;"",'Beginner Adv 15M - Scoring'!AX7,"")</f>
        <v>0</v>
      </c>
      <c r="L20" s="73" t="s">
        <v>128</v>
      </c>
      <c r="M20" s="83">
        <f>IF('Beginner Adv 15M - Scoring'!B7&lt;&gt;"",'Beginner Adv 15M - Scoring'!AY7,"")</f>
        <v>0</v>
      </c>
    </row>
    <row r="21" spans="1:13" ht="3.75" customHeight="1" x14ac:dyDescent="0.35"/>
    <row r="22" spans="1:13" ht="7.5" customHeight="1" x14ac:dyDescent="0.35">
      <c r="A22" s="126"/>
      <c r="B22" s="126"/>
      <c r="C22" s="126"/>
      <c r="D22" s="126"/>
      <c r="E22" s="126"/>
      <c r="F22" s="126"/>
      <c r="G22" s="126"/>
      <c r="H22" s="126"/>
      <c r="I22" s="126"/>
      <c r="J22" s="126"/>
      <c r="K22" s="126"/>
      <c r="L22" s="126"/>
      <c r="M22" s="126"/>
    </row>
    <row r="23" spans="1:13" ht="15.75" customHeight="1" x14ac:dyDescent="0.35">
      <c r="A23" s="73" t="s">
        <v>218</v>
      </c>
      <c r="B23" s="122" t="str">
        <f>IF('Beginner Adv 15M - Scoring'!B8&lt;&gt;"",'Beginner Adv 15M - Scoring'!B8,"")</f>
        <v>Leira Maxene Lagrimas</v>
      </c>
      <c r="C23" s="122"/>
      <c r="D23" s="122"/>
      <c r="E23" s="73" t="s">
        <v>219</v>
      </c>
      <c r="F23" s="74">
        <f>IF('Beginner Adv 15M - Scoring'!B8&lt;&gt;"",'Beginner Adv 15M - Scoring'!BB8,"")</f>
        <v>1</v>
      </c>
      <c r="H23" s="73" t="s">
        <v>218</v>
      </c>
      <c r="I23" s="122" t="str">
        <f>IF('Beginner Adv 15M - Scoring'!B9&lt;&gt;"",'Beginner Adv 15M - Scoring'!B9,"")</f>
        <v>Cromwell Dela Rosa</v>
      </c>
      <c r="J23" s="122"/>
      <c r="K23" s="122"/>
      <c r="L23" s="73" t="s">
        <v>219</v>
      </c>
      <c r="M23" s="74">
        <f>IF('Beginner Adv 15M - Scoring'!B9&lt;&gt;"",'Beginner Adv 15M - Scoring'!BB9,"")</f>
        <v>1</v>
      </c>
    </row>
    <row r="24" spans="1:13" ht="15.75" customHeight="1" x14ac:dyDescent="0.35">
      <c r="A24" s="73" t="s">
        <v>220</v>
      </c>
      <c r="B24" s="123" t="str">
        <f>IF('Beginner Adv 15M - Scoring'!B8&lt;&gt;"",'Beginner Adv 15M - Scoring'!D8,"")</f>
        <v>Brgy. Sta Lucia</v>
      </c>
      <c r="C24" s="123"/>
      <c r="D24" s="123"/>
      <c r="E24" s="73" t="s">
        <v>8</v>
      </c>
      <c r="F24" s="75" t="str">
        <f>IF('Beginner Adv 15M - Scoring'!B8&lt;&gt;"",'Beginner Adv 15M - Scoring'!E8,"")</f>
        <v>5A</v>
      </c>
      <c r="H24" s="73" t="s">
        <v>220</v>
      </c>
      <c r="I24" s="123" t="str">
        <f>IF('Beginner Adv 15M - Scoring'!B9&lt;&gt;"",'Beginner Adv 15M - Scoring'!D9,"")</f>
        <v>Brgy Rosario</v>
      </c>
      <c r="J24" s="123"/>
      <c r="K24" s="123"/>
      <c r="L24" s="73" t="s">
        <v>8</v>
      </c>
      <c r="M24" s="75" t="str">
        <f>IF('Beginner Adv 15M - Scoring'!B9&lt;&gt;"",'Beginner Adv 15M - Scoring'!E9,"")</f>
        <v>6A</v>
      </c>
    </row>
    <row r="25" spans="1:13" ht="3.75" customHeight="1" x14ac:dyDescent="0.35"/>
    <row r="26" spans="1:13" ht="25.5" customHeight="1" x14ac:dyDescent="0.35">
      <c r="A26" s="76" t="s">
        <v>221</v>
      </c>
      <c r="B26" s="77" t="s">
        <v>222</v>
      </c>
      <c r="C26" s="77" t="s">
        <v>223</v>
      </c>
      <c r="D26" s="77" t="s">
        <v>224</v>
      </c>
      <c r="E26" s="76" t="s">
        <v>225</v>
      </c>
      <c r="F26" s="76" t="s">
        <v>226</v>
      </c>
      <c r="H26" s="76" t="s">
        <v>221</v>
      </c>
      <c r="I26" s="77" t="s">
        <v>222</v>
      </c>
      <c r="J26" s="77" t="s">
        <v>223</v>
      </c>
      <c r="K26" s="77" t="s">
        <v>224</v>
      </c>
      <c r="L26" s="76" t="s">
        <v>225</v>
      </c>
      <c r="M26" s="76" t="s">
        <v>226</v>
      </c>
    </row>
    <row r="27" spans="1:13" ht="19.5" customHeight="1" x14ac:dyDescent="0.35">
      <c r="A27" s="78" t="s">
        <v>222</v>
      </c>
      <c r="B27" s="79" t="str">
        <f>IF('Beginner Adv 15M - Scoring'!B8&lt;&gt;"",IF('Beginner Adv 15M - Scoring'!F8&lt;&gt;"",'Beginner Adv 15M - Scoring'!F8,""),"")</f>
        <v/>
      </c>
      <c r="C27" s="79" t="str">
        <f>IF('Beginner Adv 15M - Scoring'!B8&lt;&gt;"",IF('Beginner Adv 15M - Scoring'!G8&lt;&gt;"",'Beginner Adv 15M - Scoring'!G8,""),"")</f>
        <v/>
      </c>
      <c r="D27" s="79" t="str">
        <f>IF('Beginner Adv 15M - Scoring'!B8&lt;&gt;"",IF('Beginner Adv 15M - Scoring'!H8&lt;&gt;"",'Beginner Adv 15M - Scoring'!H8,""),"")</f>
        <v/>
      </c>
      <c r="E27" s="80">
        <f>IF('Beginner Adv 15M - Scoring'!B8&lt;&gt;"",'Beginner Adv 15M - Scoring'!AP8,"")</f>
        <v>0</v>
      </c>
      <c r="F27" s="81">
        <f>IFERROR(IF(ISNUMBER(E27),E27,""),"")</f>
        <v>0</v>
      </c>
      <c r="H27" s="78" t="s">
        <v>222</v>
      </c>
      <c r="I27" s="79" t="str">
        <f>IF('Beginner Adv 15M - Scoring'!B9&lt;&gt;"",IF('Beginner Adv 15M - Scoring'!F9&lt;&gt;"",'Beginner Adv 15M - Scoring'!F9,""),"")</f>
        <v/>
      </c>
      <c r="J27" s="79" t="str">
        <f>IF('Beginner Adv 15M - Scoring'!B9&lt;&gt;"",IF('Beginner Adv 15M - Scoring'!G9&lt;&gt;"",'Beginner Adv 15M - Scoring'!G9,""),"")</f>
        <v/>
      </c>
      <c r="K27" s="79" t="str">
        <f>IF('Beginner Adv 15M - Scoring'!B9&lt;&gt;"",IF('Beginner Adv 15M - Scoring'!H9&lt;&gt;"",'Beginner Adv 15M - Scoring'!H9,""),"")</f>
        <v/>
      </c>
      <c r="L27" s="80">
        <f>IF('Beginner Adv 15M - Scoring'!B9&lt;&gt;"",'Beginner Adv 15M - Scoring'!AP9,"")</f>
        <v>0</v>
      </c>
      <c r="M27" s="81">
        <f>IFERROR(IF(ISNUMBER(L27),L27,""),"")</f>
        <v>0</v>
      </c>
    </row>
    <row r="28" spans="1:13" ht="19.5" customHeight="1" x14ac:dyDescent="0.35">
      <c r="A28" s="78" t="s">
        <v>223</v>
      </c>
      <c r="B28" s="79" t="str">
        <f>IF('Beginner Adv 15M - Scoring'!B8&lt;&gt;"",IF('Beginner Adv 15M - Scoring'!L8&lt;&gt;"",'Beginner Adv 15M - Scoring'!L8,""),"")</f>
        <v/>
      </c>
      <c r="C28" s="79" t="str">
        <f>IF('Beginner Adv 15M - Scoring'!B8&lt;&gt;"",IF('Beginner Adv 15M - Scoring'!M8&lt;&gt;"",'Beginner Adv 15M - Scoring'!M8,""),"")</f>
        <v/>
      </c>
      <c r="D28" s="79" t="str">
        <f>IF('Beginner Adv 15M - Scoring'!B8&lt;&gt;"",IF('Beginner Adv 15M - Scoring'!N8&lt;&gt;"",'Beginner Adv 15M - Scoring'!N8,""),"")</f>
        <v/>
      </c>
      <c r="E28" s="80">
        <f>IF('Beginner Adv 15M - Scoring'!B8&lt;&gt;"",'Beginner Adv 15M - Scoring'!AQ8,"")</f>
        <v>0</v>
      </c>
      <c r="F28" s="81">
        <f>IF(E27&lt;&gt;"",IFERROR(IF(ISNUMBER(E27),E27,0),0)+IFERROR(IF(ISNUMBER(E28),E28,0),0),"")</f>
        <v>0</v>
      </c>
      <c r="H28" s="78" t="s">
        <v>223</v>
      </c>
      <c r="I28" s="79" t="str">
        <f>IF('Beginner Adv 15M - Scoring'!B9&lt;&gt;"",IF('Beginner Adv 15M - Scoring'!L9&lt;&gt;"",'Beginner Adv 15M - Scoring'!L9,""),"")</f>
        <v/>
      </c>
      <c r="J28" s="79" t="str">
        <f>IF('Beginner Adv 15M - Scoring'!B9&lt;&gt;"",IF('Beginner Adv 15M - Scoring'!M9&lt;&gt;"",'Beginner Adv 15M - Scoring'!M9,""),"")</f>
        <v/>
      </c>
      <c r="K28" s="79" t="str">
        <f>IF('Beginner Adv 15M - Scoring'!B9&lt;&gt;"",IF('Beginner Adv 15M - Scoring'!N9&lt;&gt;"",'Beginner Adv 15M - Scoring'!N9,""),"")</f>
        <v/>
      </c>
      <c r="L28" s="80">
        <f>IF('Beginner Adv 15M - Scoring'!B9&lt;&gt;"",'Beginner Adv 15M - Scoring'!AQ9,"")</f>
        <v>0</v>
      </c>
      <c r="M28" s="81">
        <f>IF(L27&lt;&gt;"",IFERROR(IF(ISNUMBER(L27),L27,0),0)+IFERROR(IF(ISNUMBER(L28),L28,0),0),"")</f>
        <v>0</v>
      </c>
    </row>
    <row r="29" spans="1:13" ht="19.5" customHeight="1" x14ac:dyDescent="0.35">
      <c r="A29" s="78" t="s">
        <v>224</v>
      </c>
      <c r="B29" s="79" t="str">
        <f>IF('Beginner Adv 15M - Scoring'!B8&lt;&gt;"",IF('Beginner Adv 15M - Scoring'!R8&lt;&gt;"",'Beginner Adv 15M - Scoring'!R8,""),"")</f>
        <v/>
      </c>
      <c r="C29" s="79" t="str">
        <f>IF('Beginner Adv 15M - Scoring'!B8&lt;&gt;"",IF('Beginner Adv 15M - Scoring'!S8&lt;&gt;"",'Beginner Adv 15M - Scoring'!S8,""),"")</f>
        <v/>
      </c>
      <c r="D29" s="79" t="str">
        <f>IF('Beginner Adv 15M - Scoring'!B8&lt;&gt;"",IF('Beginner Adv 15M - Scoring'!T8&lt;&gt;"",'Beginner Adv 15M - Scoring'!T8,""),"")</f>
        <v/>
      </c>
      <c r="E29" s="80">
        <f>IF('Beginner Adv 15M - Scoring'!B8&lt;&gt;"",'Beginner Adv 15M - Scoring'!AR8,"")</f>
        <v>0</v>
      </c>
      <c r="F29" s="81">
        <f>IF(E27&lt;&gt;"",IFERROR(IF(ISNUMBER(E27),E27,0),0)+IFERROR(IF(ISNUMBER(E28),E28,0),0)+IFERROR(IF(ISNUMBER(E29),E29,0),0),"")</f>
        <v>0</v>
      </c>
      <c r="H29" s="78" t="s">
        <v>224</v>
      </c>
      <c r="I29" s="79" t="str">
        <f>IF('Beginner Adv 15M - Scoring'!B9&lt;&gt;"",IF('Beginner Adv 15M - Scoring'!R9&lt;&gt;"",'Beginner Adv 15M - Scoring'!R9,""),"")</f>
        <v/>
      </c>
      <c r="J29" s="79" t="str">
        <f>IF('Beginner Adv 15M - Scoring'!B9&lt;&gt;"",IF('Beginner Adv 15M - Scoring'!S9&lt;&gt;"",'Beginner Adv 15M - Scoring'!S9,""),"")</f>
        <v/>
      </c>
      <c r="K29" s="79" t="str">
        <f>IF('Beginner Adv 15M - Scoring'!B9&lt;&gt;"",IF('Beginner Adv 15M - Scoring'!T9&lt;&gt;"",'Beginner Adv 15M - Scoring'!T9,""),"")</f>
        <v/>
      </c>
      <c r="L29" s="80">
        <f>IF('Beginner Adv 15M - Scoring'!B9&lt;&gt;"",'Beginner Adv 15M - Scoring'!AR9,"")</f>
        <v>0</v>
      </c>
      <c r="M29" s="81">
        <f>IF(L27&lt;&gt;"",IFERROR(IF(ISNUMBER(L27),L27,0),0)+IFERROR(IF(ISNUMBER(L28),L28,0),0)+IFERROR(IF(ISNUMBER(L29),L29,0),0),"")</f>
        <v>0</v>
      </c>
    </row>
    <row r="30" spans="1:13" ht="19.5" customHeight="1" x14ac:dyDescent="0.35">
      <c r="A30" s="78" t="s">
        <v>227</v>
      </c>
      <c r="B30" s="79" t="str">
        <f>IF('Beginner Adv 15M - Scoring'!B8&lt;&gt;"",IF('Beginner Adv 15M - Scoring'!X8&lt;&gt;"",'Beginner Adv 15M - Scoring'!X8,""),"")</f>
        <v/>
      </c>
      <c r="C30" s="79" t="str">
        <f>IF('Beginner Adv 15M - Scoring'!B8&lt;&gt;"",IF('Beginner Adv 15M - Scoring'!Y8&lt;&gt;"",'Beginner Adv 15M - Scoring'!Y8,""),"")</f>
        <v/>
      </c>
      <c r="D30" s="79" t="str">
        <f>IF('Beginner Adv 15M - Scoring'!B8&lt;&gt;"",IF('Beginner Adv 15M - Scoring'!Z8&lt;&gt;"",'Beginner Adv 15M - Scoring'!Z8,""),"")</f>
        <v/>
      </c>
      <c r="E30" s="80">
        <f>IF('Beginner Adv 15M - Scoring'!B8&lt;&gt;"",'Beginner Adv 15M - Scoring'!AS8,"")</f>
        <v>0</v>
      </c>
      <c r="F30" s="81">
        <f>IF(E27&lt;&gt;"",IFERROR(IF(ISNUMBER(E27),E27,0),0)+IFERROR(IF(ISNUMBER(E28),E28,0),0)+IFERROR(IF(ISNUMBER(E29),E29,0),0)+IFERROR(IF(ISNUMBER(E30),E30,0),0),"")</f>
        <v>0</v>
      </c>
      <c r="H30" s="78" t="s">
        <v>227</v>
      </c>
      <c r="I30" s="79" t="str">
        <f>IF('Beginner Adv 15M - Scoring'!B9&lt;&gt;"",IF('Beginner Adv 15M - Scoring'!X9&lt;&gt;"",'Beginner Adv 15M - Scoring'!X9,""),"")</f>
        <v/>
      </c>
      <c r="J30" s="79" t="str">
        <f>IF('Beginner Adv 15M - Scoring'!B9&lt;&gt;"",IF('Beginner Adv 15M - Scoring'!Y9&lt;&gt;"",'Beginner Adv 15M - Scoring'!Y9,""),"")</f>
        <v/>
      </c>
      <c r="K30" s="79" t="str">
        <f>IF('Beginner Adv 15M - Scoring'!B9&lt;&gt;"",IF('Beginner Adv 15M - Scoring'!Z9&lt;&gt;"",'Beginner Adv 15M - Scoring'!Z9,""),"")</f>
        <v/>
      </c>
      <c r="L30" s="80">
        <f>IF('Beginner Adv 15M - Scoring'!B9&lt;&gt;"",'Beginner Adv 15M - Scoring'!AS9,"")</f>
        <v>0</v>
      </c>
      <c r="M30" s="81">
        <f>IF(L27&lt;&gt;"",IFERROR(IF(ISNUMBER(L27),L27,0),0)+IFERROR(IF(ISNUMBER(L28),L28,0),0)+IFERROR(IF(ISNUMBER(L29),L29,0),0)+IFERROR(IF(ISNUMBER(L30),L30,0),0),"")</f>
        <v>0</v>
      </c>
    </row>
    <row r="31" spans="1:13" ht="19.5" customHeight="1" x14ac:dyDescent="0.35">
      <c r="A31" s="78" t="s">
        <v>228</v>
      </c>
      <c r="B31" s="79" t="str">
        <f>IF('Beginner Adv 15M - Scoring'!B8&lt;&gt;"",IF('Beginner Adv 15M - Scoring'!AD8&lt;&gt;"",'Beginner Adv 15M - Scoring'!AD8,""),"")</f>
        <v/>
      </c>
      <c r="C31" s="79" t="str">
        <f>IF('Beginner Adv 15M - Scoring'!B8&lt;&gt;"",IF('Beginner Adv 15M - Scoring'!AE8&lt;&gt;"",'Beginner Adv 15M - Scoring'!AE8,""),"")</f>
        <v/>
      </c>
      <c r="D31" s="79" t="str">
        <f>IF('Beginner Adv 15M - Scoring'!B8&lt;&gt;"",IF('Beginner Adv 15M - Scoring'!AF8&lt;&gt;"",'Beginner Adv 15M - Scoring'!AF8,""),"")</f>
        <v/>
      </c>
      <c r="E31" s="80">
        <f>IF('Beginner Adv 15M - Scoring'!B8&lt;&gt;"",'Beginner Adv 15M - Scoring'!AT8,"")</f>
        <v>0</v>
      </c>
      <c r="F31" s="81">
        <f>IF(E27&lt;&gt;"",IFERROR(IF(ISNUMBER(E27),E27,0),0)+IFERROR(IF(ISNUMBER(E28),E28,0),0)+IFERROR(IF(ISNUMBER(E29),E29,0),0)+IFERROR(IF(ISNUMBER(E30),E30,0),0)+IFERROR(IF(ISNUMBER(E31),E31,0),0),"")</f>
        <v>0</v>
      </c>
      <c r="H31" s="78" t="s">
        <v>228</v>
      </c>
      <c r="I31" s="79" t="str">
        <f>IF('Beginner Adv 15M - Scoring'!B9&lt;&gt;"",IF('Beginner Adv 15M - Scoring'!AD9&lt;&gt;"",'Beginner Adv 15M - Scoring'!AD9,""),"")</f>
        <v/>
      </c>
      <c r="J31" s="79" t="str">
        <f>IF('Beginner Adv 15M - Scoring'!B9&lt;&gt;"",IF('Beginner Adv 15M - Scoring'!AE9&lt;&gt;"",'Beginner Adv 15M - Scoring'!AE9,""),"")</f>
        <v/>
      </c>
      <c r="K31" s="79" t="str">
        <f>IF('Beginner Adv 15M - Scoring'!B9&lt;&gt;"",IF('Beginner Adv 15M - Scoring'!AF9&lt;&gt;"",'Beginner Adv 15M - Scoring'!AF9,""),"")</f>
        <v/>
      </c>
      <c r="L31" s="80">
        <f>IF('Beginner Adv 15M - Scoring'!B9&lt;&gt;"",'Beginner Adv 15M - Scoring'!AT9,"")</f>
        <v>0</v>
      </c>
      <c r="M31" s="81">
        <f>IF(L27&lt;&gt;"",IFERROR(IF(ISNUMBER(L27),L27,0),0)+IFERROR(IF(ISNUMBER(L28),L28,0),0)+IFERROR(IF(ISNUMBER(L29),L29,0),0)+IFERROR(IF(ISNUMBER(L30),L30,0),0)+IFERROR(IF(ISNUMBER(L31),L31,0),0),"")</f>
        <v>0</v>
      </c>
    </row>
    <row r="32" spans="1:13" ht="19.5" customHeight="1" x14ac:dyDescent="0.35">
      <c r="A32" s="78" t="s">
        <v>229</v>
      </c>
      <c r="B32" s="79" t="str">
        <f>IF('Beginner Adv 15M - Scoring'!B8&lt;&gt;"",IF('Beginner Adv 15M - Scoring'!AJ8&lt;&gt;"",'Beginner Adv 15M - Scoring'!AJ8,""),"")</f>
        <v/>
      </c>
      <c r="C32" s="79" t="str">
        <f>IF('Beginner Adv 15M - Scoring'!B8&lt;&gt;"",IF('Beginner Adv 15M - Scoring'!AK8&lt;&gt;"",'Beginner Adv 15M - Scoring'!AK8,""),"")</f>
        <v/>
      </c>
      <c r="D32" s="79" t="str">
        <f>IF('Beginner Adv 15M - Scoring'!B8&lt;&gt;"",IF('Beginner Adv 15M - Scoring'!AL8&lt;&gt;"",'Beginner Adv 15M - Scoring'!AL8,""),"")</f>
        <v/>
      </c>
      <c r="E32" s="80">
        <f>IF('Beginner Adv 15M - Scoring'!B8&lt;&gt;"",'Beginner Adv 15M - Scoring'!AU8,"")</f>
        <v>0</v>
      </c>
      <c r="F32" s="81">
        <f>IF(E27&lt;&gt;"",IFERROR(IF(ISNUMBER(E27),E27,0),0)+IFERROR(IF(ISNUMBER(E28),E28,0),0)+IFERROR(IF(ISNUMBER(E29),E29,0),0)+IFERROR(IF(ISNUMBER(E30),E30,0),0)+IFERROR(IF(ISNUMBER(E31),E31,0),0)+IFERROR(IF(ISNUMBER(E32),E32,0),0),"")</f>
        <v>0</v>
      </c>
      <c r="H32" s="78" t="s">
        <v>229</v>
      </c>
      <c r="I32" s="79" t="str">
        <f>IF('Beginner Adv 15M - Scoring'!B9&lt;&gt;"",IF('Beginner Adv 15M - Scoring'!AJ9&lt;&gt;"",'Beginner Adv 15M - Scoring'!AJ9,""),"")</f>
        <v/>
      </c>
      <c r="J32" s="79" t="str">
        <f>IF('Beginner Adv 15M - Scoring'!B9&lt;&gt;"",IF('Beginner Adv 15M - Scoring'!AK9&lt;&gt;"",'Beginner Adv 15M - Scoring'!AK9,""),"")</f>
        <v/>
      </c>
      <c r="K32" s="79" t="str">
        <f>IF('Beginner Adv 15M - Scoring'!B9&lt;&gt;"",IF('Beginner Adv 15M - Scoring'!AL9&lt;&gt;"",'Beginner Adv 15M - Scoring'!AL9,""),"")</f>
        <v/>
      </c>
      <c r="L32" s="80">
        <f>IF('Beginner Adv 15M - Scoring'!B9&lt;&gt;"",'Beginner Adv 15M - Scoring'!AU9,"")</f>
        <v>0</v>
      </c>
      <c r="M32" s="81">
        <f>IF(L27&lt;&gt;"",IFERROR(IF(ISNUMBER(L27),L27,0),0)+IFERROR(IF(ISNUMBER(L28),L28,0),0)+IFERROR(IF(ISNUMBER(L29),L29,0),0)+IFERROR(IF(ISNUMBER(L30),L30,0),0)+IFERROR(IF(ISNUMBER(L31),L31,0),0)+IFERROR(IF(ISNUMBER(L32),L32,0),0),"")</f>
        <v>0</v>
      </c>
    </row>
    <row r="33" spans="1:13" ht="3.75" customHeight="1" x14ac:dyDescent="0.35"/>
    <row r="34" spans="1:13" ht="24" customHeight="1" x14ac:dyDescent="0.35">
      <c r="A34" s="124" t="s">
        <v>230</v>
      </c>
      <c r="B34" s="124"/>
      <c r="C34" s="124"/>
      <c r="D34" s="124"/>
      <c r="E34" s="125">
        <f>IF('Beginner Adv 15M - Scoring'!B8&lt;&gt;"",'Beginner Adv 15M - Scoring'!AV8,"")</f>
        <v>0</v>
      </c>
      <c r="F34" s="125"/>
      <c r="H34" s="124" t="s">
        <v>230</v>
      </c>
      <c r="I34" s="124"/>
      <c r="J34" s="124"/>
      <c r="K34" s="124"/>
      <c r="L34" s="125">
        <f>IF('Beginner Adv 15M - Scoring'!B9&lt;&gt;"",'Beginner Adv 15M - Scoring'!AV9,"")</f>
        <v>0</v>
      </c>
      <c r="M34" s="125"/>
    </row>
    <row r="35" spans="1:13" ht="19.5" customHeight="1" x14ac:dyDescent="0.35">
      <c r="E35" s="125"/>
      <c r="F35" s="125"/>
      <c r="L35" s="125"/>
      <c r="M35" s="125"/>
    </row>
    <row r="36" spans="1:13" ht="3.75" customHeight="1" x14ac:dyDescent="0.35"/>
    <row r="37" spans="1:13" ht="18" customHeight="1" x14ac:dyDescent="0.35">
      <c r="A37" s="73" t="s">
        <v>126</v>
      </c>
      <c r="B37" s="82">
        <f>IF('Beginner Adv 15M - Scoring'!B8&lt;&gt;"",'Beginner Adv 15M - Scoring'!AW8,"")</f>
        <v>0</v>
      </c>
      <c r="C37" s="73" t="s">
        <v>127</v>
      </c>
      <c r="D37" s="83">
        <f>IF('Beginner Adv 15M - Scoring'!B8&lt;&gt;"",'Beginner Adv 15M - Scoring'!AX8,"")</f>
        <v>0</v>
      </c>
      <c r="E37" s="73" t="s">
        <v>128</v>
      </c>
      <c r="F37" s="83">
        <f>IF('Beginner Adv 15M - Scoring'!B8&lt;&gt;"",'Beginner Adv 15M - Scoring'!AY8,"")</f>
        <v>0</v>
      </c>
      <c r="H37" s="73" t="s">
        <v>126</v>
      </c>
      <c r="I37" s="82">
        <f>IF('Beginner Adv 15M - Scoring'!B9&lt;&gt;"",'Beginner Adv 15M - Scoring'!AW9,"")</f>
        <v>0</v>
      </c>
      <c r="J37" s="73" t="s">
        <v>127</v>
      </c>
      <c r="K37" s="83">
        <f>IF('Beginner Adv 15M - Scoring'!B9&lt;&gt;"",'Beginner Adv 15M - Scoring'!AX9,"")</f>
        <v>0</v>
      </c>
      <c r="L37" s="73" t="s">
        <v>128</v>
      </c>
      <c r="M37" s="83">
        <f>IF('Beginner Adv 15M - Scoring'!B9&lt;&gt;"",'Beginner Adv 15M - Scoring'!AY9,"")</f>
        <v>0</v>
      </c>
    </row>
    <row r="38" spans="1:13" ht="3.75" customHeight="1" x14ac:dyDescent="0.35"/>
    <row r="39" spans="1:13" ht="7.5" customHeight="1" x14ac:dyDescent="0.35">
      <c r="A39" s="126"/>
      <c r="B39" s="126"/>
      <c r="C39" s="126"/>
      <c r="D39" s="126"/>
      <c r="E39" s="126"/>
      <c r="F39" s="126"/>
      <c r="G39" s="126"/>
      <c r="H39" s="126"/>
      <c r="I39" s="126"/>
      <c r="J39" s="126"/>
      <c r="K39" s="126"/>
      <c r="L39" s="126"/>
      <c r="M39" s="126"/>
    </row>
    <row r="40" spans="1:13" ht="15.75" customHeight="1" x14ac:dyDescent="0.35">
      <c r="A40" s="73" t="s">
        <v>218</v>
      </c>
      <c r="B40" s="122" t="str">
        <f>IF('Beginner Adv 15M - Scoring'!B10&lt;&gt;"",'Beginner Adv 15M - Scoring'!B10,"")</f>
        <v>Jasmine Eizelle P. Dipad</v>
      </c>
      <c r="C40" s="122"/>
      <c r="D40" s="122"/>
      <c r="E40" s="73" t="s">
        <v>219</v>
      </c>
      <c r="F40" s="74">
        <f>IF('Beginner Adv 15M - Scoring'!B10&lt;&gt;"",'Beginner Adv 15M - Scoring'!BB10,"")</f>
        <v>1</v>
      </c>
      <c r="H40" s="73" t="s">
        <v>218</v>
      </c>
      <c r="I40" s="122" t="str">
        <f>IF('Beginner Adv 15M - Scoring'!B11&lt;&gt;"",'Beginner Adv 15M - Scoring'!B11,"")</f>
        <v/>
      </c>
      <c r="J40" s="122"/>
      <c r="K40" s="122"/>
      <c r="L40" s="73" t="s">
        <v>219</v>
      </c>
      <c r="M40" s="74" t="str">
        <f>IF('Beginner Adv 15M - Scoring'!B11&lt;&gt;"",'Beginner Adv 15M - Scoring'!BB11,"")</f>
        <v/>
      </c>
    </row>
    <row r="41" spans="1:13" ht="15.75" customHeight="1" x14ac:dyDescent="0.35">
      <c r="A41" s="73" t="s">
        <v>220</v>
      </c>
      <c r="B41" s="123" t="str">
        <f>IF('Beginner Adv 15M - Scoring'!B10&lt;&gt;"",'Beginner Adv 15M - Scoring'!D10,"")</f>
        <v>N/A</v>
      </c>
      <c r="C41" s="123"/>
      <c r="D41" s="123"/>
      <c r="E41" s="73" t="s">
        <v>8</v>
      </c>
      <c r="F41" s="75" t="str">
        <f>IF('Beginner Adv 15M - Scoring'!B10&lt;&gt;"",'Beginner Adv 15M - Scoring'!E10,"")</f>
        <v>3B</v>
      </c>
      <c r="H41" s="73" t="s">
        <v>220</v>
      </c>
      <c r="I41" s="123" t="str">
        <f>IF('Beginner Adv 15M - Scoring'!B11&lt;&gt;"",'Beginner Adv 15M - Scoring'!D11,"")</f>
        <v/>
      </c>
      <c r="J41" s="123"/>
      <c r="K41" s="123"/>
      <c r="L41" s="73" t="s">
        <v>8</v>
      </c>
      <c r="M41" s="75" t="str">
        <f>IF('Beginner Adv 15M - Scoring'!B11&lt;&gt;"",'Beginner Adv 15M - Scoring'!E11,"")</f>
        <v/>
      </c>
    </row>
    <row r="42" spans="1:13" ht="3.75" customHeight="1" x14ac:dyDescent="0.35"/>
    <row r="43" spans="1:13" ht="25.5" customHeight="1" x14ac:dyDescent="0.35">
      <c r="A43" s="76" t="s">
        <v>221</v>
      </c>
      <c r="B43" s="77" t="s">
        <v>222</v>
      </c>
      <c r="C43" s="77" t="s">
        <v>223</v>
      </c>
      <c r="D43" s="77" t="s">
        <v>224</v>
      </c>
      <c r="E43" s="76" t="s">
        <v>225</v>
      </c>
      <c r="F43" s="76" t="s">
        <v>226</v>
      </c>
      <c r="H43" s="76" t="s">
        <v>221</v>
      </c>
      <c r="I43" s="77" t="s">
        <v>222</v>
      </c>
      <c r="J43" s="77" t="s">
        <v>223</v>
      </c>
      <c r="K43" s="77" t="s">
        <v>224</v>
      </c>
      <c r="L43" s="76" t="s">
        <v>225</v>
      </c>
      <c r="M43" s="76" t="s">
        <v>226</v>
      </c>
    </row>
    <row r="44" spans="1:13" ht="19.5" customHeight="1" x14ac:dyDescent="0.35">
      <c r="A44" s="78" t="s">
        <v>222</v>
      </c>
      <c r="B44" s="79" t="str">
        <f>IF('Beginner Adv 15M - Scoring'!B10&lt;&gt;"",IF('Beginner Adv 15M - Scoring'!F10&lt;&gt;"",'Beginner Adv 15M - Scoring'!F10,""),"")</f>
        <v/>
      </c>
      <c r="C44" s="79" t="str">
        <f>IF('Beginner Adv 15M - Scoring'!B10&lt;&gt;"",IF('Beginner Adv 15M - Scoring'!G10&lt;&gt;"",'Beginner Adv 15M - Scoring'!G10,""),"")</f>
        <v/>
      </c>
      <c r="D44" s="79" t="str">
        <f>IF('Beginner Adv 15M - Scoring'!B10&lt;&gt;"",IF('Beginner Adv 15M - Scoring'!H10&lt;&gt;"",'Beginner Adv 15M - Scoring'!H10,""),"")</f>
        <v/>
      </c>
      <c r="E44" s="80">
        <f>IF('Beginner Adv 15M - Scoring'!B10&lt;&gt;"",'Beginner Adv 15M - Scoring'!AP10,"")</f>
        <v>0</v>
      </c>
      <c r="F44" s="81">
        <f>IFERROR(IF(ISNUMBER(E44),E44,""),"")</f>
        <v>0</v>
      </c>
      <c r="H44" s="78" t="s">
        <v>222</v>
      </c>
      <c r="I44" s="79" t="str">
        <f>IF('Beginner Adv 15M - Scoring'!B11&lt;&gt;"",IF('Beginner Adv 15M - Scoring'!F11&lt;&gt;"",'Beginner Adv 15M - Scoring'!F11,""),"")</f>
        <v/>
      </c>
      <c r="J44" s="79" t="str">
        <f>IF('Beginner Adv 15M - Scoring'!B11&lt;&gt;"",IF('Beginner Adv 15M - Scoring'!G11&lt;&gt;"",'Beginner Adv 15M - Scoring'!G11,""),"")</f>
        <v/>
      </c>
      <c r="K44" s="79" t="str">
        <f>IF('Beginner Adv 15M - Scoring'!B11&lt;&gt;"",IF('Beginner Adv 15M - Scoring'!H11&lt;&gt;"",'Beginner Adv 15M - Scoring'!H11,""),"")</f>
        <v/>
      </c>
      <c r="L44" s="80" t="str">
        <f>IF('Beginner Adv 15M - Scoring'!B11&lt;&gt;"",'Beginner Adv 15M - Scoring'!AP11,"")</f>
        <v/>
      </c>
      <c r="M44" s="81" t="str">
        <f>IFERROR(IF(ISNUMBER(L44),L44,""),"")</f>
        <v/>
      </c>
    </row>
    <row r="45" spans="1:13" ht="19.5" customHeight="1" x14ac:dyDescent="0.35">
      <c r="A45" s="78" t="s">
        <v>223</v>
      </c>
      <c r="B45" s="79" t="str">
        <f>IF('Beginner Adv 15M - Scoring'!B10&lt;&gt;"",IF('Beginner Adv 15M - Scoring'!L10&lt;&gt;"",'Beginner Adv 15M - Scoring'!L10,""),"")</f>
        <v/>
      </c>
      <c r="C45" s="79" t="str">
        <f>IF('Beginner Adv 15M - Scoring'!B10&lt;&gt;"",IF('Beginner Adv 15M - Scoring'!M10&lt;&gt;"",'Beginner Adv 15M - Scoring'!M10,""),"")</f>
        <v/>
      </c>
      <c r="D45" s="79" t="str">
        <f>IF('Beginner Adv 15M - Scoring'!B10&lt;&gt;"",IF('Beginner Adv 15M - Scoring'!N10&lt;&gt;"",'Beginner Adv 15M - Scoring'!N10,""),"")</f>
        <v/>
      </c>
      <c r="E45" s="80">
        <f>IF('Beginner Adv 15M - Scoring'!B10&lt;&gt;"",'Beginner Adv 15M - Scoring'!AQ10,"")</f>
        <v>0</v>
      </c>
      <c r="F45" s="81">
        <f>IF(E44&lt;&gt;"",IFERROR(IF(ISNUMBER(E44),E44,0),0)+IFERROR(IF(ISNUMBER(E45),E45,0),0),"")</f>
        <v>0</v>
      </c>
      <c r="H45" s="78" t="s">
        <v>223</v>
      </c>
      <c r="I45" s="79" t="str">
        <f>IF('Beginner Adv 15M - Scoring'!B11&lt;&gt;"",IF('Beginner Adv 15M - Scoring'!L11&lt;&gt;"",'Beginner Adv 15M - Scoring'!L11,""),"")</f>
        <v/>
      </c>
      <c r="J45" s="79" t="str">
        <f>IF('Beginner Adv 15M - Scoring'!B11&lt;&gt;"",IF('Beginner Adv 15M - Scoring'!M11&lt;&gt;"",'Beginner Adv 15M - Scoring'!M11,""),"")</f>
        <v/>
      </c>
      <c r="K45" s="79" t="str">
        <f>IF('Beginner Adv 15M - Scoring'!B11&lt;&gt;"",IF('Beginner Adv 15M - Scoring'!N11&lt;&gt;"",'Beginner Adv 15M - Scoring'!N11,""),"")</f>
        <v/>
      </c>
      <c r="L45" s="80" t="str">
        <f>IF('Beginner Adv 15M - Scoring'!B11&lt;&gt;"",'Beginner Adv 15M - Scoring'!AQ11,"")</f>
        <v/>
      </c>
      <c r="M45" s="81" t="str">
        <f>IF(L44&lt;&gt;"",IFERROR(IF(ISNUMBER(L44),L44,0),0)+IFERROR(IF(ISNUMBER(L45),L45,0),0),"")</f>
        <v/>
      </c>
    </row>
    <row r="46" spans="1:13" ht="19.5" customHeight="1" x14ac:dyDescent="0.35">
      <c r="A46" s="78" t="s">
        <v>224</v>
      </c>
      <c r="B46" s="79" t="str">
        <f>IF('Beginner Adv 15M - Scoring'!B10&lt;&gt;"",IF('Beginner Adv 15M - Scoring'!R10&lt;&gt;"",'Beginner Adv 15M - Scoring'!R10,""),"")</f>
        <v/>
      </c>
      <c r="C46" s="79" t="str">
        <f>IF('Beginner Adv 15M - Scoring'!B10&lt;&gt;"",IF('Beginner Adv 15M - Scoring'!S10&lt;&gt;"",'Beginner Adv 15M - Scoring'!S10,""),"")</f>
        <v/>
      </c>
      <c r="D46" s="79" t="str">
        <f>IF('Beginner Adv 15M - Scoring'!B10&lt;&gt;"",IF('Beginner Adv 15M - Scoring'!T10&lt;&gt;"",'Beginner Adv 15M - Scoring'!T10,""),"")</f>
        <v/>
      </c>
      <c r="E46" s="80">
        <f>IF('Beginner Adv 15M - Scoring'!B10&lt;&gt;"",'Beginner Adv 15M - Scoring'!AR10,"")</f>
        <v>0</v>
      </c>
      <c r="F46" s="81">
        <f>IF(E44&lt;&gt;"",IFERROR(IF(ISNUMBER(E44),E44,0),0)+IFERROR(IF(ISNUMBER(E45),E45,0),0)+IFERROR(IF(ISNUMBER(E46),E46,0),0),"")</f>
        <v>0</v>
      </c>
      <c r="H46" s="78" t="s">
        <v>224</v>
      </c>
      <c r="I46" s="79" t="str">
        <f>IF('Beginner Adv 15M - Scoring'!B11&lt;&gt;"",IF('Beginner Adv 15M - Scoring'!R11&lt;&gt;"",'Beginner Adv 15M - Scoring'!R11,""),"")</f>
        <v/>
      </c>
      <c r="J46" s="79" t="str">
        <f>IF('Beginner Adv 15M - Scoring'!B11&lt;&gt;"",IF('Beginner Adv 15M - Scoring'!S11&lt;&gt;"",'Beginner Adv 15M - Scoring'!S11,""),"")</f>
        <v/>
      </c>
      <c r="K46" s="79" t="str">
        <f>IF('Beginner Adv 15M - Scoring'!B11&lt;&gt;"",IF('Beginner Adv 15M - Scoring'!T11&lt;&gt;"",'Beginner Adv 15M - Scoring'!T11,""),"")</f>
        <v/>
      </c>
      <c r="L46" s="80" t="str">
        <f>IF('Beginner Adv 15M - Scoring'!B11&lt;&gt;"",'Beginner Adv 15M - Scoring'!AR11,"")</f>
        <v/>
      </c>
      <c r="M46" s="81" t="str">
        <f>IF(L44&lt;&gt;"",IFERROR(IF(ISNUMBER(L44),L44,0),0)+IFERROR(IF(ISNUMBER(L45),L45,0),0)+IFERROR(IF(ISNUMBER(L46),L46,0),0),"")</f>
        <v/>
      </c>
    </row>
    <row r="47" spans="1:13" ht="19.5" customHeight="1" x14ac:dyDescent="0.35">
      <c r="A47" s="78" t="s">
        <v>227</v>
      </c>
      <c r="B47" s="79" t="str">
        <f>IF('Beginner Adv 15M - Scoring'!B10&lt;&gt;"",IF('Beginner Adv 15M - Scoring'!X10&lt;&gt;"",'Beginner Adv 15M - Scoring'!X10,""),"")</f>
        <v/>
      </c>
      <c r="C47" s="79" t="str">
        <f>IF('Beginner Adv 15M - Scoring'!B10&lt;&gt;"",IF('Beginner Adv 15M - Scoring'!Y10&lt;&gt;"",'Beginner Adv 15M - Scoring'!Y10,""),"")</f>
        <v/>
      </c>
      <c r="D47" s="79" t="str">
        <f>IF('Beginner Adv 15M - Scoring'!B10&lt;&gt;"",IF('Beginner Adv 15M - Scoring'!Z10&lt;&gt;"",'Beginner Adv 15M - Scoring'!Z10,""),"")</f>
        <v/>
      </c>
      <c r="E47" s="80">
        <f>IF('Beginner Adv 15M - Scoring'!B10&lt;&gt;"",'Beginner Adv 15M - Scoring'!AS10,"")</f>
        <v>0</v>
      </c>
      <c r="F47" s="81">
        <f>IF(E44&lt;&gt;"",IFERROR(IF(ISNUMBER(E44),E44,0),0)+IFERROR(IF(ISNUMBER(E45),E45,0),0)+IFERROR(IF(ISNUMBER(E46),E46,0),0)+IFERROR(IF(ISNUMBER(E47),E47,0),0),"")</f>
        <v>0</v>
      </c>
      <c r="H47" s="78" t="s">
        <v>227</v>
      </c>
      <c r="I47" s="79" t="str">
        <f>IF('Beginner Adv 15M - Scoring'!B11&lt;&gt;"",IF('Beginner Adv 15M - Scoring'!X11&lt;&gt;"",'Beginner Adv 15M - Scoring'!X11,""),"")</f>
        <v/>
      </c>
      <c r="J47" s="79" t="str">
        <f>IF('Beginner Adv 15M - Scoring'!B11&lt;&gt;"",IF('Beginner Adv 15M - Scoring'!Y11&lt;&gt;"",'Beginner Adv 15M - Scoring'!Y11,""),"")</f>
        <v/>
      </c>
      <c r="K47" s="79" t="str">
        <f>IF('Beginner Adv 15M - Scoring'!B11&lt;&gt;"",IF('Beginner Adv 15M - Scoring'!Z11&lt;&gt;"",'Beginner Adv 15M - Scoring'!Z11,""),"")</f>
        <v/>
      </c>
      <c r="L47" s="80" t="str">
        <f>IF('Beginner Adv 15M - Scoring'!B11&lt;&gt;"",'Beginner Adv 15M - Scoring'!AS11,"")</f>
        <v/>
      </c>
      <c r="M47" s="81" t="str">
        <f>IF(L44&lt;&gt;"",IFERROR(IF(ISNUMBER(L44),L44,0),0)+IFERROR(IF(ISNUMBER(L45),L45,0),0)+IFERROR(IF(ISNUMBER(L46),L46,0),0)+IFERROR(IF(ISNUMBER(L47),L47,0),0),"")</f>
        <v/>
      </c>
    </row>
    <row r="48" spans="1:13" ht="19.5" customHeight="1" x14ac:dyDescent="0.35">
      <c r="A48" s="78" t="s">
        <v>228</v>
      </c>
      <c r="B48" s="79" t="str">
        <f>IF('Beginner Adv 15M - Scoring'!B10&lt;&gt;"",IF('Beginner Adv 15M - Scoring'!AD10&lt;&gt;"",'Beginner Adv 15M - Scoring'!AD10,""),"")</f>
        <v/>
      </c>
      <c r="C48" s="79" t="str">
        <f>IF('Beginner Adv 15M - Scoring'!B10&lt;&gt;"",IF('Beginner Adv 15M - Scoring'!AE10&lt;&gt;"",'Beginner Adv 15M - Scoring'!AE10,""),"")</f>
        <v/>
      </c>
      <c r="D48" s="79" t="str">
        <f>IF('Beginner Adv 15M - Scoring'!B10&lt;&gt;"",IF('Beginner Adv 15M - Scoring'!AF10&lt;&gt;"",'Beginner Adv 15M - Scoring'!AF10,""),"")</f>
        <v/>
      </c>
      <c r="E48" s="80">
        <f>IF('Beginner Adv 15M - Scoring'!B10&lt;&gt;"",'Beginner Adv 15M - Scoring'!AT10,"")</f>
        <v>0</v>
      </c>
      <c r="F48" s="81">
        <f>IF(E44&lt;&gt;"",IFERROR(IF(ISNUMBER(E44),E44,0),0)+IFERROR(IF(ISNUMBER(E45),E45,0),0)+IFERROR(IF(ISNUMBER(E46),E46,0),0)+IFERROR(IF(ISNUMBER(E47),E47,0),0)+IFERROR(IF(ISNUMBER(E48),E48,0),0),"")</f>
        <v>0</v>
      </c>
      <c r="H48" s="78" t="s">
        <v>228</v>
      </c>
      <c r="I48" s="79" t="str">
        <f>IF('Beginner Adv 15M - Scoring'!B11&lt;&gt;"",IF('Beginner Adv 15M - Scoring'!AD11&lt;&gt;"",'Beginner Adv 15M - Scoring'!AD11,""),"")</f>
        <v/>
      </c>
      <c r="J48" s="79" t="str">
        <f>IF('Beginner Adv 15M - Scoring'!B11&lt;&gt;"",IF('Beginner Adv 15M - Scoring'!AE11&lt;&gt;"",'Beginner Adv 15M - Scoring'!AE11,""),"")</f>
        <v/>
      </c>
      <c r="K48" s="79" t="str">
        <f>IF('Beginner Adv 15M - Scoring'!B11&lt;&gt;"",IF('Beginner Adv 15M - Scoring'!AF11&lt;&gt;"",'Beginner Adv 15M - Scoring'!AF11,""),"")</f>
        <v/>
      </c>
      <c r="L48" s="80" t="str">
        <f>IF('Beginner Adv 15M - Scoring'!B11&lt;&gt;"",'Beginner Adv 15M - Scoring'!AT11,"")</f>
        <v/>
      </c>
      <c r="M48" s="81" t="str">
        <f>IF(L44&lt;&gt;"",IFERROR(IF(ISNUMBER(L44),L44,0),0)+IFERROR(IF(ISNUMBER(L45),L45,0),0)+IFERROR(IF(ISNUMBER(L46),L46,0),0)+IFERROR(IF(ISNUMBER(L47),L47,0),0)+IFERROR(IF(ISNUMBER(L48),L48,0),0),"")</f>
        <v/>
      </c>
    </row>
    <row r="49" spans="1:13" ht="19.5" customHeight="1" x14ac:dyDescent="0.35">
      <c r="A49" s="78" t="s">
        <v>229</v>
      </c>
      <c r="B49" s="79" t="str">
        <f>IF('Beginner Adv 15M - Scoring'!B10&lt;&gt;"",IF('Beginner Adv 15M - Scoring'!AJ10&lt;&gt;"",'Beginner Adv 15M - Scoring'!AJ10,""),"")</f>
        <v/>
      </c>
      <c r="C49" s="79" t="str">
        <f>IF('Beginner Adv 15M - Scoring'!B10&lt;&gt;"",IF('Beginner Adv 15M - Scoring'!AK10&lt;&gt;"",'Beginner Adv 15M - Scoring'!AK10,""),"")</f>
        <v/>
      </c>
      <c r="D49" s="79" t="str">
        <f>IF('Beginner Adv 15M - Scoring'!B10&lt;&gt;"",IF('Beginner Adv 15M - Scoring'!AL10&lt;&gt;"",'Beginner Adv 15M - Scoring'!AL10,""),"")</f>
        <v/>
      </c>
      <c r="E49" s="80">
        <f>IF('Beginner Adv 15M - Scoring'!B10&lt;&gt;"",'Beginner Adv 15M - Scoring'!AU10,"")</f>
        <v>0</v>
      </c>
      <c r="F49" s="81">
        <f>IF(E44&lt;&gt;"",IFERROR(IF(ISNUMBER(E44),E44,0),0)+IFERROR(IF(ISNUMBER(E45),E45,0),0)+IFERROR(IF(ISNUMBER(E46),E46,0),0)+IFERROR(IF(ISNUMBER(E47),E47,0),0)+IFERROR(IF(ISNUMBER(E48),E48,0),0)+IFERROR(IF(ISNUMBER(E49),E49,0),0),"")</f>
        <v>0</v>
      </c>
      <c r="H49" s="78" t="s">
        <v>229</v>
      </c>
      <c r="I49" s="79" t="str">
        <f>IF('Beginner Adv 15M - Scoring'!B11&lt;&gt;"",IF('Beginner Adv 15M - Scoring'!AJ11&lt;&gt;"",'Beginner Adv 15M - Scoring'!AJ11,""),"")</f>
        <v/>
      </c>
      <c r="J49" s="79" t="str">
        <f>IF('Beginner Adv 15M - Scoring'!B11&lt;&gt;"",IF('Beginner Adv 15M - Scoring'!AK11&lt;&gt;"",'Beginner Adv 15M - Scoring'!AK11,""),"")</f>
        <v/>
      </c>
      <c r="K49" s="79" t="str">
        <f>IF('Beginner Adv 15M - Scoring'!B11&lt;&gt;"",IF('Beginner Adv 15M - Scoring'!AL11&lt;&gt;"",'Beginner Adv 15M - Scoring'!AL11,""),"")</f>
        <v/>
      </c>
      <c r="L49" s="80" t="str">
        <f>IF('Beginner Adv 15M - Scoring'!B11&lt;&gt;"",'Beginner Adv 15M - Scoring'!AU11,"")</f>
        <v/>
      </c>
      <c r="M49" s="81" t="str">
        <f>IF(L44&lt;&gt;"",IFERROR(IF(ISNUMBER(L44),L44,0),0)+IFERROR(IF(ISNUMBER(L45),L45,0),0)+IFERROR(IF(ISNUMBER(L46),L46,0),0)+IFERROR(IF(ISNUMBER(L47),L47,0),0)+IFERROR(IF(ISNUMBER(L48),L48,0),0)+IFERROR(IF(ISNUMBER(L49),L49,0),0),"")</f>
        <v/>
      </c>
    </row>
    <row r="50" spans="1:13" ht="3.75" customHeight="1" x14ac:dyDescent="0.35"/>
    <row r="51" spans="1:13" ht="24" customHeight="1" x14ac:dyDescent="0.35">
      <c r="A51" s="124" t="s">
        <v>230</v>
      </c>
      <c r="B51" s="124"/>
      <c r="C51" s="124"/>
      <c r="D51" s="124"/>
      <c r="E51" s="125">
        <f>IF('Beginner Adv 15M - Scoring'!B10&lt;&gt;"",'Beginner Adv 15M - Scoring'!AV10,"")</f>
        <v>0</v>
      </c>
      <c r="F51" s="125"/>
      <c r="H51" s="124" t="s">
        <v>230</v>
      </c>
      <c r="I51" s="124"/>
      <c r="J51" s="124"/>
      <c r="K51" s="124"/>
      <c r="L51" s="125" t="str">
        <f>IF('Beginner Adv 15M - Scoring'!B11&lt;&gt;"",'Beginner Adv 15M - Scoring'!AV11,"")</f>
        <v/>
      </c>
      <c r="M51" s="125"/>
    </row>
    <row r="52" spans="1:13" ht="19.5" customHeight="1" x14ac:dyDescent="0.35">
      <c r="E52" s="125"/>
      <c r="F52" s="125"/>
      <c r="L52" s="125"/>
      <c r="M52" s="125"/>
    </row>
    <row r="53" spans="1:13" ht="3.75" customHeight="1" x14ac:dyDescent="0.35"/>
    <row r="54" spans="1:13" ht="18" customHeight="1" x14ac:dyDescent="0.35">
      <c r="A54" s="73" t="s">
        <v>126</v>
      </c>
      <c r="B54" s="82">
        <f>IF('Beginner Adv 15M - Scoring'!B10&lt;&gt;"",'Beginner Adv 15M - Scoring'!AW10,"")</f>
        <v>0</v>
      </c>
      <c r="C54" s="73" t="s">
        <v>127</v>
      </c>
      <c r="D54" s="83">
        <f>IF('Beginner Adv 15M - Scoring'!B10&lt;&gt;"",'Beginner Adv 15M - Scoring'!AX10,"")</f>
        <v>0</v>
      </c>
      <c r="E54" s="73" t="s">
        <v>128</v>
      </c>
      <c r="F54" s="83">
        <f>IF('Beginner Adv 15M - Scoring'!B10&lt;&gt;"",'Beginner Adv 15M - Scoring'!AY10,"")</f>
        <v>0</v>
      </c>
      <c r="H54" s="73" t="s">
        <v>126</v>
      </c>
      <c r="I54" s="82" t="str">
        <f>IF('Beginner Adv 15M - Scoring'!B11&lt;&gt;"",'Beginner Adv 15M - Scoring'!AW11,"")</f>
        <v/>
      </c>
      <c r="J54" s="73" t="s">
        <v>127</v>
      </c>
      <c r="K54" s="83" t="str">
        <f>IF('Beginner Adv 15M - Scoring'!B11&lt;&gt;"",'Beginner Adv 15M - Scoring'!AX11,"")</f>
        <v/>
      </c>
      <c r="L54" s="73" t="s">
        <v>128</v>
      </c>
      <c r="M54" s="83" t="str">
        <f>IF('Beginner Adv 15M - Scoring'!B11&lt;&gt;"",'Beginner Adv 15M - Scoring'!AY11,"")</f>
        <v/>
      </c>
    </row>
    <row r="55" spans="1:13" ht="3.75" customHeight="1" x14ac:dyDescent="0.35"/>
    <row r="56" spans="1:13" ht="7.5" customHeight="1" x14ac:dyDescent="0.35">
      <c r="A56" s="126"/>
      <c r="B56" s="126"/>
      <c r="C56" s="126"/>
      <c r="D56" s="126"/>
      <c r="E56" s="126"/>
      <c r="F56" s="126"/>
      <c r="G56" s="126"/>
      <c r="H56" s="126"/>
      <c r="I56" s="126"/>
      <c r="J56" s="126"/>
      <c r="K56" s="126"/>
      <c r="L56" s="126"/>
      <c r="M56" s="126"/>
    </row>
    <row r="57" spans="1:13" ht="15.75" customHeight="1" x14ac:dyDescent="0.35">
      <c r="A57" s="73" t="s">
        <v>218</v>
      </c>
      <c r="B57" s="122" t="str">
        <f>IF('Beginner Adv 15M - Scoring'!B12&lt;&gt;"",'Beginner Adv 15M - Scoring'!B12,"")</f>
        <v/>
      </c>
      <c r="C57" s="122"/>
      <c r="D57" s="122"/>
      <c r="E57" s="73" t="s">
        <v>219</v>
      </c>
      <c r="F57" s="74" t="str">
        <f>IF('Beginner Adv 15M - Scoring'!B12&lt;&gt;"",'Beginner Adv 15M - Scoring'!BB12,"")</f>
        <v/>
      </c>
      <c r="H57" s="73" t="s">
        <v>218</v>
      </c>
      <c r="I57" s="122" t="str">
        <f>IF('Beginner Adv 15M - Scoring'!B13&lt;&gt;"",'Beginner Adv 15M - Scoring'!B13,"")</f>
        <v/>
      </c>
      <c r="J57" s="122"/>
      <c r="K57" s="122"/>
      <c r="L57" s="73" t="s">
        <v>219</v>
      </c>
      <c r="M57" s="74" t="str">
        <f>IF('Beginner Adv 15M - Scoring'!B13&lt;&gt;"",'Beginner Adv 15M - Scoring'!BB13,"")</f>
        <v/>
      </c>
    </row>
    <row r="58" spans="1:13" ht="15.75" customHeight="1" x14ac:dyDescent="0.35">
      <c r="A58" s="73" t="s">
        <v>220</v>
      </c>
      <c r="B58" s="123" t="str">
        <f>IF('Beginner Adv 15M - Scoring'!B12&lt;&gt;"",'Beginner Adv 15M - Scoring'!D12,"")</f>
        <v/>
      </c>
      <c r="C58" s="123"/>
      <c r="D58" s="123"/>
      <c r="E58" s="73" t="s">
        <v>8</v>
      </c>
      <c r="F58" s="75" t="str">
        <f>IF('Beginner Adv 15M - Scoring'!B12&lt;&gt;"",'Beginner Adv 15M - Scoring'!E12,"")</f>
        <v/>
      </c>
      <c r="H58" s="73" t="s">
        <v>220</v>
      </c>
      <c r="I58" s="123" t="str">
        <f>IF('Beginner Adv 15M - Scoring'!B13&lt;&gt;"",'Beginner Adv 15M - Scoring'!D13,"")</f>
        <v/>
      </c>
      <c r="J58" s="123"/>
      <c r="K58" s="123"/>
      <c r="L58" s="73" t="s">
        <v>8</v>
      </c>
      <c r="M58" s="75" t="str">
        <f>IF('Beginner Adv 15M - Scoring'!B13&lt;&gt;"",'Beginner Adv 15M - Scoring'!E13,"")</f>
        <v/>
      </c>
    </row>
    <row r="59" spans="1:13" ht="3.75" customHeight="1" x14ac:dyDescent="0.35"/>
    <row r="60" spans="1:13" ht="25.5" customHeight="1" x14ac:dyDescent="0.35">
      <c r="A60" s="76" t="s">
        <v>221</v>
      </c>
      <c r="B60" s="77" t="s">
        <v>222</v>
      </c>
      <c r="C60" s="77" t="s">
        <v>223</v>
      </c>
      <c r="D60" s="77" t="s">
        <v>224</v>
      </c>
      <c r="E60" s="76" t="s">
        <v>225</v>
      </c>
      <c r="F60" s="76" t="s">
        <v>226</v>
      </c>
      <c r="H60" s="76" t="s">
        <v>221</v>
      </c>
      <c r="I60" s="77" t="s">
        <v>222</v>
      </c>
      <c r="J60" s="77" t="s">
        <v>223</v>
      </c>
      <c r="K60" s="77" t="s">
        <v>224</v>
      </c>
      <c r="L60" s="76" t="s">
        <v>225</v>
      </c>
      <c r="M60" s="76" t="s">
        <v>226</v>
      </c>
    </row>
    <row r="61" spans="1:13" ht="19.5" customHeight="1" x14ac:dyDescent="0.35">
      <c r="A61" s="78" t="s">
        <v>222</v>
      </c>
      <c r="B61" s="79" t="str">
        <f>IF('Beginner Adv 15M - Scoring'!B12&lt;&gt;"",IF('Beginner Adv 15M - Scoring'!F12&lt;&gt;"",'Beginner Adv 15M - Scoring'!F12,""),"")</f>
        <v/>
      </c>
      <c r="C61" s="79" t="str">
        <f>IF('Beginner Adv 15M - Scoring'!B12&lt;&gt;"",IF('Beginner Adv 15M - Scoring'!G12&lt;&gt;"",'Beginner Adv 15M - Scoring'!G12,""),"")</f>
        <v/>
      </c>
      <c r="D61" s="79" t="str">
        <f>IF('Beginner Adv 15M - Scoring'!B12&lt;&gt;"",IF('Beginner Adv 15M - Scoring'!H12&lt;&gt;"",'Beginner Adv 15M - Scoring'!H12,""),"")</f>
        <v/>
      </c>
      <c r="E61" s="80" t="str">
        <f>IF('Beginner Adv 15M - Scoring'!B12&lt;&gt;"",'Beginner Adv 15M - Scoring'!AP12,"")</f>
        <v/>
      </c>
      <c r="F61" s="81" t="str">
        <f>IFERROR(IF(ISNUMBER(E61),E61,""),"")</f>
        <v/>
      </c>
      <c r="H61" s="78" t="s">
        <v>222</v>
      </c>
      <c r="I61" s="79" t="str">
        <f>IF('Beginner Adv 15M - Scoring'!B13&lt;&gt;"",IF('Beginner Adv 15M - Scoring'!F13&lt;&gt;"",'Beginner Adv 15M - Scoring'!F13,""),"")</f>
        <v/>
      </c>
      <c r="J61" s="79" t="str">
        <f>IF('Beginner Adv 15M - Scoring'!B13&lt;&gt;"",IF('Beginner Adv 15M - Scoring'!G13&lt;&gt;"",'Beginner Adv 15M - Scoring'!G13,""),"")</f>
        <v/>
      </c>
      <c r="K61" s="79" t="str">
        <f>IF('Beginner Adv 15M - Scoring'!B13&lt;&gt;"",IF('Beginner Adv 15M - Scoring'!H13&lt;&gt;"",'Beginner Adv 15M - Scoring'!H13,""),"")</f>
        <v/>
      </c>
      <c r="L61" s="80" t="str">
        <f>IF('Beginner Adv 15M - Scoring'!B13&lt;&gt;"",'Beginner Adv 15M - Scoring'!AP13,"")</f>
        <v/>
      </c>
      <c r="M61" s="81" t="str">
        <f>IFERROR(IF(ISNUMBER(L61),L61,""),"")</f>
        <v/>
      </c>
    </row>
    <row r="62" spans="1:13" ht="19.5" customHeight="1" x14ac:dyDescent="0.35">
      <c r="A62" s="78" t="s">
        <v>223</v>
      </c>
      <c r="B62" s="79" t="str">
        <f>IF('Beginner Adv 15M - Scoring'!B12&lt;&gt;"",IF('Beginner Adv 15M - Scoring'!L12&lt;&gt;"",'Beginner Adv 15M - Scoring'!L12,""),"")</f>
        <v/>
      </c>
      <c r="C62" s="79" t="str">
        <f>IF('Beginner Adv 15M - Scoring'!B12&lt;&gt;"",IF('Beginner Adv 15M - Scoring'!M12&lt;&gt;"",'Beginner Adv 15M - Scoring'!M12,""),"")</f>
        <v/>
      </c>
      <c r="D62" s="79" t="str">
        <f>IF('Beginner Adv 15M - Scoring'!B12&lt;&gt;"",IF('Beginner Adv 15M - Scoring'!N12&lt;&gt;"",'Beginner Adv 15M - Scoring'!N12,""),"")</f>
        <v/>
      </c>
      <c r="E62" s="80" t="str">
        <f>IF('Beginner Adv 15M - Scoring'!B12&lt;&gt;"",'Beginner Adv 15M - Scoring'!AQ12,"")</f>
        <v/>
      </c>
      <c r="F62" s="81" t="str">
        <f>IF(E61&lt;&gt;"",IFERROR(IF(ISNUMBER(E61),E61,0),0)+IFERROR(IF(ISNUMBER(E62),E62,0),0),"")</f>
        <v/>
      </c>
      <c r="H62" s="78" t="s">
        <v>223</v>
      </c>
      <c r="I62" s="79" t="str">
        <f>IF('Beginner Adv 15M - Scoring'!B13&lt;&gt;"",IF('Beginner Adv 15M - Scoring'!L13&lt;&gt;"",'Beginner Adv 15M - Scoring'!L13,""),"")</f>
        <v/>
      </c>
      <c r="J62" s="79" t="str">
        <f>IF('Beginner Adv 15M - Scoring'!B13&lt;&gt;"",IF('Beginner Adv 15M - Scoring'!M13&lt;&gt;"",'Beginner Adv 15M - Scoring'!M13,""),"")</f>
        <v/>
      </c>
      <c r="K62" s="79" t="str">
        <f>IF('Beginner Adv 15M - Scoring'!B13&lt;&gt;"",IF('Beginner Adv 15M - Scoring'!N13&lt;&gt;"",'Beginner Adv 15M - Scoring'!N13,""),"")</f>
        <v/>
      </c>
      <c r="L62" s="80" t="str">
        <f>IF('Beginner Adv 15M - Scoring'!B13&lt;&gt;"",'Beginner Adv 15M - Scoring'!AQ13,"")</f>
        <v/>
      </c>
      <c r="M62" s="81" t="str">
        <f>IF(L61&lt;&gt;"",IFERROR(IF(ISNUMBER(L61),L61,0),0)+IFERROR(IF(ISNUMBER(L62),L62,0),0),"")</f>
        <v/>
      </c>
    </row>
    <row r="63" spans="1:13" ht="19.5" customHeight="1" x14ac:dyDescent="0.35">
      <c r="A63" s="78" t="s">
        <v>224</v>
      </c>
      <c r="B63" s="79" t="str">
        <f>IF('Beginner Adv 15M - Scoring'!B12&lt;&gt;"",IF('Beginner Adv 15M - Scoring'!R12&lt;&gt;"",'Beginner Adv 15M - Scoring'!R12,""),"")</f>
        <v/>
      </c>
      <c r="C63" s="79" t="str">
        <f>IF('Beginner Adv 15M - Scoring'!B12&lt;&gt;"",IF('Beginner Adv 15M - Scoring'!S12&lt;&gt;"",'Beginner Adv 15M - Scoring'!S12,""),"")</f>
        <v/>
      </c>
      <c r="D63" s="79" t="str">
        <f>IF('Beginner Adv 15M - Scoring'!B12&lt;&gt;"",IF('Beginner Adv 15M - Scoring'!T12&lt;&gt;"",'Beginner Adv 15M - Scoring'!T12,""),"")</f>
        <v/>
      </c>
      <c r="E63" s="80" t="str">
        <f>IF('Beginner Adv 15M - Scoring'!B12&lt;&gt;"",'Beginner Adv 15M - Scoring'!AR12,"")</f>
        <v/>
      </c>
      <c r="F63" s="81" t="str">
        <f>IF(E61&lt;&gt;"",IFERROR(IF(ISNUMBER(E61),E61,0),0)+IFERROR(IF(ISNUMBER(E62),E62,0),0)+IFERROR(IF(ISNUMBER(E63),E63,0),0),"")</f>
        <v/>
      </c>
      <c r="H63" s="78" t="s">
        <v>224</v>
      </c>
      <c r="I63" s="79" t="str">
        <f>IF('Beginner Adv 15M - Scoring'!B13&lt;&gt;"",IF('Beginner Adv 15M - Scoring'!R13&lt;&gt;"",'Beginner Adv 15M - Scoring'!R13,""),"")</f>
        <v/>
      </c>
      <c r="J63" s="79" t="str">
        <f>IF('Beginner Adv 15M - Scoring'!B13&lt;&gt;"",IF('Beginner Adv 15M - Scoring'!S13&lt;&gt;"",'Beginner Adv 15M - Scoring'!S13,""),"")</f>
        <v/>
      </c>
      <c r="K63" s="79" t="str">
        <f>IF('Beginner Adv 15M - Scoring'!B13&lt;&gt;"",IF('Beginner Adv 15M - Scoring'!T13&lt;&gt;"",'Beginner Adv 15M - Scoring'!T13,""),"")</f>
        <v/>
      </c>
      <c r="L63" s="80" t="str">
        <f>IF('Beginner Adv 15M - Scoring'!B13&lt;&gt;"",'Beginner Adv 15M - Scoring'!AR13,"")</f>
        <v/>
      </c>
      <c r="M63" s="81" t="str">
        <f>IF(L61&lt;&gt;"",IFERROR(IF(ISNUMBER(L61),L61,0),0)+IFERROR(IF(ISNUMBER(L62),L62,0),0)+IFERROR(IF(ISNUMBER(L63),L63,0),0),"")</f>
        <v/>
      </c>
    </row>
    <row r="64" spans="1:13" ht="19.5" customHeight="1" x14ac:dyDescent="0.35">
      <c r="A64" s="78" t="s">
        <v>227</v>
      </c>
      <c r="B64" s="79" t="str">
        <f>IF('Beginner Adv 15M - Scoring'!B12&lt;&gt;"",IF('Beginner Adv 15M - Scoring'!X12&lt;&gt;"",'Beginner Adv 15M - Scoring'!X12,""),"")</f>
        <v/>
      </c>
      <c r="C64" s="79" t="str">
        <f>IF('Beginner Adv 15M - Scoring'!B12&lt;&gt;"",IF('Beginner Adv 15M - Scoring'!Y12&lt;&gt;"",'Beginner Adv 15M - Scoring'!Y12,""),"")</f>
        <v/>
      </c>
      <c r="D64" s="79" t="str">
        <f>IF('Beginner Adv 15M - Scoring'!B12&lt;&gt;"",IF('Beginner Adv 15M - Scoring'!Z12&lt;&gt;"",'Beginner Adv 15M - Scoring'!Z12,""),"")</f>
        <v/>
      </c>
      <c r="E64" s="80" t="str">
        <f>IF('Beginner Adv 15M - Scoring'!B12&lt;&gt;"",'Beginner Adv 15M - Scoring'!AS12,"")</f>
        <v/>
      </c>
      <c r="F64" s="81" t="str">
        <f>IF(E61&lt;&gt;"",IFERROR(IF(ISNUMBER(E61),E61,0),0)+IFERROR(IF(ISNUMBER(E62),E62,0),0)+IFERROR(IF(ISNUMBER(E63),E63,0),0)+IFERROR(IF(ISNUMBER(E64),E64,0),0),"")</f>
        <v/>
      </c>
      <c r="H64" s="78" t="s">
        <v>227</v>
      </c>
      <c r="I64" s="79" t="str">
        <f>IF('Beginner Adv 15M - Scoring'!B13&lt;&gt;"",IF('Beginner Adv 15M - Scoring'!X13&lt;&gt;"",'Beginner Adv 15M - Scoring'!X13,""),"")</f>
        <v/>
      </c>
      <c r="J64" s="79" t="str">
        <f>IF('Beginner Adv 15M - Scoring'!B13&lt;&gt;"",IF('Beginner Adv 15M - Scoring'!Y13&lt;&gt;"",'Beginner Adv 15M - Scoring'!Y13,""),"")</f>
        <v/>
      </c>
      <c r="K64" s="79" t="str">
        <f>IF('Beginner Adv 15M - Scoring'!B13&lt;&gt;"",IF('Beginner Adv 15M - Scoring'!Z13&lt;&gt;"",'Beginner Adv 15M - Scoring'!Z13,""),"")</f>
        <v/>
      </c>
      <c r="L64" s="80" t="str">
        <f>IF('Beginner Adv 15M - Scoring'!B13&lt;&gt;"",'Beginner Adv 15M - Scoring'!AS13,"")</f>
        <v/>
      </c>
      <c r="M64" s="81" t="str">
        <f>IF(L61&lt;&gt;"",IFERROR(IF(ISNUMBER(L61),L61,0),0)+IFERROR(IF(ISNUMBER(L62),L62,0),0)+IFERROR(IF(ISNUMBER(L63),L63,0),0)+IFERROR(IF(ISNUMBER(L64),L64,0),0),"")</f>
        <v/>
      </c>
    </row>
    <row r="65" spans="1:13" ht="19.5" customHeight="1" x14ac:dyDescent="0.35">
      <c r="A65" s="78" t="s">
        <v>228</v>
      </c>
      <c r="B65" s="79" t="str">
        <f>IF('Beginner Adv 15M - Scoring'!B12&lt;&gt;"",IF('Beginner Adv 15M - Scoring'!AD12&lt;&gt;"",'Beginner Adv 15M - Scoring'!AD12,""),"")</f>
        <v/>
      </c>
      <c r="C65" s="79" t="str">
        <f>IF('Beginner Adv 15M - Scoring'!B12&lt;&gt;"",IF('Beginner Adv 15M - Scoring'!AE12&lt;&gt;"",'Beginner Adv 15M - Scoring'!AE12,""),"")</f>
        <v/>
      </c>
      <c r="D65" s="79" t="str">
        <f>IF('Beginner Adv 15M - Scoring'!B12&lt;&gt;"",IF('Beginner Adv 15M - Scoring'!AF12&lt;&gt;"",'Beginner Adv 15M - Scoring'!AF12,""),"")</f>
        <v/>
      </c>
      <c r="E65" s="80" t="str">
        <f>IF('Beginner Adv 15M - Scoring'!B12&lt;&gt;"",'Beginner Adv 15M - Scoring'!AT12,"")</f>
        <v/>
      </c>
      <c r="F65" s="81" t="str">
        <f>IF(E61&lt;&gt;"",IFERROR(IF(ISNUMBER(E61),E61,0),0)+IFERROR(IF(ISNUMBER(E62),E62,0),0)+IFERROR(IF(ISNUMBER(E63),E63,0),0)+IFERROR(IF(ISNUMBER(E64),E64,0),0)+IFERROR(IF(ISNUMBER(E65),E65,0),0),"")</f>
        <v/>
      </c>
      <c r="H65" s="78" t="s">
        <v>228</v>
      </c>
      <c r="I65" s="79" t="str">
        <f>IF('Beginner Adv 15M - Scoring'!B13&lt;&gt;"",IF('Beginner Adv 15M - Scoring'!AD13&lt;&gt;"",'Beginner Adv 15M - Scoring'!AD13,""),"")</f>
        <v/>
      </c>
      <c r="J65" s="79" t="str">
        <f>IF('Beginner Adv 15M - Scoring'!B13&lt;&gt;"",IF('Beginner Adv 15M - Scoring'!AE13&lt;&gt;"",'Beginner Adv 15M - Scoring'!AE13,""),"")</f>
        <v/>
      </c>
      <c r="K65" s="79" t="str">
        <f>IF('Beginner Adv 15M - Scoring'!B13&lt;&gt;"",IF('Beginner Adv 15M - Scoring'!AF13&lt;&gt;"",'Beginner Adv 15M - Scoring'!AF13,""),"")</f>
        <v/>
      </c>
      <c r="L65" s="80" t="str">
        <f>IF('Beginner Adv 15M - Scoring'!B13&lt;&gt;"",'Beginner Adv 15M - Scoring'!AT13,"")</f>
        <v/>
      </c>
      <c r="M65" s="81" t="str">
        <f>IF(L61&lt;&gt;"",IFERROR(IF(ISNUMBER(L61),L61,0),0)+IFERROR(IF(ISNUMBER(L62),L62,0),0)+IFERROR(IF(ISNUMBER(L63),L63,0),0)+IFERROR(IF(ISNUMBER(L64),L64,0),0)+IFERROR(IF(ISNUMBER(L65),L65,0),0),"")</f>
        <v/>
      </c>
    </row>
    <row r="66" spans="1:13" ht="19.5" customHeight="1" x14ac:dyDescent="0.35">
      <c r="A66" s="78" t="s">
        <v>229</v>
      </c>
      <c r="B66" s="79" t="str">
        <f>IF('Beginner Adv 15M - Scoring'!B12&lt;&gt;"",IF('Beginner Adv 15M - Scoring'!AJ12&lt;&gt;"",'Beginner Adv 15M - Scoring'!AJ12,""),"")</f>
        <v/>
      </c>
      <c r="C66" s="79" t="str">
        <f>IF('Beginner Adv 15M - Scoring'!B12&lt;&gt;"",IF('Beginner Adv 15M - Scoring'!AK12&lt;&gt;"",'Beginner Adv 15M - Scoring'!AK12,""),"")</f>
        <v/>
      </c>
      <c r="D66" s="79" t="str">
        <f>IF('Beginner Adv 15M - Scoring'!B12&lt;&gt;"",IF('Beginner Adv 15M - Scoring'!AL12&lt;&gt;"",'Beginner Adv 15M - Scoring'!AL12,""),"")</f>
        <v/>
      </c>
      <c r="E66" s="80" t="str">
        <f>IF('Beginner Adv 15M - Scoring'!B12&lt;&gt;"",'Beginner Adv 15M - Scoring'!AU12,"")</f>
        <v/>
      </c>
      <c r="F66" s="81" t="str">
        <f>IF(E61&lt;&gt;"",IFERROR(IF(ISNUMBER(E61),E61,0),0)+IFERROR(IF(ISNUMBER(E62),E62,0),0)+IFERROR(IF(ISNUMBER(E63),E63,0),0)+IFERROR(IF(ISNUMBER(E64),E64,0),0)+IFERROR(IF(ISNUMBER(E65),E65,0),0)+IFERROR(IF(ISNUMBER(E66),E66,0),0),"")</f>
        <v/>
      </c>
      <c r="H66" s="78" t="s">
        <v>229</v>
      </c>
      <c r="I66" s="79" t="str">
        <f>IF('Beginner Adv 15M - Scoring'!B13&lt;&gt;"",IF('Beginner Adv 15M - Scoring'!AJ13&lt;&gt;"",'Beginner Adv 15M - Scoring'!AJ13,""),"")</f>
        <v/>
      </c>
      <c r="J66" s="79" t="str">
        <f>IF('Beginner Adv 15M - Scoring'!B13&lt;&gt;"",IF('Beginner Adv 15M - Scoring'!AK13&lt;&gt;"",'Beginner Adv 15M - Scoring'!AK13,""),"")</f>
        <v/>
      </c>
      <c r="K66" s="79" t="str">
        <f>IF('Beginner Adv 15M - Scoring'!B13&lt;&gt;"",IF('Beginner Adv 15M - Scoring'!AL13&lt;&gt;"",'Beginner Adv 15M - Scoring'!AL13,""),"")</f>
        <v/>
      </c>
      <c r="L66" s="80" t="str">
        <f>IF('Beginner Adv 15M - Scoring'!B13&lt;&gt;"",'Beginner Adv 15M - Scoring'!AU13,"")</f>
        <v/>
      </c>
      <c r="M66" s="81" t="str">
        <f>IF(L61&lt;&gt;"",IFERROR(IF(ISNUMBER(L61),L61,0),0)+IFERROR(IF(ISNUMBER(L62),L62,0),0)+IFERROR(IF(ISNUMBER(L63),L63,0),0)+IFERROR(IF(ISNUMBER(L64),L64,0),0)+IFERROR(IF(ISNUMBER(L65),L65,0),0)+IFERROR(IF(ISNUMBER(L66),L66,0),0),"")</f>
        <v/>
      </c>
    </row>
    <row r="67" spans="1:13" ht="3.75" customHeight="1" x14ac:dyDescent="0.35"/>
    <row r="68" spans="1:13" ht="24" customHeight="1" x14ac:dyDescent="0.35">
      <c r="A68" s="124" t="s">
        <v>230</v>
      </c>
      <c r="B68" s="124"/>
      <c r="C68" s="124"/>
      <c r="D68" s="124"/>
      <c r="E68" s="125" t="str">
        <f>IF('Beginner Adv 15M - Scoring'!B12&lt;&gt;"",'Beginner Adv 15M - Scoring'!AV12,"")</f>
        <v/>
      </c>
      <c r="F68" s="125"/>
      <c r="H68" s="124" t="s">
        <v>230</v>
      </c>
      <c r="I68" s="124"/>
      <c r="J68" s="124"/>
      <c r="K68" s="124"/>
      <c r="L68" s="125" t="str">
        <f>IF('Beginner Adv 15M - Scoring'!B13&lt;&gt;"",'Beginner Adv 15M - Scoring'!AV13,"")</f>
        <v/>
      </c>
      <c r="M68" s="125"/>
    </row>
    <row r="69" spans="1:13" ht="19.5" customHeight="1" x14ac:dyDescent="0.35">
      <c r="E69" s="125"/>
      <c r="F69" s="125"/>
      <c r="L69" s="125"/>
      <c r="M69" s="125"/>
    </row>
    <row r="70" spans="1:13" ht="3.75" customHeight="1" x14ac:dyDescent="0.35"/>
    <row r="71" spans="1:13" ht="18" customHeight="1" x14ac:dyDescent="0.35">
      <c r="A71" s="73" t="s">
        <v>126</v>
      </c>
      <c r="B71" s="82" t="str">
        <f>IF('Beginner Adv 15M - Scoring'!B12&lt;&gt;"",'Beginner Adv 15M - Scoring'!AW12,"")</f>
        <v/>
      </c>
      <c r="C71" s="73" t="s">
        <v>127</v>
      </c>
      <c r="D71" s="83" t="str">
        <f>IF('Beginner Adv 15M - Scoring'!B12&lt;&gt;"",'Beginner Adv 15M - Scoring'!AX12,"")</f>
        <v/>
      </c>
      <c r="E71" s="73" t="s">
        <v>128</v>
      </c>
      <c r="F71" s="83" t="str">
        <f>IF('Beginner Adv 15M - Scoring'!B12&lt;&gt;"",'Beginner Adv 15M - Scoring'!AY12,"")</f>
        <v/>
      </c>
      <c r="H71" s="73" t="s">
        <v>126</v>
      </c>
      <c r="I71" s="82" t="str">
        <f>IF('Beginner Adv 15M - Scoring'!B13&lt;&gt;"",'Beginner Adv 15M - Scoring'!AW13,"")</f>
        <v/>
      </c>
      <c r="J71" s="73" t="s">
        <v>127</v>
      </c>
      <c r="K71" s="83" t="str">
        <f>IF('Beginner Adv 15M - Scoring'!B13&lt;&gt;"",'Beginner Adv 15M - Scoring'!AX13,"")</f>
        <v/>
      </c>
      <c r="L71" s="73" t="s">
        <v>128</v>
      </c>
      <c r="M71" s="83" t="str">
        <f>IF('Beginner Adv 15M - Scoring'!B13&lt;&gt;"",'Beginner Adv 15M - Scoring'!AY13,"")</f>
        <v/>
      </c>
    </row>
    <row r="72" spans="1:13" ht="3.75" customHeight="1" x14ac:dyDescent="0.35"/>
    <row r="73" spans="1:13" ht="7.5" customHeight="1" x14ac:dyDescent="0.35">
      <c r="A73" s="126"/>
      <c r="B73" s="126"/>
      <c r="C73" s="126"/>
      <c r="D73" s="126"/>
      <c r="E73" s="126"/>
      <c r="F73" s="126"/>
      <c r="G73" s="126"/>
      <c r="H73" s="126"/>
      <c r="I73" s="126"/>
      <c r="J73" s="126"/>
      <c r="K73" s="126"/>
      <c r="L73" s="126"/>
      <c r="M73" s="126"/>
    </row>
    <row r="74" spans="1:13" ht="15.75" customHeight="1" x14ac:dyDescent="0.35">
      <c r="A74" s="73" t="s">
        <v>218</v>
      </c>
      <c r="B74" s="122" t="str">
        <f>IF('Beginner Adv 15M - Scoring'!B14&lt;&gt;"",'Beginner Adv 15M - Scoring'!B14,"")</f>
        <v/>
      </c>
      <c r="C74" s="122"/>
      <c r="D74" s="122"/>
      <c r="E74" s="73" t="s">
        <v>219</v>
      </c>
      <c r="F74" s="74" t="str">
        <f>IF('Beginner Adv 15M - Scoring'!B14&lt;&gt;"",'Beginner Adv 15M - Scoring'!BB14,"")</f>
        <v/>
      </c>
      <c r="H74" s="73" t="s">
        <v>218</v>
      </c>
      <c r="I74" s="122" t="str">
        <f>IF('Beginner Adv 15M - Scoring'!B15&lt;&gt;"",'Beginner Adv 15M - Scoring'!B15,"")</f>
        <v/>
      </c>
      <c r="J74" s="122"/>
      <c r="K74" s="122"/>
      <c r="L74" s="73" t="s">
        <v>219</v>
      </c>
      <c r="M74" s="74" t="str">
        <f>IF('Beginner Adv 15M - Scoring'!B15&lt;&gt;"",'Beginner Adv 15M - Scoring'!BB15,"")</f>
        <v/>
      </c>
    </row>
    <row r="75" spans="1:13" ht="15.75" customHeight="1" x14ac:dyDescent="0.35">
      <c r="A75" s="73" t="s">
        <v>220</v>
      </c>
      <c r="B75" s="123" t="str">
        <f>IF('Beginner Adv 15M - Scoring'!B14&lt;&gt;"",'Beginner Adv 15M - Scoring'!D14,"")</f>
        <v/>
      </c>
      <c r="C75" s="123"/>
      <c r="D75" s="123"/>
      <c r="E75" s="73" t="s">
        <v>8</v>
      </c>
      <c r="F75" s="75" t="str">
        <f>IF('Beginner Adv 15M - Scoring'!B14&lt;&gt;"",'Beginner Adv 15M - Scoring'!E14,"")</f>
        <v/>
      </c>
      <c r="H75" s="73" t="s">
        <v>220</v>
      </c>
      <c r="I75" s="123" t="str">
        <f>IF('Beginner Adv 15M - Scoring'!B15&lt;&gt;"",'Beginner Adv 15M - Scoring'!D15,"")</f>
        <v/>
      </c>
      <c r="J75" s="123"/>
      <c r="K75" s="123"/>
      <c r="L75" s="73" t="s">
        <v>8</v>
      </c>
      <c r="M75" s="75" t="str">
        <f>IF('Beginner Adv 15M - Scoring'!B15&lt;&gt;"",'Beginner Adv 15M - Scoring'!E15,"")</f>
        <v/>
      </c>
    </row>
    <row r="76" spans="1:13" ht="3.75" customHeight="1" x14ac:dyDescent="0.35"/>
    <row r="77" spans="1:13" ht="25.5" customHeight="1" x14ac:dyDescent="0.35">
      <c r="A77" s="76" t="s">
        <v>221</v>
      </c>
      <c r="B77" s="77" t="s">
        <v>222</v>
      </c>
      <c r="C77" s="77" t="s">
        <v>223</v>
      </c>
      <c r="D77" s="77" t="s">
        <v>224</v>
      </c>
      <c r="E77" s="76" t="s">
        <v>225</v>
      </c>
      <c r="F77" s="76" t="s">
        <v>226</v>
      </c>
      <c r="H77" s="76" t="s">
        <v>221</v>
      </c>
      <c r="I77" s="77" t="s">
        <v>222</v>
      </c>
      <c r="J77" s="77" t="s">
        <v>223</v>
      </c>
      <c r="K77" s="77" t="s">
        <v>224</v>
      </c>
      <c r="L77" s="76" t="s">
        <v>225</v>
      </c>
      <c r="M77" s="76" t="s">
        <v>226</v>
      </c>
    </row>
    <row r="78" spans="1:13" ht="19.5" customHeight="1" x14ac:dyDescent="0.35">
      <c r="A78" s="78" t="s">
        <v>222</v>
      </c>
      <c r="B78" s="79" t="str">
        <f>IF('Beginner Adv 15M - Scoring'!B14&lt;&gt;"",IF('Beginner Adv 15M - Scoring'!F14&lt;&gt;"",'Beginner Adv 15M - Scoring'!F14,""),"")</f>
        <v/>
      </c>
      <c r="C78" s="79" t="str">
        <f>IF('Beginner Adv 15M - Scoring'!B14&lt;&gt;"",IF('Beginner Adv 15M - Scoring'!G14&lt;&gt;"",'Beginner Adv 15M - Scoring'!G14,""),"")</f>
        <v/>
      </c>
      <c r="D78" s="79" t="str">
        <f>IF('Beginner Adv 15M - Scoring'!B14&lt;&gt;"",IF('Beginner Adv 15M - Scoring'!H14&lt;&gt;"",'Beginner Adv 15M - Scoring'!H14,""),"")</f>
        <v/>
      </c>
      <c r="E78" s="80" t="str">
        <f>IF('Beginner Adv 15M - Scoring'!B14&lt;&gt;"",'Beginner Adv 15M - Scoring'!AP14,"")</f>
        <v/>
      </c>
      <c r="F78" s="81" t="str">
        <f>IFERROR(IF(ISNUMBER(E78),E78,""),"")</f>
        <v/>
      </c>
      <c r="H78" s="78" t="s">
        <v>222</v>
      </c>
      <c r="I78" s="79" t="str">
        <f>IF('Beginner Adv 15M - Scoring'!B15&lt;&gt;"",IF('Beginner Adv 15M - Scoring'!F15&lt;&gt;"",'Beginner Adv 15M - Scoring'!F15,""),"")</f>
        <v/>
      </c>
      <c r="J78" s="79" t="str">
        <f>IF('Beginner Adv 15M - Scoring'!B15&lt;&gt;"",IF('Beginner Adv 15M - Scoring'!G15&lt;&gt;"",'Beginner Adv 15M - Scoring'!G15,""),"")</f>
        <v/>
      </c>
      <c r="K78" s="79" t="str">
        <f>IF('Beginner Adv 15M - Scoring'!B15&lt;&gt;"",IF('Beginner Adv 15M - Scoring'!H15&lt;&gt;"",'Beginner Adv 15M - Scoring'!H15,""),"")</f>
        <v/>
      </c>
      <c r="L78" s="80" t="str">
        <f>IF('Beginner Adv 15M - Scoring'!B15&lt;&gt;"",'Beginner Adv 15M - Scoring'!AP15,"")</f>
        <v/>
      </c>
      <c r="M78" s="81" t="str">
        <f>IFERROR(IF(ISNUMBER(L78),L78,""),"")</f>
        <v/>
      </c>
    </row>
    <row r="79" spans="1:13" ht="19.5" customHeight="1" x14ac:dyDescent="0.35">
      <c r="A79" s="78" t="s">
        <v>223</v>
      </c>
      <c r="B79" s="79" t="str">
        <f>IF('Beginner Adv 15M - Scoring'!B14&lt;&gt;"",IF('Beginner Adv 15M - Scoring'!L14&lt;&gt;"",'Beginner Adv 15M - Scoring'!L14,""),"")</f>
        <v/>
      </c>
      <c r="C79" s="79" t="str">
        <f>IF('Beginner Adv 15M - Scoring'!B14&lt;&gt;"",IF('Beginner Adv 15M - Scoring'!M14&lt;&gt;"",'Beginner Adv 15M - Scoring'!M14,""),"")</f>
        <v/>
      </c>
      <c r="D79" s="79" t="str">
        <f>IF('Beginner Adv 15M - Scoring'!B14&lt;&gt;"",IF('Beginner Adv 15M - Scoring'!N14&lt;&gt;"",'Beginner Adv 15M - Scoring'!N14,""),"")</f>
        <v/>
      </c>
      <c r="E79" s="80" t="str">
        <f>IF('Beginner Adv 15M - Scoring'!B14&lt;&gt;"",'Beginner Adv 15M - Scoring'!AQ14,"")</f>
        <v/>
      </c>
      <c r="F79" s="81" t="str">
        <f>IF(E78&lt;&gt;"",IFERROR(IF(ISNUMBER(E78),E78,0),0)+IFERROR(IF(ISNUMBER(E79),E79,0),0),"")</f>
        <v/>
      </c>
      <c r="H79" s="78" t="s">
        <v>223</v>
      </c>
      <c r="I79" s="79" t="str">
        <f>IF('Beginner Adv 15M - Scoring'!B15&lt;&gt;"",IF('Beginner Adv 15M - Scoring'!L15&lt;&gt;"",'Beginner Adv 15M - Scoring'!L15,""),"")</f>
        <v/>
      </c>
      <c r="J79" s="79" t="str">
        <f>IF('Beginner Adv 15M - Scoring'!B15&lt;&gt;"",IF('Beginner Adv 15M - Scoring'!M15&lt;&gt;"",'Beginner Adv 15M - Scoring'!M15,""),"")</f>
        <v/>
      </c>
      <c r="K79" s="79" t="str">
        <f>IF('Beginner Adv 15M - Scoring'!B15&lt;&gt;"",IF('Beginner Adv 15M - Scoring'!N15&lt;&gt;"",'Beginner Adv 15M - Scoring'!N15,""),"")</f>
        <v/>
      </c>
      <c r="L79" s="80" t="str">
        <f>IF('Beginner Adv 15M - Scoring'!B15&lt;&gt;"",'Beginner Adv 15M - Scoring'!AQ15,"")</f>
        <v/>
      </c>
      <c r="M79" s="81" t="str">
        <f>IF(L78&lt;&gt;"",IFERROR(IF(ISNUMBER(L78),L78,0),0)+IFERROR(IF(ISNUMBER(L79),L79,0),0),"")</f>
        <v/>
      </c>
    </row>
    <row r="80" spans="1:13" ht="19.5" customHeight="1" x14ac:dyDescent="0.35">
      <c r="A80" s="78" t="s">
        <v>224</v>
      </c>
      <c r="B80" s="79" t="str">
        <f>IF('Beginner Adv 15M - Scoring'!B14&lt;&gt;"",IF('Beginner Adv 15M - Scoring'!R14&lt;&gt;"",'Beginner Adv 15M - Scoring'!R14,""),"")</f>
        <v/>
      </c>
      <c r="C80" s="79" t="str">
        <f>IF('Beginner Adv 15M - Scoring'!B14&lt;&gt;"",IF('Beginner Adv 15M - Scoring'!S14&lt;&gt;"",'Beginner Adv 15M - Scoring'!S14,""),"")</f>
        <v/>
      </c>
      <c r="D80" s="79" t="str">
        <f>IF('Beginner Adv 15M - Scoring'!B14&lt;&gt;"",IF('Beginner Adv 15M - Scoring'!T14&lt;&gt;"",'Beginner Adv 15M - Scoring'!T14,""),"")</f>
        <v/>
      </c>
      <c r="E80" s="80" t="str">
        <f>IF('Beginner Adv 15M - Scoring'!B14&lt;&gt;"",'Beginner Adv 15M - Scoring'!AR14,"")</f>
        <v/>
      </c>
      <c r="F80" s="81" t="str">
        <f>IF(E78&lt;&gt;"",IFERROR(IF(ISNUMBER(E78),E78,0),0)+IFERROR(IF(ISNUMBER(E79),E79,0),0)+IFERROR(IF(ISNUMBER(E80),E80,0),0),"")</f>
        <v/>
      </c>
      <c r="H80" s="78" t="s">
        <v>224</v>
      </c>
      <c r="I80" s="79" t="str">
        <f>IF('Beginner Adv 15M - Scoring'!B15&lt;&gt;"",IF('Beginner Adv 15M - Scoring'!R15&lt;&gt;"",'Beginner Adv 15M - Scoring'!R15,""),"")</f>
        <v/>
      </c>
      <c r="J80" s="79" t="str">
        <f>IF('Beginner Adv 15M - Scoring'!B15&lt;&gt;"",IF('Beginner Adv 15M - Scoring'!S15&lt;&gt;"",'Beginner Adv 15M - Scoring'!S15,""),"")</f>
        <v/>
      </c>
      <c r="K80" s="79" t="str">
        <f>IF('Beginner Adv 15M - Scoring'!B15&lt;&gt;"",IF('Beginner Adv 15M - Scoring'!T15&lt;&gt;"",'Beginner Adv 15M - Scoring'!T15,""),"")</f>
        <v/>
      </c>
      <c r="L80" s="80" t="str">
        <f>IF('Beginner Adv 15M - Scoring'!B15&lt;&gt;"",'Beginner Adv 15M - Scoring'!AR15,"")</f>
        <v/>
      </c>
      <c r="M80" s="81" t="str">
        <f>IF(L78&lt;&gt;"",IFERROR(IF(ISNUMBER(L78),L78,0),0)+IFERROR(IF(ISNUMBER(L79),L79,0),0)+IFERROR(IF(ISNUMBER(L80),L80,0),0),"")</f>
        <v/>
      </c>
    </row>
    <row r="81" spans="1:13" ht="19.5" customHeight="1" x14ac:dyDescent="0.35">
      <c r="A81" s="78" t="s">
        <v>227</v>
      </c>
      <c r="B81" s="79" t="str">
        <f>IF('Beginner Adv 15M - Scoring'!B14&lt;&gt;"",IF('Beginner Adv 15M - Scoring'!X14&lt;&gt;"",'Beginner Adv 15M - Scoring'!X14,""),"")</f>
        <v/>
      </c>
      <c r="C81" s="79" t="str">
        <f>IF('Beginner Adv 15M - Scoring'!B14&lt;&gt;"",IF('Beginner Adv 15M - Scoring'!Y14&lt;&gt;"",'Beginner Adv 15M - Scoring'!Y14,""),"")</f>
        <v/>
      </c>
      <c r="D81" s="79" t="str">
        <f>IF('Beginner Adv 15M - Scoring'!B14&lt;&gt;"",IF('Beginner Adv 15M - Scoring'!Z14&lt;&gt;"",'Beginner Adv 15M - Scoring'!Z14,""),"")</f>
        <v/>
      </c>
      <c r="E81" s="80" t="str">
        <f>IF('Beginner Adv 15M - Scoring'!B14&lt;&gt;"",'Beginner Adv 15M - Scoring'!AS14,"")</f>
        <v/>
      </c>
      <c r="F81" s="81" t="str">
        <f>IF(E78&lt;&gt;"",IFERROR(IF(ISNUMBER(E78),E78,0),0)+IFERROR(IF(ISNUMBER(E79),E79,0),0)+IFERROR(IF(ISNUMBER(E80),E80,0),0)+IFERROR(IF(ISNUMBER(E81),E81,0),0),"")</f>
        <v/>
      </c>
      <c r="H81" s="78" t="s">
        <v>227</v>
      </c>
      <c r="I81" s="79" t="str">
        <f>IF('Beginner Adv 15M - Scoring'!B15&lt;&gt;"",IF('Beginner Adv 15M - Scoring'!X15&lt;&gt;"",'Beginner Adv 15M - Scoring'!X15,""),"")</f>
        <v/>
      </c>
      <c r="J81" s="79" t="str">
        <f>IF('Beginner Adv 15M - Scoring'!B15&lt;&gt;"",IF('Beginner Adv 15M - Scoring'!Y15&lt;&gt;"",'Beginner Adv 15M - Scoring'!Y15,""),"")</f>
        <v/>
      </c>
      <c r="K81" s="79" t="str">
        <f>IF('Beginner Adv 15M - Scoring'!B15&lt;&gt;"",IF('Beginner Adv 15M - Scoring'!Z15&lt;&gt;"",'Beginner Adv 15M - Scoring'!Z15,""),"")</f>
        <v/>
      </c>
      <c r="L81" s="80" t="str">
        <f>IF('Beginner Adv 15M - Scoring'!B15&lt;&gt;"",'Beginner Adv 15M - Scoring'!AS15,"")</f>
        <v/>
      </c>
      <c r="M81" s="81" t="str">
        <f>IF(L78&lt;&gt;"",IFERROR(IF(ISNUMBER(L78),L78,0),0)+IFERROR(IF(ISNUMBER(L79),L79,0),0)+IFERROR(IF(ISNUMBER(L80),L80,0),0)+IFERROR(IF(ISNUMBER(L81),L81,0),0),"")</f>
        <v/>
      </c>
    </row>
    <row r="82" spans="1:13" ht="19.5" customHeight="1" x14ac:dyDescent="0.35">
      <c r="A82" s="78" t="s">
        <v>228</v>
      </c>
      <c r="B82" s="79" t="str">
        <f>IF('Beginner Adv 15M - Scoring'!B14&lt;&gt;"",IF('Beginner Adv 15M - Scoring'!AD14&lt;&gt;"",'Beginner Adv 15M - Scoring'!AD14,""),"")</f>
        <v/>
      </c>
      <c r="C82" s="79" t="str">
        <f>IF('Beginner Adv 15M - Scoring'!B14&lt;&gt;"",IF('Beginner Adv 15M - Scoring'!AE14&lt;&gt;"",'Beginner Adv 15M - Scoring'!AE14,""),"")</f>
        <v/>
      </c>
      <c r="D82" s="79" t="str">
        <f>IF('Beginner Adv 15M - Scoring'!B14&lt;&gt;"",IF('Beginner Adv 15M - Scoring'!AF14&lt;&gt;"",'Beginner Adv 15M - Scoring'!AF14,""),"")</f>
        <v/>
      </c>
      <c r="E82" s="80" t="str">
        <f>IF('Beginner Adv 15M - Scoring'!B14&lt;&gt;"",'Beginner Adv 15M - Scoring'!AT14,"")</f>
        <v/>
      </c>
      <c r="F82" s="81" t="str">
        <f>IF(E78&lt;&gt;"",IFERROR(IF(ISNUMBER(E78),E78,0),0)+IFERROR(IF(ISNUMBER(E79),E79,0),0)+IFERROR(IF(ISNUMBER(E80),E80,0),0)+IFERROR(IF(ISNUMBER(E81),E81,0),0)+IFERROR(IF(ISNUMBER(E82),E82,0),0),"")</f>
        <v/>
      </c>
      <c r="H82" s="78" t="s">
        <v>228</v>
      </c>
      <c r="I82" s="79" t="str">
        <f>IF('Beginner Adv 15M - Scoring'!B15&lt;&gt;"",IF('Beginner Adv 15M - Scoring'!AD15&lt;&gt;"",'Beginner Adv 15M - Scoring'!AD15,""),"")</f>
        <v/>
      </c>
      <c r="J82" s="79" t="str">
        <f>IF('Beginner Adv 15M - Scoring'!B15&lt;&gt;"",IF('Beginner Adv 15M - Scoring'!AE15&lt;&gt;"",'Beginner Adv 15M - Scoring'!AE15,""),"")</f>
        <v/>
      </c>
      <c r="K82" s="79" t="str">
        <f>IF('Beginner Adv 15M - Scoring'!B15&lt;&gt;"",IF('Beginner Adv 15M - Scoring'!AF15&lt;&gt;"",'Beginner Adv 15M - Scoring'!AF15,""),"")</f>
        <v/>
      </c>
      <c r="L82" s="80" t="str">
        <f>IF('Beginner Adv 15M - Scoring'!B15&lt;&gt;"",'Beginner Adv 15M - Scoring'!AT15,"")</f>
        <v/>
      </c>
      <c r="M82" s="81" t="str">
        <f>IF(L78&lt;&gt;"",IFERROR(IF(ISNUMBER(L78),L78,0),0)+IFERROR(IF(ISNUMBER(L79),L79,0),0)+IFERROR(IF(ISNUMBER(L80),L80,0),0)+IFERROR(IF(ISNUMBER(L81),L81,0),0)+IFERROR(IF(ISNUMBER(L82),L82,0),0),"")</f>
        <v/>
      </c>
    </row>
    <row r="83" spans="1:13" ht="19.5" customHeight="1" x14ac:dyDescent="0.35">
      <c r="A83" s="78" t="s">
        <v>229</v>
      </c>
      <c r="B83" s="79" t="str">
        <f>IF('Beginner Adv 15M - Scoring'!B14&lt;&gt;"",IF('Beginner Adv 15M - Scoring'!AJ14&lt;&gt;"",'Beginner Adv 15M - Scoring'!AJ14,""),"")</f>
        <v/>
      </c>
      <c r="C83" s="79" t="str">
        <f>IF('Beginner Adv 15M - Scoring'!B14&lt;&gt;"",IF('Beginner Adv 15M - Scoring'!AK14&lt;&gt;"",'Beginner Adv 15M - Scoring'!AK14,""),"")</f>
        <v/>
      </c>
      <c r="D83" s="79" t="str">
        <f>IF('Beginner Adv 15M - Scoring'!B14&lt;&gt;"",IF('Beginner Adv 15M - Scoring'!AL14&lt;&gt;"",'Beginner Adv 15M - Scoring'!AL14,""),"")</f>
        <v/>
      </c>
      <c r="E83" s="80" t="str">
        <f>IF('Beginner Adv 15M - Scoring'!B14&lt;&gt;"",'Beginner Adv 15M - Scoring'!AU14,"")</f>
        <v/>
      </c>
      <c r="F83" s="81" t="str">
        <f>IF(E78&lt;&gt;"",IFERROR(IF(ISNUMBER(E78),E78,0),0)+IFERROR(IF(ISNUMBER(E79),E79,0),0)+IFERROR(IF(ISNUMBER(E80),E80,0),0)+IFERROR(IF(ISNUMBER(E81),E81,0),0)+IFERROR(IF(ISNUMBER(E82),E82,0),0)+IFERROR(IF(ISNUMBER(E83),E83,0),0),"")</f>
        <v/>
      </c>
      <c r="H83" s="78" t="s">
        <v>229</v>
      </c>
      <c r="I83" s="79" t="str">
        <f>IF('Beginner Adv 15M - Scoring'!B15&lt;&gt;"",IF('Beginner Adv 15M - Scoring'!AJ15&lt;&gt;"",'Beginner Adv 15M - Scoring'!AJ15,""),"")</f>
        <v/>
      </c>
      <c r="J83" s="79" t="str">
        <f>IF('Beginner Adv 15M - Scoring'!B15&lt;&gt;"",IF('Beginner Adv 15M - Scoring'!AK15&lt;&gt;"",'Beginner Adv 15M - Scoring'!AK15,""),"")</f>
        <v/>
      </c>
      <c r="K83" s="79" t="str">
        <f>IF('Beginner Adv 15M - Scoring'!B15&lt;&gt;"",IF('Beginner Adv 15M - Scoring'!AL15&lt;&gt;"",'Beginner Adv 15M - Scoring'!AL15,""),"")</f>
        <v/>
      </c>
      <c r="L83" s="80" t="str">
        <f>IF('Beginner Adv 15M - Scoring'!B15&lt;&gt;"",'Beginner Adv 15M - Scoring'!AU15,"")</f>
        <v/>
      </c>
      <c r="M83" s="81" t="str">
        <f>IF(L78&lt;&gt;"",IFERROR(IF(ISNUMBER(L78),L78,0),0)+IFERROR(IF(ISNUMBER(L79),L79,0),0)+IFERROR(IF(ISNUMBER(L80),L80,0),0)+IFERROR(IF(ISNUMBER(L81),L81,0),0)+IFERROR(IF(ISNUMBER(L82),L82,0),0)+IFERROR(IF(ISNUMBER(L83),L83,0),0),"")</f>
        <v/>
      </c>
    </row>
    <row r="84" spans="1:13" ht="3.75" customHeight="1" x14ac:dyDescent="0.35"/>
    <row r="85" spans="1:13" ht="24" customHeight="1" x14ac:dyDescent="0.35">
      <c r="A85" s="124" t="s">
        <v>230</v>
      </c>
      <c r="B85" s="124"/>
      <c r="C85" s="124"/>
      <c r="D85" s="124"/>
      <c r="E85" s="125" t="str">
        <f>IF('Beginner Adv 15M - Scoring'!B14&lt;&gt;"",'Beginner Adv 15M - Scoring'!AV14,"")</f>
        <v/>
      </c>
      <c r="F85" s="125"/>
      <c r="H85" s="124" t="s">
        <v>230</v>
      </c>
      <c r="I85" s="124"/>
      <c r="J85" s="124"/>
      <c r="K85" s="124"/>
      <c r="L85" s="125" t="str">
        <f>IF('Beginner Adv 15M - Scoring'!B15&lt;&gt;"",'Beginner Adv 15M - Scoring'!AV15,"")</f>
        <v/>
      </c>
      <c r="M85" s="125"/>
    </row>
    <row r="86" spans="1:13" ht="19.5" customHeight="1" x14ac:dyDescent="0.35">
      <c r="E86" s="125"/>
      <c r="F86" s="125"/>
      <c r="L86" s="125"/>
      <c r="M86" s="125"/>
    </row>
    <row r="87" spans="1:13" ht="3.75" customHeight="1" x14ac:dyDescent="0.35"/>
    <row r="88" spans="1:13" ht="18" customHeight="1" x14ac:dyDescent="0.35">
      <c r="A88" s="73" t="s">
        <v>126</v>
      </c>
      <c r="B88" s="82" t="str">
        <f>IF('Beginner Adv 15M - Scoring'!B14&lt;&gt;"",'Beginner Adv 15M - Scoring'!AW14,"")</f>
        <v/>
      </c>
      <c r="C88" s="73" t="s">
        <v>127</v>
      </c>
      <c r="D88" s="83" t="str">
        <f>IF('Beginner Adv 15M - Scoring'!B14&lt;&gt;"",'Beginner Adv 15M - Scoring'!AX14,"")</f>
        <v/>
      </c>
      <c r="E88" s="73" t="s">
        <v>128</v>
      </c>
      <c r="F88" s="83" t="str">
        <f>IF('Beginner Adv 15M - Scoring'!B14&lt;&gt;"",'Beginner Adv 15M - Scoring'!AY14,"")</f>
        <v/>
      </c>
      <c r="H88" s="73" t="s">
        <v>126</v>
      </c>
      <c r="I88" s="82" t="str">
        <f>IF('Beginner Adv 15M - Scoring'!B15&lt;&gt;"",'Beginner Adv 15M - Scoring'!AW15,"")</f>
        <v/>
      </c>
      <c r="J88" s="73" t="s">
        <v>127</v>
      </c>
      <c r="K88" s="83" t="str">
        <f>IF('Beginner Adv 15M - Scoring'!B15&lt;&gt;"",'Beginner Adv 15M - Scoring'!AX15,"")</f>
        <v/>
      </c>
      <c r="L88" s="73" t="s">
        <v>128</v>
      </c>
      <c r="M88" s="83" t="str">
        <f>IF('Beginner Adv 15M - Scoring'!B15&lt;&gt;"",'Beginner Adv 15M - Scoring'!AY15,"")</f>
        <v/>
      </c>
    </row>
    <row r="89" spans="1:13" ht="3.75" customHeight="1" x14ac:dyDescent="0.35"/>
    <row r="90" spans="1:13" ht="7.5" customHeight="1" x14ac:dyDescent="0.35">
      <c r="A90" s="126"/>
      <c r="B90" s="126"/>
      <c r="C90" s="126"/>
      <c r="D90" s="126"/>
      <c r="E90" s="126"/>
      <c r="F90" s="126"/>
      <c r="G90" s="126"/>
      <c r="H90" s="126"/>
      <c r="I90" s="126"/>
      <c r="J90" s="126"/>
      <c r="K90" s="126"/>
      <c r="L90" s="126"/>
      <c r="M90" s="126"/>
    </row>
    <row r="91" spans="1:13" ht="15.75" customHeight="1" x14ac:dyDescent="0.35">
      <c r="A91" s="73" t="s">
        <v>218</v>
      </c>
      <c r="B91" s="122" t="str">
        <f>IF('Beginner Adv 15M - Scoring'!B16&lt;&gt;"",'Beginner Adv 15M - Scoring'!B16,"")</f>
        <v/>
      </c>
      <c r="C91" s="122"/>
      <c r="D91" s="122"/>
      <c r="E91" s="73" t="s">
        <v>219</v>
      </c>
      <c r="F91" s="74" t="str">
        <f>IF('Beginner Adv 15M - Scoring'!B16&lt;&gt;"",'Beginner Adv 15M - Scoring'!BB16,"")</f>
        <v/>
      </c>
      <c r="H91" s="73" t="s">
        <v>218</v>
      </c>
      <c r="I91" s="122" t="str">
        <f>IF('Beginner Adv 15M - Scoring'!B17&lt;&gt;"",'Beginner Adv 15M - Scoring'!B17,"")</f>
        <v/>
      </c>
      <c r="J91" s="122"/>
      <c r="K91" s="122"/>
      <c r="L91" s="73" t="s">
        <v>219</v>
      </c>
      <c r="M91" s="74" t="str">
        <f>IF('Beginner Adv 15M - Scoring'!B17&lt;&gt;"",'Beginner Adv 15M - Scoring'!BB17,"")</f>
        <v/>
      </c>
    </row>
    <row r="92" spans="1:13" ht="15.75" customHeight="1" x14ac:dyDescent="0.35">
      <c r="A92" s="73" t="s">
        <v>220</v>
      </c>
      <c r="B92" s="123" t="str">
        <f>IF('Beginner Adv 15M - Scoring'!B16&lt;&gt;"",'Beginner Adv 15M - Scoring'!D16,"")</f>
        <v/>
      </c>
      <c r="C92" s="123"/>
      <c r="D92" s="123"/>
      <c r="E92" s="73" t="s">
        <v>8</v>
      </c>
      <c r="F92" s="75" t="str">
        <f>IF('Beginner Adv 15M - Scoring'!B16&lt;&gt;"",'Beginner Adv 15M - Scoring'!E16,"")</f>
        <v/>
      </c>
      <c r="H92" s="73" t="s">
        <v>220</v>
      </c>
      <c r="I92" s="123" t="str">
        <f>IF('Beginner Adv 15M - Scoring'!B17&lt;&gt;"",'Beginner Adv 15M - Scoring'!D17,"")</f>
        <v/>
      </c>
      <c r="J92" s="123"/>
      <c r="K92" s="123"/>
      <c r="L92" s="73" t="s">
        <v>8</v>
      </c>
      <c r="M92" s="75" t="str">
        <f>IF('Beginner Adv 15M - Scoring'!B17&lt;&gt;"",'Beginner Adv 15M - Scoring'!E17,"")</f>
        <v/>
      </c>
    </row>
    <row r="93" spans="1:13" ht="3.75" customHeight="1" x14ac:dyDescent="0.35"/>
    <row r="94" spans="1:13" ht="25.5" customHeight="1" x14ac:dyDescent="0.35">
      <c r="A94" s="76" t="s">
        <v>221</v>
      </c>
      <c r="B94" s="77" t="s">
        <v>222</v>
      </c>
      <c r="C94" s="77" t="s">
        <v>223</v>
      </c>
      <c r="D94" s="77" t="s">
        <v>224</v>
      </c>
      <c r="E94" s="76" t="s">
        <v>225</v>
      </c>
      <c r="F94" s="76" t="s">
        <v>226</v>
      </c>
      <c r="H94" s="76" t="s">
        <v>221</v>
      </c>
      <c r="I94" s="77" t="s">
        <v>222</v>
      </c>
      <c r="J94" s="77" t="s">
        <v>223</v>
      </c>
      <c r="K94" s="77" t="s">
        <v>224</v>
      </c>
      <c r="L94" s="76" t="s">
        <v>225</v>
      </c>
      <c r="M94" s="76" t="s">
        <v>226</v>
      </c>
    </row>
    <row r="95" spans="1:13" ht="19.5" customHeight="1" x14ac:dyDescent="0.35">
      <c r="A95" s="78" t="s">
        <v>222</v>
      </c>
      <c r="B95" s="79" t="str">
        <f>IF('Beginner Adv 15M - Scoring'!B16&lt;&gt;"",IF('Beginner Adv 15M - Scoring'!F16&lt;&gt;"",'Beginner Adv 15M - Scoring'!F16,""),"")</f>
        <v/>
      </c>
      <c r="C95" s="79" t="str">
        <f>IF('Beginner Adv 15M - Scoring'!B16&lt;&gt;"",IF('Beginner Adv 15M - Scoring'!G16&lt;&gt;"",'Beginner Adv 15M - Scoring'!G16,""),"")</f>
        <v/>
      </c>
      <c r="D95" s="79" t="str">
        <f>IF('Beginner Adv 15M - Scoring'!B16&lt;&gt;"",IF('Beginner Adv 15M - Scoring'!H16&lt;&gt;"",'Beginner Adv 15M - Scoring'!H16,""),"")</f>
        <v/>
      </c>
      <c r="E95" s="80" t="str">
        <f>IF('Beginner Adv 15M - Scoring'!B16&lt;&gt;"",'Beginner Adv 15M - Scoring'!AP16,"")</f>
        <v/>
      </c>
      <c r="F95" s="81" t="str">
        <f>IFERROR(IF(ISNUMBER(E95),E95,""),"")</f>
        <v/>
      </c>
      <c r="H95" s="78" t="s">
        <v>222</v>
      </c>
      <c r="I95" s="79" t="str">
        <f>IF('Beginner Adv 15M - Scoring'!B17&lt;&gt;"",IF('Beginner Adv 15M - Scoring'!F17&lt;&gt;"",'Beginner Adv 15M - Scoring'!F17,""),"")</f>
        <v/>
      </c>
      <c r="J95" s="79" t="str">
        <f>IF('Beginner Adv 15M - Scoring'!B17&lt;&gt;"",IF('Beginner Adv 15M - Scoring'!G17&lt;&gt;"",'Beginner Adv 15M - Scoring'!G17,""),"")</f>
        <v/>
      </c>
      <c r="K95" s="79" t="str">
        <f>IF('Beginner Adv 15M - Scoring'!B17&lt;&gt;"",IF('Beginner Adv 15M - Scoring'!H17&lt;&gt;"",'Beginner Adv 15M - Scoring'!H17,""),"")</f>
        <v/>
      </c>
      <c r="L95" s="80" t="str">
        <f>IF('Beginner Adv 15M - Scoring'!B17&lt;&gt;"",'Beginner Adv 15M - Scoring'!AP17,"")</f>
        <v/>
      </c>
      <c r="M95" s="81" t="str">
        <f>IFERROR(IF(ISNUMBER(L95),L95,""),"")</f>
        <v/>
      </c>
    </row>
    <row r="96" spans="1:13" ht="19.5" customHeight="1" x14ac:dyDescent="0.35">
      <c r="A96" s="78" t="s">
        <v>223</v>
      </c>
      <c r="B96" s="79" t="str">
        <f>IF('Beginner Adv 15M - Scoring'!B16&lt;&gt;"",IF('Beginner Adv 15M - Scoring'!L16&lt;&gt;"",'Beginner Adv 15M - Scoring'!L16,""),"")</f>
        <v/>
      </c>
      <c r="C96" s="79" t="str">
        <f>IF('Beginner Adv 15M - Scoring'!B16&lt;&gt;"",IF('Beginner Adv 15M - Scoring'!M16&lt;&gt;"",'Beginner Adv 15M - Scoring'!M16,""),"")</f>
        <v/>
      </c>
      <c r="D96" s="79" t="str">
        <f>IF('Beginner Adv 15M - Scoring'!B16&lt;&gt;"",IF('Beginner Adv 15M - Scoring'!N16&lt;&gt;"",'Beginner Adv 15M - Scoring'!N16,""),"")</f>
        <v/>
      </c>
      <c r="E96" s="80" t="str">
        <f>IF('Beginner Adv 15M - Scoring'!B16&lt;&gt;"",'Beginner Adv 15M - Scoring'!AQ16,"")</f>
        <v/>
      </c>
      <c r="F96" s="81" t="str">
        <f>IF(E95&lt;&gt;"",IFERROR(IF(ISNUMBER(E95),E95,0),0)+IFERROR(IF(ISNUMBER(E96),E96,0),0),"")</f>
        <v/>
      </c>
      <c r="H96" s="78" t="s">
        <v>223</v>
      </c>
      <c r="I96" s="79" t="str">
        <f>IF('Beginner Adv 15M - Scoring'!B17&lt;&gt;"",IF('Beginner Adv 15M - Scoring'!L17&lt;&gt;"",'Beginner Adv 15M - Scoring'!L17,""),"")</f>
        <v/>
      </c>
      <c r="J96" s="79" t="str">
        <f>IF('Beginner Adv 15M - Scoring'!B17&lt;&gt;"",IF('Beginner Adv 15M - Scoring'!M17&lt;&gt;"",'Beginner Adv 15M - Scoring'!M17,""),"")</f>
        <v/>
      </c>
      <c r="K96" s="79" t="str">
        <f>IF('Beginner Adv 15M - Scoring'!B17&lt;&gt;"",IF('Beginner Adv 15M - Scoring'!N17&lt;&gt;"",'Beginner Adv 15M - Scoring'!N17,""),"")</f>
        <v/>
      </c>
      <c r="L96" s="80" t="str">
        <f>IF('Beginner Adv 15M - Scoring'!B17&lt;&gt;"",'Beginner Adv 15M - Scoring'!AQ17,"")</f>
        <v/>
      </c>
      <c r="M96" s="81" t="str">
        <f>IF(L95&lt;&gt;"",IFERROR(IF(ISNUMBER(L95),L95,0),0)+IFERROR(IF(ISNUMBER(L96),L96,0),0),"")</f>
        <v/>
      </c>
    </row>
    <row r="97" spans="1:13" ht="19.5" customHeight="1" x14ac:dyDescent="0.35">
      <c r="A97" s="78" t="s">
        <v>224</v>
      </c>
      <c r="B97" s="79" t="str">
        <f>IF('Beginner Adv 15M - Scoring'!B16&lt;&gt;"",IF('Beginner Adv 15M - Scoring'!R16&lt;&gt;"",'Beginner Adv 15M - Scoring'!R16,""),"")</f>
        <v/>
      </c>
      <c r="C97" s="79" t="str">
        <f>IF('Beginner Adv 15M - Scoring'!B16&lt;&gt;"",IF('Beginner Adv 15M - Scoring'!S16&lt;&gt;"",'Beginner Adv 15M - Scoring'!S16,""),"")</f>
        <v/>
      </c>
      <c r="D97" s="79" t="str">
        <f>IF('Beginner Adv 15M - Scoring'!B16&lt;&gt;"",IF('Beginner Adv 15M - Scoring'!T16&lt;&gt;"",'Beginner Adv 15M - Scoring'!T16,""),"")</f>
        <v/>
      </c>
      <c r="E97" s="80" t="str">
        <f>IF('Beginner Adv 15M - Scoring'!B16&lt;&gt;"",'Beginner Adv 15M - Scoring'!AR16,"")</f>
        <v/>
      </c>
      <c r="F97" s="81" t="str">
        <f>IF(E95&lt;&gt;"",IFERROR(IF(ISNUMBER(E95),E95,0),0)+IFERROR(IF(ISNUMBER(E96),E96,0),0)+IFERROR(IF(ISNUMBER(E97),E97,0),0),"")</f>
        <v/>
      </c>
      <c r="H97" s="78" t="s">
        <v>224</v>
      </c>
      <c r="I97" s="79" t="str">
        <f>IF('Beginner Adv 15M - Scoring'!B17&lt;&gt;"",IF('Beginner Adv 15M - Scoring'!R17&lt;&gt;"",'Beginner Adv 15M - Scoring'!R17,""),"")</f>
        <v/>
      </c>
      <c r="J97" s="79" t="str">
        <f>IF('Beginner Adv 15M - Scoring'!B17&lt;&gt;"",IF('Beginner Adv 15M - Scoring'!S17&lt;&gt;"",'Beginner Adv 15M - Scoring'!S17,""),"")</f>
        <v/>
      </c>
      <c r="K97" s="79" t="str">
        <f>IF('Beginner Adv 15M - Scoring'!B17&lt;&gt;"",IF('Beginner Adv 15M - Scoring'!T17&lt;&gt;"",'Beginner Adv 15M - Scoring'!T17,""),"")</f>
        <v/>
      </c>
      <c r="L97" s="80" t="str">
        <f>IF('Beginner Adv 15M - Scoring'!B17&lt;&gt;"",'Beginner Adv 15M - Scoring'!AR17,"")</f>
        <v/>
      </c>
      <c r="M97" s="81" t="str">
        <f>IF(L95&lt;&gt;"",IFERROR(IF(ISNUMBER(L95),L95,0),0)+IFERROR(IF(ISNUMBER(L96),L96,0),0)+IFERROR(IF(ISNUMBER(L97),L97,0),0),"")</f>
        <v/>
      </c>
    </row>
    <row r="98" spans="1:13" ht="19.5" customHeight="1" x14ac:dyDescent="0.35">
      <c r="A98" s="78" t="s">
        <v>227</v>
      </c>
      <c r="B98" s="79" t="str">
        <f>IF('Beginner Adv 15M - Scoring'!B16&lt;&gt;"",IF('Beginner Adv 15M - Scoring'!X16&lt;&gt;"",'Beginner Adv 15M - Scoring'!X16,""),"")</f>
        <v/>
      </c>
      <c r="C98" s="79" t="str">
        <f>IF('Beginner Adv 15M - Scoring'!B16&lt;&gt;"",IF('Beginner Adv 15M - Scoring'!Y16&lt;&gt;"",'Beginner Adv 15M - Scoring'!Y16,""),"")</f>
        <v/>
      </c>
      <c r="D98" s="79" t="str">
        <f>IF('Beginner Adv 15M - Scoring'!B16&lt;&gt;"",IF('Beginner Adv 15M - Scoring'!Z16&lt;&gt;"",'Beginner Adv 15M - Scoring'!Z16,""),"")</f>
        <v/>
      </c>
      <c r="E98" s="80" t="str">
        <f>IF('Beginner Adv 15M - Scoring'!B16&lt;&gt;"",'Beginner Adv 15M - Scoring'!AS16,"")</f>
        <v/>
      </c>
      <c r="F98" s="81" t="str">
        <f>IF(E95&lt;&gt;"",IFERROR(IF(ISNUMBER(E95),E95,0),0)+IFERROR(IF(ISNUMBER(E96),E96,0),0)+IFERROR(IF(ISNUMBER(E97),E97,0),0)+IFERROR(IF(ISNUMBER(E98),E98,0),0),"")</f>
        <v/>
      </c>
      <c r="H98" s="78" t="s">
        <v>227</v>
      </c>
      <c r="I98" s="79" t="str">
        <f>IF('Beginner Adv 15M - Scoring'!B17&lt;&gt;"",IF('Beginner Adv 15M - Scoring'!X17&lt;&gt;"",'Beginner Adv 15M - Scoring'!X17,""),"")</f>
        <v/>
      </c>
      <c r="J98" s="79" t="str">
        <f>IF('Beginner Adv 15M - Scoring'!B17&lt;&gt;"",IF('Beginner Adv 15M - Scoring'!Y17&lt;&gt;"",'Beginner Adv 15M - Scoring'!Y17,""),"")</f>
        <v/>
      </c>
      <c r="K98" s="79" t="str">
        <f>IF('Beginner Adv 15M - Scoring'!B17&lt;&gt;"",IF('Beginner Adv 15M - Scoring'!Z17&lt;&gt;"",'Beginner Adv 15M - Scoring'!Z17,""),"")</f>
        <v/>
      </c>
      <c r="L98" s="80" t="str">
        <f>IF('Beginner Adv 15M - Scoring'!B17&lt;&gt;"",'Beginner Adv 15M - Scoring'!AS17,"")</f>
        <v/>
      </c>
      <c r="M98" s="81" t="str">
        <f>IF(L95&lt;&gt;"",IFERROR(IF(ISNUMBER(L95),L95,0),0)+IFERROR(IF(ISNUMBER(L96),L96,0),0)+IFERROR(IF(ISNUMBER(L97),L97,0),0)+IFERROR(IF(ISNUMBER(L98),L98,0),0),"")</f>
        <v/>
      </c>
    </row>
    <row r="99" spans="1:13" ht="19.5" customHeight="1" x14ac:dyDescent="0.35">
      <c r="A99" s="78" t="s">
        <v>228</v>
      </c>
      <c r="B99" s="79" t="str">
        <f>IF('Beginner Adv 15M - Scoring'!B16&lt;&gt;"",IF('Beginner Adv 15M - Scoring'!AD16&lt;&gt;"",'Beginner Adv 15M - Scoring'!AD16,""),"")</f>
        <v/>
      </c>
      <c r="C99" s="79" t="str">
        <f>IF('Beginner Adv 15M - Scoring'!B16&lt;&gt;"",IF('Beginner Adv 15M - Scoring'!AE16&lt;&gt;"",'Beginner Adv 15M - Scoring'!AE16,""),"")</f>
        <v/>
      </c>
      <c r="D99" s="79" t="str">
        <f>IF('Beginner Adv 15M - Scoring'!B16&lt;&gt;"",IF('Beginner Adv 15M - Scoring'!AF16&lt;&gt;"",'Beginner Adv 15M - Scoring'!AF16,""),"")</f>
        <v/>
      </c>
      <c r="E99" s="80" t="str">
        <f>IF('Beginner Adv 15M - Scoring'!B16&lt;&gt;"",'Beginner Adv 15M - Scoring'!AT16,"")</f>
        <v/>
      </c>
      <c r="F99" s="81" t="str">
        <f>IF(E95&lt;&gt;"",IFERROR(IF(ISNUMBER(E95),E95,0),0)+IFERROR(IF(ISNUMBER(E96),E96,0),0)+IFERROR(IF(ISNUMBER(E97),E97,0),0)+IFERROR(IF(ISNUMBER(E98),E98,0),0)+IFERROR(IF(ISNUMBER(E99),E99,0),0),"")</f>
        <v/>
      </c>
      <c r="H99" s="78" t="s">
        <v>228</v>
      </c>
      <c r="I99" s="79" t="str">
        <f>IF('Beginner Adv 15M - Scoring'!B17&lt;&gt;"",IF('Beginner Adv 15M - Scoring'!AD17&lt;&gt;"",'Beginner Adv 15M - Scoring'!AD17,""),"")</f>
        <v/>
      </c>
      <c r="J99" s="79" t="str">
        <f>IF('Beginner Adv 15M - Scoring'!B17&lt;&gt;"",IF('Beginner Adv 15M - Scoring'!AE17&lt;&gt;"",'Beginner Adv 15M - Scoring'!AE17,""),"")</f>
        <v/>
      </c>
      <c r="K99" s="79" t="str">
        <f>IF('Beginner Adv 15M - Scoring'!B17&lt;&gt;"",IF('Beginner Adv 15M - Scoring'!AF17&lt;&gt;"",'Beginner Adv 15M - Scoring'!AF17,""),"")</f>
        <v/>
      </c>
      <c r="L99" s="80" t="str">
        <f>IF('Beginner Adv 15M - Scoring'!B17&lt;&gt;"",'Beginner Adv 15M - Scoring'!AT17,"")</f>
        <v/>
      </c>
      <c r="M99" s="81" t="str">
        <f>IF(L95&lt;&gt;"",IFERROR(IF(ISNUMBER(L95),L95,0),0)+IFERROR(IF(ISNUMBER(L96),L96,0),0)+IFERROR(IF(ISNUMBER(L97),L97,0),0)+IFERROR(IF(ISNUMBER(L98),L98,0),0)+IFERROR(IF(ISNUMBER(L99),L99,0),0),"")</f>
        <v/>
      </c>
    </row>
    <row r="100" spans="1:13" ht="19.5" customHeight="1" x14ac:dyDescent="0.35">
      <c r="A100" s="78" t="s">
        <v>229</v>
      </c>
      <c r="B100" s="79" t="str">
        <f>IF('Beginner Adv 15M - Scoring'!B16&lt;&gt;"",IF('Beginner Adv 15M - Scoring'!AJ16&lt;&gt;"",'Beginner Adv 15M - Scoring'!AJ16,""),"")</f>
        <v/>
      </c>
      <c r="C100" s="79" t="str">
        <f>IF('Beginner Adv 15M - Scoring'!B16&lt;&gt;"",IF('Beginner Adv 15M - Scoring'!AK16&lt;&gt;"",'Beginner Adv 15M - Scoring'!AK16,""),"")</f>
        <v/>
      </c>
      <c r="D100" s="79" t="str">
        <f>IF('Beginner Adv 15M - Scoring'!B16&lt;&gt;"",IF('Beginner Adv 15M - Scoring'!AL16&lt;&gt;"",'Beginner Adv 15M - Scoring'!AL16,""),"")</f>
        <v/>
      </c>
      <c r="E100" s="80" t="str">
        <f>IF('Beginner Adv 15M - Scoring'!B16&lt;&gt;"",'Beginner Adv 15M - Scoring'!AU16,"")</f>
        <v/>
      </c>
      <c r="F100" s="81" t="str">
        <f>IF(E95&lt;&gt;"",IFERROR(IF(ISNUMBER(E95),E95,0),0)+IFERROR(IF(ISNUMBER(E96),E96,0),0)+IFERROR(IF(ISNUMBER(E97),E97,0),0)+IFERROR(IF(ISNUMBER(E98),E98,0),0)+IFERROR(IF(ISNUMBER(E99),E99,0),0)+IFERROR(IF(ISNUMBER(E100),E100,0),0),"")</f>
        <v/>
      </c>
      <c r="H100" s="78" t="s">
        <v>229</v>
      </c>
      <c r="I100" s="79" t="str">
        <f>IF('Beginner Adv 15M - Scoring'!B17&lt;&gt;"",IF('Beginner Adv 15M - Scoring'!AJ17&lt;&gt;"",'Beginner Adv 15M - Scoring'!AJ17,""),"")</f>
        <v/>
      </c>
      <c r="J100" s="79" t="str">
        <f>IF('Beginner Adv 15M - Scoring'!B17&lt;&gt;"",IF('Beginner Adv 15M - Scoring'!AK17&lt;&gt;"",'Beginner Adv 15M - Scoring'!AK17,""),"")</f>
        <v/>
      </c>
      <c r="K100" s="79" t="str">
        <f>IF('Beginner Adv 15M - Scoring'!B17&lt;&gt;"",IF('Beginner Adv 15M - Scoring'!AL17&lt;&gt;"",'Beginner Adv 15M - Scoring'!AL17,""),"")</f>
        <v/>
      </c>
      <c r="L100" s="80" t="str">
        <f>IF('Beginner Adv 15M - Scoring'!B17&lt;&gt;"",'Beginner Adv 15M - Scoring'!AU17,"")</f>
        <v/>
      </c>
      <c r="M100" s="81" t="str">
        <f>IF(L95&lt;&gt;"",IFERROR(IF(ISNUMBER(L95),L95,0),0)+IFERROR(IF(ISNUMBER(L96),L96,0),0)+IFERROR(IF(ISNUMBER(L97),L97,0),0)+IFERROR(IF(ISNUMBER(L98),L98,0),0)+IFERROR(IF(ISNUMBER(L99),L99,0),0)+IFERROR(IF(ISNUMBER(L100),L100,0),0),"")</f>
        <v/>
      </c>
    </row>
    <row r="101" spans="1:13" ht="3.75" customHeight="1" x14ac:dyDescent="0.35"/>
    <row r="102" spans="1:13" ht="24" customHeight="1" x14ac:dyDescent="0.35">
      <c r="A102" s="124" t="s">
        <v>230</v>
      </c>
      <c r="B102" s="124"/>
      <c r="C102" s="124"/>
      <c r="D102" s="124"/>
      <c r="E102" s="125" t="str">
        <f>IF('Beginner Adv 15M - Scoring'!B16&lt;&gt;"",'Beginner Adv 15M - Scoring'!AV16,"")</f>
        <v/>
      </c>
      <c r="F102" s="125"/>
      <c r="H102" s="124" t="s">
        <v>230</v>
      </c>
      <c r="I102" s="124"/>
      <c r="J102" s="124"/>
      <c r="K102" s="124"/>
      <c r="L102" s="125" t="str">
        <f>IF('Beginner Adv 15M - Scoring'!B17&lt;&gt;"",'Beginner Adv 15M - Scoring'!AV17,"")</f>
        <v/>
      </c>
      <c r="M102" s="125"/>
    </row>
    <row r="103" spans="1:13" ht="19.5" customHeight="1" x14ac:dyDescent="0.35">
      <c r="E103" s="125"/>
      <c r="F103" s="125"/>
      <c r="L103" s="125"/>
      <c r="M103" s="125"/>
    </row>
    <row r="104" spans="1:13" ht="3.75" customHeight="1" x14ac:dyDescent="0.35"/>
    <row r="105" spans="1:13" ht="18" customHeight="1" x14ac:dyDescent="0.35">
      <c r="A105" s="73" t="s">
        <v>126</v>
      </c>
      <c r="B105" s="82" t="str">
        <f>IF('Beginner Adv 15M - Scoring'!B16&lt;&gt;"",'Beginner Adv 15M - Scoring'!AW16,"")</f>
        <v/>
      </c>
      <c r="C105" s="73" t="s">
        <v>127</v>
      </c>
      <c r="D105" s="83" t="str">
        <f>IF('Beginner Adv 15M - Scoring'!B16&lt;&gt;"",'Beginner Adv 15M - Scoring'!AX16,"")</f>
        <v/>
      </c>
      <c r="E105" s="73" t="s">
        <v>128</v>
      </c>
      <c r="F105" s="83" t="str">
        <f>IF('Beginner Adv 15M - Scoring'!B16&lt;&gt;"",'Beginner Adv 15M - Scoring'!AY16,"")</f>
        <v/>
      </c>
      <c r="H105" s="73" t="s">
        <v>126</v>
      </c>
      <c r="I105" s="82" t="str">
        <f>IF('Beginner Adv 15M - Scoring'!B17&lt;&gt;"",'Beginner Adv 15M - Scoring'!AW17,"")</f>
        <v/>
      </c>
      <c r="J105" s="73" t="s">
        <v>127</v>
      </c>
      <c r="K105" s="83" t="str">
        <f>IF('Beginner Adv 15M - Scoring'!B17&lt;&gt;"",'Beginner Adv 15M - Scoring'!AX17,"")</f>
        <v/>
      </c>
      <c r="L105" s="73" t="s">
        <v>128</v>
      </c>
      <c r="M105" s="83" t="str">
        <f>IF('Beginner Adv 15M - Scoring'!B17&lt;&gt;"",'Beginner Adv 15M - Scoring'!AY17,"")</f>
        <v/>
      </c>
    </row>
    <row r="106" spans="1:13" ht="3.75" customHeight="1" x14ac:dyDescent="0.35"/>
    <row r="107" spans="1:13" ht="7.5" customHeight="1" x14ac:dyDescent="0.35">
      <c r="A107" s="126"/>
      <c r="B107" s="126"/>
      <c r="C107" s="126"/>
      <c r="D107" s="126"/>
      <c r="E107" s="126"/>
      <c r="F107" s="126"/>
      <c r="G107" s="126"/>
      <c r="H107" s="126"/>
      <c r="I107" s="126"/>
      <c r="J107" s="126"/>
      <c r="K107" s="126"/>
      <c r="L107" s="126"/>
      <c r="M107" s="126"/>
    </row>
    <row r="108" spans="1:13" ht="15.75" customHeight="1" x14ac:dyDescent="0.35">
      <c r="A108" s="73" t="s">
        <v>218</v>
      </c>
      <c r="B108" s="122" t="str">
        <f>IF('Beginner Adv 15M - Scoring'!B18&lt;&gt;"",'Beginner Adv 15M - Scoring'!B18,"")</f>
        <v/>
      </c>
      <c r="C108" s="122"/>
      <c r="D108" s="122"/>
      <c r="E108" s="73" t="s">
        <v>219</v>
      </c>
      <c r="F108" s="74" t="str">
        <f>IF('Beginner Adv 15M - Scoring'!B18&lt;&gt;"",'Beginner Adv 15M - Scoring'!BB18,"")</f>
        <v/>
      </c>
      <c r="H108" s="73" t="s">
        <v>218</v>
      </c>
      <c r="I108" s="122" t="str">
        <f>IF('Beginner Adv 15M - Scoring'!B19&lt;&gt;"",'Beginner Adv 15M - Scoring'!B19,"")</f>
        <v/>
      </c>
      <c r="J108" s="122"/>
      <c r="K108" s="122"/>
      <c r="L108" s="73" t="s">
        <v>219</v>
      </c>
      <c r="M108" s="74" t="str">
        <f>IF('Beginner Adv 15M - Scoring'!B19&lt;&gt;"",'Beginner Adv 15M - Scoring'!BB19,"")</f>
        <v/>
      </c>
    </row>
    <row r="109" spans="1:13" ht="15.75" customHeight="1" x14ac:dyDescent="0.35">
      <c r="A109" s="73" t="s">
        <v>220</v>
      </c>
      <c r="B109" s="123" t="str">
        <f>IF('Beginner Adv 15M - Scoring'!B18&lt;&gt;"",'Beginner Adv 15M - Scoring'!D18,"")</f>
        <v/>
      </c>
      <c r="C109" s="123"/>
      <c r="D109" s="123"/>
      <c r="E109" s="73" t="s">
        <v>8</v>
      </c>
      <c r="F109" s="75" t="str">
        <f>IF('Beginner Adv 15M - Scoring'!B18&lt;&gt;"",'Beginner Adv 15M - Scoring'!E18,"")</f>
        <v/>
      </c>
      <c r="H109" s="73" t="s">
        <v>220</v>
      </c>
      <c r="I109" s="123" t="str">
        <f>IF('Beginner Adv 15M - Scoring'!B19&lt;&gt;"",'Beginner Adv 15M - Scoring'!D19,"")</f>
        <v/>
      </c>
      <c r="J109" s="123"/>
      <c r="K109" s="123"/>
      <c r="L109" s="73" t="s">
        <v>8</v>
      </c>
      <c r="M109" s="75" t="str">
        <f>IF('Beginner Adv 15M - Scoring'!B19&lt;&gt;"",'Beginner Adv 15M - Scoring'!E19,"")</f>
        <v/>
      </c>
    </row>
    <row r="110" spans="1:13" ht="3.75" customHeight="1" x14ac:dyDescent="0.35"/>
    <row r="111" spans="1:13" ht="25.5" customHeight="1" x14ac:dyDescent="0.35">
      <c r="A111" s="76" t="s">
        <v>221</v>
      </c>
      <c r="B111" s="77" t="s">
        <v>222</v>
      </c>
      <c r="C111" s="77" t="s">
        <v>223</v>
      </c>
      <c r="D111" s="77" t="s">
        <v>224</v>
      </c>
      <c r="E111" s="76" t="s">
        <v>225</v>
      </c>
      <c r="F111" s="76" t="s">
        <v>226</v>
      </c>
      <c r="H111" s="76" t="s">
        <v>221</v>
      </c>
      <c r="I111" s="77" t="s">
        <v>222</v>
      </c>
      <c r="J111" s="77" t="s">
        <v>223</v>
      </c>
      <c r="K111" s="77" t="s">
        <v>224</v>
      </c>
      <c r="L111" s="76" t="s">
        <v>225</v>
      </c>
      <c r="M111" s="76" t="s">
        <v>226</v>
      </c>
    </row>
    <row r="112" spans="1:13" ht="19.5" customHeight="1" x14ac:dyDescent="0.35">
      <c r="A112" s="78" t="s">
        <v>222</v>
      </c>
      <c r="B112" s="79" t="str">
        <f>IF('Beginner Adv 15M - Scoring'!B18&lt;&gt;"",IF('Beginner Adv 15M - Scoring'!F18&lt;&gt;"",'Beginner Adv 15M - Scoring'!F18,""),"")</f>
        <v/>
      </c>
      <c r="C112" s="79" t="str">
        <f>IF('Beginner Adv 15M - Scoring'!B18&lt;&gt;"",IF('Beginner Adv 15M - Scoring'!G18&lt;&gt;"",'Beginner Adv 15M - Scoring'!G18,""),"")</f>
        <v/>
      </c>
      <c r="D112" s="79" t="str">
        <f>IF('Beginner Adv 15M - Scoring'!B18&lt;&gt;"",IF('Beginner Adv 15M - Scoring'!H18&lt;&gt;"",'Beginner Adv 15M - Scoring'!H18,""),"")</f>
        <v/>
      </c>
      <c r="E112" s="80" t="str">
        <f>IF('Beginner Adv 15M - Scoring'!B18&lt;&gt;"",'Beginner Adv 15M - Scoring'!AP18,"")</f>
        <v/>
      </c>
      <c r="F112" s="81" t="str">
        <f>IFERROR(IF(ISNUMBER(E112),E112,""),"")</f>
        <v/>
      </c>
      <c r="H112" s="78" t="s">
        <v>222</v>
      </c>
      <c r="I112" s="79" t="str">
        <f>IF('Beginner Adv 15M - Scoring'!B19&lt;&gt;"",IF('Beginner Adv 15M - Scoring'!F19&lt;&gt;"",'Beginner Adv 15M - Scoring'!F19,""),"")</f>
        <v/>
      </c>
      <c r="J112" s="79" t="str">
        <f>IF('Beginner Adv 15M - Scoring'!B19&lt;&gt;"",IF('Beginner Adv 15M - Scoring'!G19&lt;&gt;"",'Beginner Adv 15M - Scoring'!G19,""),"")</f>
        <v/>
      </c>
      <c r="K112" s="79" t="str">
        <f>IF('Beginner Adv 15M - Scoring'!B19&lt;&gt;"",IF('Beginner Adv 15M - Scoring'!H19&lt;&gt;"",'Beginner Adv 15M - Scoring'!H19,""),"")</f>
        <v/>
      </c>
      <c r="L112" s="80" t="str">
        <f>IF('Beginner Adv 15M - Scoring'!B19&lt;&gt;"",'Beginner Adv 15M - Scoring'!AP19,"")</f>
        <v/>
      </c>
      <c r="M112" s="81" t="str">
        <f>IFERROR(IF(ISNUMBER(L112),L112,""),"")</f>
        <v/>
      </c>
    </row>
    <row r="113" spans="1:13" ht="19.5" customHeight="1" x14ac:dyDescent="0.35">
      <c r="A113" s="78" t="s">
        <v>223</v>
      </c>
      <c r="B113" s="79" t="str">
        <f>IF('Beginner Adv 15M - Scoring'!B18&lt;&gt;"",IF('Beginner Adv 15M - Scoring'!L18&lt;&gt;"",'Beginner Adv 15M - Scoring'!L18,""),"")</f>
        <v/>
      </c>
      <c r="C113" s="79" t="str">
        <f>IF('Beginner Adv 15M - Scoring'!B18&lt;&gt;"",IF('Beginner Adv 15M - Scoring'!M18&lt;&gt;"",'Beginner Adv 15M - Scoring'!M18,""),"")</f>
        <v/>
      </c>
      <c r="D113" s="79" t="str">
        <f>IF('Beginner Adv 15M - Scoring'!B18&lt;&gt;"",IF('Beginner Adv 15M - Scoring'!N18&lt;&gt;"",'Beginner Adv 15M - Scoring'!N18,""),"")</f>
        <v/>
      </c>
      <c r="E113" s="80" t="str">
        <f>IF('Beginner Adv 15M - Scoring'!B18&lt;&gt;"",'Beginner Adv 15M - Scoring'!AQ18,"")</f>
        <v/>
      </c>
      <c r="F113" s="81" t="str">
        <f>IF(E112&lt;&gt;"",IFERROR(IF(ISNUMBER(E112),E112,0),0)+IFERROR(IF(ISNUMBER(E113),E113,0),0),"")</f>
        <v/>
      </c>
      <c r="H113" s="78" t="s">
        <v>223</v>
      </c>
      <c r="I113" s="79" t="str">
        <f>IF('Beginner Adv 15M - Scoring'!B19&lt;&gt;"",IF('Beginner Adv 15M - Scoring'!L19&lt;&gt;"",'Beginner Adv 15M - Scoring'!L19,""),"")</f>
        <v/>
      </c>
      <c r="J113" s="79" t="str">
        <f>IF('Beginner Adv 15M - Scoring'!B19&lt;&gt;"",IF('Beginner Adv 15M - Scoring'!M19&lt;&gt;"",'Beginner Adv 15M - Scoring'!M19,""),"")</f>
        <v/>
      </c>
      <c r="K113" s="79" t="str">
        <f>IF('Beginner Adv 15M - Scoring'!B19&lt;&gt;"",IF('Beginner Adv 15M - Scoring'!N19&lt;&gt;"",'Beginner Adv 15M - Scoring'!N19,""),"")</f>
        <v/>
      </c>
      <c r="L113" s="80" t="str">
        <f>IF('Beginner Adv 15M - Scoring'!B19&lt;&gt;"",'Beginner Adv 15M - Scoring'!AQ19,"")</f>
        <v/>
      </c>
      <c r="M113" s="81" t="str">
        <f>IF(L112&lt;&gt;"",IFERROR(IF(ISNUMBER(L112),L112,0),0)+IFERROR(IF(ISNUMBER(L113),L113,0),0),"")</f>
        <v/>
      </c>
    </row>
    <row r="114" spans="1:13" ht="19.5" customHeight="1" x14ac:dyDescent="0.35">
      <c r="A114" s="78" t="s">
        <v>224</v>
      </c>
      <c r="B114" s="79" t="str">
        <f>IF('Beginner Adv 15M - Scoring'!B18&lt;&gt;"",IF('Beginner Adv 15M - Scoring'!R18&lt;&gt;"",'Beginner Adv 15M - Scoring'!R18,""),"")</f>
        <v/>
      </c>
      <c r="C114" s="79" t="str">
        <f>IF('Beginner Adv 15M - Scoring'!B18&lt;&gt;"",IF('Beginner Adv 15M - Scoring'!S18&lt;&gt;"",'Beginner Adv 15M - Scoring'!S18,""),"")</f>
        <v/>
      </c>
      <c r="D114" s="79" t="str">
        <f>IF('Beginner Adv 15M - Scoring'!B18&lt;&gt;"",IF('Beginner Adv 15M - Scoring'!T18&lt;&gt;"",'Beginner Adv 15M - Scoring'!T18,""),"")</f>
        <v/>
      </c>
      <c r="E114" s="80" t="str">
        <f>IF('Beginner Adv 15M - Scoring'!B18&lt;&gt;"",'Beginner Adv 15M - Scoring'!AR18,"")</f>
        <v/>
      </c>
      <c r="F114" s="81" t="str">
        <f>IF(E112&lt;&gt;"",IFERROR(IF(ISNUMBER(E112),E112,0),0)+IFERROR(IF(ISNUMBER(E113),E113,0),0)+IFERROR(IF(ISNUMBER(E114),E114,0),0),"")</f>
        <v/>
      </c>
      <c r="H114" s="78" t="s">
        <v>224</v>
      </c>
      <c r="I114" s="79" t="str">
        <f>IF('Beginner Adv 15M - Scoring'!B19&lt;&gt;"",IF('Beginner Adv 15M - Scoring'!R19&lt;&gt;"",'Beginner Adv 15M - Scoring'!R19,""),"")</f>
        <v/>
      </c>
      <c r="J114" s="79" t="str">
        <f>IF('Beginner Adv 15M - Scoring'!B19&lt;&gt;"",IF('Beginner Adv 15M - Scoring'!S19&lt;&gt;"",'Beginner Adv 15M - Scoring'!S19,""),"")</f>
        <v/>
      </c>
      <c r="K114" s="79" t="str">
        <f>IF('Beginner Adv 15M - Scoring'!B19&lt;&gt;"",IF('Beginner Adv 15M - Scoring'!T19&lt;&gt;"",'Beginner Adv 15M - Scoring'!T19,""),"")</f>
        <v/>
      </c>
      <c r="L114" s="80" t="str">
        <f>IF('Beginner Adv 15M - Scoring'!B19&lt;&gt;"",'Beginner Adv 15M - Scoring'!AR19,"")</f>
        <v/>
      </c>
      <c r="M114" s="81" t="str">
        <f>IF(L112&lt;&gt;"",IFERROR(IF(ISNUMBER(L112),L112,0),0)+IFERROR(IF(ISNUMBER(L113),L113,0),0)+IFERROR(IF(ISNUMBER(L114),L114,0),0),"")</f>
        <v/>
      </c>
    </row>
    <row r="115" spans="1:13" ht="19.5" customHeight="1" x14ac:dyDescent="0.35">
      <c r="A115" s="78" t="s">
        <v>227</v>
      </c>
      <c r="B115" s="79" t="str">
        <f>IF('Beginner Adv 15M - Scoring'!B18&lt;&gt;"",IF('Beginner Adv 15M - Scoring'!X18&lt;&gt;"",'Beginner Adv 15M - Scoring'!X18,""),"")</f>
        <v/>
      </c>
      <c r="C115" s="79" t="str">
        <f>IF('Beginner Adv 15M - Scoring'!B18&lt;&gt;"",IF('Beginner Adv 15M - Scoring'!Y18&lt;&gt;"",'Beginner Adv 15M - Scoring'!Y18,""),"")</f>
        <v/>
      </c>
      <c r="D115" s="79" t="str">
        <f>IF('Beginner Adv 15M - Scoring'!B18&lt;&gt;"",IF('Beginner Adv 15M - Scoring'!Z18&lt;&gt;"",'Beginner Adv 15M - Scoring'!Z18,""),"")</f>
        <v/>
      </c>
      <c r="E115" s="80" t="str">
        <f>IF('Beginner Adv 15M - Scoring'!B18&lt;&gt;"",'Beginner Adv 15M - Scoring'!AS18,"")</f>
        <v/>
      </c>
      <c r="F115" s="81" t="str">
        <f>IF(E112&lt;&gt;"",IFERROR(IF(ISNUMBER(E112),E112,0),0)+IFERROR(IF(ISNUMBER(E113),E113,0),0)+IFERROR(IF(ISNUMBER(E114),E114,0),0)+IFERROR(IF(ISNUMBER(E115),E115,0),0),"")</f>
        <v/>
      </c>
      <c r="H115" s="78" t="s">
        <v>227</v>
      </c>
      <c r="I115" s="79" t="str">
        <f>IF('Beginner Adv 15M - Scoring'!B19&lt;&gt;"",IF('Beginner Adv 15M - Scoring'!X19&lt;&gt;"",'Beginner Adv 15M - Scoring'!X19,""),"")</f>
        <v/>
      </c>
      <c r="J115" s="79" t="str">
        <f>IF('Beginner Adv 15M - Scoring'!B19&lt;&gt;"",IF('Beginner Adv 15M - Scoring'!Y19&lt;&gt;"",'Beginner Adv 15M - Scoring'!Y19,""),"")</f>
        <v/>
      </c>
      <c r="K115" s="79" t="str">
        <f>IF('Beginner Adv 15M - Scoring'!B19&lt;&gt;"",IF('Beginner Adv 15M - Scoring'!Z19&lt;&gt;"",'Beginner Adv 15M - Scoring'!Z19,""),"")</f>
        <v/>
      </c>
      <c r="L115" s="80" t="str">
        <f>IF('Beginner Adv 15M - Scoring'!B19&lt;&gt;"",'Beginner Adv 15M - Scoring'!AS19,"")</f>
        <v/>
      </c>
      <c r="M115" s="81" t="str">
        <f>IF(L112&lt;&gt;"",IFERROR(IF(ISNUMBER(L112),L112,0),0)+IFERROR(IF(ISNUMBER(L113),L113,0),0)+IFERROR(IF(ISNUMBER(L114),L114,0),0)+IFERROR(IF(ISNUMBER(L115),L115,0),0),"")</f>
        <v/>
      </c>
    </row>
    <row r="116" spans="1:13" ht="19.5" customHeight="1" x14ac:dyDescent="0.35">
      <c r="A116" s="78" t="s">
        <v>228</v>
      </c>
      <c r="B116" s="79" t="str">
        <f>IF('Beginner Adv 15M - Scoring'!B18&lt;&gt;"",IF('Beginner Adv 15M - Scoring'!AD18&lt;&gt;"",'Beginner Adv 15M - Scoring'!AD18,""),"")</f>
        <v/>
      </c>
      <c r="C116" s="79" t="str">
        <f>IF('Beginner Adv 15M - Scoring'!B18&lt;&gt;"",IF('Beginner Adv 15M - Scoring'!AE18&lt;&gt;"",'Beginner Adv 15M - Scoring'!AE18,""),"")</f>
        <v/>
      </c>
      <c r="D116" s="79" t="str">
        <f>IF('Beginner Adv 15M - Scoring'!B18&lt;&gt;"",IF('Beginner Adv 15M - Scoring'!AF18&lt;&gt;"",'Beginner Adv 15M - Scoring'!AF18,""),"")</f>
        <v/>
      </c>
      <c r="E116" s="80" t="str">
        <f>IF('Beginner Adv 15M - Scoring'!B18&lt;&gt;"",'Beginner Adv 15M - Scoring'!AT18,"")</f>
        <v/>
      </c>
      <c r="F116" s="81" t="str">
        <f>IF(E112&lt;&gt;"",IFERROR(IF(ISNUMBER(E112),E112,0),0)+IFERROR(IF(ISNUMBER(E113),E113,0),0)+IFERROR(IF(ISNUMBER(E114),E114,0),0)+IFERROR(IF(ISNUMBER(E115),E115,0),0)+IFERROR(IF(ISNUMBER(E116),E116,0),0),"")</f>
        <v/>
      </c>
      <c r="H116" s="78" t="s">
        <v>228</v>
      </c>
      <c r="I116" s="79" t="str">
        <f>IF('Beginner Adv 15M - Scoring'!B19&lt;&gt;"",IF('Beginner Adv 15M - Scoring'!AD19&lt;&gt;"",'Beginner Adv 15M - Scoring'!AD19,""),"")</f>
        <v/>
      </c>
      <c r="J116" s="79" t="str">
        <f>IF('Beginner Adv 15M - Scoring'!B19&lt;&gt;"",IF('Beginner Adv 15M - Scoring'!AE19&lt;&gt;"",'Beginner Adv 15M - Scoring'!AE19,""),"")</f>
        <v/>
      </c>
      <c r="K116" s="79" t="str">
        <f>IF('Beginner Adv 15M - Scoring'!B19&lt;&gt;"",IF('Beginner Adv 15M - Scoring'!AF19&lt;&gt;"",'Beginner Adv 15M - Scoring'!AF19,""),"")</f>
        <v/>
      </c>
      <c r="L116" s="80" t="str">
        <f>IF('Beginner Adv 15M - Scoring'!B19&lt;&gt;"",'Beginner Adv 15M - Scoring'!AT19,"")</f>
        <v/>
      </c>
      <c r="M116" s="81" t="str">
        <f>IF(L112&lt;&gt;"",IFERROR(IF(ISNUMBER(L112),L112,0),0)+IFERROR(IF(ISNUMBER(L113),L113,0),0)+IFERROR(IF(ISNUMBER(L114),L114,0),0)+IFERROR(IF(ISNUMBER(L115),L115,0),0)+IFERROR(IF(ISNUMBER(L116),L116,0),0),"")</f>
        <v/>
      </c>
    </row>
    <row r="117" spans="1:13" ht="19.5" customHeight="1" x14ac:dyDescent="0.35">
      <c r="A117" s="78" t="s">
        <v>229</v>
      </c>
      <c r="B117" s="79" t="str">
        <f>IF('Beginner Adv 15M - Scoring'!B18&lt;&gt;"",IF('Beginner Adv 15M - Scoring'!AJ18&lt;&gt;"",'Beginner Adv 15M - Scoring'!AJ18,""),"")</f>
        <v/>
      </c>
      <c r="C117" s="79" t="str">
        <f>IF('Beginner Adv 15M - Scoring'!B18&lt;&gt;"",IF('Beginner Adv 15M - Scoring'!AK18&lt;&gt;"",'Beginner Adv 15M - Scoring'!AK18,""),"")</f>
        <v/>
      </c>
      <c r="D117" s="79" t="str">
        <f>IF('Beginner Adv 15M - Scoring'!B18&lt;&gt;"",IF('Beginner Adv 15M - Scoring'!AL18&lt;&gt;"",'Beginner Adv 15M - Scoring'!AL18,""),"")</f>
        <v/>
      </c>
      <c r="E117" s="80" t="str">
        <f>IF('Beginner Adv 15M - Scoring'!B18&lt;&gt;"",'Beginner Adv 15M - Scoring'!AU18,"")</f>
        <v/>
      </c>
      <c r="F117" s="81" t="str">
        <f>IF(E112&lt;&gt;"",IFERROR(IF(ISNUMBER(E112),E112,0),0)+IFERROR(IF(ISNUMBER(E113),E113,0),0)+IFERROR(IF(ISNUMBER(E114),E114,0),0)+IFERROR(IF(ISNUMBER(E115),E115,0),0)+IFERROR(IF(ISNUMBER(E116),E116,0),0)+IFERROR(IF(ISNUMBER(E117),E117,0),0),"")</f>
        <v/>
      </c>
      <c r="H117" s="78" t="s">
        <v>229</v>
      </c>
      <c r="I117" s="79" t="str">
        <f>IF('Beginner Adv 15M - Scoring'!B19&lt;&gt;"",IF('Beginner Adv 15M - Scoring'!AJ19&lt;&gt;"",'Beginner Adv 15M - Scoring'!AJ19,""),"")</f>
        <v/>
      </c>
      <c r="J117" s="79" t="str">
        <f>IF('Beginner Adv 15M - Scoring'!B19&lt;&gt;"",IF('Beginner Adv 15M - Scoring'!AK19&lt;&gt;"",'Beginner Adv 15M - Scoring'!AK19,""),"")</f>
        <v/>
      </c>
      <c r="K117" s="79" t="str">
        <f>IF('Beginner Adv 15M - Scoring'!B19&lt;&gt;"",IF('Beginner Adv 15M - Scoring'!AL19&lt;&gt;"",'Beginner Adv 15M - Scoring'!AL19,""),"")</f>
        <v/>
      </c>
      <c r="L117" s="80" t="str">
        <f>IF('Beginner Adv 15M - Scoring'!B19&lt;&gt;"",'Beginner Adv 15M - Scoring'!AU19,"")</f>
        <v/>
      </c>
      <c r="M117" s="81" t="str">
        <f>IF(L112&lt;&gt;"",IFERROR(IF(ISNUMBER(L112),L112,0),0)+IFERROR(IF(ISNUMBER(L113),L113,0),0)+IFERROR(IF(ISNUMBER(L114),L114,0),0)+IFERROR(IF(ISNUMBER(L115),L115,0),0)+IFERROR(IF(ISNUMBER(L116),L116,0),0)+IFERROR(IF(ISNUMBER(L117),L117,0),0),"")</f>
        <v/>
      </c>
    </row>
    <row r="118" spans="1:13" ht="3.75" customHeight="1" x14ac:dyDescent="0.35"/>
    <row r="119" spans="1:13" ht="24" customHeight="1" x14ac:dyDescent="0.35">
      <c r="A119" s="124" t="s">
        <v>230</v>
      </c>
      <c r="B119" s="124"/>
      <c r="C119" s="124"/>
      <c r="D119" s="124"/>
      <c r="E119" s="125" t="str">
        <f>IF('Beginner Adv 15M - Scoring'!B18&lt;&gt;"",'Beginner Adv 15M - Scoring'!AV18,"")</f>
        <v/>
      </c>
      <c r="F119" s="125"/>
      <c r="H119" s="124" t="s">
        <v>230</v>
      </c>
      <c r="I119" s="124"/>
      <c r="J119" s="124"/>
      <c r="K119" s="124"/>
      <c r="L119" s="125" t="str">
        <f>IF('Beginner Adv 15M - Scoring'!B19&lt;&gt;"",'Beginner Adv 15M - Scoring'!AV19,"")</f>
        <v/>
      </c>
      <c r="M119" s="125"/>
    </row>
    <row r="120" spans="1:13" ht="19.5" customHeight="1" x14ac:dyDescent="0.35">
      <c r="E120" s="125"/>
      <c r="F120" s="125"/>
      <c r="L120" s="125"/>
      <c r="M120" s="125"/>
    </row>
    <row r="121" spans="1:13" ht="3.75" customHeight="1" x14ac:dyDescent="0.35"/>
    <row r="122" spans="1:13" ht="18" customHeight="1" x14ac:dyDescent="0.35">
      <c r="A122" s="73" t="s">
        <v>126</v>
      </c>
      <c r="B122" s="82" t="str">
        <f>IF('Beginner Adv 15M - Scoring'!B18&lt;&gt;"",'Beginner Adv 15M - Scoring'!AW18,"")</f>
        <v/>
      </c>
      <c r="C122" s="73" t="s">
        <v>127</v>
      </c>
      <c r="D122" s="83" t="str">
        <f>IF('Beginner Adv 15M - Scoring'!B18&lt;&gt;"",'Beginner Adv 15M - Scoring'!AX18,"")</f>
        <v/>
      </c>
      <c r="E122" s="73" t="s">
        <v>128</v>
      </c>
      <c r="F122" s="83" t="str">
        <f>IF('Beginner Adv 15M - Scoring'!B18&lt;&gt;"",'Beginner Adv 15M - Scoring'!AY18,"")</f>
        <v/>
      </c>
      <c r="H122" s="73" t="s">
        <v>126</v>
      </c>
      <c r="I122" s="82" t="str">
        <f>IF('Beginner Adv 15M - Scoring'!B19&lt;&gt;"",'Beginner Adv 15M - Scoring'!AW19,"")</f>
        <v/>
      </c>
      <c r="J122" s="73" t="s">
        <v>127</v>
      </c>
      <c r="K122" s="83" t="str">
        <f>IF('Beginner Adv 15M - Scoring'!B19&lt;&gt;"",'Beginner Adv 15M - Scoring'!AX19,"")</f>
        <v/>
      </c>
      <c r="L122" s="73" t="s">
        <v>128</v>
      </c>
      <c r="M122" s="83" t="str">
        <f>IF('Beginner Adv 15M - Scoring'!B19&lt;&gt;"",'Beginner Adv 15M - Scoring'!AY19,"")</f>
        <v/>
      </c>
    </row>
    <row r="123" spans="1:13" ht="3.75" customHeight="1" x14ac:dyDescent="0.35"/>
    <row r="124" spans="1:13" ht="7.5" customHeight="1" x14ac:dyDescent="0.35">
      <c r="A124" s="126"/>
      <c r="B124" s="126"/>
      <c r="C124" s="126"/>
      <c r="D124" s="126"/>
      <c r="E124" s="126"/>
      <c r="F124" s="126"/>
      <c r="G124" s="126"/>
      <c r="H124" s="126"/>
      <c r="I124" s="126"/>
      <c r="J124" s="126"/>
      <c r="K124" s="126"/>
      <c r="L124" s="126"/>
      <c r="M124" s="126"/>
    </row>
    <row r="125" spans="1:13" ht="15.75" customHeight="1" x14ac:dyDescent="0.35">
      <c r="A125" s="73" t="s">
        <v>218</v>
      </c>
      <c r="B125" s="122" t="str">
        <f>IF('Beginner Adv 15M - Scoring'!B20&lt;&gt;"",'Beginner Adv 15M - Scoring'!B20,"")</f>
        <v/>
      </c>
      <c r="C125" s="122"/>
      <c r="D125" s="122"/>
      <c r="E125" s="73" t="s">
        <v>219</v>
      </c>
      <c r="F125" s="74" t="str">
        <f>IF('Beginner Adv 15M - Scoring'!B20&lt;&gt;"",'Beginner Adv 15M - Scoring'!BB20,"")</f>
        <v/>
      </c>
      <c r="H125" s="73" t="s">
        <v>218</v>
      </c>
      <c r="I125" s="122" t="str">
        <f>IF('Beginner Adv 15M - Scoring'!B21&lt;&gt;"",'Beginner Adv 15M - Scoring'!B21,"")</f>
        <v/>
      </c>
      <c r="J125" s="122"/>
      <c r="K125" s="122"/>
      <c r="L125" s="73" t="s">
        <v>219</v>
      </c>
      <c r="M125" s="74" t="str">
        <f>IF('Beginner Adv 15M - Scoring'!B21&lt;&gt;"",'Beginner Adv 15M - Scoring'!BB21,"")</f>
        <v/>
      </c>
    </row>
    <row r="126" spans="1:13" ht="15.75" customHeight="1" x14ac:dyDescent="0.35">
      <c r="A126" s="73" t="s">
        <v>220</v>
      </c>
      <c r="B126" s="123" t="str">
        <f>IF('Beginner Adv 15M - Scoring'!B20&lt;&gt;"",'Beginner Adv 15M - Scoring'!D20,"")</f>
        <v/>
      </c>
      <c r="C126" s="123"/>
      <c r="D126" s="123"/>
      <c r="E126" s="73" t="s">
        <v>8</v>
      </c>
      <c r="F126" s="75" t="str">
        <f>IF('Beginner Adv 15M - Scoring'!B20&lt;&gt;"",'Beginner Adv 15M - Scoring'!E20,"")</f>
        <v/>
      </c>
      <c r="H126" s="73" t="s">
        <v>220</v>
      </c>
      <c r="I126" s="123" t="str">
        <f>IF('Beginner Adv 15M - Scoring'!B21&lt;&gt;"",'Beginner Adv 15M - Scoring'!D21,"")</f>
        <v/>
      </c>
      <c r="J126" s="123"/>
      <c r="K126" s="123"/>
      <c r="L126" s="73" t="s">
        <v>8</v>
      </c>
      <c r="M126" s="75" t="str">
        <f>IF('Beginner Adv 15M - Scoring'!B21&lt;&gt;"",'Beginner Adv 15M - Scoring'!E21,"")</f>
        <v/>
      </c>
    </row>
    <row r="127" spans="1:13" ht="3.75" customHeight="1" x14ac:dyDescent="0.35"/>
    <row r="128" spans="1:13" ht="25.5" customHeight="1" x14ac:dyDescent="0.35">
      <c r="A128" s="76" t="s">
        <v>221</v>
      </c>
      <c r="B128" s="77" t="s">
        <v>222</v>
      </c>
      <c r="C128" s="77" t="s">
        <v>223</v>
      </c>
      <c r="D128" s="77" t="s">
        <v>224</v>
      </c>
      <c r="E128" s="76" t="s">
        <v>225</v>
      </c>
      <c r="F128" s="76" t="s">
        <v>226</v>
      </c>
      <c r="H128" s="76" t="s">
        <v>221</v>
      </c>
      <c r="I128" s="77" t="s">
        <v>222</v>
      </c>
      <c r="J128" s="77" t="s">
        <v>223</v>
      </c>
      <c r="K128" s="77" t="s">
        <v>224</v>
      </c>
      <c r="L128" s="76" t="s">
        <v>225</v>
      </c>
      <c r="M128" s="76" t="s">
        <v>226</v>
      </c>
    </row>
    <row r="129" spans="1:13" ht="19.5" customHeight="1" x14ac:dyDescent="0.35">
      <c r="A129" s="78" t="s">
        <v>222</v>
      </c>
      <c r="B129" s="79" t="str">
        <f>IF('Beginner Adv 15M - Scoring'!B20&lt;&gt;"",IF('Beginner Adv 15M - Scoring'!F20&lt;&gt;"",'Beginner Adv 15M - Scoring'!F20,""),"")</f>
        <v/>
      </c>
      <c r="C129" s="79" t="str">
        <f>IF('Beginner Adv 15M - Scoring'!B20&lt;&gt;"",IF('Beginner Adv 15M - Scoring'!G20&lt;&gt;"",'Beginner Adv 15M - Scoring'!G20,""),"")</f>
        <v/>
      </c>
      <c r="D129" s="79" t="str">
        <f>IF('Beginner Adv 15M - Scoring'!B20&lt;&gt;"",IF('Beginner Adv 15M - Scoring'!H20&lt;&gt;"",'Beginner Adv 15M - Scoring'!H20,""),"")</f>
        <v/>
      </c>
      <c r="E129" s="80" t="str">
        <f>IF('Beginner Adv 15M - Scoring'!B20&lt;&gt;"",'Beginner Adv 15M - Scoring'!AP20,"")</f>
        <v/>
      </c>
      <c r="F129" s="81" t="str">
        <f>IFERROR(IF(ISNUMBER(E129),E129,""),"")</f>
        <v/>
      </c>
      <c r="H129" s="78" t="s">
        <v>222</v>
      </c>
      <c r="I129" s="79" t="str">
        <f>IF('Beginner Adv 15M - Scoring'!B21&lt;&gt;"",IF('Beginner Adv 15M - Scoring'!F21&lt;&gt;"",'Beginner Adv 15M - Scoring'!F21,""),"")</f>
        <v/>
      </c>
      <c r="J129" s="79" t="str">
        <f>IF('Beginner Adv 15M - Scoring'!B21&lt;&gt;"",IF('Beginner Adv 15M - Scoring'!G21&lt;&gt;"",'Beginner Adv 15M - Scoring'!G21,""),"")</f>
        <v/>
      </c>
      <c r="K129" s="79" t="str">
        <f>IF('Beginner Adv 15M - Scoring'!B21&lt;&gt;"",IF('Beginner Adv 15M - Scoring'!H21&lt;&gt;"",'Beginner Adv 15M - Scoring'!H21,""),"")</f>
        <v/>
      </c>
      <c r="L129" s="80" t="str">
        <f>IF('Beginner Adv 15M - Scoring'!B21&lt;&gt;"",'Beginner Adv 15M - Scoring'!AP21,"")</f>
        <v/>
      </c>
      <c r="M129" s="81" t="str">
        <f>IFERROR(IF(ISNUMBER(L129),L129,""),"")</f>
        <v/>
      </c>
    </row>
    <row r="130" spans="1:13" ht="19.5" customHeight="1" x14ac:dyDescent="0.35">
      <c r="A130" s="78" t="s">
        <v>223</v>
      </c>
      <c r="B130" s="79" t="str">
        <f>IF('Beginner Adv 15M - Scoring'!B20&lt;&gt;"",IF('Beginner Adv 15M - Scoring'!L20&lt;&gt;"",'Beginner Adv 15M - Scoring'!L20,""),"")</f>
        <v/>
      </c>
      <c r="C130" s="79" t="str">
        <f>IF('Beginner Adv 15M - Scoring'!B20&lt;&gt;"",IF('Beginner Adv 15M - Scoring'!M20&lt;&gt;"",'Beginner Adv 15M - Scoring'!M20,""),"")</f>
        <v/>
      </c>
      <c r="D130" s="79" t="str">
        <f>IF('Beginner Adv 15M - Scoring'!B20&lt;&gt;"",IF('Beginner Adv 15M - Scoring'!N20&lt;&gt;"",'Beginner Adv 15M - Scoring'!N20,""),"")</f>
        <v/>
      </c>
      <c r="E130" s="80" t="str">
        <f>IF('Beginner Adv 15M - Scoring'!B20&lt;&gt;"",'Beginner Adv 15M - Scoring'!AQ20,"")</f>
        <v/>
      </c>
      <c r="F130" s="81" t="str">
        <f>IF(E129&lt;&gt;"",IFERROR(IF(ISNUMBER(E129),E129,0),0)+IFERROR(IF(ISNUMBER(E130),E130,0),0),"")</f>
        <v/>
      </c>
      <c r="H130" s="78" t="s">
        <v>223</v>
      </c>
      <c r="I130" s="79" t="str">
        <f>IF('Beginner Adv 15M - Scoring'!B21&lt;&gt;"",IF('Beginner Adv 15M - Scoring'!L21&lt;&gt;"",'Beginner Adv 15M - Scoring'!L21,""),"")</f>
        <v/>
      </c>
      <c r="J130" s="79" t="str">
        <f>IF('Beginner Adv 15M - Scoring'!B21&lt;&gt;"",IF('Beginner Adv 15M - Scoring'!M21&lt;&gt;"",'Beginner Adv 15M - Scoring'!M21,""),"")</f>
        <v/>
      </c>
      <c r="K130" s="79" t="str">
        <f>IF('Beginner Adv 15M - Scoring'!B21&lt;&gt;"",IF('Beginner Adv 15M - Scoring'!N21&lt;&gt;"",'Beginner Adv 15M - Scoring'!N21,""),"")</f>
        <v/>
      </c>
      <c r="L130" s="80" t="str">
        <f>IF('Beginner Adv 15M - Scoring'!B21&lt;&gt;"",'Beginner Adv 15M - Scoring'!AQ21,"")</f>
        <v/>
      </c>
      <c r="M130" s="81" t="str">
        <f>IF(L129&lt;&gt;"",IFERROR(IF(ISNUMBER(L129),L129,0),0)+IFERROR(IF(ISNUMBER(L130),L130,0),0),"")</f>
        <v/>
      </c>
    </row>
    <row r="131" spans="1:13" ht="19.5" customHeight="1" x14ac:dyDescent="0.35">
      <c r="A131" s="78" t="s">
        <v>224</v>
      </c>
      <c r="B131" s="79" t="str">
        <f>IF('Beginner Adv 15M - Scoring'!B20&lt;&gt;"",IF('Beginner Adv 15M - Scoring'!R20&lt;&gt;"",'Beginner Adv 15M - Scoring'!R20,""),"")</f>
        <v/>
      </c>
      <c r="C131" s="79" t="str">
        <f>IF('Beginner Adv 15M - Scoring'!B20&lt;&gt;"",IF('Beginner Adv 15M - Scoring'!S20&lt;&gt;"",'Beginner Adv 15M - Scoring'!S20,""),"")</f>
        <v/>
      </c>
      <c r="D131" s="79" t="str">
        <f>IF('Beginner Adv 15M - Scoring'!B20&lt;&gt;"",IF('Beginner Adv 15M - Scoring'!T20&lt;&gt;"",'Beginner Adv 15M - Scoring'!T20,""),"")</f>
        <v/>
      </c>
      <c r="E131" s="80" t="str">
        <f>IF('Beginner Adv 15M - Scoring'!B20&lt;&gt;"",'Beginner Adv 15M - Scoring'!AR20,"")</f>
        <v/>
      </c>
      <c r="F131" s="81" t="str">
        <f>IF(E129&lt;&gt;"",IFERROR(IF(ISNUMBER(E129),E129,0),0)+IFERROR(IF(ISNUMBER(E130),E130,0),0)+IFERROR(IF(ISNUMBER(E131),E131,0),0),"")</f>
        <v/>
      </c>
      <c r="H131" s="78" t="s">
        <v>224</v>
      </c>
      <c r="I131" s="79" t="str">
        <f>IF('Beginner Adv 15M - Scoring'!B21&lt;&gt;"",IF('Beginner Adv 15M - Scoring'!R21&lt;&gt;"",'Beginner Adv 15M - Scoring'!R21,""),"")</f>
        <v/>
      </c>
      <c r="J131" s="79" t="str">
        <f>IF('Beginner Adv 15M - Scoring'!B21&lt;&gt;"",IF('Beginner Adv 15M - Scoring'!S21&lt;&gt;"",'Beginner Adv 15M - Scoring'!S21,""),"")</f>
        <v/>
      </c>
      <c r="K131" s="79" t="str">
        <f>IF('Beginner Adv 15M - Scoring'!B21&lt;&gt;"",IF('Beginner Adv 15M - Scoring'!T21&lt;&gt;"",'Beginner Adv 15M - Scoring'!T21,""),"")</f>
        <v/>
      </c>
      <c r="L131" s="80" t="str">
        <f>IF('Beginner Adv 15M - Scoring'!B21&lt;&gt;"",'Beginner Adv 15M - Scoring'!AR21,"")</f>
        <v/>
      </c>
      <c r="M131" s="81" t="str">
        <f>IF(L129&lt;&gt;"",IFERROR(IF(ISNUMBER(L129),L129,0),0)+IFERROR(IF(ISNUMBER(L130),L130,0),0)+IFERROR(IF(ISNUMBER(L131),L131,0),0),"")</f>
        <v/>
      </c>
    </row>
    <row r="132" spans="1:13" ht="19.5" customHeight="1" x14ac:dyDescent="0.35">
      <c r="A132" s="78" t="s">
        <v>227</v>
      </c>
      <c r="B132" s="79" t="str">
        <f>IF('Beginner Adv 15M - Scoring'!B20&lt;&gt;"",IF('Beginner Adv 15M - Scoring'!X20&lt;&gt;"",'Beginner Adv 15M - Scoring'!X20,""),"")</f>
        <v/>
      </c>
      <c r="C132" s="79" t="str">
        <f>IF('Beginner Adv 15M - Scoring'!B20&lt;&gt;"",IF('Beginner Adv 15M - Scoring'!Y20&lt;&gt;"",'Beginner Adv 15M - Scoring'!Y20,""),"")</f>
        <v/>
      </c>
      <c r="D132" s="79" t="str">
        <f>IF('Beginner Adv 15M - Scoring'!B20&lt;&gt;"",IF('Beginner Adv 15M - Scoring'!Z20&lt;&gt;"",'Beginner Adv 15M - Scoring'!Z20,""),"")</f>
        <v/>
      </c>
      <c r="E132" s="80" t="str">
        <f>IF('Beginner Adv 15M - Scoring'!B20&lt;&gt;"",'Beginner Adv 15M - Scoring'!AS20,"")</f>
        <v/>
      </c>
      <c r="F132" s="81" t="str">
        <f>IF(E129&lt;&gt;"",IFERROR(IF(ISNUMBER(E129),E129,0),0)+IFERROR(IF(ISNUMBER(E130),E130,0),0)+IFERROR(IF(ISNUMBER(E131),E131,0),0)+IFERROR(IF(ISNUMBER(E132),E132,0),0),"")</f>
        <v/>
      </c>
      <c r="H132" s="78" t="s">
        <v>227</v>
      </c>
      <c r="I132" s="79" t="str">
        <f>IF('Beginner Adv 15M - Scoring'!B21&lt;&gt;"",IF('Beginner Adv 15M - Scoring'!X21&lt;&gt;"",'Beginner Adv 15M - Scoring'!X21,""),"")</f>
        <v/>
      </c>
      <c r="J132" s="79" t="str">
        <f>IF('Beginner Adv 15M - Scoring'!B21&lt;&gt;"",IF('Beginner Adv 15M - Scoring'!Y21&lt;&gt;"",'Beginner Adv 15M - Scoring'!Y21,""),"")</f>
        <v/>
      </c>
      <c r="K132" s="79" t="str">
        <f>IF('Beginner Adv 15M - Scoring'!B21&lt;&gt;"",IF('Beginner Adv 15M - Scoring'!Z21&lt;&gt;"",'Beginner Adv 15M - Scoring'!Z21,""),"")</f>
        <v/>
      </c>
      <c r="L132" s="80" t="str">
        <f>IF('Beginner Adv 15M - Scoring'!B21&lt;&gt;"",'Beginner Adv 15M - Scoring'!AS21,"")</f>
        <v/>
      </c>
      <c r="M132" s="81" t="str">
        <f>IF(L129&lt;&gt;"",IFERROR(IF(ISNUMBER(L129),L129,0),0)+IFERROR(IF(ISNUMBER(L130),L130,0),0)+IFERROR(IF(ISNUMBER(L131),L131,0),0)+IFERROR(IF(ISNUMBER(L132),L132,0),0),"")</f>
        <v/>
      </c>
    </row>
    <row r="133" spans="1:13" ht="19.5" customHeight="1" x14ac:dyDescent="0.35">
      <c r="A133" s="78" t="s">
        <v>228</v>
      </c>
      <c r="B133" s="79" t="str">
        <f>IF('Beginner Adv 15M - Scoring'!B20&lt;&gt;"",IF('Beginner Adv 15M - Scoring'!AD20&lt;&gt;"",'Beginner Adv 15M - Scoring'!AD20,""),"")</f>
        <v/>
      </c>
      <c r="C133" s="79" t="str">
        <f>IF('Beginner Adv 15M - Scoring'!B20&lt;&gt;"",IF('Beginner Adv 15M - Scoring'!AE20&lt;&gt;"",'Beginner Adv 15M - Scoring'!AE20,""),"")</f>
        <v/>
      </c>
      <c r="D133" s="79" t="str">
        <f>IF('Beginner Adv 15M - Scoring'!B20&lt;&gt;"",IF('Beginner Adv 15M - Scoring'!AF20&lt;&gt;"",'Beginner Adv 15M - Scoring'!AF20,""),"")</f>
        <v/>
      </c>
      <c r="E133" s="80" t="str">
        <f>IF('Beginner Adv 15M - Scoring'!B20&lt;&gt;"",'Beginner Adv 15M - Scoring'!AT20,"")</f>
        <v/>
      </c>
      <c r="F133" s="81" t="str">
        <f>IF(E129&lt;&gt;"",IFERROR(IF(ISNUMBER(E129),E129,0),0)+IFERROR(IF(ISNUMBER(E130),E130,0),0)+IFERROR(IF(ISNUMBER(E131),E131,0),0)+IFERROR(IF(ISNUMBER(E132),E132,0),0)+IFERROR(IF(ISNUMBER(E133),E133,0),0),"")</f>
        <v/>
      </c>
      <c r="H133" s="78" t="s">
        <v>228</v>
      </c>
      <c r="I133" s="79" t="str">
        <f>IF('Beginner Adv 15M - Scoring'!B21&lt;&gt;"",IF('Beginner Adv 15M - Scoring'!AD21&lt;&gt;"",'Beginner Adv 15M - Scoring'!AD21,""),"")</f>
        <v/>
      </c>
      <c r="J133" s="79" t="str">
        <f>IF('Beginner Adv 15M - Scoring'!B21&lt;&gt;"",IF('Beginner Adv 15M - Scoring'!AE21&lt;&gt;"",'Beginner Adv 15M - Scoring'!AE21,""),"")</f>
        <v/>
      </c>
      <c r="K133" s="79" t="str">
        <f>IF('Beginner Adv 15M - Scoring'!B21&lt;&gt;"",IF('Beginner Adv 15M - Scoring'!AF21&lt;&gt;"",'Beginner Adv 15M - Scoring'!AF21,""),"")</f>
        <v/>
      </c>
      <c r="L133" s="80" t="str">
        <f>IF('Beginner Adv 15M - Scoring'!B21&lt;&gt;"",'Beginner Adv 15M - Scoring'!AT21,"")</f>
        <v/>
      </c>
      <c r="M133" s="81" t="str">
        <f>IF(L129&lt;&gt;"",IFERROR(IF(ISNUMBER(L129),L129,0),0)+IFERROR(IF(ISNUMBER(L130),L130,0),0)+IFERROR(IF(ISNUMBER(L131),L131,0),0)+IFERROR(IF(ISNUMBER(L132),L132,0),0)+IFERROR(IF(ISNUMBER(L133),L133,0),0),"")</f>
        <v/>
      </c>
    </row>
    <row r="134" spans="1:13" ht="19.5" customHeight="1" x14ac:dyDescent="0.35">
      <c r="A134" s="78" t="s">
        <v>229</v>
      </c>
      <c r="B134" s="79" t="str">
        <f>IF('Beginner Adv 15M - Scoring'!B20&lt;&gt;"",IF('Beginner Adv 15M - Scoring'!AJ20&lt;&gt;"",'Beginner Adv 15M - Scoring'!AJ20,""),"")</f>
        <v/>
      </c>
      <c r="C134" s="79" t="str">
        <f>IF('Beginner Adv 15M - Scoring'!B20&lt;&gt;"",IF('Beginner Adv 15M - Scoring'!AK20&lt;&gt;"",'Beginner Adv 15M - Scoring'!AK20,""),"")</f>
        <v/>
      </c>
      <c r="D134" s="79" t="str">
        <f>IF('Beginner Adv 15M - Scoring'!B20&lt;&gt;"",IF('Beginner Adv 15M - Scoring'!AL20&lt;&gt;"",'Beginner Adv 15M - Scoring'!AL20,""),"")</f>
        <v/>
      </c>
      <c r="E134" s="80" t="str">
        <f>IF('Beginner Adv 15M - Scoring'!B20&lt;&gt;"",'Beginner Adv 15M - Scoring'!AU20,"")</f>
        <v/>
      </c>
      <c r="F134" s="81" t="str">
        <f>IF(E129&lt;&gt;"",IFERROR(IF(ISNUMBER(E129),E129,0),0)+IFERROR(IF(ISNUMBER(E130),E130,0),0)+IFERROR(IF(ISNUMBER(E131),E131,0),0)+IFERROR(IF(ISNUMBER(E132),E132,0),0)+IFERROR(IF(ISNUMBER(E133),E133,0),0)+IFERROR(IF(ISNUMBER(E134),E134,0),0),"")</f>
        <v/>
      </c>
      <c r="H134" s="78" t="s">
        <v>229</v>
      </c>
      <c r="I134" s="79" t="str">
        <f>IF('Beginner Adv 15M - Scoring'!B21&lt;&gt;"",IF('Beginner Adv 15M - Scoring'!AJ21&lt;&gt;"",'Beginner Adv 15M - Scoring'!AJ21,""),"")</f>
        <v/>
      </c>
      <c r="J134" s="79" t="str">
        <f>IF('Beginner Adv 15M - Scoring'!B21&lt;&gt;"",IF('Beginner Adv 15M - Scoring'!AK21&lt;&gt;"",'Beginner Adv 15M - Scoring'!AK21,""),"")</f>
        <v/>
      </c>
      <c r="K134" s="79" t="str">
        <f>IF('Beginner Adv 15M - Scoring'!B21&lt;&gt;"",IF('Beginner Adv 15M - Scoring'!AL21&lt;&gt;"",'Beginner Adv 15M - Scoring'!AL21,""),"")</f>
        <v/>
      </c>
      <c r="L134" s="80" t="str">
        <f>IF('Beginner Adv 15M - Scoring'!B21&lt;&gt;"",'Beginner Adv 15M - Scoring'!AU21,"")</f>
        <v/>
      </c>
      <c r="M134" s="81" t="str">
        <f>IF(L129&lt;&gt;"",IFERROR(IF(ISNUMBER(L129),L129,0),0)+IFERROR(IF(ISNUMBER(L130),L130,0),0)+IFERROR(IF(ISNUMBER(L131),L131,0),0)+IFERROR(IF(ISNUMBER(L132),L132,0),0)+IFERROR(IF(ISNUMBER(L133),L133,0),0)+IFERROR(IF(ISNUMBER(L134),L134,0),0),"")</f>
        <v/>
      </c>
    </row>
    <row r="135" spans="1:13" ht="3.75" customHeight="1" x14ac:dyDescent="0.35"/>
    <row r="136" spans="1:13" ht="24" customHeight="1" x14ac:dyDescent="0.35">
      <c r="A136" s="124" t="s">
        <v>230</v>
      </c>
      <c r="B136" s="124"/>
      <c r="C136" s="124"/>
      <c r="D136" s="124"/>
      <c r="E136" s="125" t="str">
        <f>IF('Beginner Adv 15M - Scoring'!B20&lt;&gt;"",'Beginner Adv 15M - Scoring'!AV20,"")</f>
        <v/>
      </c>
      <c r="F136" s="125"/>
      <c r="H136" s="124" t="s">
        <v>230</v>
      </c>
      <c r="I136" s="124"/>
      <c r="J136" s="124"/>
      <c r="K136" s="124"/>
      <c r="L136" s="125" t="str">
        <f>IF('Beginner Adv 15M - Scoring'!B21&lt;&gt;"",'Beginner Adv 15M - Scoring'!AV21,"")</f>
        <v/>
      </c>
      <c r="M136" s="125"/>
    </row>
    <row r="137" spans="1:13" ht="19.5" customHeight="1" x14ac:dyDescent="0.35">
      <c r="E137" s="125"/>
      <c r="F137" s="125"/>
      <c r="L137" s="125"/>
      <c r="M137" s="125"/>
    </row>
    <row r="138" spans="1:13" ht="3.75" customHeight="1" x14ac:dyDescent="0.35"/>
    <row r="139" spans="1:13" ht="18" customHeight="1" x14ac:dyDescent="0.35">
      <c r="A139" s="73" t="s">
        <v>126</v>
      </c>
      <c r="B139" s="82" t="str">
        <f>IF('Beginner Adv 15M - Scoring'!B20&lt;&gt;"",'Beginner Adv 15M - Scoring'!AW20,"")</f>
        <v/>
      </c>
      <c r="C139" s="73" t="s">
        <v>127</v>
      </c>
      <c r="D139" s="83" t="str">
        <f>IF('Beginner Adv 15M - Scoring'!B20&lt;&gt;"",'Beginner Adv 15M - Scoring'!AX20,"")</f>
        <v/>
      </c>
      <c r="E139" s="73" t="s">
        <v>128</v>
      </c>
      <c r="F139" s="83" t="str">
        <f>IF('Beginner Adv 15M - Scoring'!B20&lt;&gt;"",'Beginner Adv 15M - Scoring'!AY20,"")</f>
        <v/>
      </c>
      <c r="H139" s="73" t="s">
        <v>126</v>
      </c>
      <c r="I139" s="82" t="str">
        <f>IF('Beginner Adv 15M - Scoring'!B21&lt;&gt;"",'Beginner Adv 15M - Scoring'!AW21,"")</f>
        <v/>
      </c>
      <c r="J139" s="73" t="s">
        <v>127</v>
      </c>
      <c r="K139" s="83" t="str">
        <f>IF('Beginner Adv 15M - Scoring'!B21&lt;&gt;"",'Beginner Adv 15M - Scoring'!AX21,"")</f>
        <v/>
      </c>
      <c r="L139" s="73" t="s">
        <v>128</v>
      </c>
      <c r="M139" s="83" t="str">
        <f>IF('Beginner Adv 15M - Scoring'!B21&lt;&gt;"",'Beginner Adv 15M - Scoring'!AY21,"")</f>
        <v/>
      </c>
    </row>
    <row r="140" spans="1:13" ht="3.75" customHeight="1" x14ac:dyDescent="0.35"/>
    <row r="141" spans="1:13" ht="7.5" customHeight="1" x14ac:dyDescent="0.35">
      <c r="A141" s="126"/>
      <c r="B141" s="126"/>
      <c r="C141" s="126"/>
      <c r="D141" s="126"/>
      <c r="E141" s="126"/>
      <c r="F141" s="126"/>
      <c r="G141" s="126"/>
      <c r="H141" s="126"/>
      <c r="I141" s="126"/>
      <c r="J141" s="126"/>
      <c r="K141" s="126"/>
      <c r="L141" s="126"/>
      <c r="M141" s="126"/>
    </row>
    <row r="142" spans="1:13" ht="15.75" customHeight="1" x14ac:dyDescent="0.35">
      <c r="A142" s="73" t="s">
        <v>218</v>
      </c>
      <c r="B142" s="122" t="str">
        <f>IF('Beginner Adv 15M - Scoring'!B22&lt;&gt;"",'Beginner Adv 15M - Scoring'!B22,"")</f>
        <v/>
      </c>
      <c r="C142" s="122"/>
      <c r="D142" s="122"/>
      <c r="E142" s="73" t="s">
        <v>219</v>
      </c>
      <c r="F142" s="74" t="str">
        <f>IF('Beginner Adv 15M - Scoring'!B22&lt;&gt;"",'Beginner Adv 15M - Scoring'!BB22,"")</f>
        <v/>
      </c>
      <c r="H142" s="73" t="s">
        <v>218</v>
      </c>
      <c r="I142" s="122" t="str">
        <f>IF('Beginner Adv 15M - Scoring'!B23&lt;&gt;"",'Beginner Adv 15M - Scoring'!B23,"")</f>
        <v/>
      </c>
      <c r="J142" s="122"/>
      <c r="K142" s="122"/>
      <c r="L142" s="73" t="s">
        <v>219</v>
      </c>
      <c r="M142" s="74" t="str">
        <f>IF('Beginner Adv 15M - Scoring'!B23&lt;&gt;"",'Beginner Adv 15M - Scoring'!BB23,"")</f>
        <v/>
      </c>
    </row>
    <row r="143" spans="1:13" ht="15.75" customHeight="1" x14ac:dyDescent="0.35">
      <c r="A143" s="73" t="s">
        <v>220</v>
      </c>
      <c r="B143" s="123" t="str">
        <f>IF('Beginner Adv 15M - Scoring'!B22&lt;&gt;"",'Beginner Adv 15M - Scoring'!D22,"")</f>
        <v/>
      </c>
      <c r="C143" s="123"/>
      <c r="D143" s="123"/>
      <c r="E143" s="73" t="s">
        <v>8</v>
      </c>
      <c r="F143" s="75" t="str">
        <f>IF('Beginner Adv 15M - Scoring'!B22&lt;&gt;"",'Beginner Adv 15M - Scoring'!E22,"")</f>
        <v/>
      </c>
      <c r="H143" s="73" t="s">
        <v>220</v>
      </c>
      <c r="I143" s="123" t="str">
        <f>IF('Beginner Adv 15M - Scoring'!B23&lt;&gt;"",'Beginner Adv 15M - Scoring'!D23,"")</f>
        <v/>
      </c>
      <c r="J143" s="123"/>
      <c r="K143" s="123"/>
      <c r="L143" s="73" t="s">
        <v>8</v>
      </c>
      <c r="M143" s="75" t="str">
        <f>IF('Beginner Adv 15M - Scoring'!B23&lt;&gt;"",'Beginner Adv 15M - Scoring'!E23,"")</f>
        <v/>
      </c>
    </row>
    <row r="144" spans="1:13" ht="3.75" customHeight="1" x14ac:dyDescent="0.35"/>
    <row r="145" spans="1:13" ht="25.5" customHeight="1" x14ac:dyDescent="0.35">
      <c r="A145" s="76" t="s">
        <v>221</v>
      </c>
      <c r="B145" s="77" t="s">
        <v>222</v>
      </c>
      <c r="C145" s="77" t="s">
        <v>223</v>
      </c>
      <c r="D145" s="77" t="s">
        <v>224</v>
      </c>
      <c r="E145" s="76" t="s">
        <v>225</v>
      </c>
      <c r="F145" s="76" t="s">
        <v>226</v>
      </c>
      <c r="H145" s="76" t="s">
        <v>221</v>
      </c>
      <c r="I145" s="77" t="s">
        <v>222</v>
      </c>
      <c r="J145" s="77" t="s">
        <v>223</v>
      </c>
      <c r="K145" s="77" t="s">
        <v>224</v>
      </c>
      <c r="L145" s="76" t="s">
        <v>225</v>
      </c>
      <c r="M145" s="76" t="s">
        <v>226</v>
      </c>
    </row>
    <row r="146" spans="1:13" ht="19.5" customHeight="1" x14ac:dyDescent="0.35">
      <c r="A146" s="78" t="s">
        <v>222</v>
      </c>
      <c r="B146" s="79" t="str">
        <f>IF('Beginner Adv 15M - Scoring'!B22&lt;&gt;"",IF('Beginner Adv 15M - Scoring'!F22&lt;&gt;"",'Beginner Adv 15M - Scoring'!F22,""),"")</f>
        <v/>
      </c>
      <c r="C146" s="79" t="str">
        <f>IF('Beginner Adv 15M - Scoring'!B22&lt;&gt;"",IF('Beginner Adv 15M - Scoring'!G22&lt;&gt;"",'Beginner Adv 15M - Scoring'!G22,""),"")</f>
        <v/>
      </c>
      <c r="D146" s="79" t="str">
        <f>IF('Beginner Adv 15M - Scoring'!B22&lt;&gt;"",IF('Beginner Adv 15M - Scoring'!H22&lt;&gt;"",'Beginner Adv 15M - Scoring'!H22,""),"")</f>
        <v/>
      </c>
      <c r="E146" s="80" t="str">
        <f>IF('Beginner Adv 15M - Scoring'!B22&lt;&gt;"",'Beginner Adv 15M - Scoring'!AP22,"")</f>
        <v/>
      </c>
      <c r="F146" s="81" t="str">
        <f>IFERROR(IF(ISNUMBER(E146),E146,""),"")</f>
        <v/>
      </c>
      <c r="H146" s="78" t="s">
        <v>222</v>
      </c>
      <c r="I146" s="79" t="str">
        <f>IF('Beginner Adv 15M - Scoring'!B23&lt;&gt;"",IF('Beginner Adv 15M - Scoring'!F23&lt;&gt;"",'Beginner Adv 15M - Scoring'!F23,""),"")</f>
        <v/>
      </c>
      <c r="J146" s="79" t="str">
        <f>IF('Beginner Adv 15M - Scoring'!B23&lt;&gt;"",IF('Beginner Adv 15M - Scoring'!G23&lt;&gt;"",'Beginner Adv 15M - Scoring'!G23,""),"")</f>
        <v/>
      </c>
      <c r="K146" s="79" t="str">
        <f>IF('Beginner Adv 15M - Scoring'!B23&lt;&gt;"",IF('Beginner Adv 15M - Scoring'!H23&lt;&gt;"",'Beginner Adv 15M - Scoring'!H23,""),"")</f>
        <v/>
      </c>
      <c r="L146" s="80" t="str">
        <f>IF('Beginner Adv 15M - Scoring'!B23&lt;&gt;"",'Beginner Adv 15M - Scoring'!AP23,"")</f>
        <v/>
      </c>
      <c r="M146" s="81" t="str">
        <f>IFERROR(IF(ISNUMBER(L146),L146,""),"")</f>
        <v/>
      </c>
    </row>
    <row r="147" spans="1:13" ht="19.5" customHeight="1" x14ac:dyDescent="0.35">
      <c r="A147" s="78" t="s">
        <v>223</v>
      </c>
      <c r="B147" s="79" t="str">
        <f>IF('Beginner Adv 15M - Scoring'!B22&lt;&gt;"",IF('Beginner Adv 15M - Scoring'!L22&lt;&gt;"",'Beginner Adv 15M - Scoring'!L22,""),"")</f>
        <v/>
      </c>
      <c r="C147" s="79" t="str">
        <f>IF('Beginner Adv 15M - Scoring'!B22&lt;&gt;"",IF('Beginner Adv 15M - Scoring'!M22&lt;&gt;"",'Beginner Adv 15M - Scoring'!M22,""),"")</f>
        <v/>
      </c>
      <c r="D147" s="79" t="str">
        <f>IF('Beginner Adv 15M - Scoring'!B22&lt;&gt;"",IF('Beginner Adv 15M - Scoring'!N22&lt;&gt;"",'Beginner Adv 15M - Scoring'!N22,""),"")</f>
        <v/>
      </c>
      <c r="E147" s="80" t="str">
        <f>IF('Beginner Adv 15M - Scoring'!B22&lt;&gt;"",'Beginner Adv 15M - Scoring'!AQ22,"")</f>
        <v/>
      </c>
      <c r="F147" s="81" t="str">
        <f>IF(E146&lt;&gt;"",IFERROR(IF(ISNUMBER(E146),E146,0),0)+IFERROR(IF(ISNUMBER(E147),E147,0),0),"")</f>
        <v/>
      </c>
      <c r="H147" s="78" t="s">
        <v>223</v>
      </c>
      <c r="I147" s="79" t="str">
        <f>IF('Beginner Adv 15M - Scoring'!B23&lt;&gt;"",IF('Beginner Adv 15M - Scoring'!L23&lt;&gt;"",'Beginner Adv 15M - Scoring'!L23,""),"")</f>
        <v/>
      </c>
      <c r="J147" s="79" t="str">
        <f>IF('Beginner Adv 15M - Scoring'!B23&lt;&gt;"",IF('Beginner Adv 15M - Scoring'!M23&lt;&gt;"",'Beginner Adv 15M - Scoring'!M23,""),"")</f>
        <v/>
      </c>
      <c r="K147" s="79" t="str">
        <f>IF('Beginner Adv 15M - Scoring'!B23&lt;&gt;"",IF('Beginner Adv 15M - Scoring'!N23&lt;&gt;"",'Beginner Adv 15M - Scoring'!N23,""),"")</f>
        <v/>
      </c>
      <c r="L147" s="80" t="str">
        <f>IF('Beginner Adv 15M - Scoring'!B23&lt;&gt;"",'Beginner Adv 15M - Scoring'!AQ23,"")</f>
        <v/>
      </c>
      <c r="M147" s="81" t="str">
        <f>IF(L146&lt;&gt;"",IFERROR(IF(ISNUMBER(L146),L146,0),0)+IFERROR(IF(ISNUMBER(L147),L147,0),0),"")</f>
        <v/>
      </c>
    </row>
    <row r="148" spans="1:13" ht="19.5" customHeight="1" x14ac:dyDescent="0.35">
      <c r="A148" s="78" t="s">
        <v>224</v>
      </c>
      <c r="B148" s="79" t="str">
        <f>IF('Beginner Adv 15M - Scoring'!B22&lt;&gt;"",IF('Beginner Adv 15M - Scoring'!R22&lt;&gt;"",'Beginner Adv 15M - Scoring'!R22,""),"")</f>
        <v/>
      </c>
      <c r="C148" s="79" t="str">
        <f>IF('Beginner Adv 15M - Scoring'!B22&lt;&gt;"",IF('Beginner Adv 15M - Scoring'!S22&lt;&gt;"",'Beginner Adv 15M - Scoring'!S22,""),"")</f>
        <v/>
      </c>
      <c r="D148" s="79" t="str">
        <f>IF('Beginner Adv 15M - Scoring'!B22&lt;&gt;"",IF('Beginner Adv 15M - Scoring'!T22&lt;&gt;"",'Beginner Adv 15M - Scoring'!T22,""),"")</f>
        <v/>
      </c>
      <c r="E148" s="80" t="str">
        <f>IF('Beginner Adv 15M - Scoring'!B22&lt;&gt;"",'Beginner Adv 15M - Scoring'!AR22,"")</f>
        <v/>
      </c>
      <c r="F148" s="81" t="str">
        <f>IF(E146&lt;&gt;"",IFERROR(IF(ISNUMBER(E146),E146,0),0)+IFERROR(IF(ISNUMBER(E147),E147,0),0)+IFERROR(IF(ISNUMBER(E148),E148,0),0),"")</f>
        <v/>
      </c>
      <c r="H148" s="78" t="s">
        <v>224</v>
      </c>
      <c r="I148" s="79" t="str">
        <f>IF('Beginner Adv 15M - Scoring'!B23&lt;&gt;"",IF('Beginner Adv 15M - Scoring'!R23&lt;&gt;"",'Beginner Adv 15M - Scoring'!R23,""),"")</f>
        <v/>
      </c>
      <c r="J148" s="79" t="str">
        <f>IF('Beginner Adv 15M - Scoring'!B23&lt;&gt;"",IF('Beginner Adv 15M - Scoring'!S23&lt;&gt;"",'Beginner Adv 15M - Scoring'!S23,""),"")</f>
        <v/>
      </c>
      <c r="K148" s="79" t="str">
        <f>IF('Beginner Adv 15M - Scoring'!B23&lt;&gt;"",IF('Beginner Adv 15M - Scoring'!T23&lt;&gt;"",'Beginner Adv 15M - Scoring'!T23,""),"")</f>
        <v/>
      </c>
      <c r="L148" s="80" t="str">
        <f>IF('Beginner Adv 15M - Scoring'!B23&lt;&gt;"",'Beginner Adv 15M - Scoring'!AR23,"")</f>
        <v/>
      </c>
      <c r="M148" s="81" t="str">
        <f>IF(L146&lt;&gt;"",IFERROR(IF(ISNUMBER(L146),L146,0),0)+IFERROR(IF(ISNUMBER(L147),L147,0),0)+IFERROR(IF(ISNUMBER(L148),L148,0),0),"")</f>
        <v/>
      </c>
    </row>
    <row r="149" spans="1:13" ht="19.5" customHeight="1" x14ac:dyDescent="0.35">
      <c r="A149" s="78" t="s">
        <v>227</v>
      </c>
      <c r="B149" s="79" t="str">
        <f>IF('Beginner Adv 15M - Scoring'!B22&lt;&gt;"",IF('Beginner Adv 15M - Scoring'!X22&lt;&gt;"",'Beginner Adv 15M - Scoring'!X22,""),"")</f>
        <v/>
      </c>
      <c r="C149" s="79" t="str">
        <f>IF('Beginner Adv 15M - Scoring'!B22&lt;&gt;"",IF('Beginner Adv 15M - Scoring'!Y22&lt;&gt;"",'Beginner Adv 15M - Scoring'!Y22,""),"")</f>
        <v/>
      </c>
      <c r="D149" s="79" t="str">
        <f>IF('Beginner Adv 15M - Scoring'!B22&lt;&gt;"",IF('Beginner Adv 15M - Scoring'!Z22&lt;&gt;"",'Beginner Adv 15M - Scoring'!Z22,""),"")</f>
        <v/>
      </c>
      <c r="E149" s="80" t="str">
        <f>IF('Beginner Adv 15M - Scoring'!B22&lt;&gt;"",'Beginner Adv 15M - Scoring'!AS22,"")</f>
        <v/>
      </c>
      <c r="F149" s="81" t="str">
        <f>IF(E146&lt;&gt;"",IFERROR(IF(ISNUMBER(E146),E146,0),0)+IFERROR(IF(ISNUMBER(E147),E147,0),0)+IFERROR(IF(ISNUMBER(E148),E148,0),0)+IFERROR(IF(ISNUMBER(E149),E149,0),0),"")</f>
        <v/>
      </c>
      <c r="H149" s="78" t="s">
        <v>227</v>
      </c>
      <c r="I149" s="79" t="str">
        <f>IF('Beginner Adv 15M - Scoring'!B23&lt;&gt;"",IF('Beginner Adv 15M - Scoring'!X23&lt;&gt;"",'Beginner Adv 15M - Scoring'!X23,""),"")</f>
        <v/>
      </c>
      <c r="J149" s="79" t="str">
        <f>IF('Beginner Adv 15M - Scoring'!B23&lt;&gt;"",IF('Beginner Adv 15M - Scoring'!Y23&lt;&gt;"",'Beginner Adv 15M - Scoring'!Y23,""),"")</f>
        <v/>
      </c>
      <c r="K149" s="79" t="str">
        <f>IF('Beginner Adv 15M - Scoring'!B23&lt;&gt;"",IF('Beginner Adv 15M - Scoring'!Z23&lt;&gt;"",'Beginner Adv 15M - Scoring'!Z23,""),"")</f>
        <v/>
      </c>
      <c r="L149" s="80" t="str">
        <f>IF('Beginner Adv 15M - Scoring'!B23&lt;&gt;"",'Beginner Adv 15M - Scoring'!AS23,"")</f>
        <v/>
      </c>
      <c r="M149" s="81" t="str">
        <f>IF(L146&lt;&gt;"",IFERROR(IF(ISNUMBER(L146),L146,0),0)+IFERROR(IF(ISNUMBER(L147),L147,0),0)+IFERROR(IF(ISNUMBER(L148),L148,0),0)+IFERROR(IF(ISNUMBER(L149),L149,0),0),"")</f>
        <v/>
      </c>
    </row>
    <row r="150" spans="1:13" ht="19.5" customHeight="1" x14ac:dyDescent="0.35">
      <c r="A150" s="78" t="s">
        <v>228</v>
      </c>
      <c r="B150" s="79" t="str">
        <f>IF('Beginner Adv 15M - Scoring'!B22&lt;&gt;"",IF('Beginner Adv 15M - Scoring'!AD22&lt;&gt;"",'Beginner Adv 15M - Scoring'!AD22,""),"")</f>
        <v/>
      </c>
      <c r="C150" s="79" t="str">
        <f>IF('Beginner Adv 15M - Scoring'!B22&lt;&gt;"",IF('Beginner Adv 15M - Scoring'!AE22&lt;&gt;"",'Beginner Adv 15M - Scoring'!AE22,""),"")</f>
        <v/>
      </c>
      <c r="D150" s="79" t="str">
        <f>IF('Beginner Adv 15M - Scoring'!B22&lt;&gt;"",IF('Beginner Adv 15M - Scoring'!AF22&lt;&gt;"",'Beginner Adv 15M - Scoring'!AF22,""),"")</f>
        <v/>
      </c>
      <c r="E150" s="80" t="str">
        <f>IF('Beginner Adv 15M - Scoring'!B22&lt;&gt;"",'Beginner Adv 15M - Scoring'!AT22,"")</f>
        <v/>
      </c>
      <c r="F150" s="81" t="str">
        <f>IF(E146&lt;&gt;"",IFERROR(IF(ISNUMBER(E146),E146,0),0)+IFERROR(IF(ISNUMBER(E147),E147,0),0)+IFERROR(IF(ISNUMBER(E148),E148,0),0)+IFERROR(IF(ISNUMBER(E149),E149,0),0)+IFERROR(IF(ISNUMBER(E150),E150,0),0),"")</f>
        <v/>
      </c>
      <c r="H150" s="78" t="s">
        <v>228</v>
      </c>
      <c r="I150" s="79" t="str">
        <f>IF('Beginner Adv 15M - Scoring'!B23&lt;&gt;"",IF('Beginner Adv 15M - Scoring'!AD23&lt;&gt;"",'Beginner Adv 15M - Scoring'!AD23,""),"")</f>
        <v/>
      </c>
      <c r="J150" s="79" t="str">
        <f>IF('Beginner Adv 15M - Scoring'!B23&lt;&gt;"",IF('Beginner Adv 15M - Scoring'!AE23&lt;&gt;"",'Beginner Adv 15M - Scoring'!AE23,""),"")</f>
        <v/>
      </c>
      <c r="K150" s="79" t="str">
        <f>IF('Beginner Adv 15M - Scoring'!B23&lt;&gt;"",IF('Beginner Adv 15M - Scoring'!AF23&lt;&gt;"",'Beginner Adv 15M - Scoring'!AF23,""),"")</f>
        <v/>
      </c>
      <c r="L150" s="80" t="str">
        <f>IF('Beginner Adv 15M - Scoring'!B23&lt;&gt;"",'Beginner Adv 15M - Scoring'!AT23,"")</f>
        <v/>
      </c>
      <c r="M150" s="81" t="str">
        <f>IF(L146&lt;&gt;"",IFERROR(IF(ISNUMBER(L146),L146,0),0)+IFERROR(IF(ISNUMBER(L147),L147,0),0)+IFERROR(IF(ISNUMBER(L148),L148,0),0)+IFERROR(IF(ISNUMBER(L149),L149,0),0)+IFERROR(IF(ISNUMBER(L150),L150,0),0),"")</f>
        <v/>
      </c>
    </row>
    <row r="151" spans="1:13" ht="19.5" customHeight="1" x14ac:dyDescent="0.35">
      <c r="A151" s="78" t="s">
        <v>229</v>
      </c>
      <c r="B151" s="79" t="str">
        <f>IF('Beginner Adv 15M - Scoring'!B22&lt;&gt;"",IF('Beginner Adv 15M - Scoring'!AJ22&lt;&gt;"",'Beginner Adv 15M - Scoring'!AJ22,""),"")</f>
        <v/>
      </c>
      <c r="C151" s="79" t="str">
        <f>IF('Beginner Adv 15M - Scoring'!B22&lt;&gt;"",IF('Beginner Adv 15M - Scoring'!AK22&lt;&gt;"",'Beginner Adv 15M - Scoring'!AK22,""),"")</f>
        <v/>
      </c>
      <c r="D151" s="79" t="str">
        <f>IF('Beginner Adv 15M - Scoring'!B22&lt;&gt;"",IF('Beginner Adv 15M - Scoring'!AL22&lt;&gt;"",'Beginner Adv 15M - Scoring'!AL22,""),"")</f>
        <v/>
      </c>
      <c r="E151" s="80" t="str">
        <f>IF('Beginner Adv 15M - Scoring'!B22&lt;&gt;"",'Beginner Adv 15M - Scoring'!AU22,"")</f>
        <v/>
      </c>
      <c r="F151" s="81" t="str">
        <f>IF(E146&lt;&gt;"",IFERROR(IF(ISNUMBER(E146),E146,0),0)+IFERROR(IF(ISNUMBER(E147),E147,0),0)+IFERROR(IF(ISNUMBER(E148),E148,0),0)+IFERROR(IF(ISNUMBER(E149),E149,0),0)+IFERROR(IF(ISNUMBER(E150),E150,0),0)+IFERROR(IF(ISNUMBER(E151),E151,0),0),"")</f>
        <v/>
      </c>
      <c r="H151" s="78" t="s">
        <v>229</v>
      </c>
      <c r="I151" s="79" t="str">
        <f>IF('Beginner Adv 15M - Scoring'!B23&lt;&gt;"",IF('Beginner Adv 15M - Scoring'!AJ23&lt;&gt;"",'Beginner Adv 15M - Scoring'!AJ23,""),"")</f>
        <v/>
      </c>
      <c r="J151" s="79" t="str">
        <f>IF('Beginner Adv 15M - Scoring'!B23&lt;&gt;"",IF('Beginner Adv 15M - Scoring'!AK23&lt;&gt;"",'Beginner Adv 15M - Scoring'!AK23,""),"")</f>
        <v/>
      </c>
      <c r="K151" s="79" t="str">
        <f>IF('Beginner Adv 15M - Scoring'!B23&lt;&gt;"",IF('Beginner Adv 15M - Scoring'!AL23&lt;&gt;"",'Beginner Adv 15M - Scoring'!AL23,""),"")</f>
        <v/>
      </c>
      <c r="L151" s="80" t="str">
        <f>IF('Beginner Adv 15M - Scoring'!B23&lt;&gt;"",'Beginner Adv 15M - Scoring'!AU23,"")</f>
        <v/>
      </c>
      <c r="M151" s="81" t="str">
        <f>IF(L146&lt;&gt;"",IFERROR(IF(ISNUMBER(L146),L146,0),0)+IFERROR(IF(ISNUMBER(L147),L147,0),0)+IFERROR(IF(ISNUMBER(L148),L148,0),0)+IFERROR(IF(ISNUMBER(L149),L149,0),0)+IFERROR(IF(ISNUMBER(L150),L150,0),0)+IFERROR(IF(ISNUMBER(L151),L151,0),0),"")</f>
        <v/>
      </c>
    </row>
    <row r="152" spans="1:13" ht="3.75" customHeight="1" x14ac:dyDescent="0.35"/>
    <row r="153" spans="1:13" ht="24" customHeight="1" x14ac:dyDescent="0.35">
      <c r="A153" s="124" t="s">
        <v>230</v>
      </c>
      <c r="B153" s="124"/>
      <c r="C153" s="124"/>
      <c r="D153" s="124"/>
      <c r="E153" s="125" t="str">
        <f>IF('Beginner Adv 15M - Scoring'!B22&lt;&gt;"",'Beginner Adv 15M - Scoring'!AV22,"")</f>
        <v/>
      </c>
      <c r="F153" s="125"/>
      <c r="H153" s="124" t="s">
        <v>230</v>
      </c>
      <c r="I153" s="124"/>
      <c r="J153" s="124"/>
      <c r="K153" s="124"/>
      <c r="L153" s="125" t="str">
        <f>IF('Beginner Adv 15M - Scoring'!B23&lt;&gt;"",'Beginner Adv 15M - Scoring'!AV23,"")</f>
        <v/>
      </c>
      <c r="M153" s="125"/>
    </row>
    <row r="154" spans="1:13" ht="19.5" customHeight="1" x14ac:dyDescent="0.35">
      <c r="E154" s="125"/>
      <c r="F154" s="125"/>
      <c r="L154" s="125"/>
      <c r="M154" s="125"/>
    </row>
    <row r="155" spans="1:13" ht="3.75" customHeight="1" x14ac:dyDescent="0.35"/>
    <row r="156" spans="1:13" ht="18" customHeight="1" x14ac:dyDescent="0.35">
      <c r="A156" s="73" t="s">
        <v>126</v>
      </c>
      <c r="B156" s="82" t="str">
        <f>IF('Beginner Adv 15M - Scoring'!B22&lt;&gt;"",'Beginner Adv 15M - Scoring'!AW22,"")</f>
        <v/>
      </c>
      <c r="C156" s="73" t="s">
        <v>127</v>
      </c>
      <c r="D156" s="83" t="str">
        <f>IF('Beginner Adv 15M - Scoring'!B22&lt;&gt;"",'Beginner Adv 15M - Scoring'!AX22,"")</f>
        <v/>
      </c>
      <c r="E156" s="73" t="s">
        <v>128</v>
      </c>
      <c r="F156" s="83" t="str">
        <f>IF('Beginner Adv 15M - Scoring'!B22&lt;&gt;"",'Beginner Adv 15M - Scoring'!AY22,"")</f>
        <v/>
      </c>
      <c r="H156" s="73" t="s">
        <v>126</v>
      </c>
      <c r="I156" s="82" t="str">
        <f>IF('Beginner Adv 15M - Scoring'!B23&lt;&gt;"",'Beginner Adv 15M - Scoring'!AW23,"")</f>
        <v/>
      </c>
      <c r="J156" s="73" t="s">
        <v>127</v>
      </c>
      <c r="K156" s="83" t="str">
        <f>IF('Beginner Adv 15M - Scoring'!B23&lt;&gt;"",'Beginner Adv 15M - Scoring'!AX23,"")</f>
        <v/>
      </c>
      <c r="L156" s="73" t="s">
        <v>128</v>
      </c>
      <c r="M156" s="83" t="str">
        <f>IF('Beginner Adv 15M - Scoring'!B23&lt;&gt;"",'Beginner Adv 15M - Scoring'!AY23,"")</f>
        <v/>
      </c>
    </row>
    <row r="157" spans="1:13" ht="3.75" customHeight="1" x14ac:dyDescent="0.35"/>
    <row r="158" spans="1:13" ht="7.5" customHeight="1" x14ac:dyDescent="0.35">
      <c r="A158" s="126"/>
      <c r="B158" s="126"/>
      <c r="C158" s="126"/>
      <c r="D158" s="126"/>
      <c r="E158" s="126"/>
      <c r="F158" s="126"/>
      <c r="G158" s="126"/>
      <c r="H158" s="126"/>
      <c r="I158" s="126"/>
      <c r="J158" s="126"/>
      <c r="K158" s="126"/>
      <c r="L158" s="126"/>
      <c r="M158" s="126"/>
    </row>
    <row r="159" spans="1:13" ht="15.75" customHeight="1" x14ac:dyDescent="0.35">
      <c r="A159" s="73" t="s">
        <v>218</v>
      </c>
      <c r="B159" s="122" t="str">
        <f>IF('Beginner Adv 15M - Scoring'!B24&lt;&gt;"",'Beginner Adv 15M - Scoring'!B24,"")</f>
        <v/>
      </c>
      <c r="C159" s="122"/>
      <c r="D159" s="122"/>
      <c r="E159" s="73" t="s">
        <v>219</v>
      </c>
      <c r="F159" s="74" t="str">
        <f>IF('Beginner Adv 15M - Scoring'!B24&lt;&gt;"",'Beginner Adv 15M - Scoring'!BB24,"")</f>
        <v/>
      </c>
      <c r="H159" s="73" t="s">
        <v>218</v>
      </c>
      <c r="I159" s="122" t="str">
        <f>IF('Beginner Adv 15M - Scoring'!B25&lt;&gt;"",'Beginner Adv 15M - Scoring'!B25,"")</f>
        <v/>
      </c>
      <c r="J159" s="122"/>
      <c r="K159" s="122"/>
      <c r="L159" s="73" t="s">
        <v>219</v>
      </c>
      <c r="M159" s="74" t="str">
        <f>IF('Beginner Adv 15M - Scoring'!B25&lt;&gt;"",'Beginner Adv 15M - Scoring'!BB25,"")</f>
        <v/>
      </c>
    </row>
    <row r="160" spans="1:13" ht="15.75" customHeight="1" x14ac:dyDescent="0.35">
      <c r="A160" s="73" t="s">
        <v>220</v>
      </c>
      <c r="B160" s="123" t="str">
        <f>IF('Beginner Adv 15M - Scoring'!B24&lt;&gt;"",'Beginner Adv 15M - Scoring'!D24,"")</f>
        <v/>
      </c>
      <c r="C160" s="123"/>
      <c r="D160" s="123"/>
      <c r="E160" s="73" t="s">
        <v>8</v>
      </c>
      <c r="F160" s="75" t="str">
        <f>IF('Beginner Adv 15M - Scoring'!B24&lt;&gt;"",'Beginner Adv 15M - Scoring'!E24,"")</f>
        <v/>
      </c>
      <c r="H160" s="73" t="s">
        <v>220</v>
      </c>
      <c r="I160" s="123" t="str">
        <f>IF('Beginner Adv 15M - Scoring'!B25&lt;&gt;"",'Beginner Adv 15M - Scoring'!D25,"")</f>
        <v/>
      </c>
      <c r="J160" s="123"/>
      <c r="K160" s="123"/>
      <c r="L160" s="73" t="s">
        <v>8</v>
      </c>
      <c r="M160" s="75" t="str">
        <f>IF('Beginner Adv 15M - Scoring'!B25&lt;&gt;"",'Beginner Adv 15M - Scoring'!E25,"")</f>
        <v/>
      </c>
    </row>
    <row r="161" spans="1:13" ht="3.75" customHeight="1" x14ac:dyDescent="0.35"/>
    <row r="162" spans="1:13" ht="25.5" customHeight="1" x14ac:dyDescent="0.35">
      <c r="A162" s="76" t="s">
        <v>221</v>
      </c>
      <c r="B162" s="77" t="s">
        <v>222</v>
      </c>
      <c r="C162" s="77" t="s">
        <v>223</v>
      </c>
      <c r="D162" s="77" t="s">
        <v>224</v>
      </c>
      <c r="E162" s="76" t="s">
        <v>225</v>
      </c>
      <c r="F162" s="76" t="s">
        <v>226</v>
      </c>
      <c r="H162" s="76" t="s">
        <v>221</v>
      </c>
      <c r="I162" s="77" t="s">
        <v>222</v>
      </c>
      <c r="J162" s="77" t="s">
        <v>223</v>
      </c>
      <c r="K162" s="77" t="s">
        <v>224</v>
      </c>
      <c r="L162" s="76" t="s">
        <v>225</v>
      </c>
      <c r="M162" s="76" t="s">
        <v>226</v>
      </c>
    </row>
    <row r="163" spans="1:13" ht="19.5" customHeight="1" x14ac:dyDescent="0.35">
      <c r="A163" s="78" t="s">
        <v>222</v>
      </c>
      <c r="B163" s="79" t="str">
        <f>IF('Beginner Adv 15M - Scoring'!B24&lt;&gt;"",IF('Beginner Adv 15M - Scoring'!F24&lt;&gt;"",'Beginner Adv 15M - Scoring'!F24,""),"")</f>
        <v/>
      </c>
      <c r="C163" s="79" t="str">
        <f>IF('Beginner Adv 15M - Scoring'!B24&lt;&gt;"",IF('Beginner Adv 15M - Scoring'!G24&lt;&gt;"",'Beginner Adv 15M - Scoring'!G24,""),"")</f>
        <v/>
      </c>
      <c r="D163" s="79" t="str">
        <f>IF('Beginner Adv 15M - Scoring'!B24&lt;&gt;"",IF('Beginner Adv 15M - Scoring'!H24&lt;&gt;"",'Beginner Adv 15M - Scoring'!H24,""),"")</f>
        <v/>
      </c>
      <c r="E163" s="80" t="str">
        <f>IF('Beginner Adv 15M - Scoring'!B24&lt;&gt;"",'Beginner Adv 15M - Scoring'!AP24,"")</f>
        <v/>
      </c>
      <c r="F163" s="81" t="str">
        <f>IFERROR(IF(ISNUMBER(E163),E163,""),"")</f>
        <v/>
      </c>
      <c r="H163" s="78" t="s">
        <v>222</v>
      </c>
      <c r="I163" s="79" t="str">
        <f>IF('Beginner Adv 15M - Scoring'!B25&lt;&gt;"",IF('Beginner Adv 15M - Scoring'!F25&lt;&gt;"",'Beginner Adv 15M - Scoring'!F25,""),"")</f>
        <v/>
      </c>
      <c r="J163" s="79" t="str">
        <f>IF('Beginner Adv 15M - Scoring'!B25&lt;&gt;"",IF('Beginner Adv 15M - Scoring'!G25&lt;&gt;"",'Beginner Adv 15M - Scoring'!G25,""),"")</f>
        <v/>
      </c>
      <c r="K163" s="79" t="str">
        <f>IF('Beginner Adv 15M - Scoring'!B25&lt;&gt;"",IF('Beginner Adv 15M - Scoring'!H25&lt;&gt;"",'Beginner Adv 15M - Scoring'!H25,""),"")</f>
        <v/>
      </c>
      <c r="L163" s="80" t="str">
        <f>IF('Beginner Adv 15M - Scoring'!B25&lt;&gt;"",'Beginner Adv 15M - Scoring'!AP25,"")</f>
        <v/>
      </c>
      <c r="M163" s="81" t="str">
        <f>IFERROR(IF(ISNUMBER(L163),L163,""),"")</f>
        <v/>
      </c>
    </row>
    <row r="164" spans="1:13" ht="19.5" customHeight="1" x14ac:dyDescent="0.35">
      <c r="A164" s="78" t="s">
        <v>223</v>
      </c>
      <c r="B164" s="79" t="str">
        <f>IF('Beginner Adv 15M - Scoring'!B24&lt;&gt;"",IF('Beginner Adv 15M - Scoring'!L24&lt;&gt;"",'Beginner Adv 15M - Scoring'!L24,""),"")</f>
        <v/>
      </c>
      <c r="C164" s="79" t="str">
        <f>IF('Beginner Adv 15M - Scoring'!B24&lt;&gt;"",IF('Beginner Adv 15M - Scoring'!M24&lt;&gt;"",'Beginner Adv 15M - Scoring'!M24,""),"")</f>
        <v/>
      </c>
      <c r="D164" s="79" t="str">
        <f>IF('Beginner Adv 15M - Scoring'!B24&lt;&gt;"",IF('Beginner Adv 15M - Scoring'!N24&lt;&gt;"",'Beginner Adv 15M - Scoring'!N24,""),"")</f>
        <v/>
      </c>
      <c r="E164" s="80" t="str">
        <f>IF('Beginner Adv 15M - Scoring'!B24&lt;&gt;"",'Beginner Adv 15M - Scoring'!AQ24,"")</f>
        <v/>
      </c>
      <c r="F164" s="81" t="str">
        <f>IF(E163&lt;&gt;"",IFERROR(IF(ISNUMBER(E163),E163,0),0)+IFERROR(IF(ISNUMBER(E164),E164,0),0),"")</f>
        <v/>
      </c>
      <c r="H164" s="78" t="s">
        <v>223</v>
      </c>
      <c r="I164" s="79" t="str">
        <f>IF('Beginner Adv 15M - Scoring'!B25&lt;&gt;"",IF('Beginner Adv 15M - Scoring'!L25&lt;&gt;"",'Beginner Adv 15M - Scoring'!L25,""),"")</f>
        <v/>
      </c>
      <c r="J164" s="79" t="str">
        <f>IF('Beginner Adv 15M - Scoring'!B25&lt;&gt;"",IF('Beginner Adv 15M - Scoring'!M25&lt;&gt;"",'Beginner Adv 15M - Scoring'!M25,""),"")</f>
        <v/>
      </c>
      <c r="K164" s="79" t="str">
        <f>IF('Beginner Adv 15M - Scoring'!B25&lt;&gt;"",IF('Beginner Adv 15M - Scoring'!N25&lt;&gt;"",'Beginner Adv 15M - Scoring'!N25,""),"")</f>
        <v/>
      </c>
      <c r="L164" s="80" t="str">
        <f>IF('Beginner Adv 15M - Scoring'!B25&lt;&gt;"",'Beginner Adv 15M - Scoring'!AQ25,"")</f>
        <v/>
      </c>
      <c r="M164" s="81" t="str">
        <f>IF(L163&lt;&gt;"",IFERROR(IF(ISNUMBER(L163),L163,0),0)+IFERROR(IF(ISNUMBER(L164),L164,0),0),"")</f>
        <v/>
      </c>
    </row>
    <row r="165" spans="1:13" ht="19.5" customHeight="1" x14ac:dyDescent="0.35">
      <c r="A165" s="78" t="s">
        <v>224</v>
      </c>
      <c r="B165" s="79" t="str">
        <f>IF('Beginner Adv 15M - Scoring'!B24&lt;&gt;"",IF('Beginner Adv 15M - Scoring'!R24&lt;&gt;"",'Beginner Adv 15M - Scoring'!R24,""),"")</f>
        <v/>
      </c>
      <c r="C165" s="79" t="str">
        <f>IF('Beginner Adv 15M - Scoring'!B24&lt;&gt;"",IF('Beginner Adv 15M - Scoring'!S24&lt;&gt;"",'Beginner Adv 15M - Scoring'!S24,""),"")</f>
        <v/>
      </c>
      <c r="D165" s="79" t="str">
        <f>IF('Beginner Adv 15M - Scoring'!B24&lt;&gt;"",IF('Beginner Adv 15M - Scoring'!T24&lt;&gt;"",'Beginner Adv 15M - Scoring'!T24,""),"")</f>
        <v/>
      </c>
      <c r="E165" s="80" t="str">
        <f>IF('Beginner Adv 15M - Scoring'!B24&lt;&gt;"",'Beginner Adv 15M - Scoring'!AR24,"")</f>
        <v/>
      </c>
      <c r="F165" s="81" t="str">
        <f>IF(E163&lt;&gt;"",IFERROR(IF(ISNUMBER(E163),E163,0),0)+IFERROR(IF(ISNUMBER(E164),E164,0),0)+IFERROR(IF(ISNUMBER(E165),E165,0),0),"")</f>
        <v/>
      </c>
      <c r="H165" s="78" t="s">
        <v>224</v>
      </c>
      <c r="I165" s="79" t="str">
        <f>IF('Beginner Adv 15M - Scoring'!B25&lt;&gt;"",IF('Beginner Adv 15M - Scoring'!R25&lt;&gt;"",'Beginner Adv 15M - Scoring'!R25,""),"")</f>
        <v/>
      </c>
      <c r="J165" s="79" t="str">
        <f>IF('Beginner Adv 15M - Scoring'!B25&lt;&gt;"",IF('Beginner Adv 15M - Scoring'!S25&lt;&gt;"",'Beginner Adv 15M - Scoring'!S25,""),"")</f>
        <v/>
      </c>
      <c r="K165" s="79" t="str">
        <f>IF('Beginner Adv 15M - Scoring'!B25&lt;&gt;"",IF('Beginner Adv 15M - Scoring'!T25&lt;&gt;"",'Beginner Adv 15M - Scoring'!T25,""),"")</f>
        <v/>
      </c>
      <c r="L165" s="80" t="str">
        <f>IF('Beginner Adv 15M - Scoring'!B25&lt;&gt;"",'Beginner Adv 15M - Scoring'!AR25,"")</f>
        <v/>
      </c>
      <c r="M165" s="81" t="str">
        <f>IF(L163&lt;&gt;"",IFERROR(IF(ISNUMBER(L163),L163,0),0)+IFERROR(IF(ISNUMBER(L164),L164,0),0)+IFERROR(IF(ISNUMBER(L165),L165,0),0),"")</f>
        <v/>
      </c>
    </row>
    <row r="166" spans="1:13" ht="19.5" customHeight="1" x14ac:dyDescent="0.35">
      <c r="A166" s="78" t="s">
        <v>227</v>
      </c>
      <c r="B166" s="79" t="str">
        <f>IF('Beginner Adv 15M - Scoring'!B24&lt;&gt;"",IF('Beginner Adv 15M - Scoring'!X24&lt;&gt;"",'Beginner Adv 15M - Scoring'!X24,""),"")</f>
        <v/>
      </c>
      <c r="C166" s="79" t="str">
        <f>IF('Beginner Adv 15M - Scoring'!B24&lt;&gt;"",IF('Beginner Adv 15M - Scoring'!Y24&lt;&gt;"",'Beginner Adv 15M - Scoring'!Y24,""),"")</f>
        <v/>
      </c>
      <c r="D166" s="79" t="str">
        <f>IF('Beginner Adv 15M - Scoring'!B24&lt;&gt;"",IF('Beginner Adv 15M - Scoring'!Z24&lt;&gt;"",'Beginner Adv 15M - Scoring'!Z24,""),"")</f>
        <v/>
      </c>
      <c r="E166" s="80" t="str">
        <f>IF('Beginner Adv 15M - Scoring'!B24&lt;&gt;"",'Beginner Adv 15M - Scoring'!AS24,"")</f>
        <v/>
      </c>
      <c r="F166" s="81" t="str">
        <f>IF(E163&lt;&gt;"",IFERROR(IF(ISNUMBER(E163),E163,0),0)+IFERROR(IF(ISNUMBER(E164),E164,0),0)+IFERROR(IF(ISNUMBER(E165),E165,0),0)+IFERROR(IF(ISNUMBER(E166),E166,0),0),"")</f>
        <v/>
      </c>
      <c r="H166" s="78" t="s">
        <v>227</v>
      </c>
      <c r="I166" s="79" t="str">
        <f>IF('Beginner Adv 15M - Scoring'!B25&lt;&gt;"",IF('Beginner Adv 15M - Scoring'!X25&lt;&gt;"",'Beginner Adv 15M - Scoring'!X25,""),"")</f>
        <v/>
      </c>
      <c r="J166" s="79" t="str">
        <f>IF('Beginner Adv 15M - Scoring'!B25&lt;&gt;"",IF('Beginner Adv 15M - Scoring'!Y25&lt;&gt;"",'Beginner Adv 15M - Scoring'!Y25,""),"")</f>
        <v/>
      </c>
      <c r="K166" s="79" t="str">
        <f>IF('Beginner Adv 15M - Scoring'!B25&lt;&gt;"",IF('Beginner Adv 15M - Scoring'!Z25&lt;&gt;"",'Beginner Adv 15M - Scoring'!Z25,""),"")</f>
        <v/>
      </c>
      <c r="L166" s="80" t="str">
        <f>IF('Beginner Adv 15M - Scoring'!B25&lt;&gt;"",'Beginner Adv 15M - Scoring'!AS25,"")</f>
        <v/>
      </c>
      <c r="M166" s="81" t="str">
        <f>IF(L163&lt;&gt;"",IFERROR(IF(ISNUMBER(L163),L163,0),0)+IFERROR(IF(ISNUMBER(L164),L164,0),0)+IFERROR(IF(ISNUMBER(L165),L165,0),0)+IFERROR(IF(ISNUMBER(L166),L166,0),0),"")</f>
        <v/>
      </c>
    </row>
    <row r="167" spans="1:13" ht="19.5" customHeight="1" x14ac:dyDescent="0.35">
      <c r="A167" s="78" t="s">
        <v>228</v>
      </c>
      <c r="B167" s="79" t="str">
        <f>IF('Beginner Adv 15M - Scoring'!B24&lt;&gt;"",IF('Beginner Adv 15M - Scoring'!AD24&lt;&gt;"",'Beginner Adv 15M - Scoring'!AD24,""),"")</f>
        <v/>
      </c>
      <c r="C167" s="79" t="str">
        <f>IF('Beginner Adv 15M - Scoring'!B24&lt;&gt;"",IF('Beginner Adv 15M - Scoring'!AE24&lt;&gt;"",'Beginner Adv 15M - Scoring'!AE24,""),"")</f>
        <v/>
      </c>
      <c r="D167" s="79" t="str">
        <f>IF('Beginner Adv 15M - Scoring'!B24&lt;&gt;"",IF('Beginner Adv 15M - Scoring'!AF24&lt;&gt;"",'Beginner Adv 15M - Scoring'!AF24,""),"")</f>
        <v/>
      </c>
      <c r="E167" s="80" t="str">
        <f>IF('Beginner Adv 15M - Scoring'!B24&lt;&gt;"",'Beginner Adv 15M - Scoring'!AT24,"")</f>
        <v/>
      </c>
      <c r="F167" s="81" t="str">
        <f>IF(E163&lt;&gt;"",IFERROR(IF(ISNUMBER(E163),E163,0),0)+IFERROR(IF(ISNUMBER(E164),E164,0),0)+IFERROR(IF(ISNUMBER(E165),E165,0),0)+IFERROR(IF(ISNUMBER(E166),E166,0),0)+IFERROR(IF(ISNUMBER(E167),E167,0),0),"")</f>
        <v/>
      </c>
      <c r="H167" s="78" t="s">
        <v>228</v>
      </c>
      <c r="I167" s="79" t="str">
        <f>IF('Beginner Adv 15M - Scoring'!B25&lt;&gt;"",IF('Beginner Adv 15M - Scoring'!AD25&lt;&gt;"",'Beginner Adv 15M - Scoring'!AD25,""),"")</f>
        <v/>
      </c>
      <c r="J167" s="79" t="str">
        <f>IF('Beginner Adv 15M - Scoring'!B25&lt;&gt;"",IF('Beginner Adv 15M - Scoring'!AE25&lt;&gt;"",'Beginner Adv 15M - Scoring'!AE25,""),"")</f>
        <v/>
      </c>
      <c r="K167" s="79" t="str">
        <f>IF('Beginner Adv 15M - Scoring'!B25&lt;&gt;"",IF('Beginner Adv 15M - Scoring'!AF25&lt;&gt;"",'Beginner Adv 15M - Scoring'!AF25,""),"")</f>
        <v/>
      </c>
      <c r="L167" s="80" t="str">
        <f>IF('Beginner Adv 15M - Scoring'!B25&lt;&gt;"",'Beginner Adv 15M - Scoring'!AT25,"")</f>
        <v/>
      </c>
      <c r="M167" s="81" t="str">
        <f>IF(L163&lt;&gt;"",IFERROR(IF(ISNUMBER(L163),L163,0),0)+IFERROR(IF(ISNUMBER(L164),L164,0),0)+IFERROR(IF(ISNUMBER(L165),L165,0),0)+IFERROR(IF(ISNUMBER(L166),L166,0),0)+IFERROR(IF(ISNUMBER(L167),L167,0),0),"")</f>
        <v/>
      </c>
    </row>
    <row r="168" spans="1:13" ht="19.5" customHeight="1" x14ac:dyDescent="0.35">
      <c r="A168" s="78" t="s">
        <v>229</v>
      </c>
      <c r="B168" s="79" t="str">
        <f>IF('Beginner Adv 15M - Scoring'!B24&lt;&gt;"",IF('Beginner Adv 15M - Scoring'!AJ24&lt;&gt;"",'Beginner Adv 15M - Scoring'!AJ24,""),"")</f>
        <v/>
      </c>
      <c r="C168" s="79" t="str">
        <f>IF('Beginner Adv 15M - Scoring'!B24&lt;&gt;"",IF('Beginner Adv 15M - Scoring'!AK24&lt;&gt;"",'Beginner Adv 15M - Scoring'!AK24,""),"")</f>
        <v/>
      </c>
      <c r="D168" s="79" t="str">
        <f>IF('Beginner Adv 15M - Scoring'!B24&lt;&gt;"",IF('Beginner Adv 15M - Scoring'!AL24&lt;&gt;"",'Beginner Adv 15M - Scoring'!AL24,""),"")</f>
        <v/>
      </c>
      <c r="E168" s="80" t="str">
        <f>IF('Beginner Adv 15M - Scoring'!B24&lt;&gt;"",'Beginner Adv 15M - Scoring'!AU24,"")</f>
        <v/>
      </c>
      <c r="F168" s="81" t="str">
        <f>IF(E163&lt;&gt;"",IFERROR(IF(ISNUMBER(E163),E163,0),0)+IFERROR(IF(ISNUMBER(E164),E164,0),0)+IFERROR(IF(ISNUMBER(E165),E165,0),0)+IFERROR(IF(ISNUMBER(E166),E166,0),0)+IFERROR(IF(ISNUMBER(E167),E167,0),0)+IFERROR(IF(ISNUMBER(E168),E168,0),0),"")</f>
        <v/>
      </c>
      <c r="H168" s="78" t="s">
        <v>229</v>
      </c>
      <c r="I168" s="79" t="str">
        <f>IF('Beginner Adv 15M - Scoring'!B25&lt;&gt;"",IF('Beginner Adv 15M - Scoring'!AJ25&lt;&gt;"",'Beginner Adv 15M - Scoring'!AJ25,""),"")</f>
        <v/>
      </c>
      <c r="J168" s="79" t="str">
        <f>IF('Beginner Adv 15M - Scoring'!B25&lt;&gt;"",IF('Beginner Adv 15M - Scoring'!AK25&lt;&gt;"",'Beginner Adv 15M - Scoring'!AK25,""),"")</f>
        <v/>
      </c>
      <c r="K168" s="79" t="str">
        <f>IF('Beginner Adv 15M - Scoring'!B25&lt;&gt;"",IF('Beginner Adv 15M - Scoring'!AL25&lt;&gt;"",'Beginner Adv 15M - Scoring'!AL25,""),"")</f>
        <v/>
      </c>
      <c r="L168" s="80" t="str">
        <f>IF('Beginner Adv 15M - Scoring'!B25&lt;&gt;"",'Beginner Adv 15M - Scoring'!AU25,"")</f>
        <v/>
      </c>
      <c r="M168" s="81" t="str">
        <f>IF(L163&lt;&gt;"",IFERROR(IF(ISNUMBER(L163),L163,0),0)+IFERROR(IF(ISNUMBER(L164),L164,0),0)+IFERROR(IF(ISNUMBER(L165),L165,0),0)+IFERROR(IF(ISNUMBER(L166),L166,0),0)+IFERROR(IF(ISNUMBER(L167),L167,0),0)+IFERROR(IF(ISNUMBER(L168),L168,0),0),"")</f>
        <v/>
      </c>
    </row>
    <row r="169" spans="1:13" ht="3.75" customHeight="1" x14ac:dyDescent="0.35"/>
    <row r="170" spans="1:13" ht="24" customHeight="1" x14ac:dyDescent="0.35">
      <c r="A170" s="124" t="s">
        <v>230</v>
      </c>
      <c r="B170" s="124"/>
      <c r="C170" s="124"/>
      <c r="D170" s="124"/>
      <c r="E170" s="125" t="str">
        <f>IF('Beginner Adv 15M - Scoring'!B24&lt;&gt;"",'Beginner Adv 15M - Scoring'!AV24,"")</f>
        <v/>
      </c>
      <c r="F170" s="125"/>
      <c r="H170" s="124" t="s">
        <v>230</v>
      </c>
      <c r="I170" s="124"/>
      <c r="J170" s="124"/>
      <c r="K170" s="124"/>
      <c r="L170" s="125" t="str">
        <f>IF('Beginner Adv 15M - Scoring'!B25&lt;&gt;"",'Beginner Adv 15M - Scoring'!AV25,"")</f>
        <v/>
      </c>
      <c r="M170" s="125"/>
    </row>
    <row r="171" spans="1:13" ht="19.5" customHeight="1" x14ac:dyDescent="0.35">
      <c r="E171" s="125"/>
      <c r="F171" s="125"/>
      <c r="L171" s="125"/>
      <c r="M171" s="125"/>
    </row>
    <row r="172" spans="1:13" ht="3.75" customHeight="1" x14ac:dyDescent="0.35"/>
    <row r="173" spans="1:13" ht="18" customHeight="1" x14ac:dyDescent="0.35">
      <c r="A173" s="73" t="s">
        <v>126</v>
      </c>
      <c r="B173" s="82" t="str">
        <f>IF('Beginner Adv 15M - Scoring'!B24&lt;&gt;"",'Beginner Adv 15M - Scoring'!AW24,"")</f>
        <v/>
      </c>
      <c r="C173" s="73" t="s">
        <v>127</v>
      </c>
      <c r="D173" s="83" t="str">
        <f>IF('Beginner Adv 15M - Scoring'!B24&lt;&gt;"",'Beginner Adv 15M - Scoring'!AX24,"")</f>
        <v/>
      </c>
      <c r="E173" s="73" t="s">
        <v>128</v>
      </c>
      <c r="F173" s="83" t="str">
        <f>IF('Beginner Adv 15M - Scoring'!B24&lt;&gt;"",'Beginner Adv 15M - Scoring'!AY24,"")</f>
        <v/>
      </c>
      <c r="H173" s="73" t="s">
        <v>126</v>
      </c>
      <c r="I173" s="82" t="str">
        <f>IF('Beginner Adv 15M - Scoring'!B25&lt;&gt;"",'Beginner Adv 15M - Scoring'!AW25,"")</f>
        <v/>
      </c>
      <c r="J173" s="73" t="s">
        <v>127</v>
      </c>
      <c r="K173" s="83" t="str">
        <f>IF('Beginner Adv 15M - Scoring'!B25&lt;&gt;"",'Beginner Adv 15M - Scoring'!AX25,"")</f>
        <v/>
      </c>
      <c r="L173" s="73" t="s">
        <v>128</v>
      </c>
      <c r="M173" s="83" t="str">
        <f>IF('Beginner Adv 15M - Scoring'!B25&lt;&gt;"",'Beginner Adv 15M - Scoring'!AY25,"")</f>
        <v/>
      </c>
    </row>
    <row r="174" spans="1:13" ht="3.75" customHeight="1" x14ac:dyDescent="0.35"/>
    <row r="175" spans="1:13" ht="7.5" customHeight="1" x14ac:dyDescent="0.35">
      <c r="A175" s="126"/>
      <c r="B175" s="126"/>
      <c r="C175" s="126"/>
      <c r="D175" s="126"/>
      <c r="E175" s="126"/>
      <c r="F175" s="126"/>
      <c r="G175" s="126"/>
      <c r="H175" s="126"/>
      <c r="I175" s="126"/>
      <c r="J175" s="126"/>
      <c r="K175" s="126"/>
      <c r="L175" s="126"/>
      <c r="M175" s="126"/>
    </row>
    <row r="176" spans="1:13" ht="15.75" customHeight="1" x14ac:dyDescent="0.35">
      <c r="A176" s="73" t="s">
        <v>218</v>
      </c>
      <c r="B176" s="122" t="str">
        <f>IF('Beginner Adv 15M - Scoring'!B26&lt;&gt;"",'Beginner Adv 15M - Scoring'!B26,"")</f>
        <v/>
      </c>
      <c r="C176" s="122"/>
      <c r="D176" s="122"/>
      <c r="E176" s="73" t="s">
        <v>219</v>
      </c>
      <c r="F176" s="74" t="str">
        <f>IF('Beginner Adv 15M - Scoring'!B26&lt;&gt;"",'Beginner Adv 15M - Scoring'!BB26,"")</f>
        <v/>
      </c>
      <c r="H176" s="73" t="s">
        <v>218</v>
      </c>
      <c r="I176" s="122" t="str">
        <f>IF('Beginner Adv 15M - Scoring'!B27&lt;&gt;"",'Beginner Adv 15M - Scoring'!B27,"")</f>
        <v/>
      </c>
      <c r="J176" s="122"/>
      <c r="K176" s="122"/>
      <c r="L176" s="73" t="s">
        <v>219</v>
      </c>
      <c r="M176" s="74" t="str">
        <f>IF('Beginner Adv 15M - Scoring'!B27&lt;&gt;"",'Beginner Adv 15M - Scoring'!BB27,"")</f>
        <v/>
      </c>
    </row>
    <row r="177" spans="1:13" ht="15.75" customHeight="1" x14ac:dyDescent="0.35">
      <c r="A177" s="73" t="s">
        <v>220</v>
      </c>
      <c r="B177" s="123" t="str">
        <f>IF('Beginner Adv 15M - Scoring'!B26&lt;&gt;"",'Beginner Adv 15M - Scoring'!D26,"")</f>
        <v/>
      </c>
      <c r="C177" s="123"/>
      <c r="D177" s="123"/>
      <c r="E177" s="73" t="s">
        <v>8</v>
      </c>
      <c r="F177" s="75" t="str">
        <f>IF('Beginner Adv 15M - Scoring'!B26&lt;&gt;"",'Beginner Adv 15M - Scoring'!E26,"")</f>
        <v/>
      </c>
      <c r="H177" s="73" t="s">
        <v>220</v>
      </c>
      <c r="I177" s="123" t="str">
        <f>IF('Beginner Adv 15M - Scoring'!B27&lt;&gt;"",'Beginner Adv 15M - Scoring'!D27,"")</f>
        <v/>
      </c>
      <c r="J177" s="123"/>
      <c r="K177" s="123"/>
      <c r="L177" s="73" t="s">
        <v>8</v>
      </c>
      <c r="M177" s="75" t="str">
        <f>IF('Beginner Adv 15M - Scoring'!B27&lt;&gt;"",'Beginner Adv 15M - Scoring'!E27,"")</f>
        <v/>
      </c>
    </row>
    <row r="178" spans="1:13" ht="3.75" customHeight="1" x14ac:dyDescent="0.35"/>
    <row r="179" spans="1:13" ht="25.5" customHeight="1" x14ac:dyDescent="0.35">
      <c r="A179" s="76" t="s">
        <v>221</v>
      </c>
      <c r="B179" s="77" t="s">
        <v>222</v>
      </c>
      <c r="C179" s="77" t="s">
        <v>223</v>
      </c>
      <c r="D179" s="77" t="s">
        <v>224</v>
      </c>
      <c r="E179" s="76" t="s">
        <v>225</v>
      </c>
      <c r="F179" s="76" t="s">
        <v>226</v>
      </c>
      <c r="H179" s="76" t="s">
        <v>221</v>
      </c>
      <c r="I179" s="77" t="s">
        <v>222</v>
      </c>
      <c r="J179" s="77" t="s">
        <v>223</v>
      </c>
      <c r="K179" s="77" t="s">
        <v>224</v>
      </c>
      <c r="L179" s="76" t="s">
        <v>225</v>
      </c>
      <c r="M179" s="76" t="s">
        <v>226</v>
      </c>
    </row>
    <row r="180" spans="1:13" ht="19.5" customHeight="1" x14ac:dyDescent="0.35">
      <c r="A180" s="78" t="s">
        <v>222</v>
      </c>
      <c r="B180" s="79" t="str">
        <f>IF('Beginner Adv 15M - Scoring'!B26&lt;&gt;"",IF('Beginner Adv 15M - Scoring'!F26&lt;&gt;"",'Beginner Adv 15M - Scoring'!F26,""),"")</f>
        <v/>
      </c>
      <c r="C180" s="79" t="str">
        <f>IF('Beginner Adv 15M - Scoring'!B26&lt;&gt;"",IF('Beginner Adv 15M - Scoring'!G26&lt;&gt;"",'Beginner Adv 15M - Scoring'!G26,""),"")</f>
        <v/>
      </c>
      <c r="D180" s="79" t="str">
        <f>IF('Beginner Adv 15M - Scoring'!B26&lt;&gt;"",IF('Beginner Adv 15M - Scoring'!H26&lt;&gt;"",'Beginner Adv 15M - Scoring'!H26,""),"")</f>
        <v/>
      </c>
      <c r="E180" s="80" t="str">
        <f>IF('Beginner Adv 15M - Scoring'!B26&lt;&gt;"",'Beginner Adv 15M - Scoring'!AP26,"")</f>
        <v/>
      </c>
      <c r="F180" s="81" t="str">
        <f>IFERROR(IF(ISNUMBER(E180),E180,""),"")</f>
        <v/>
      </c>
      <c r="H180" s="78" t="s">
        <v>222</v>
      </c>
      <c r="I180" s="79" t="str">
        <f>IF('Beginner Adv 15M - Scoring'!B27&lt;&gt;"",IF('Beginner Adv 15M - Scoring'!F27&lt;&gt;"",'Beginner Adv 15M - Scoring'!F27,""),"")</f>
        <v/>
      </c>
      <c r="J180" s="79" t="str">
        <f>IF('Beginner Adv 15M - Scoring'!B27&lt;&gt;"",IF('Beginner Adv 15M - Scoring'!G27&lt;&gt;"",'Beginner Adv 15M - Scoring'!G27,""),"")</f>
        <v/>
      </c>
      <c r="K180" s="79" t="str">
        <f>IF('Beginner Adv 15M - Scoring'!B27&lt;&gt;"",IF('Beginner Adv 15M - Scoring'!H27&lt;&gt;"",'Beginner Adv 15M - Scoring'!H27,""),"")</f>
        <v/>
      </c>
      <c r="L180" s="80" t="str">
        <f>IF('Beginner Adv 15M - Scoring'!B27&lt;&gt;"",'Beginner Adv 15M - Scoring'!AP27,"")</f>
        <v/>
      </c>
      <c r="M180" s="81" t="str">
        <f>IFERROR(IF(ISNUMBER(L180),L180,""),"")</f>
        <v/>
      </c>
    </row>
    <row r="181" spans="1:13" ht="19.5" customHeight="1" x14ac:dyDescent="0.35">
      <c r="A181" s="78" t="s">
        <v>223</v>
      </c>
      <c r="B181" s="79" t="str">
        <f>IF('Beginner Adv 15M - Scoring'!B26&lt;&gt;"",IF('Beginner Adv 15M - Scoring'!L26&lt;&gt;"",'Beginner Adv 15M - Scoring'!L26,""),"")</f>
        <v/>
      </c>
      <c r="C181" s="79" t="str">
        <f>IF('Beginner Adv 15M - Scoring'!B26&lt;&gt;"",IF('Beginner Adv 15M - Scoring'!M26&lt;&gt;"",'Beginner Adv 15M - Scoring'!M26,""),"")</f>
        <v/>
      </c>
      <c r="D181" s="79" t="str">
        <f>IF('Beginner Adv 15M - Scoring'!B26&lt;&gt;"",IF('Beginner Adv 15M - Scoring'!N26&lt;&gt;"",'Beginner Adv 15M - Scoring'!N26,""),"")</f>
        <v/>
      </c>
      <c r="E181" s="80" t="str">
        <f>IF('Beginner Adv 15M - Scoring'!B26&lt;&gt;"",'Beginner Adv 15M - Scoring'!AQ26,"")</f>
        <v/>
      </c>
      <c r="F181" s="81" t="str">
        <f>IF(E180&lt;&gt;"",IFERROR(IF(ISNUMBER(E180),E180,0),0)+IFERROR(IF(ISNUMBER(E181),E181,0),0),"")</f>
        <v/>
      </c>
      <c r="H181" s="78" t="s">
        <v>223</v>
      </c>
      <c r="I181" s="79" t="str">
        <f>IF('Beginner Adv 15M - Scoring'!B27&lt;&gt;"",IF('Beginner Adv 15M - Scoring'!L27&lt;&gt;"",'Beginner Adv 15M - Scoring'!L27,""),"")</f>
        <v/>
      </c>
      <c r="J181" s="79" t="str">
        <f>IF('Beginner Adv 15M - Scoring'!B27&lt;&gt;"",IF('Beginner Adv 15M - Scoring'!M27&lt;&gt;"",'Beginner Adv 15M - Scoring'!M27,""),"")</f>
        <v/>
      </c>
      <c r="K181" s="79" t="str">
        <f>IF('Beginner Adv 15M - Scoring'!B27&lt;&gt;"",IF('Beginner Adv 15M - Scoring'!N27&lt;&gt;"",'Beginner Adv 15M - Scoring'!N27,""),"")</f>
        <v/>
      </c>
      <c r="L181" s="80" t="str">
        <f>IF('Beginner Adv 15M - Scoring'!B27&lt;&gt;"",'Beginner Adv 15M - Scoring'!AQ27,"")</f>
        <v/>
      </c>
      <c r="M181" s="81" t="str">
        <f>IF(L180&lt;&gt;"",IFERROR(IF(ISNUMBER(L180),L180,0),0)+IFERROR(IF(ISNUMBER(L181),L181,0),0),"")</f>
        <v/>
      </c>
    </row>
    <row r="182" spans="1:13" ht="19.5" customHeight="1" x14ac:dyDescent="0.35">
      <c r="A182" s="78" t="s">
        <v>224</v>
      </c>
      <c r="B182" s="79" t="str">
        <f>IF('Beginner Adv 15M - Scoring'!B26&lt;&gt;"",IF('Beginner Adv 15M - Scoring'!R26&lt;&gt;"",'Beginner Adv 15M - Scoring'!R26,""),"")</f>
        <v/>
      </c>
      <c r="C182" s="79" t="str">
        <f>IF('Beginner Adv 15M - Scoring'!B26&lt;&gt;"",IF('Beginner Adv 15M - Scoring'!S26&lt;&gt;"",'Beginner Adv 15M - Scoring'!S26,""),"")</f>
        <v/>
      </c>
      <c r="D182" s="79" t="str">
        <f>IF('Beginner Adv 15M - Scoring'!B26&lt;&gt;"",IF('Beginner Adv 15M - Scoring'!T26&lt;&gt;"",'Beginner Adv 15M - Scoring'!T26,""),"")</f>
        <v/>
      </c>
      <c r="E182" s="80" t="str">
        <f>IF('Beginner Adv 15M - Scoring'!B26&lt;&gt;"",'Beginner Adv 15M - Scoring'!AR26,"")</f>
        <v/>
      </c>
      <c r="F182" s="81" t="str">
        <f>IF(E180&lt;&gt;"",IFERROR(IF(ISNUMBER(E180),E180,0),0)+IFERROR(IF(ISNUMBER(E181),E181,0),0)+IFERROR(IF(ISNUMBER(E182),E182,0),0),"")</f>
        <v/>
      </c>
      <c r="H182" s="78" t="s">
        <v>224</v>
      </c>
      <c r="I182" s="79" t="str">
        <f>IF('Beginner Adv 15M - Scoring'!B27&lt;&gt;"",IF('Beginner Adv 15M - Scoring'!R27&lt;&gt;"",'Beginner Adv 15M - Scoring'!R27,""),"")</f>
        <v/>
      </c>
      <c r="J182" s="79" t="str">
        <f>IF('Beginner Adv 15M - Scoring'!B27&lt;&gt;"",IF('Beginner Adv 15M - Scoring'!S27&lt;&gt;"",'Beginner Adv 15M - Scoring'!S27,""),"")</f>
        <v/>
      </c>
      <c r="K182" s="79" t="str">
        <f>IF('Beginner Adv 15M - Scoring'!B27&lt;&gt;"",IF('Beginner Adv 15M - Scoring'!T27&lt;&gt;"",'Beginner Adv 15M - Scoring'!T27,""),"")</f>
        <v/>
      </c>
      <c r="L182" s="80" t="str">
        <f>IF('Beginner Adv 15M - Scoring'!B27&lt;&gt;"",'Beginner Adv 15M - Scoring'!AR27,"")</f>
        <v/>
      </c>
      <c r="M182" s="81" t="str">
        <f>IF(L180&lt;&gt;"",IFERROR(IF(ISNUMBER(L180),L180,0),0)+IFERROR(IF(ISNUMBER(L181),L181,0),0)+IFERROR(IF(ISNUMBER(L182),L182,0),0),"")</f>
        <v/>
      </c>
    </row>
    <row r="183" spans="1:13" ht="19.5" customHeight="1" x14ac:dyDescent="0.35">
      <c r="A183" s="78" t="s">
        <v>227</v>
      </c>
      <c r="B183" s="79" t="str">
        <f>IF('Beginner Adv 15M - Scoring'!B26&lt;&gt;"",IF('Beginner Adv 15M - Scoring'!X26&lt;&gt;"",'Beginner Adv 15M - Scoring'!X26,""),"")</f>
        <v/>
      </c>
      <c r="C183" s="79" t="str">
        <f>IF('Beginner Adv 15M - Scoring'!B26&lt;&gt;"",IF('Beginner Adv 15M - Scoring'!Y26&lt;&gt;"",'Beginner Adv 15M - Scoring'!Y26,""),"")</f>
        <v/>
      </c>
      <c r="D183" s="79" t="str">
        <f>IF('Beginner Adv 15M - Scoring'!B26&lt;&gt;"",IF('Beginner Adv 15M - Scoring'!Z26&lt;&gt;"",'Beginner Adv 15M - Scoring'!Z26,""),"")</f>
        <v/>
      </c>
      <c r="E183" s="80" t="str">
        <f>IF('Beginner Adv 15M - Scoring'!B26&lt;&gt;"",'Beginner Adv 15M - Scoring'!AS26,"")</f>
        <v/>
      </c>
      <c r="F183" s="81" t="str">
        <f>IF(E180&lt;&gt;"",IFERROR(IF(ISNUMBER(E180),E180,0),0)+IFERROR(IF(ISNUMBER(E181),E181,0),0)+IFERROR(IF(ISNUMBER(E182),E182,0),0)+IFERROR(IF(ISNUMBER(E183),E183,0),0),"")</f>
        <v/>
      </c>
      <c r="H183" s="78" t="s">
        <v>227</v>
      </c>
      <c r="I183" s="79" t="str">
        <f>IF('Beginner Adv 15M - Scoring'!B27&lt;&gt;"",IF('Beginner Adv 15M - Scoring'!X27&lt;&gt;"",'Beginner Adv 15M - Scoring'!X27,""),"")</f>
        <v/>
      </c>
      <c r="J183" s="79" t="str">
        <f>IF('Beginner Adv 15M - Scoring'!B27&lt;&gt;"",IF('Beginner Adv 15M - Scoring'!Y27&lt;&gt;"",'Beginner Adv 15M - Scoring'!Y27,""),"")</f>
        <v/>
      </c>
      <c r="K183" s="79" t="str">
        <f>IF('Beginner Adv 15M - Scoring'!B27&lt;&gt;"",IF('Beginner Adv 15M - Scoring'!Z27&lt;&gt;"",'Beginner Adv 15M - Scoring'!Z27,""),"")</f>
        <v/>
      </c>
      <c r="L183" s="80" t="str">
        <f>IF('Beginner Adv 15M - Scoring'!B27&lt;&gt;"",'Beginner Adv 15M - Scoring'!AS27,"")</f>
        <v/>
      </c>
      <c r="M183" s="81" t="str">
        <f>IF(L180&lt;&gt;"",IFERROR(IF(ISNUMBER(L180),L180,0),0)+IFERROR(IF(ISNUMBER(L181),L181,0),0)+IFERROR(IF(ISNUMBER(L182),L182,0),0)+IFERROR(IF(ISNUMBER(L183),L183,0),0),"")</f>
        <v/>
      </c>
    </row>
    <row r="184" spans="1:13" ht="19.5" customHeight="1" x14ac:dyDescent="0.35">
      <c r="A184" s="78" t="s">
        <v>228</v>
      </c>
      <c r="B184" s="79" t="str">
        <f>IF('Beginner Adv 15M - Scoring'!B26&lt;&gt;"",IF('Beginner Adv 15M - Scoring'!AD26&lt;&gt;"",'Beginner Adv 15M - Scoring'!AD26,""),"")</f>
        <v/>
      </c>
      <c r="C184" s="79" t="str">
        <f>IF('Beginner Adv 15M - Scoring'!B26&lt;&gt;"",IF('Beginner Adv 15M - Scoring'!AE26&lt;&gt;"",'Beginner Adv 15M - Scoring'!AE26,""),"")</f>
        <v/>
      </c>
      <c r="D184" s="79" t="str">
        <f>IF('Beginner Adv 15M - Scoring'!B26&lt;&gt;"",IF('Beginner Adv 15M - Scoring'!AF26&lt;&gt;"",'Beginner Adv 15M - Scoring'!AF26,""),"")</f>
        <v/>
      </c>
      <c r="E184" s="80" t="str">
        <f>IF('Beginner Adv 15M - Scoring'!B26&lt;&gt;"",'Beginner Adv 15M - Scoring'!AT26,"")</f>
        <v/>
      </c>
      <c r="F184" s="81" t="str">
        <f>IF(E180&lt;&gt;"",IFERROR(IF(ISNUMBER(E180),E180,0),0)+IFERROR(IF(ISNUMBER(E181),E181,0),0)+IFERROR(IF(ISNUMBER(E182),E182,0),0)+IFERROR(IF(ISNUMBER(E183),E183,0),0)+IFERROR(IF(ISNUMBER(E184),E184,0),0),"")</f>
        <v/>
      </c>
      <c r="H184" s="78" t="s">
        <v>228</v>
      </c>
      <c r="I184" s="79" t="str">
        <f>IF('Beginner Adv 15M - Scoring'!B27&lt;&gt;"",IF('Beginner Adv 15M - Scoring'!AD27&lt;&gt;"",'Beginner Adv 15M - Scoring'!AD27,""),"")</f>
        <v/>
      </c>
      <c r="J184" s="79" t="str">
        <f>IF('Beginner Adv 15M - Scoring'!B27&lt;&gt;"",IF('Beginner Adv 15M - Scoring'!AE27&lt;&gt;"",'Beginner Adv 15M - Scoring'!AE27,""),"")</f>
        <v/>
      </c>
      <c r="K184" s="79" t="str">
        <f>IF('Beginner Adv 15M - Scoring'!B27&lt;&gt;"",IF('Beginner Adv 15M - Scoring'!AF27&lt;&gt;"",'Beginner Adv 15M - Scoring'!AF27,""),"")</f>
        <v/>
      </c>
      <c r="L184" s="80" t="str">
        <f>IF('Beginner Adv 15M - Scoring'!B27&lt;&gt;"",'Beginner Adv 15M - Scoring'!AT27,"")</f>
        <v/>
      </c>
      <c r="M184" s="81" t="str">
        <f>IF(L180&lt;&gt;"",IFERROR(IF(ISNUMBER(L180),L180,0),0)+IFERROR(IF(ISNUMBER(L181),L181,0),0)+IFERROR(IF(ISNUMBER(L182),L182,0),0)+IFERROR(IF(ISNUMBER(L183),L183,0),0)+IFERROR(IF(ISNUMBER(L184),L184,0),0),"")</f>
        <v/>
      </c>
    </row>
    <row r="185" spans="1:13" ht="19.5" customHeight="1" x14ac:dyDescent="0.35">
      <c r="A185" s="78" t="s">
        <v>229</v>
      </c>
      <c r="B185" s="79" t="str">
        <f>IF('Beginner Adv 15M - Scoring'!B26&lt;&gt;"",IF('Beginner Adv 15M - Scoring'!AJ26&lt;&gt;"",'Beginner Adv 15M - Scoring'!AJ26,""),"")</f>
        <v/>
      </c>
      <c r="C185" s="79" t="str">
        <f>IF('Beginner Adv 15M - Scoring'!B26&lt;&gt;"",IF('Beginner Adv 15M - Scoring'!AK26&lt;&gt;"",'Beginner Adv 15M - Scoring'!AK26,""),"")</f>
        <v/>
      </c>
      <c r="D185" s="79" t="str">
        <f>IF('Beginner Adv 15M - Scoring'!B26&lt;&gt;"",IF('Beginner Adv 15M - Scoring'!AL26&lt;&gt;"",'Beginner Adv 15M - Scoring'!AL26,""),"")</f>
        <v/>
      </c>
      <c r="E185" s="80" t="str">
        <f>IF('Beginner Adv 15M - Scoring'!B26&lt;&gt;"",'Beginner Adv 15M - Scoring'!AU26,"")</f>
        <v/>
      </c>
      <c r="F185" s="81" t="str">
        <f>IF(E180&lt;&gt;"",IFERROR(IF(ISNUMBER(E180),E180,0),0)+IFERROR(IF(ISNUMBER(E181),E181,0),0)+IFERROR(IF(ISNUMBER(E182),E182,0),0)+IFERROR(IF(ISNUMBER(E183),E183,0),0)+IFERROR(IF(ISNUMBER(E184),E184,0),0)+IFERROR(IF(ISNUMBER(E185),E185,0),0),"")</f>
        <v/>
      </c>
      <c r="H185" s="78" t="s">
        <v>229</v>
      </c>
      <c r="I185" s="79" t="str">
        <f>IF('Beginner Adv 15M - Scoring'!B27&lt;&gt;"",IF('Beginner Adv 15M - Scoring'!AJ27&lt;&gt;"",'Beginner Adv 15M - Scoring'!AJ27,""),"")</f>
        <v/>
      </c>
      <c r="J185" s="79" t="str">
        <f>IF('Beginner Adv 15M - Scoring'!B27&lt;&gt;"",IF('Beginner Adv 15M - Scoring'!AK27&lt;&gt;"",'Beginner Adv 15M - Scoring'!AK27,""),"")</f>
        <v/>
      </c>
      <c r="K185" s="79" t="str">
        <f>IF('Beginner Adv 15M - Scoring'!B27&lt;&gt;"",IF('Beginner Adv 15M - Scoring'!AL27&lt;&gt;"",'Beginner Adv 15M - Scoring'!AL27,""),"")</f>
        <v/>
      </c>
      <c r="L185" s="80" t="str">
        <f>IF('Beginner Adv 15M - Scoring'!B27&lt;&gt;"",'Beginner Adv 15M - Scoring'!AU27,"")</f>
        <v/>
      </c>
      <c r="M185" s="81" t="str">
        <f>IF(L180&lt;&gt;"",IFERROR(IF(ISNUMBER(L180),L180,0),0)+IFERROR(IF(ISNUMBER(L181),L181,0),0)+IFERROR(IF(ISNUMBER(L182),L182,0),0)+IFERROR(IF(ISNUMBER(L183),L183,0),0)+IFERROR(IF(ISNUMBER(L184),L184,0),0)+IFERROR(IF(ISNUMBER(L185),L185,0),0),"")</f>
        <v/>
      </c>
    </row>
    <row r="186" spans="1:13" ht="3.75" customHeight="1" x14ac:dyDescent="0.35"/>
    <row r="187" spans="1:13" ht="24" customHeight="1" x14ac:dyDescent="0.35">
      <c r="A187" s="124" t="s">
        <v>230</v>
      </c>
      <c r="B187" s="124"/>
      <c r="C187" s="124"/>
      <c r="D187" s="124"/>
      <c r="E187" s="125" t="str">
        <f>IF('Beginner Adv 15M - Scoring'!B26&lt;&gt;"",'Beginner Adv 15M - Scoring'!AV26,"")</f>
        <v/>
      </c>
      <c r="F187" s="125"/>
      <c r="H187" s="124" t="s">
        <v>230</v>
      </c>
      <c r="I187" s="124"/>
      <c r="J187" s="124"/>
      <c r="K187" s="124"/>
      <c r="L187" s="125" t="str">
        <f>IF('Beginner Adv 15M - Scoring'!B27&lt;&gt;"",'Beginner Adv 15M - Scoring'!AV27,"")</f>
        <v/>
      </c>
      <c r="M187" s="125"/>
    </row>
    <row r="188" spans="1:13" ht="19.5" customHeight="1" x14ac:dyDescent="0.35">
      <c r="E188" s="125"/>
      <c r="F188" s="125"/>
      <c r="L188" s="125"/>
      <c r="M188" s="125"/>
    </row>
    <row r="189" spans="1:13" ht="3.75" customHeight="1" x14ac:dyDescent="0.35"/>
    <row r="190" spans="1:13" ht="18" customHeight="1" x14ac:dyDescent="0.35">
      <c r="A190" s="73" t="s">
        <v>126</v>
      </c>
      <c r="B190" s="82" t="str">
        <f>IF('Beginner Adv 15M - Scoring'!B26&lt;&gt;"",'Beginner Adv 15M - Scoring'!AW26,"")</f>
        <v/>
      </c>
      <c r="C190" s="73" t="s">
        <v>127</v>
      </c>
      <c r="D190" s="83" t="str">
        <f>IF('Beginner Adv 15M - Scoring'!B26&lt;&gt;"",'Beginner Adv 15M - Scoring'!AX26,"")</f>
        <v/>
      </c>
      <c r="E190" s="73" t="s">
        <v>128</v>
      </c>
      <c r="F190" s="83" t="str">
        <f>IF('Beginner Adv 15M - Scoring'!B26&lt;&gt;"",'Beginner Adv 15M - Scoring'!AY26,"")</f>
        <v/>
      </c>
      <c r="H190" s="73" t="s">
        <v>126</v>
      </c>
      <c r="I190" s="82" t="str">
        <f>IF('Beginner Adv 15M - Scoring'!B27&lt;&gt;"",'Beginner Adv 15M - Scoring'!AW27,"")</f>
        <v/>
      </c>
      <c r="J190" s="73" t="s">
        <v>127</v>
      </c>
      <c r="K190" s="83" t="str">
        <f>IF('Beginner Adv 15M - Scoring'!B27&lt;&gt;"",'Beginner Adv 15M - Scoring'!AX27,"")</f>
        <v/>
      </c>
      <c r="L190" s="73" t="s">
        <v>128</v>
      </c>
      <c r="M190" s="83" t="str">
        <f>IF('Beginner Adv 15M - Scoring'!B27&lt;&gt;"",'Beginner Adv 15M - Scoring'!AY27,"")</f>
        <v/>
      </c>
    </row>
    <row r="191" spans="1:13" ht="3.75" customHeight="1" x14ac:dyDescent="0.35"/>
    <row r="192" spans="1:13" ht="7.5" customHeight="1" x14ac:dyDescent="0.35">
      <c r="A192" s="126"/>
      <c r="B192" s="126"/>
      <c r="C192" s="126"/>
      <c r="D192" s="126"/>
      <c r="E192" s="126"/>
      <c r="F192" s="126"/>
      <c r="G192" s="126"/>
      <c r="H192" s="126"/>
      <c r="I192" s="126"/>
      <c r="J192" s="126"/>
      <c r="K192" s="126"/>
      <c r="L192" s="126"/>
      <c r="M192" s="126"/>
    </row>
    <row r="193" spans="1:13" ht="15.75" customHeight="1" x14ac:dyDescent="0.35">
      <c r="A193" s="73" t="s">
        <v>218</v>
      </c>
      <c r="B193" s="122" t="str">
        <f>IF('Beginner Adv 15M - Scoring'!B28&lt;&gt;"",'Beginner Adv 15M - Scoring'!B28,"")</f>
        <v/>
      </c>
      <c r="C193" s="122"/>
      <c r="D193" s="122"/>
      <c r="E193" s="73" t="s">
        <v>219</v>
      </c>
      <c r="F193" s="74" t="str">
        <f>IF('Beginner Adv 15M - Scoring'!B28&lt;&gt;"",'Beginner Adv 15M - Scoring'!BB28,"")</f>
        <v/>
      </c>
      <c r="H193" s="73" t="s">
        <v>218</v>
      </c>
      <c r="I193" s="122" t="str">
        <f>IF('Beginner Adv 15M - Scoring'!B29&lt;&gt;"",'Beginner Adv 15M - Scoring'!B29,"")</f>
        <v/>
      </c>
      <c r="J193" s="122"/>
      <c r="K193" s="122"/>
      <c r="L193" s="73" t="s">
        <v>219</v>
      </c>
      <c r="M193" s="74" t="str">
        <f>IF('Beginner Adv 15M - Scoring'!B29&lt;&gt;"",'Beginner Adv 15M - Scoring'!BB29,"")</f>
        <v/>
      </c>
    </row>
    <row r="194" spans="1:13" ht="15.75" customHeight="1" x14ac:dyDescent="0.35">
      <c r="A194" s="73" t="s">
        <v>220</v>
      </c>
      <c r="B194" s="123" t="str">
        <f>IF('Beginner Adv 15M - Scoring'!B28&lt;&gt;"",'Beginner Adv 15M - Scoring'!D28,"")</f>
        <v/>
      </c>
      <c r="C194" s="123"/>
      <c r="D194" s="123"/>
      <c r="E194" s="73" t="s">
        <v>8</v>
      </c>
      <c r="F194" s="75" t="str">
        <f>IF('Beginner Adv 15M - Scoring'!B28&lt;&gt;"",'Beginner Adv 15M - Scoring'!E28,"")</f>
        <v/>
      </c>
      <c r="H194" s="73" t="s">
        <v>220</v>
      </c>
      <c r="I194" s="123" t="str">
        <f>IF('Beginner Adv 15M - Scoring'!B29&lt;&gt;"",'Beginner Adv 15M - Scoring'!D29,"")</f>
        <v/>
      </c>
      <c r="J194" s="123"/>
      <c r="K194" s="123"/>
      <c r="L194" s="73" t="s">
        <v>8</v>
      </c>
      <c r="M194" s="75" t="str">
        <f>IF('Beginner Adv 15M - Scoring'!B29&lt;&gt;"",'Beginner Adv 15M - Scoring'!E29,"")</f>
        <v/>
      </c>
    </row>
    <row r="195" spans="1:13" ht="3.75" customHeight="1" x14ac:dyDescent="0.35"/>
    <row r="196" spans="1:13" ht="25.5" customHeight="1" x14ac:dyDescent="0.35">
      <c r="A196" s="76" t="s">
        <v>221</v>
      </c>
      <c r="B196" s="77" t="s">
        <v>222</v>
      </c>
      <c r="C196" s="77" t="s">
        <v>223</v>
      </c>
      <c r="D196" s="77" t="s">
        <v>224</v>
      </c>
      <c r="E196" s="76" t="s">
        <v>225</v>
      </c>
      <c r="F196" s="76" t="s">
        <v>226</v>
      </c>
      <c r="H196" s="76" t="s">
        <v>221</v>
      </c>
      <c r="I196" s="77" t="s">
        <v>222</v>
      </c>
      <c r="J196" s="77" t="s">
        <v>223</v>
      </c>
      <c r="K196" s="77" t="s">
        <v>224</v>
      </c>
      <c r="L196" s="76" t="s">
        <v>225</v>
      </c>
      <c r="M196" s="76" t="s">
        <v>226</v>
      </c>
    </row>
    <row r="197" spans="1:13" ht="19.5" customHeight="1" x14ac:dyDescent="0.35">
      <c r="A197" s="78" t="s">
        <v>222</v>
      </c>
      <c r="B197" s="79" t="str">
        <f>IF('Beginner Adv 15M - Scoring'!B28&lt;&gt;"",IF('Beginner Adv 15M - Scoring'!F28&lt;&gt;"",'Beginner Adv 15M - Scoring'!F28,""),"")</f>
        <v/>
      </c>
      <c r="C197" s="79" t="str">
        <f>IF('Beginner Adv 15M - Scoring'!B28&lt;&gt;"",IF('Beginner Adv 15M - Scoring'!G28&lt;&gt;"",'Beginner Adv 15M - Scoring'!G28,""),"")</f>
        <v/>
      </c>
      <c r="D197" s="79" t="str">
        <f>IF('Beginner Adv 15M - Scoring'!B28&lt;&gt;"",IF('Beginner Adv 15M - Scoring'!H28&lt;&gt;"",'Beginner Adv 15M - Scoring'!H28,""),"")</f>
        <v/>
      </c>
      <c r="E197" s="80" t="str">
        <f>IF('Beginner Adv 15M - Scoring'!B28&lt;&gt;"",'Beginner Adv 15M - Scoring'!AP28,"")</f>
        <v/>
      </c>
      <c r="F197" s="81" t="str">
        <f>IFERROR(IF(ISNUMBER(E197),E197,""),"")</f>
        <v/>
      </c>
      <c r="H197" s="78" t="s">
        <v>222</v>
      </c>
      <c r="I197" s="79" t="str">
        <f>IF('Beginner Adv 15M - Scoring'!B29&lt;&gt;"",IF('Beginner Adv 15M - Scoring'!F29&lt;&gt;"",'Beginner Adv 15M - Scoring'!F29,""),"")</f>
        <v/>
      </c>
      <c r="J197" s="79" t="str">
        <f>IF('Beginner Adv 15M - Scoring'!B29&lt;&gt;"",IF('Beginner Adv 15M - Scoring'!G29&lt;&gt;"",'Beginner Adv 15M - Scoring'!G29,""),"")</f>
        <v/>
      </c>
      <c r="K197" s="79" t="str">
        <f>IF('Beginner Adv 15M - Scoring'!B29&lt;&gt;"",IF('Beginner Adv 15M - Scoring'!H29&lt;&gt;"",'Beginner Adv 15M - Scoring'!H29,""),"")</f>
        <v/>
      </c>
      <c r="L197" s="80" t="str">
        <f>IF('Beginner Adv 15M - Scoring'!B29&lt;&gt;"",'Beginner Adv 15M - Scoring'!AP29,"")</f>
        <v/>
      </c>
      <c r="M197" s="81" t="str">
        <f>IFERROR(IF(ISNUMBER(L197),L197,""),"")</f>
        <v/>
      </c>
    </row>
    <row r="198" spans="1:13" ht="19.5" customHeight="1" x14ac:dyDescent="0.35">
      <c r="A198" s="78" t="s">
        <v>223</v>
      </c>
      <c r="B198" s="79" t="str">
        <f>IF('Beginner Adv 15M - Scoring'!B28&lt;&gt;"",IF('Beginner Adv 15M - Scoring'!L28&lt;&gt;"",'Beginner Adv 15M - Scoring'!L28,""),"")</f>
        <v/>
      </c>
      <c r="C198" s="79" t="str">
        <f>IF('Beginner Adv 15M - Scoring'!B28&lt;&gt;"",IF('Beginner Adv 15M - Scoring'!M28&lt;&gt;"",'Beginner Adv 15M - Scoring'!M28,""),"")</f>
        <v/>
      </c>
      <c r="D198" s="79" t="str">
        <f>IF('Beginner Adv 15M - Scoring'!B28&lt;&gt;"",IF('Beginner Adv 15M - Scoring'!N28&lt;&gt;"",'Beginner Adv 15M - Scoring'!N28,""),"")</f>
        <v/>
      </c>
      <c r="E198" s="80" t="str">
        <f>IF('Beginner Adv 15M - Scoring'!B28&lt;&gt;"",'Beginner Adv 15M - Scoring'!AQ28,"")</f>
        <v/>
      </c>
      <c r="F198" s="81" t="str">
        <f>IF(E197&lt;&gt;"",IFERROR(IF(ISNUMBER(E197),E197,0),0)+IFERROR(IF(ISNUMBER(E198),E198,0),0),"")</f>
        <v/>
      </c>
      <c r="H198" s="78" t="s">
        <v>223</v>
      </c>
      <c r="I198" s="79" t="str">
        <f>IF('Beginner Adv 15M - Scoring'!B29&lt;&gt;"",IF('Beginner Adv 15M - Scoring'!L29&lt;&gt;"",'Beginner Adv 15M - Scoring'!L29,""),"")</f>
        <v/>
      </c>
      <c r="J198" s="79" t="str">
        <f>IF('Beginner Adv 15M - Scoring'!B29&lt;&gt;"",IF('Beginner Adv 15M - Scoring'!M29&lt;&gt;"",'Beginner Adv 15M - Scoring'!M29,""),"")</f>
        <v/>
      </c>
      <c r="K198" s="79" t="str">
        <f>IF('Beginner Adv 15M - Scoring'!B29&lt;&gt;"",IF('Beginner Adv 15M - Scoring'!N29&lt;&gt;"",'Beginner Adv 15M - Scoring'!N29,""),"")</f>
        <v/>
      </c>
      <c r="L198" s="80" t="str">
        <f>IF('Beginner Adv 15M - Scoring'!B29&lt;&gt;"",'Beginner Adv 15M - Scoring'!AQ29,"")</f>
        <v/>
      </c>
      <c r="M198" s="81" t="str">
        <f>IF(L197&lt;&gt;"",IFERROR(IF(ISNUMBER(L197),L197,0),0)+IFERROR(IF(ISNUMBER(L198),L198,0),0),"")</f>
        <v/>
      </c>
    </row>
    <row r="199" spans="1:13" ht="19.5" customHeight="1" x14ac:dyDescent="0.35">
      <c r="A199" s="78" t="s">
        <v>224</v>
      </c>
      <c r="B199" s="79" t="str">
        <f>IF('Beginner Adv 15M - Scoring'!B28&lt;&gt;"",IF('Beginner Adv 15M - Scoring'!R28&lt;&gt;"",'Beginner Adv 15M - Scoring'!R28,""),"")</f>
        <v/>
      </c>
      <c r="C199" s="79" t="str">
        <f>IF('Beginner Adv 15M - Scoring'!B28&lt;&gt;"",IF('Beginner Adv 15M - Scoring'!S28&lt;&gt;"",'Beginner Adv 15M - Scoring'!S28,""),"")</f>
        <v/>
      </c>
      <c r="D199" s="79" t="str">
        <f>IF('Beginner Adv 15M - Scoring'!B28&lt;&gt;"",IF('Beginner Adv 15M - Scoring'!T28&lt;&gt;"",'Beginner Adv 15M - Scoring'!T28,""),"")</f>
        <v/>
      </c>
      <c r="E199" s="80" t="str">
        <f>IF('Beginner Adv 15M - Scoring'!B28&lt;&gt;"",'Beginner Adv 15M - Scoring'!AR28,"")</f>
        <v/>
      </c>
      <c r="F199" s="81" t="str">
        <f>IF(E197&lt;&gt;"",IFERROR(IF(ISNUMBER(E197),E197,0),0)+IFERROR(IF(ISNUMBER(E198),E198,0),0)+IFERROR(IF(ISNUMBER(E199),E199,0),0),"")</f>
        <v/>
      </c>
      <c r="H199" s="78" t="s">
        <v>224</v>
      </c>
      <c r="I199" s="79" t="str">
        <f>IF('Beginner Adv 15M - Scoring'!B29&lt;&gt;"",IF('Beginner Adv 15M - Scoring'!R29&lt;&gt;"",'Beginner Adv 15M - Scoring'!R29,""),"")</f>
        <v/>
      </c>
      <c r="J199" s="79" t="str">
        <f>IF('Beginner Adv 15M - Scoring'!B29&lt;&gt;"",IF('Beginner Adv 15M - Scoring'!S29&lt;&gt;"",'Beginner Adv 15M - Scoring'!S29,""),"")</f>
        <v/>
      </c>
      <c r="K199" s="79" t="str">
        <f>IF('Beginner Adv 15M - Scoring'!B29&lt;&gt;"",IF('Beginner Adv 15M - Scoring'!T29&lt;&gt;"",'Beginner Adv 15M - Scoring'!T29,""),"")</f>
        <v/>
      </c>
      <c r="L199" s="80" t="str">
        <f>IF('Beginner Adv 15M - Scoring'!B29&lt;&gt;"",'Beginner Adv 15M - Scoring'!AR29,"")</f>
        <v/>
      </c>
      <c r="M199" s="81" t="str">
        <f>IF(L197&lt;&gt;"",IFERROR(IF(ISNUMBER(L197),L197,0),0)+IFERROR(IF(ISNUMBER(L198),L198,0),0)+IFERROR(IF(ISNUMBER(L199),L199,0),0),"")</f>
        <v/>
      </c>
    </row>
    <row r="200" spans="1:13" ht="19.5" customHeight="1" x14ac:dyDescent="0.35">
      <c r="A200" s="78" t="s">
        <v>227</v>
      </c>
      <c r="B200" s="79" t="str">
        <f>IF('Beginner Adv 15M - Scoring'!B28&lt;&gt;"",IF('Beginner Adv 15M - Scoring'!X28&lt;&gt;"",'Beginner Adv 15M - Scoring'!X28,""),"")</f>
        <v/>
      </c>
      <c r="C200" s="79" t="str">
        <f>IF('Beginner Adv 15M - Scoring'!B28&lt;&gt;"",IF('Beginner Adv 15M - Scoring'!Y28&lt;&gt;"",'Beginner Adv 15M - Scoring'!Y28,""),"")</f>
        <v/>
      </c>
      <c r="D200" s="79" t="str">
        <f>IF('Beginner Adv 15M - Scoring'!B28&lt;&gt;"",IF('Beginner Adv 15M - Scoring'!Z28&lt;&gt;"",'Beginner Adv 15M - Scoring'!Z28,""),"")</f>
        <v/>
      </c>
      <c r="E200" s="80" t="str">
        <f>IF('Beginner Adv 15M - Scoring'!B28&lt;&gt;"",'Beginner Adv 15M - Scoring'!AS28,"")</f>
        <v/>
      </c>
      <c r="F200" s="81" t="str">
        <f>IF(E197&lt;&gt;"",IFERROR(IF(ISNUMBER(E197),E197,0),0)+IFERROR(IF(ISNUMBER(E198),E198,0),0)+IFERROR(IF(ISNUMBER(E199),E199,0),0)+IFERROR(IF(ISNUMBER(E200),E200,0),0),"")</f>
        <v/>
      </c>
      <c r="H200" s="78" t="s">
        <v>227</v>
      </c>
      <c r="I200" s="79" t="str">
        <f>IF('Beginner Adv 15M - Scoring'!B29&lt;&gt;"",IF('Beginner Adv 15M - Scoring'!X29&lt;&gt;"",'Beginner Adv 15M - Scoring'!X29,""),"")</f>
        <v/>
      </c>
      <c r="J200" s="79" t="str">
        <f>IF('Beginner Adv 15M - Scoring'!B29&lt;&gt;"",IF('Beginner Adv 15M - Scoring'!Y29&lt;&gt;"",'Beginner Adv 15M - Scoring'!Y29,""),"")</f>
        <v/>
      </c>
      <c r="K200" s="79" t="str">
        <f>IF('Beginner Adv 15M - Scoring'!B29&lt;&gt;"",IF('Beginner Adv 15M - Scoring'!Z29&lt;&gt;"",'Beginner Adv 15M - Scoring'!Z29,""),"")</f>
        <v/>
      </c>
      <c r="L200" s="80" t="str">
        <f>IF('Beginner Adv 15M - Scoring'!B29&lt;&gt;"",'Beginner Adv 15M - Scoring'!AS29,"")</f>
        <v/>
      </c>
      <c r="M200" s="81" t="str">
        <f>IF(L197&lt;&gt;"",IFERROR(IF(ISNUMBER(L197),L197,0),0)+IFERROR(IF(ISNUMBER(L198),L198,0),0)+IFERROR(IF(ISNUMBER(L199),L199,0),0)+IFERROR(IF(ISNUMBER(L200),L200,0),0),"")</f>
        <v/>
      </c>
    </row>
    <row r="201" spans="1:13" ht="19.5" customHeight="1" x14ac:dyDescent="0.35">
      <c r="A201" s="78" t="s">
        <v>228</v>
      </c>
      <c r="B201" s="79" t="str">
        <f>IF('Beginner Adv 15M - Scoring'!B28&lt;&gt;"",IF('Beginner Adv 15M - Scoring'!AD28&lt;&gt;"",'Beginner Adv 15M - Scoring'!AD28,""),"")</f>
        <v/>
      </c>
      <c r="C201" s="79" t="str">
        <f>IF('Beginner Adv 15M - Scoring'!B28&lt;&gt;"",IF('Beginner Adv 15M - Scoring'!AE28&lt;&gt;"",'Beginner Adv 15M - Scoring'!AE28,""),"")</f>
        <v/>
      </c>
      <c r="D201" s="79" t="str">
        <f>IF('Beginner Adv 15M - Scoring'!B28&lt;&gt;"",IF('Beginner Adv 15M - Scoring'!AF28&lt;&gt;"",'Beginner Adv 15M - Scoring'!AF28,""),"")</f>
        <v/>
      </c>
      <c r="E201" s="80" t="str">
        <f>IF('Beginner Adv 15M - Scoring'!B28&lt;&gt;"",'Beginner Adv 15M - Scoring'!AT28,"")</f>
        <v/>
      </c>
      <c r="F201" s="81" t="str">
        <f>IF(E197&lt;&gt;"",IFERROR(IF(ISNUMBER(E197),E197,0),0)+IFERROR(IF(ISNUMBER(E198),E198,0),0)+IFERROR(IF(ISNUMBER(E199),E199,0),0)+IFERROR(IF(ISNUMBER(E200),E200,0),0)+IFERROR(IF(ISNUMBER(E201),E201,0),0),"")</f>
        <v/>
      </c>
      <c r="H201" s="78" t="s">
        <v>228</v>
      </c>
      <c r="I201" s="79" t="str">
        <f>IF('Beginner Adv 15M - Scoring'!B29&lt;&gt;"",IF('Beginner Adv 15M - Scoring'!AD29&lt;&gt;"",'Beginner Adv 15M - Scoring'!AD29,""),"")</f>
        <v/>
      </c>
      <c r="J201" s="79" t="str">
        <f>IF('Beginner Adv 15M - Scoring'!B29&lt;&gt;"",IF('Beginner Adv 15M - Scoring'!AE29&lt;&gt;"",'Beginner Adv 15M - Scoring'!AE29,""),"")</f>
        <v/>
      </c>
      <c r="K201" s="79" t="str">
        <f>IF('Beginner Adv 15M - Scoring'!B29&lt;&gt;"",IF('Beginner Adv 15M - Scoring'!AF29&lt;&gt;"",'Beginner Adv 15M - Scoring'!AF29,""),"")</f>
        <v/>
      </c>
      <c r="L201" s="80" t="str">
        <f>IF('Beginner Adv 15M - Scoring'!B29&lt;&gt;"",'Beginner Adv 15M - Scoring'!AT29,"")</f>
        <v/>
      </c>
      <c r="M201" s="81" t="str">
        <f>IF(L197&lt;&gt;"",IFERROR(IF(ISNUMBER(L197),L197,0),0)+IFERROR(IF(ISNUMBER(L198),L198,0),0)+IFERROR(IF(ISNUMBER(L199),L199,0),0)+IFERROR(IF(ISNUMBER(L200),L200,0),0)+IFERROR(IF(ISNUMBER(L201),L201,0),0),"")</f>
        <v/>
      </c>
    </row>
    <row r="202" spans="1:13" ht="19.5" customHeight="1" x14ac:dyDescent="0.35">
      <c r="A202" s="78" t="s">
        <v>229</v>
      </c>
      <c r="B202" s="79" t="str">
        <f>IF('Beginner Adv 15M - Scoring'!B28&lt;&gt;"",IF('Beginner Adv 15M - Scoring'!AJ28&lt;&gt;"",'Beginner Adv 15M - Scoring'!AJ28,""),"")</f>
        <v/>
      </c>
      <c r="C202" s="79" t="str">
        <f>IF('Beginner Adv 15M - Scoring'!B28&lt;&gt;"",IF('Beginner Adv 15M - Scoring'!AK28&lt;&gt;"",'Beginner Adv 15M - Scoring'!AK28,""),"")</f>
        <v/>
      </c>
      <c r="D202" s="79" t="str">
        <f>IF('Beginner Adv 15M - Scoring'!B28&lt;&gt;"",IF('Beginner Adv 15M - Scoring'!AL28&lt;&gt;"",'Beginner Adv 15M - Scoring'!AL28,""),"")</f>
        <v/>
      </c>
      <c r="E202" s="80" t="str">
        <f>IF('Beginner Adv 15M - Scoring'!B28&lt;&gt;"",'Beginner Adv 15M - Scoring'!AU28,"")</f>
        <v/>
      </c>
      <c r="F202" s="81" t="str">
        <f>IF(E197&lt;&gt;"",IFERROR(IF(ISNUMBER(E197),E197,0),0)+IFERROR(IF(ISNUMBER(E198),E198,0),0)+IFERROR(IF(ISNUMBER(E199),E199,0),0)+IFERROR(IF(ISNUMBER(E200),E200,0),0)+IFERROR(IF(ISNUMBER(E201),E201,0),0)+IFERROR(IF(ISNUMBER(E202),E202,0),0),"")</f>
        <v/>
      </c>
      <c r="H202" s="78" t="s">
        <v>229</v>
      </c>
      <c r="I202" s="79" t="str">
        <f>IF('Beginner Adv 15M - Scoring'!B29&lt;&gt;"",IF('Beginner Adv 15M - Scoring'!AJ29&lt;&gt;"",'Beginner Adv 15M - Scoring'!AJ29,""),"")</f>
        <v/>
      </c>
      <c r="J202" s="79" t="str">
        <f>IF('Beginner Adv 15M - Scoring'!B29&lt;&gt;"",IF('Beginner Adv 15M - Scoring'!AK29&lt;&gt;"",'Beginner Adv 15M - Scoring'!AK29,""),"")</f>
        <v/>
      </c>
      <c r="K202" s="79" t="str">
        <f>IF('Beginner Adv 15M - Scoring'!B29&lt;&gt;"",IF('Beginner Adv 15M - Scoring'!AL29&lt;&gt;"",'Beginner Adv 15M - Scoring'!AL29,""),"")</f>
        <v/>
      </c>
      <c r="L202" s="80" t="str">
        <f>IF('Beginner Adv 15M - Scoring'!B29&lt;&gt;"",'Beginner Adv 15M - Scoring'!AU29,"")</f>
        <v/>
      </c>
      <c r="M202" s="81" t="str">
        <f>IF(L197&lt;&gt;"",IFERROR(IF(ISNUMBER(L197),L197,0),0)+IFERROR(IF(ISNUMBER(L198),L198,0),0)+IFERROR(IF(ISNUMBER(L199),L199,0),0)+IFERROR(IF(ISNUMBER(L200),L200,0),0)+IFERROR(IF(ISNUMBER(L201),L201,0),0)+IFERROR(IF(ISNUMBER(L202),L202,0),0),"")</f>
        <v/>
      </c>
    </row>
    <row r="203" spans="1:13" ht="3.75" customHeight="1" x14ac:dyDescent="0.35"/>
    <row r="204" spans="1:13" ht="24" customHeight="1" x14ac:dyDescent="0.35">
      <c r="A204" s="124" t="s">
        <v>230</v>
      </c>
      <c r="B204" s="124"/>
      <c r="C204" s="124"/>
      <c r="D204" s="124"/>
      <c r="E204" s="125" t="str">
        <f>IF('Beginner Adv 15M - Scoring'!B28&lt;&gt;"",'Beginner Adv 15M - Scoring'!AV28,"")</f>
        <v/>
      </c>
      <c r="F204" s="125"/>
      <c r="H204" s="124" t="s">
        <v>230</v>
      </c>
      <c r="I204" s="124"/>
      <c r="J204" s="124"/>
      <c r="K204" s="124"/>
      <c r="L204" s="125" t="str">
        <f>IF('Beginner Adv 15M - Scoring'!B29&lt;&gt;"",'Beginner Adv 15M - Scoring'!AV29,"")</f>
        <v/>
      </c>
      <c r="M204" s="125"/>
    </row>
    <row r="205" spans="1:13" ht="19.5" customHeight="1" x14ac:dyDescent="0.35">
      <c r="E205" s="125"/>
      <c r="F205" s="125"/>
      <c r="L205" s="125"/>
      <c r="M205" s="125"/>
    </row>
    <row r="206" spans="1:13" ht="3.75" customHeight="1" x14ac:dyDescent="0.35"/>
    <row r="207" spans="1:13" ht="18" customHeight="1" x14ac:dyDescent="0.35">
      <c r="A207" s="73" t="s">
        <v>126</v>
      </c>
      <c r="B207" s="82" t="str">
        <f>IF('Beginner Adv 15M - Scoring'!B28&lt;&gt;"",'Beginner Adv 15M - Scoring'!AW28,"")</f>
        <v/>
      </c>
      <c r="C207" s="73" t="s">
        <v>127</v>
      </c>
      <c r="D207" s="83" t="str">
        <f>IF('Beginner Adv 15M - Scoring'!B28&lt;&gt;"",'Beginner Adv 15M - Scoring'!AX28,"")</f>
        <v/>
      </c>
      <c r="E207" s="73" t="s">
        <v>128</v>
      </c>
      <c r="F207" s="83" t="str">
        <f>IF('Beginner Adv 15M - Scoring'!B28&lt;&gt;"",'Beginner Adv 15M - Scoring'!AY28,"")</f>
        <v/>
      </c>
      <c r="H207" s="73" t="s">
        <v>126</v>
      </c>
      <c r="I207" s="82" t="str">
        <f>IF('Beginner Adv 15M - Scoring'!B29&lt;&gt;"",'Beginner Adv 15M - Scoring'!AW29,"")</f>
        <v/>
      </c>
      <c r="J207" s="73" t="s">
        <v>127</v>
      </c>
      <c r="K207" s="83" t="str">
        <f>IF('Beginner Adv 15M - Scoring'!B29&lt;&gt;"",'Beginner Adv 15M - Scoring'!AX29,"")</f>
        <v/>
      </c>
      <c r="L207" s="73" t="s">
        <v>128</v>
      </c>
      <c r="M207" s="83" t="str">
        <f>IF('Beginner Adv 15M - Scoring'!B29&lt;&gt;"",'Beginner Adv 15M - Scoring'!AY29,"")</f>
        <v/>
      </c>
    </row>
    <row r="208" spans="1:13" ht="3.75" customHeight="1" x14ac:dyDescent="0.35"/>
    <row r="209" spans="1:13" ht="7.5" customHeight="1" x14ac:dyDescent="0.35">
      <c r="A209" s="126"/>
      <c r="B209" s="126"/>
      <c r="C209" s="126"/>
      <c r="D209" s="126"/>
      <c r="E209" s="126"/>
      <c r="F209" s="126"/>
      <c r="G209" s="126"/>
      <c r="H209" s="126"/>
      <c r="I209" s="126"/>
      <c r="J209" s="126"/>
      <c r="K209" s="126"/>
      <c r="L209" s="126"/>
      <c r="M209" s="126"/>
    </row>
    <row r="210" spans="1:13" ht="15.75" customHeight="1" x14ac:dyDescent="0.35">
      <c r="A210" s="73" t="s">
        <v>218</v>
      </c>
      <c r="B210" s="122" t="str">
        <f>IF('Beginner Adv 15M - Scoring'!B30&lt;&gt;"",'Beginner Adv 15M - Scoring'!B30,"")</f>
        <v/>
      </c>
      <c r="C210" s="122"/>
      <c r="D210" s="122"/>
      <c r="E210" s="73" t="s">
        <v>219</v>
      </c>
      <c r="F210" s="74" t="str">
        <f>IF('Beginner Adv 15M - Scoring'!B30&lt;&gt;"",'Beginner Adv 15M - Scoring'!BB30,"")</f>
        <v/>
      </c>
      <c r="H210" s="73" t="s">
        <v>218</v>
      </c>
      <c r="I210" s="122" t="str">
        <f>IF('Beginner Adv 15M - Scoring'!B31&lt;&gt;"",'Beginner Adv 15M - Scoring'!B31,"")</f>
        <v/>
      </c>
      <c r="J210" s="122"/>
      <c r="K210" s="122"/>
      <c r="L210" s="73" t="s">
        <v>219</v>
      </c>
      <c r="M210" s="74" t="str">
        <f>IF('Beginner Adv 15M - Scoring'!B31&lt;&gt;"",'Beginner Adv 15M - Scoring'!BB31,"")</f>
        <v/>
      </c>
    </row>
    <row r="211" spans="1:13" ht="15.75" customHeight="1" x14ac:dyDescent="0.35">
      <c r="A211" s="73" t="s">
        <v>220</v>
      </c>
      <c r="B211" s="123" t="str">
        <f>IF('Beginner Adv 15M - Scoring'!B30&lt;&gt;"",'Beginner Adv 15M - Scoring'!D30,"")</f>
        <v/>
      </c>
      <c r="C211" s="123"/>
      <c r="D211" s="123"/>
      <c r="E211" s="73" t="s">
        <v>8</v>
      </c>
      <c r="F211" s="75" t="str">
        <f>IF('Beginner Adv 15M - Scoring'!B30&lt;&gt;"",'Beginner Adv 15M - Scoring'!E30,"")</f>
        <v/>
      </c>
      <c r="H211" s="73" t="s">
        <v>220</v>
      </c>
      <c r="I211" s="123" t="str">
        <f>IF('Beginner Adv 15M - Scoring'!B31&lt;&gt;"",'Beginner Adv 15M - Scoring'!D31,"")</f>
        <v/>
      </c>
      <c r="J211" s="123"/>
      <c r="K211" s="123"/>
      <c r="L211" s="73" t="s">
        <v>8</v>
      </c>
      <c r="M211" s="75" t="str">
        <f>IF('Beginner Adv 15M - Scoring'!B31&lt;&gt;"",'Beginner Adv 15M - Scoring'!E31,"")</f>
        <v/>
      </c>
    </row>
    <row r="212" spans="1:13" ht="3.75" customHeight="1" x14ac:dyDescent="0.35"/>
    <row r="213" spans="1:13" ht="25.5" customHeight="1" x14ac:dyDescent="0.35">
      <c r="A213" s="76" t="s">
        <v>221</v>
      </c>
      <c r="B213" s="77" t="s">
        <v>222</v>
      </c>
      <c r="C213" s="77" t="s">
        <v>223</v>
      </c>
      <c r="D213" s="77" t="s">
        <v>224</v>
      </c>
      <c r="E213" s="76" t="s">
        <v>225</v>
      </c>
      <c r="F213" s="76" t="s">
        <v>226</v>
      </c>
      <c r="H213" s="76" t="s">
        <v>221</v>
      </c>
      <c r="I213" s="77" t="s">
        <v>222</v>
      </c>
      <c r="J213" s="77" t="s">
        <v>223</v>
      </c>
      <c r="K213" s="77" t="s">
        <v>224</v>
      </c>
      <c r="L213" s="76" t="s">
        <v>225</v>
      </c>
      <c r="M213" s="76" t="s">
        <v>226</v>
      </c>
    </row>
    <row r="214" spans="1:13" ht="19.5" customHeight="1" x14ac:dyDescent="0.35">
      <c r="A214" s="78" t="s">
        <v>222</v>
      </c>
      <c r="B214" s="79" t="str">
        <f>IF('Beginner Adv 15M - Scoring'!B30&lt;&gt;"",IF('Beginner Adv 15M - Scoring'!F30&lt;&gt;"",'Beginner Adv 15M - Scoring'!F30,""),"")</f>
        <v/>
      </c>
      <c r="C214" s="79" t="str">
        <f>IF('Beginner Adv 15M - Scoring'!B30&lt;&gt;"",IF('Beginner Adv 15M - Scoring'!G30&lt;&gt;"",'Beginner Adv 15M - Scoring'!G30,""),"")</f>
        <v/>
      </c>
      <c r="D214" s="79" t="str">
        <f>IF('Beginner Adv 15M - Scoring'!B30&lt;&gt;"",IF('Beginner Adv 15M - Scoring'!H30&lt;&gt;"",'Beginner Adv 15M - Scoring'!H30,""),"")</f>
        <v/>
      </c>
      <c r="E214" s="80" t="str">
        <f>IF('Beginner Adv 15M - Scoring'!B30&lt;&gt;"",'Beginner Adv 15M - Scoring'!AP30,"")</f>
        <v/>
      </c>
      <c r="F214" s="81" t="str">
        <f>IFERROR(IF(ISNUMBER(E214),E214,""),"")</f>
        <v/>
      </c>
      <c r="H214" s="78" t="s">
        <v>222</v>
      </c>
      <c r="I214" s="79" t="str">
        <f>IF('Beginner Adv 15M - Scoring'!B31&lt;&gt;"",IF('Beginner Adv 15M - Scoring'!F31&lt;&gt;"",'Beginner Adv 15M - Scoring'!F31,""),"")</f>
        <v/>
      </c>
      <c r="J214" s="79" t="str">
        <f>IF('Beginner Adv 15M - Scoring'!B31&lt;&gt;"",IF('Beginner Adv 15M - Scoring'!G31&lt;&gt;"",'Beginner Adv 15M - Scoring'!G31,""),"")</f>
        <v/>
      </c>
      <c r="K214" s="79" t="str">
        <f>IF('Beginner Adv 15M - Scoring'!B31&lt;&gt;"",IF('Beginner Adv 15M - Scoring'!H31&lt;&gt;"",'Beginner Adv 15M - Scoring'!H31,""),"")</f>
        <v/>
      </c>
      <c r="L214" s="80" t="str">
        <f>IF('Beginner Adv 15M - Scoring'!B31&lt;&gt;"",'Beginner Adv 15M - Scoring'!AP31,"")</f>
        <v/>
      </c>
      <c r="M214" s="81" t="str">
        <f>IFERROR(IF(ISNUMBER(L214),L214,""),"")</f>
        <v/>
      </c>
    </row>
    <row r="215" spans="1:13" ht="19.5" customHeight="1" x14ac:dyDescent="0.35">
      <c r="A215" s="78" t="s">
        <v>223</v>
      </c>
      <c r="B215" s="79" t="str">
        <f>IF('Beginner Adv 15M - Scoring'!B30&lt;&gt;"",IF('Beginner Adv 15M - Scoring'!L30&lt;&gt;"",'Beginner Adv 15M - Scoring'!L30,""),"")</f>
        <v/>
      </c>
      <c r="C215" s="79" t="str">
        <f>IF('Beginner Adv 15M - Scoring'!B30&lt;&gt;"",IF('Beginner Adv 15M - Scoring'!M30&lt;&gt;"",'Beginner Adv 15M - Scoring'!M30,""),"")</f>
        <v/>
      </c>
      <c r="D215" s="79" t="str">
        <f>IF('Beginner Adv 15M - Scoring'!B30&lt;&gt;"",IF('Beginner Adv 15M - Scoring'!N30&lt;&gt;"",'Beginner Adv 15M - Scoring'!N30,""),"")</f>
        <v/>
      </c>
      <c r="E215" s="80" t="str">
        <f>IF('Beginner Adv 15M - Scoring'!B30&lt;&gt;"",'Beginner Adv 15M - Scoring'!AQ30,"")</f>
        <v/>
      </c>
      <c r="F215" s="81" t="str">
        <f>IF(E214&lt;&gt;"",IFERROR(IF(ISNUMBER(E214),E214,0),0)+IFERROR(IF(ISNUMBER(E215),E215,0),0),"")</f>
        <v/>
      </c>
      <c r="H215" s="78" t="s">
        <v>223</v>
      </c>
      <c r="I215" s="79" t="str">
        <f>IF('Beginner Adv 15M - Scoring'!B31&lt;&gt;"",IF('Beginner Adv 15M - Scoring'!L31&lt;&gt;"",'Beginner Adv 15M - Scoring'!L31,""),"")</f>
        <v/>
      </c>
      <c r="J215" s="79" t="str">
        <f>IF('Beginner Adv 15M - Scoring'!B31&lt;&gt;"",IF('Beginner Adv 15M - Scoring'!M31&lt;&gt;"",'Beginner Adv 15M - Scoring'!M31,""),"")</f>
        <v/>
      </c>
      <c r="K215" s="79" t="str">
        <f>IF('Beginner Adv 15M - Scoring'!B31&lt;&gt;"",IF('Beginner Adv 15M - Scoring'!N31&lt;&gt;"",'Beginner Adv 15M - Scoring'!N31,""),"")</f>
        <v/>
      </c>
      <c r="L215" s="80" t="str">
        <f>IF('Beginner Adv 15M - Scoring'!B31&lt;&gt;"",'Beginner Adv 15M - Scoring'!AQ31,"")</f>
        <v/>
      </c>
      <c r="M215" s="81" t="str">
        <f>IF(L214&lt;&gt;"",IFERROR(IF(ISNUMBER(L214),L214,0),0)+IFERROR(IF(ISNUMBER(L215),L215,0),0),"")</f>
        <v/>
      </c>
    </row>
    <row r="216" spans="1:13" ht="19.5" customHeight="1" x14ac:dyDescent="0.35">
      <c r="A216" s="78" t="s">
        <v>224</v>
      </c>
      <c r="B216" s="79" t="str">
        <f>IF('Beginner Adv 15M - Scoring'!B30&lt;&gt;"",IF('Beginner Adv 15M - Scoring'!R30&lt;&gt;"",'Beginner Adv 15M - Scoring'!R30,""),"")</f>
        <v/>
      </c>
      <c r="C216" s="79" t="str">
        <f>IF('Beginner Adv 15M - Scoring'!B30&lt;&gt;"",IF('Beginner Adv 15M - Scoring'!S30&lt;&gt;"",'Beginner Adv 15M - Scoring'!S30,""),"")</f>
        <v/>
      </c>
      <c r="D216" s="79" t="str">
        <f>IF('Beginner Adv 15M - Scoring'!B30&lt;&gt;"",IF('Beginner Adv 15M - Scoring'!T30&lt;&gt;"",'Beginner Adv 15M - Scoring'!T30,""),"")</f>
        <v/>
      </c>
      <c r="E216" s="80" t="str">
        <f>IF('Beginner Adv 15M - Scoring'!B30&lt;&gt;"",'Beginner Adv 15M - Scoring'!AR30,"")</f>
        <v/>
      </c>
      <c r="F216" s="81" t="str">
        <f>IF(E214&lt;&gt;"",IFERROR(IF(ISNUMBER(E214),E214,0),0)+IFERROR(IF(ISNUMBER(E215),E215,0),0)+IFERROR(IF(ISNUMBER(E216),E216,0),0),"")</f>
        <v/>
      </c>
      <c r="H216" s="78" t="s">
        <v>224</v>
      </c>
      <c r="I216" s="79" t="str">
        <f>IF('Beginner Adv 15M - Scoring'!B31&lt;&gt;"",IF('Beginner Adv 15M - Scoring'!R31&lt;&gt;"",'Beginner Adv 15M - Scoring'!R31,""),"")</f>
        <v/>
      </c>
      <c r="J216" s="79" t="str">
        <f>IF('Beginner Adv 15M - Scoring'!B31&lt;&gt;"",IF('Beginner Adv 15M - Scoring'!S31&lt;&gt;"",'Beginner Adv 15M - Scoring'!S31,""),"")</f>
        <v/>
      </c>
      <c r="K216" s="79" t="str">
        <f>IF('Beginner Adv 15M - Scoring'!B31&lt;&gt;"",IF('Beginner Adv 15M - Scoring'!T31&lt;&gt;"",'Beginner Adv 15M - Scoring'!T31,""),"")</f>
        <v/>
      </c>
      <c r="L216" s="80" t="str">
        <f>IF('Beginner Adv 15M - Scoring'!B31&lt;&gt;"",'Beginner Adv 15M - Scoring'!AR31,"")</f>
        <v/>
      </c>
      <c r="M216" s="81" t="str">
        <f>IF(L214&lt;&gt;"",IFERROR(IF(ISNUMBER(L214),L214,0),0)+IFERROR(IF(ISNUMBER(L215),L215,0),0)+IFERROR(IF(ISNUMBER(L216),L216,0),0),"")</f>
        <v/>
      </c>
    </row>
    <row r="217" spans="1:13" ht="19.5" customHeight="1" x14ac:dyDescent="0.35">
      <c r="A217" s="78" t="s">
        <v>227</v>
      </c>
      <c r="B217" s="79" t="str">
        <f>IF('Beginner Adv 15M - Scoring'!B30&lt;&gt;"",IF('Beginner Adv 15M - Scoring'!X30&lt;&gt;"",'Beginner Adv 15M - Scoring'!X30,""),"")</f>
        <v/>
      </c>
      <c r="C217" s="79" t="str">
        <f>IF('Beginner Adv 15M - Scoring'!B30&lt;&gt;"",IF('Beginner Adv 15M - Scoring'!Y30&lt;&gt;"",'Beginner Adv 15M - Scoring'!Y30,""),"")</f>
        <v/>
      </c>
      <c r="D217" s="79" t="str">
        <f>IF('Beginner Adv 15M - Scoring'!B30&lt;&gt;"",IF('Beginner Adv 15M - Scoring'!Z30&lt;&gt;"",'Beginner Adv 15M - Scoring'!Z30,""),"")</f>
        <v/>
      </c>
      <c r="E217" s="80" t="str">
        <f>IF('Beginner Adv 15M - Scoring'!B30&lt;&gt;"",'Beginner Adv 15M - Scoring'!AS30,"")</f>
        <v/>
      </c>
      <c r="F217" s="81" t="str">
        <f>IF(E214&lt;&gt;"",IFERROR(IF(ISNUMBER(E214),E214,0),0)+IFERROR(IF(ISNUMBER(E215),E215,0),0)+IFERROR(IF(ISNUMBER(E216),E216,0),0)+IFERROR(IF(ISNUMBER(E217),E217,0),0),"")</f>
        <v/>
      </c>
      <c r="H217" s="78" t="s">
        <v>227</v>
      </c>
      <c r="I217" s="79" t="str">
        <f>IF('Beginner Adv 15M - Scoring'!B31&lt;&gt;"",IF('Beginner Adv 15M - Scoring'!X31&lt;&gt;"",'Beginner Adv 15M - Scoring'!X31,""),"")</f>
        <v/>
      </c>
      <c r="J217" s="79" t="str">
        <f>IF('Beginner Adv 15M - Scoring'!B31&lt;&gt;"",IF('Beginner Adv 15M - Scoring'!Y31&lt;&gt;"",'Beginner Adv 15M - Scoring'!Y31,""),"")</f>
        <v/>
      </c>
      <c r="K217" s="79" t="str">
        <f>IF('Beginner Adv 15M - Scoring'!B31&lt;&gt;"",IF('Beginner Adv 15M - Scoring'!Z31&lt;&gt;"",'Beginner Adv 15M - Scoring'!Z31,""),"")</f>
        <v/>
      </c>
      <c r="L217" s="80" t="str">
        <f>IF('Beginner Adv 15M - Scoring'!B31&lt;&gt;"",'Beginner Adv 15M - Scoring'!AS31,"")</f>
        <v/>
      </c>
      <c r="M217" s="81" t="str">
        <f>IF(L214&lt;&gt;"",IFERROR(IF(ISNUMBER(L214),L214,0),0)+IFERROR(IF(ISNUMBER(L215),L215,0),0)+IFERROR(IF(ISNUMBER(L216),L216,0),0)+IFERROR(IF(ISNUMBER(L217),L217,0),0),"")</f>
        <v/>
      </c>
    </row>
    <row r="218" spans="1:13" ht="19.5" customHeight="1" x14ac:dyDescent="0.35">
      <c r="A218" s="78" t="s">
        <v>228</v>
      </c>
      <c r="B218" s="79" t="str">
        <f>IF('Beginner Adv 15M - Scoring'!B30&lt;&gt;"",IF('Beginner Adv 15M - Scoring'!AD30&lt;&gt;"",'Beginner Adv 15M - Scoring'!AD30,""),"")</f>
        <v/>
      </c>
      <c r="C218" s="79" t="str">
        <f>IF('Beginner Adv 15M - Scoring'!B30&lt;&gt;"",IF('Beginner Adv 15M - Scoring'!AE30&lt;&gt;"",'Beginner Adv 15M - Scoring'!AE30,""),"")</f>
        <v/>
      </c>
      <c r="D218" s="79" t="str">
        <f>IF('Beginner Adv 15M - Scoring'!B30&lt;&gt;"",IF('Beginner Adv 15M - Scoring'!AF30&lt;&gt;"",'Beginner Adv 15M - Scoring'!AF30,""),"")</f>
        <v/>
      </c>
      <c r="E218" s="80" t="str">
        <f>IF('Beginner Adv 15M - Scoring'!B30&lt;&gt;"",'Beginner Adv 15M - Scoring'!AT30,"")</f>
        <v/>
      </c>
      <c r="F218" s="81" t="str">
        <f>IF(E214&lt;&gt;"",IFERROR(IF(ISNUMBER(E214),E214,0),0)+IFERROR(IF(ISNUMBER(E215),E215,0),0)+IFERROR(IF(ISNUMBER(E216),E216,0),0)+IFERROR(IF(ISNUMBER(E217),E217,0),0)+IFERROR(IF(ISNUMBER(E218),E218,0),0),"")</f>
        <v/>
      </c>
      <c r="H218" s="78" t="s">
        <v>228</v>
      </c>
      <c r="I218" s="79" t="str">
        <f>IF('Beginner Adv 15M - Scoring'!B31&lt;&gt;"",IF('Beginner Adv 15M - Scoring'!AD31&lt;&gt;"",'Beginner Adv 15M - Scoring'!AD31,""),"")</f>
        <v/>
      </c>
      <c r="J218" s="79" t="str">
        <f>IF('Beginner Adv 15M - Scoring'!B31&lt;&gt;"",IF('Beginner Adv 15M - Scoring'!AE31&lt;&gt;"",'Beginner Adv 15M - Scoring'!AE31,""),"")</f>
        <v/>
      </c>
      <c r="K218" s="79" t="str">
        <f>IF('Beginner Adv 15M - Scoring'!B31&lt;&gt;"",IF('Beginner Adv 15M - Scoring'!AF31&lt;&gt;"",'Beginner Adv 15M - Scoring'!AF31,""),"")</f>
        <v/>
      </c>
      <c r="L218" s="80" t="str">
        <f>IF('Beginner Adv 15M - Scoring'!B31&lt;&gt;"",'Beginner Adv 15M - Scoring'!AT31,"")</f>
        <v/>
      </c>
      <c r="M218" s="81" t="str">
        <f>IF(L214&lt;&gt;"",IFERROR(IF(ISNUMBER(L214),L214,0),0)+IFERROR(IF(ISNUMBER(L215),L215,0),0)+IFERROR(IF(ISNUMBER(L216),L216,0),0)+IFERROR(IF(ISNUMBER(L217),L217,0),0)+IFERROR(IF(ISNUMBER(L218),L218,0),0),"")</f>
        <v/>
      </c>
    </row>
    <row r="219" spans="1:13" ht="19.5" customHeight="1" x14ac:dyDescent="0.35">
      <c r="A219" s="78" t="s">
        <v>229</v>
      </c>
      <c r="B219" s="79" t="str">
        <f>IF('Beginner Adv 15M - Scoring'!B30&lt;&gt;"",IF('Beginner Adv 15M - Scoring'!AJ30&lt;&gt;"",'Beginner Adv 15M - Scoring'!AJ30,""),"")</f>
        <v/>
      </c>
      <c r="C219" s="79" t="str">
        <f>IF('Beginner Adv 15M - Scoring'!B30&lt;&gt;"",IF('Beginner Adv 15M - Scoring'!AK30&lt;&gt;"",'Beginner Adv 15M - Scoring'!AK30,""),"")</f>
        <v/>
      </c>
      <c r="D219" s="79" t="str">
        <f>IF('Beginner Adv 15M - Scoring'!B30&lt;&gt;"",IF('Beginner Adv 15M - Scoring'!AL30&lt;&gt;"",'Beginner Adv 15M - Scoring'!AL30,""),"")</f>
        <v/>
      </c>
      <c r="E219" s="80" t="str">
        <f>IF('Beginner Adv 15M - Scoring'!B30&lt;&gt;"",'Beginner Adv 15M - Scoring'!AU30,"")</f>
        <v/>
      </c>
      <c r="F219" s="81" t="str">
        <f>IF(E214&lt;&gt;"",IFERROR(IF(ISNUMBER(E214),E214,0),0)+IFERROR(IF(ISNUMBER(E215),E215,0),0)+IFERROR(IF(ISNUMBER(E216),E216,0),0)+IFERROR(IF(ISNUMBER(E217),E217,0),0)+IFERROR(IF(ISNUMBER(E218),E218,0),0)+IFERROR(IF(ISNUMBER(E219),E219,0),0),"")</f>
        <v/>
      </c>
      <c r="H219" s="78" t="s">
        <v>229</v>
      </c>
      <c r="I219" s="79" t="str">
        <f>IF('Beginner Adv 15M - Scoring'!B31&lt;&gt;"",IF('Beginner Adv 15M - Scoring'!AJ31&lt;&gt;"",'Beginner Adv 15M - Scoring'!AJ31,""),"")</f>
        <v/>
      </c>
      <c r="J219" s="79" t="str">
        <f>IF('Beginner Adv 15M - Scoring'!B31&lt;&gt;"",IF('Beginner Adv 15M - Scoring'!AK31&lt;&gt;"",'Beginner Adv 15M - Scoring'!AK31,""),"")</f>
        <v/>
      </c>
      <c r="K219" s="79" t="str">
        <f>IF('Beginner Adv 15M - Scoring'!B31&lt;&gt;"",IF('Beginner Adv 15M - Scoring'!AL31&lt;&gt;"",'Beginner Adv 15M - Scoring'!AL31,""),"")</f>
        <v/>
      </c>
      <c r="L219" s="80" t="str">
        <f>IF('Beginner Adv 15M - Scoring'!B31&lt;&gt;"",'Beginner Adv 15M - Scoring'!AU31,"")</f>
        <v/>
      </c>
      <c r="M219" s="81" t="str">
        <f>IF(L214&lt;&gt;"",IFERROR(IF(ISNUMBER(L214),L214,0),0)+IFERROR(IF(ISNUMBER(L215),L215,0),0)+IFERROR(IF(ISNUMBER(L216),L216,0),0)+IFERROR(IF(ISNUMBER(L217),L217,0),0)+IFERROR(IF(ISNUMBER(L218),L218,0),0)+IFERROR(IF(ISNUMBER(L219),L219,0),0),"")</f>
        <v/>
      </c>
    </row>
    <row r="220" spans="1:13" ht="3.75" customHeight="1" x14ac:dyDescent="0.35"/>
    <row r="221" spans="1:13" ht="24" customHeight="1" x14ac:dyDescent="0.35">
      <c r="A221" s="124" t="s">
        <v>230</v>
      </c>
      <c r="B221" s="124"/>
      <c r="C221" s="124"/>
      <c r="D221" s="124"/>
      <c r="E221" s="125" t="str">
        <f>IF('Beginner Adv 15M - Scoring'!B30&lt;&gt;"",'Beginner Adv 15M - Scoring'!AV30,"")</f>
        <v/>
      </c>
      <c r="F221" s="125"/>
      <c r="H221" s="124" t="s">
        <v>230</v>
      </c>
      <c r="I221" s="124"/>
      <c r="J221" s="124"/>
      <c r="K221" s="124"/>
      <c r="L221" s="125" t="str">
        <f>IF('Beginner Adv 15M - Scoring'!B31&lt;&gt;"",'Beginner Adv 15M - Scoring'!AV31,"")</f>
        <v/>
      </c>
      <c r="M221" s="125"/>
    </row>
    <row r="222" spans="1:13" ht="19.5" customHeight="1" x14ac:dyDescent="0.35">
      <c r="E222" s="125"/>
      <c r="F222" s="125"/>
      <c r="L222" s="125"/>
      <c r="M222" s="125"/>
    </row>
    <row r="223" spans="1:13" ht="3.75" customHeight="1" x14ac:dyDescent="0.35"/>
    <row r="224" spans="1:13" ht="18" customHeight="1" x14ac:dyDescent="0.35">
      <c r="A224" s="73" t="s">
        <v>126</v>
      </c>
      <c r="B224" s="82" t="str">
        <f>IF('Beginner Adv 15M - Scoring'!B30&lt;&gt;"",'Beginner Adv 15M - Scoring'!AW30,"")</f>
        <v/>
      </c>
      <c r="C224" s="73" t="s">
        <v>127</v>
      </c>
      <c r="D224" s="83" t="str">
        <f>IF('Beginner Adv 15M - Scoring'!B30&lt;&gt;"",'Beginner Adv 15M - Scoring'!AX30,"")</f>
        <v/>
      </c>
      <c r="E224" s="73" t="s">
        <v>128</v>
      </c>
      <c r="F224" s="83" t="str">
        <f>IF('Beginner Adv 15M - Scoring'!B30&lt;&gt;"",'Beginner Adv 15M - Scoring'!AY30,"")</f>
        <v/>
      </c>
      <c r="H224" s="73" t="s">
        <v>126</v>
      </c>
      <c r="I224" s="82" t="str">
        <f>IF('Beginner Adv 15M - Scoring'!B31&lt;&gt;"",'Beginner Adv 15M - Scoring'!AW31,"")</f>
        <v/>
      </c>
      <c r="J224" s="73" t="s">
        <v>127</v>
      </c>
      <c r="K224" s="83" t="str">
        <f>IF('Beginner Adv 15M - Scoring'!B31&lt;&gt;"",'Beginner Adv 15M - Scoring'!AX31,"")</f>
        <v/>
      </c>
      <c r="L224" s="73" t="s">
        <v>128</v>
      </c>
      <c r="M224" s="83" t="str">
        <f>IF('Beginner Adv 15M - Scoring'!B31&lt;&gt;"",'Beginner Adv 15M - Scoring'!AY31,"")</f>
        <v/>
      </c>
    </row>
    <row r="225" spans="1:13" ht="3.75" customHeight="1" x14ac:dyDescent="0.35"/>
    <row r="226" spans="1:13" ht="7.5" customHeight="1" x14ac:dyDescent="0.35">
      <c r="A226" s="126"/>
      <c r="B226" s="126"/>
      <c r="C226" s="126"/>
      <c r="D226" s="126"/>
      <c r="E226" s="126"/>
      <c r="F226" s="126"/>
      <c r="G226" s="126"/>
      <c r="H226" s="126"/>
      <c r="I226" s="126"/>
      <c r="J226" s="126"/>
      <c r="K226" s="126"/>
      <c r="L226" s="126"/>
      <c r="M226" s="126"/>
    </row>
    <row r="227" spans="1:13" ht="15.75" customHeight="1" x14ac:dyDescent="0.35">
      <c r="A227" s="73" t="s">
        <v>218</v>
      </c>
      <c r="B227" s="122" t="str">
        <f>IF('Beginner Adv 15M - Scoring'!B32&lt;&gt;"",'Beginner Adv 15M - Scoring'!B32,"")</f>
        <v/>
      </c>
      <c r="C227" s="122"/>
      <c r="D227" s="122"/>
      <c r="E227" s="73" t="s">
        <v>219</v>
      </c>
      <c r="F227" s="74" t="str">
        <f>IF('Beginner Adv 15M - Scoring'!B32&lt;&gt;"",'Beginner Adv 15M - Scoring'!BB32,"")</f>
        <v/>
      </c>
      <c r="H227" s="73" t="s">
        <v>218</v>
      </c>
      <c r="I227" s="122" t="str">
        <f>IF('Beginner Adv 15M - Scoring'!B33&lt;&gt;"",'Beginner Adv 15M - Scoring'!B33,"")</f>
        <v/>
      </c>
      <c r="J227" s="122"/>
      <c r="K227" s="122"/>
      <c r="L227" s="73" t="s">
        <v>219</v>
      </c>
      <c r="M227" s="74" t="str">
        <f>IF('Beginner Adv 15M - Scoring'!B33&lt;&gt;"",'Beginner Adv 15M - Scoring'!BB33,"")</f>
        <v/>
      </c>
    </row>
    <row r="228" spans="1:13" ht="15.75" customHeight="1" x14ac:dyDescent="0.35">
      <c r="A228" s="73" t="s">
        <v>220</v>
      </c>
      <c r="B228" s="123" t="str">
        <f>IF('Beginner Adv 15M - Scoring'!B32&lt;&gt;"",'Beginner Adv 15M - Scoring'!D32,"")</f>
        <v/>
      </c>
      <c r="C228" s="123"/>
      <c r="D228" s="123"/>
      <c r="E228" s="73" t="s">
        <v>8</v>
      </c>
      <c r="F228" s="75" t="str">
        <f>IF('Beginner Adv 15M - Scoring'!B32&lt;&gt;"",'Beginner Adv 15M - Scoring'!E32,"")</f>
        <v/>
      </c>
      <c r="H228" s="73" t="s">
        <v>220</v>
      </c>
      <c r="I228" s="123" t="str">
        <f>IF('Beginner Adv 15M - Scoring'!B33&lt;&gt;"",'Beginner Adv 15M - Scoring'!D33,"")</f>
        <v/>
      </c>
      <c r="J228" s="123"/>
      <c r="K228" s="123"/>
      <c r="L228" s="73" t="s">
        <v>8</v>
      </c>
      <c r="M228" s="75" t="str">
        <f>IF('Beginner Adv 15M - Scoring'!B33&lt;&gt;"",'Beginner Adv 15M - Scoring'!E33,"")</f>
        <v/>
      </c>
    </row>
    <row r="229" spans="1:13" ht="3.75" customHeight="1" x14ac:dyDescent="0.35"/>
    <row r="230" spans="1:13" ht="25.5" customHeight="1" x14ac:dyDescent="0.35">
      <c r="A230" s="76" t="s">
        <v>221</v>
      </c>
      <c r="B230" s="77" t="s">
        <v>222</v>
      </c>
      <c r="C230" s="77" t="s">
        <v>223</v>
      </c>
      <c r="D230" s="77" t="s">
        <v>224</v>
      </c>
      <c r="E230" s="76" t="s">
        <v>225</v>
      </c>
      <c r="F230" s="76" t="s">
        <v>226</v>
      </c>
      <c r="H230" s="76" t="s">
        <v>221</v>
      </c>
      <c r="I230" s="77" t="s">
        <v>222</v>
      </c>
      <c r="J230" s="77" t="s">
        <v>223</v>
      </c>
      <c r="K230" s="77" t="s">
        <v>224</v>
      </c>
      <c r="L230" s="76" t="s">
        <v>225</v>
      </c>
      <c r="M230" s="76" t="s">
        <v>226</v>
      </c>
    </row>
    <row r="231" spans="1:13" ht="19.5" customHeight="1" x14ac:dyDescent="0.35">
      <c r="A231" s="78" t="s">
        <v>222</v>
      </c>
      <c r="B231" s="79" t="str">
        <f>IF('Beginner Adv 15M - Scoring'!B32&lt;&gt;"",IF('Beginner Adv 15M - Scoring'!F32&lt;&gt;"",'Beginner Adv 15M - Scoring'!F32,""),"")</f>
        <v/>
      </c>
      <c r="C231" s="79" t="str">
        <f>IF('Beginner Adv 15M - Scoring'!B32&lt;&gt;"",IF('Beginner Adv 15M - Scoring'!G32&lt;&gt;"",'Beginner Adv 15M - Scoring'!G32,""),"")</f>
        <v/>
      </c>
      <c r="D231" s="79" t="str">
        <f>IF('Beginner Adv 15M - Scoring'!B32&lt;&gt;"",IF('Beginner Adv 15M - Scoring'!H32&lt;&gt;"",'Beginner Adv 15M - Scoring'!H32,""),"")</f>
        <v/>
      </c>
      <c r="E231" s="80" t="str">
        <f>IF('Beginner Adv 15M - Scoring'!B32&lt;&gt;"",'Beginner Adv 15M - Scoring'!AP32,"")</f>
        <v/>
      </c>
      <c r="F231" s="81" t="str">
        <f>IFERROR(IF(ISNUMBER(E231),E231,""),"")</f>
        <v/>
      </c>
      <c r="H231" s="78" t="s">
        <v>222</v>
      </c>
      <c r="I231" s="79" t="str">
        <f>IF('Beginner Adv 15M - Scoring'!B33&lt;&gt;"",IF('Beginner Adv 15M - Scoring'!F33&lt;&gt;"",'Beginner Adv 15M - Scoring'!F33,""),"")</f>
        <v/>
      </c>
      <c r="J231" s="79" t="str">
        <f>IF('Beginner Adv 15M - Scoring'!B33&lt;&gt;"",IF('Beginner Adv 15M - Scoring'!G33&lt;&gt;"",'Beginner Adv 15M - Scoring'!G33,""),"")</f>
        <v/>
      </c>
      <c r="K231" s="79" t="str">
        <f>IF('Beginner Adv 15M - Scoring'!B33&lt;&gt;"",IF('Beginner Adv 15M - Scoring'!H33&lt;&gt;"",'Beginner Adv 15M - Scoring'!H33,""),"")</f>
        <v/>
      </c>
      <c r="L231" s="80" t="str">
        <f>IF('Beginner Adv 15M - Scoring'!B33&lt;&gt;"",'Beginner Adv 15M - Scoring'!AP33,"")</f>
        <v/>
      </c>
      <c r="M231" s="81" t="str">
        <f>IFERROR(IF(ISNUMBER(L231),L231,""),"")</f>
        <v/>
      </c>
    </row>
    <row r="232" spans="1:13" ht="19.5" customHeight="1" x14ac:dyDescent="0.35">
      <c r="A232" s="78" t="s">
        <v>223</v>
      </c>
      <c r="B232" s="79" t="str">
        <f>IF('Beginner Adv 15M - Scoring'!B32&lt;&gt;"",IF('Beginner Adv 15M - Scoring'!L32&lt;&gt;"",'Beginner Adv 15M - Scoring'!L32,""),"")</f>
        <v/>
      </c>
      <c r="C232" s="79" t="str">
        <f>IF('Beginner Adv 15M - Scoring'!B32&lt;&gt;"",IF('Beginner Adv 15M - Scoring'!M32&lt;&gt;"",'Beginner Adv 15M - Scoring'!M32,""),"")</f>
        <v/>
      </c>
      <c r="D232" s="79" t="str">
        <f>IF('Beginner Adv 15M - Scoring'!B32&lt;&gt;"",IF('Beginner Adv 15M - Scoring'!N32&lt;&gt;"",'Beginner Adv 15M - Scoring'!N32,""),"")</f>
        <v/>
      </c>
      <c r="E232" s="80" t="str">
        <f>IF('Beginner Adv 15M - Scoring'!B32&lt;&gt;"",'Beginner Adv 15M - Scoring'!AQ32,"")</f>
        <v/>
      </c>
      <c r="F232" s="81" t="str">
        <f>IF(E231&lt;&gt;"",IFERROR(IF(ISNUMBER(E231),E231,0),0)+IFERROR(IF(ISNUMBER(E232),E232,0),0),"")</f>
        <v/>
      </c>
      <c r="H232" s="78" t="s">
        <v>223</v>
      </c>
      <c r="I232" s="79" t="str">
        <f>IF('Beginner Adv 15M - Scoring'!B33&lt;&gt;"",IF('Beginner Adv 15M - Scoring'!L33&lt;&gt;"",'Beginner Adv 15M - Scoring'!L33,""),"")</f>
        <v/>
      </c>
      <c r="J232" s="79" t="str">
        <f>IF('Beginner Adv 15M - Scoring'!B33&lt;&gt;"",IF('Beginner Adv 15M - Scoring'!M33&lt;&gt;"",'Beginner Adv 15M - Scoring'!M33,""),"")</f>
        <v/>
      </c>
      <c r="K232" s="79" t="str">
        <f>IF('Beginner Adv 15M - Scoring'!B33&lt;&gt;"",IF('Beginner Adv 15M - Scoring'!N33&lt;&gt;"",'Beginner Adv 15M - Scoring'!N33,""),"")</f>
        <v/>
      </c>
      <c r="L232" s="80" t="str">
        <f>IF('Beginner Adv 15M - Scoring'!B33&lt;&gt;"",'Beginner Adv 15M - Scoring'!AQ33,"")</f>
        <v/>
      </c>
      <c r="M232" s="81" t="str">
        <f>IF(L231&lt;&gt;"",IFERROR(IF(ISNUMBER(L231),L231,0),0)+IFERROR(IF(ISNUMBER(L232),L232,0),0),"")</f>
        <v/>
      </c>
    </row>
    <row r="233" spans="1:13" ht="19.5" customHeight="1" x14ac:dyDescent="0.35">
      <c r="A233" s="78" t="s">
        <v>224</v>
      </c>
      <c r="B233" s="79" t="str">
        <f>IF('Beginner Adv 15M - Scoring'!B32&lt;&gt;"",IF('Beginner Adv 15M - Scoring'!R32&lt;&gt;"",'Beginner Adv 15M - Scoring'!R32,""),"")</f>
        <v/>
      </c>
      <c r="C233" s="79" t="str">
        <f>IF('Beginner Adv 15M - Scoring'!B32&lt;&gt;"",IF('Beginner Adv 15M - Scoring'!S32&lt;&gt;"",'Beginner Adv 15M - Scoring'!S32,""),"")</f>
        <v/>
      </c>
      <c r="D233" s="79" t="str">
        <f>IF('Beginner Adv 15M - Scoring'!B32&lt;&gt;"",IF('Beginner Adv 15M - Scoring'!T32&lt;&gt;"",'Beginner Adv 15M - Scoring'!T32,""),"")</f>
        <v/>
      </c>
      <c r="E233" s="80" t="str">
        <f>IF('Beginner Adv 15M - Scoring'!B32&lt;&gt;"",'Beginner Adv 15M - Scoring'!AR32,"")</f>
        <v/>
      </c>
      <c r="F233" s="81" t="str">
        <f>IF(E231&lt;&gt;"",IFERROR(IF(ISNUMBER(E231),E231,0),0)+IFERROR(IF(ISNUMBER(E232),E232,0),0)+IFERROR(IF(ISNUMBER(E233),E233,0),0),"")</f>
        <v/>
      </c>
      <c r="H233" s="78" t="s">
        <v>224</v>
      </c>
      <c r="I233" s="79" t="str">
        <f>IF('Beginner Adv 15M - Scoring'!B33&lt;&gt;"",IF('Beginner Adv 15M - Scoring'!R33&lt;&gt;"",'Beginner Adv 15M - Scoring'!R33,""),"")</f>
        <v/>
      </c>
      <c r="J233" s="79" t="str">
        <f>IF('Beginner Adv 15M - Scoring'!B33&lt;&gt;"",IF('Beginner Adv 15M - Scoring'!S33&lt;&gt;"",'Beginner Adv 15M - Scoring'!S33,""),"")</f>
        <v/>
      </c>
      <c r="K233" s="79" t="str">
        <f>IF('Beginner Adv 15M - Scoring'!B33&lt;&gt;"",IF('Beginner Adv 15M - Scoring'!T33&lt;&gt;"",'Beginner Adv 15M - Scoring'!T33,""),"")</f>
        <v/>
      </c>
      <c r="L233" s="80" t="str">
        <f>IF('Beginner Adv 15M - Scoring'!B33&lt;&gt;"",'Beginner Adv 15M - Scoring'!AR33,"")</f>
        <v/>
      </c>
      <c r="M233" s="81" t="str">
        <f>IF(L231&lt;&gt;"",IFERROR(IF(ISNUMBER(L231),L231,0),0)+IFERROR(IF(ISNUMBER(L232),L232,0),0)+IFERROR(IF(ISNUMBER(L233),L233,0),0),"")</f>
        <v/>
      </c>
    </row>
    <row r="234" spans="1:13" ht="19.5" customHeight="1" x14ac:dyDescent="0.35">
      <c r="A234" s="78" t="s">
        <v>227</v>
      </c>
      <c r="B234" s="79" t="str">
        <f>IF('Beginner Adv 15M - Scoring'!B32&lt;&gt;"",IF('Beginner Adv 15M - Scoring'!X32&lt;&gt;"",'Beginner Adv 15M - Scoring'!X32,""),"")</f>
        <v/>
      </c>
      <c r="C234" s="79" t="str">
        <f>IF('Beginner Adv 15M - Scoring'!B32&lt;&gt;"",IF('Beginner Adv 15M - Scoring'!Y32&lt;&gt;"",'Beginner Adv 15M - Scoring'!Y32,""),"")</f>
        <v/>
      </c>
      <c r="D234" s="79" t="str">
        <f>IF('Beginner Adv 15M - Scoring'!B32&lt;&gt;"",IF('Beginner Adv 15M - Scoring'!Z32&lt;&gt;"",'Beginner Adv 15M - Scoring'!Z32,""),"")</f>
        <v/>
      </c>
      <c r="E234" s="80" t="str">
        <f>IF('Beginner Adv 15M - Scoring'!B32&lt;&gt;"",'Beginner Adv 15M - Scoring'!AS32,"")</f>
        <v/>
      </c>
      <c r="F234" s="81" t="str">
        <f>IF(E231&lt;&gt;"",IFERROR(IF(ISNUMBER(E231),E231,0),0)+IFERROR(IF(ISNUMBER(E232),E232,0),0)+IFERROR(IF(ISNUMBER(E233),E233,0),0)+IFERROR(IF(ISNUMBER(E234),E234,0),0),"")</f>
        <v/>
      </c>
      <c r="H234" s="78" t="s">
        <v>227</v>
      </c>
      <c r="I234" s="79" t="str">
        <f>IF('Beginner Adv 15M - Scoring'!B33&lt;&gt;"",IF('Beginner Adv 15M - Scoring'!X33&lt;&gt;"",'Beginner Adv 15M - Scoring'!X33,""),"")</f>
        <v/>
      </c>
      <c r="J234" s="79" t="str">
        <f>IF('Beginner Adv 15M - Scoring'!B33&lt;&gt;"",IF('Beginner Adv 15M - Scoring'!Y33&lt;&gt;"",'Beginner Adv 15M - Scoring'!Y33,""),"")</f>
        <v/>
      </c>
      <c r="K234" s="79" t="str">
        <f>IF('Beginner Adv 15M - Scoring'!B33&lt;&gt;"",IF('Beginner Adv 15M - Scoring'!Z33&lt;&gt;"",'Beginner Adv 15M - Scoring'!Z33,""),"")</f>
        <v/>
      </c>
      <c r="L234" s="80" t="str">
        <f>IF('Beginner Adv 15M - Scoring'!B33&lt;&gt;"",'Beginner Adv 15M - Scoring'!AS33,"")</f>
        <v/>
      </c>
      <c r="M234" s="81" t="str">
        <f>IF(L231&lt;&gt;"",IFERROR(IF(ISNUMBER(L231),L231,0),0)+IFERROR(IF(ISNUMBER(L232),L232,0),0)+IFERROR(IF(ISNUMBER(L233),L233,0),0)+IFERROR(IF(ISNUMBER(L234),L234,0),0),"")</f>
        <v/>
      </c>
    </row>
    <row r="235" spans="1:13" ht="19.5" customHeight="1" x14ac:dyDescent="0.35">
      <c r="A235" s="78" t="s">
        <v>228</v>
      </c>
      <c r="B235" s="79" t="str">
        <f>IF('Beginner Adv 15M - Scoring'!B32&lt;&gt;"",IF('Beginner Adv 15M - Scoring'!AD32&lt;&gt;"",'Beginner Adv 15M - Scoring'!AD32,""),"")</f>
        <v/>
      </c>
      <c r="C235" s="79" t="str">
        <f>IF('Beginner Adv 15M - Scoring'!B32&lt;&gt;"",IF('Beginner Adv 15M - Scoring'!AE32&lt;&gt;"",'Beginner Adv 15M - Scoring'!AE32,""),"")</f>
        <v/>
      </c>
      <c r="D235" s="79" t="str">
        <f>IF('Beginner Adv 15M - Scoring'!B32&lt;&gt;"",IF('Beginner Adv 15M - Scoring'!AF32&lt;&gt;"",'Beginner Adv 15M - Scoring'!AF32,""),"")</f>
        <v/>
      </c>
      <c r="E235" s="80" t="str">
        <f>IF('Beginner Adv 15M - Scoring'!B32&lt;&gt;"",'Beginner Adv 15M - Scoring'!AT32,"")</f>
        <v/>
      </c>
      <c r="F235" s="81" t="str">
        <f>IF(E231&lt;&gt;"",IFERROR(IF(ISNUMBER(E231),E231,0),0)+IFERROR(IF(ISNUMBER(E232),E232,0),0)+IFERROR(IF(ISNUMBER(E233),E233,0),0)+IFERROR(IF(ISNUMBER(E234),E234,0),0)+IFERROR(IF(ISNUMBER(E235),E235,0),0),"")</f>
        <v/>
      </c>
      <c r="H235" s="78" t="s">
        <v>228</v>
      </c>
      <c r="I235" s="79" t="str">
        <f>IF('Beginner Adv 15M - Scoring'!B33&lt;&gt;"",IF('Beginner Adv 15M - Scoring'!AD33&lt;&gt;"",'Beginner Adv 15M - Scoring'!AD33,""),"")</f>
        <v/>
      </c>
      <c r="J235" s="79" t="str">
        <f>IF('Beginner Adv 15M - Scoring'!B33&lt;&gt;"",IF('Beginner Adv 15M - Scoring'!AE33&lt;&gt;"",'Beginner Adv 15M - Scoring'!AE33,""),"")</f>
        <v/>
      </c>
      <c r="K235" s="79" t="str">
        <f>IF('Beginner Adv 15M - Scoring'!B33&lt;&gt;"",IF('Beginner Adv 15M - Scoring'!AF33&lt;&gt;"",'Beginner Adv 15M - Scoring'!AF33,""),"")</f>
        <v/>
      </c>
      <c r="L235" s="80" t="str">
        <f>IF('Beginner Adv 15M - Scoring'!B33&lt;&gt;"",'Beginner Adv 15M - Scoring'!AT33,"")</f>
        <v/>
      </c>
      <c r="M235" s="81" t="str">
        <f>IF(L231&lt;&gt;"",IFERROR(IF(ISNUMBER(L231),L231,0),0)+IFERROR(IF(ISNUMBER(L232),L232,0),0)+IFERROR(IF(ISNUMBER(L233),L233,0),0)+IFERROR(IF(ISNUMBER(L234),L234,0),0)+IFERROR(IF(ISNUMBER(L235),L235,0),0),"")</f>
        <v/>
      </c>
    </row>
    <row r="236" spans="1:13" ht="19.5" customHeight="1" x14ac:dyDescent="0.35">
      <c r="A236" s="78" t="s">
        <v>229</v>
      </c>
      <c r="B236" s="79" t="str">
        <f>IF('Beginner Adv 15M - Scoring'!B32&lt;&gt;"",IF('Beginner Adv 15M - Scoring'!AJ32&lt;&gt;"",'Beginner Adv 15M - Scoring'!AJ32,""),"")</f>
        <v/>
      </c>
      <c r="C236" s="79" t="str">
        <f>IF('Beginner Adv 15M - Scoring'!B32&lt;&gt;"",IF('Beginner Adv 15M - Scoring'!AK32&lt;&gt;"",'Beginner Adv 15M - Scoring'!AK32,""),"")</f>
        <v/>
      </c>
      <c r="D236" s="79" t="str">
        <f>IF('Beginner Adv 15M - Scoring'!B32&lt;&gt;"",IF('Beginner Adv 15M - Scoring'!AL32&lt;&gt;"",'Beginner Adv 15M - Scoring'!AL32,""),"")</f>
        <v/>
      </c>
      <c r="E236" s="80" t="str">
        <f>IF('Beginner Adv 15M - Scoring'!B32&lt;&gt;"",'Beginner Adv 15M - Scoring'!AU32,"")</f>
        <v/>
      </c>
      <c r="F236" s="81" t="str">
        <f>IF(E231&lt;&gt;"",IFERROR(IF(ISNUMBER(E231),E231,0),0)+IFERROR(IF(ISNUMBER(E232),E232,0),0)+IFERROR(IF(ISNUMBER(E233),E233,0),0)+IFERROR(IF(ISNUMBER(E234),E234,0),0)+IFERROR(IF(ISNUMBER(E235),E235,0),0)+IFERROR(IF(ISNUMBER(E236),E236,0),0),"")</f>
        <v/>
      </c>
      <c r="H236" s="78" t="s">
        <v>229</v>
      </c>
      <c r="I236" s="79" t="str">
        <f>IF('Beginner Adv 15M - Scoring'!B33&lt;&gt;"",IF('Beginner Adv 15M - Scoring'!AJ33&lt;&gt;"",'Beginner Adv 15M - Scoring'!AJ33,""),"")</f>
        <v/>
      </c>
      <c r="J236" s="79" t="str">
        <f>IF('Beginner Adv 15M - Scoring'!B33&lt;&gt;"",IF('Beginner Adv 15M - Scoring'!AK33&lt;&gt;"",'Beginner Adv 15M - Scoring'!AK33,""),"")</f>
        <v/>
      </c>
      <c r="K236" s="79" t="str">
        <f>IF('Beginner Adv 15M - Scoring'!B33&lt;&gt;"",IF('Beginner Adv 15M - Scoring'!AL33&lt;&gt;"",'Beginner Adv 15M - Scoring'!AL33,""),"")</f>
        <v/>
      </c>
      <c r="L236" s="80" t="str">
        <f>IF('Beginner Adv 15M - Scoring'!B33&lt;&gt;"",'Beginner Adv 15M - Scoring'!AU33,"")</f>
        <v/>
      </c>
      <c r="M236" s="81" t="str">
        <f>IF(L231&lt;&gt;"",IFERROR(IF(ISNUMBER(L231),L231,0),0)+IFERROR(IF(ISNUMBER(L232),L232,0),0)+IFERROR(IF(ISNUMBER(L233),L233,0),0)+IFERROR(IF(ISNUMBER(L234),L234,0),0)+IFERROR(IF(ISNUMBER(L235),L235,0),0)+IFERROR(IF(ISNUMBER(L236),L236,0),0),"")</f>
        <v/>
      </c>
    </row>
    <row r="237" spans="1:13" ht="3.75" customHeight="1" x14ac:dyDescent="0.35"/>
    <row r="238" spans="1:13" ht="24" customHeight="1" x14ac:dyDescent="0.35">
      <c r="A238" s="124" t="s">
        <v>230</v>
      </c>
      <c r="B238" s="124"/>
      <c r="C238" s="124"/>
      <c r="D238" s="124"/>
      <c r="E238" s="125" t="str">
        <f>IF('Beginner Adv 15M - Scoring'!B32&lt;&gt;"",'Beginner Adv 15M - Scoring'!AV32,"")</f>
        <v/>
      </c>
      <c r="F238" s="125"/>
      <c r="H238" s="124" t="s">
        <v>230</v>
      </c>
      <c r="I238" s="124"/>
      <c r="J238" s="124"/>
      <c r="K238" s="124"/>
      <c r="L238" s="125" t="str">
        <f>IF('Beginner Adv 15M - Scoring'!B33&lt;&gt;"",'Beginner Adv 15M - Scoring'!AV33,"")</f>
        <v/>
      </c>
      <c r="M238" s="125"/>
    </row>
    <row r="239" spans="1:13" ht="19.5" customHeight="1" x14ac:dyDescent="0.35">
      <c r="E239" s="125"/>
      <c r="F239" s="125"/>
      <c r="L239" s="125"/>
      <c r="M239" s="125"/>
    </row>
    <row r="240" spans="1:13" ht="3.75" customHeight="1" x14ac:dyDescent="0.35"/>
    <row r="241" spans="1:13" ht="18" customHeight="1" x14ac:dyDescent="0.35">
      <c r="A241" s="73" t="s">
        <v>126</v>
      </c>
      <c r="B241" s="82" t="str">
        <f>IF('Beginner Adv 15M - Scoring'!B32&lt;&gt;"",'Beginner Adv 15M - Scoring'!AW32,"")</f>
        <v/>
      </c>
      <c r="C241" s="73" t="s">
        <v>127</v>
      </c>
      <c r="D241" s="83" t="str">
        <f>IF('Beginner Adv 15M - Scoring'!B32&lt;&gt;"",'Beginner Adv 15M - Scoring'!AX32,"")</f>
        <v/>
      </c>
      <c r="E241" s="73" t="s">
        <v>128</v>
      </c>
      <c r="F241" s="83" t="str">
        <f>IF('Beginner Adv 15M - Scoring'!B32&lt;&gt;"",'Beginner Adv 15M - Scoring'!AY32,"")</f>
        <v/>
      </c>
      <c r="H241" s="73" t="s">
        <v>126</v>
      </c>
      <c r="I241" s="82" t="str">
        <f>IF('Beginner Adv 15M - Scoring'!B33&lt;&gt;"",'Beginner Adv 15M - Scoring'!AW33,"")</f>
        <v/>
      </c>
      <c r="J241" s="73" t="s">
        <v>127</v>
      </c>
      <c r="K241" s="83" t="str">
        <f>IF('Beginner Adv 15M - Scoring'!B33&lt;&gt;"",'Beginner Adv 15M - Scoring'!AX33,"")</f>
        <v/>
      </c>
      <c r="L241" s="73" t="s">
        <v>128</v>
      </c>
      <c r="M241" s="83" t="str">
        <f>IF('Beginner Adv 15M - Scoring'!B33&lt;&gt;"",'Beginner Adv 15M - Scoring'!AY33,"")</f>
        <v/>
      </c>
    </row>
    <row r="242" spans="1:13" ht="3.75" customHeight="1" x14ac:dyDescent="0.35"/>
    <row r="243" spans="1:13" ht="7.5" customHeight="1" x14ac:dyDescent="0.35">
      <c r="A243" s="126"/>
      <c r="B243" s="126"/>
      <c r="C243" s="126"/>
      <c r="D243" s="126"/>
      <c r="E243" s="126"/>
      <c r="F243" s="126"/>
      <c r="G243" s="126"/>
      <c r="H243" s="126"/>
      <c r="I243" s="126"/>
      <c r="J243" s="126"/>
      <c r="K243" s="126"/>
      <c r="L243" s="126"/>
      <c r="M243" s="126"/>
    </row>
    <row r="244" spans="1:13" ht="15.75" customHeight="1" x14ac:dyDescent="0.35">
      <c r="A244" s="73" t="s">
        <v>218</v>
      </c>
      <c r="B244" s="122" t="str">
        <f>IF('Beginner Adv 15M - Scoring'!B34&lt;&gt;"",'Beginner Adv 15M - Scoring'!B34,"")</f>
        <v/>
      </c>
      <c r="C244" s="122"/>
      <c r="D244" s="122"/>
      <c r="E244" s="73" t="s">
        <v>219</v>
      </c>
      <c r="F244" s="74" t="str">
        <f>IF('Beginner Adv 15M - Scoring'!B34&lt;&gt;"",'Beginner Adv 15M - Scoring'!BB34,"")</f>
        <v/>
      </c>
      <c r="H244" s="73" t="s">
        <v>218</v>
      </c>
      <c r="I244" s="122" t="str">
        <f>IF('Beginner Adv 15M - Scoring'!B35&lt;&gt;"",'Beginner Adv 15M - Scoring'!B35,"")</f>
        <v/>
      </c>
      <c r="J244" s="122"/>
      <c r="K244" s="122"/>
      <c r="L244" s="73" t="s">
        <v>219</v>
      </c>
      <c r="M244" s="74" t="str">
        <f>IF('Beginner Adv 15M - Scoring'!B35&lt;&gt;"",'Beginner Adv 15M - Scoring'!BB35,"")</f>
        <v/>
      </c>
    </row>
    <row r="245" spans="1:13" ht="15.75" customHeight="1" x14ac:dyDescent="0.35">
      <c r="A245" s="73" t="s">
        <v>220</v>
      </c>
      <c r="B245" s="123" t="str">
        <f>IF('Beginner Adv 15M - Scoring'!B34&lt;&gt;"",'Beginner Adv 15M - Scoring'!D34,"")</f>
        <v/>
      </c>
      <c r="C245" s="123"/>
      <c r="D245" s="123"/>
      <c r="E245" s="73" t="s">
        <v>8</v>
      </c>
      <c r="F245" s="75" t="str">
        <f>IF('Beginner Adv 15M - Scoring'!B34&lt;&gt;"",'Beginner Adv 15M - Scoring'!E34,"")</f>
        <v/>
      </c>
      <c r="H245" s="73" t="s">
        <v>220</v>
      </c>
      <c r="I245" s="123" t="str">
        <f>IF('Beginner Adv 15M - Scoring'!B35&lt;&gt;"",'Beginner Adv 15M - Scoring'!D35,"")</f>
        <v/>
      </c>
      <c r="J245" s="123"/>
      <c r="K245" s="123"/>
      <c r="L245" s="73" t="s">
        <v>8</v>
      </c>
      <c r="M245" s="75" t="str">
        <f>IF('Beginner Adv 15M - Scoring'!B35&lt;&gt;"",'Beginner Adv 15M - Scoring'!E35,"")</f>
        <v/>
      </c>
    </row>
    <row r="246" spans="1:13" ht="3.75" customHeight="1" x14ac:dyDescent="0.35"/>
    <row r="247" spans="1:13" ht="25.5" customHeight="1" x14ac:dyDescent="0.35">
      <c r="A247" s="76" t="s">
        <v>221</v>
      </c>
      <c r="B247" s="77" t="s">
        <v>222</v>
      </c>
      <c r="C247" s="77" t="s">
        <v>223</v>
      </c>
      <c r="D247" s="77" t="s">
        <v>224</v>
      </c>
      <c r="E247" s="76" t="s">
        <v>225</v>
      </c>
      <c r="F247" s="76" t="s">
        <v>226</v>
      </c>
      <c r="H247" s="76" t="s">
        <v>221</v>
      </c>
      <c r="I247" s="77" t="s">
        <v>222</v>
      </c>
      <c r="J247" s="77" t="s">
        <v>223</v>
      </c>
      <c r="K247" s="77" t="s">
        <v>224</v>
      </c>
      <c r="L247" s="76" t="s">
        <v>225</v>
      </c>
      <c r="M247" s="76" t="s">
        <v>226</v>
      </c>
    </row>
    <row r="248" spans="1:13" ht="19.5" customHeight="1" x14ac:dyDescent="0.35">
      <c r="A248" s="78" t="s">
        <v>222</v>
      </c>
      <c r="B248" s="79" t="str">
        <f>IF('Beginner Adv 15M - Scoring'!B34&lt;&gt;"",IF('Beginner Adv 15M - Scoring'!F34&lt;&gt;"",'Beginner Adv 15M - Scoring'!F34,""),"")</f>
        <v/>
      </c>
      <c r="C248" s="79" t="str">
        <f>IF('Beginner Adv 15M - Scoring'!B34&lt;&gt;"",IF('Beginner Adv 15M - Scoring'!G34&lt;&gt;"",'Beginner Adv 15M - Scoring'!G34,""),"")</f>
        <v/>
      </c>
      <c r="D248" s="79" t="str">
        <f>IF('Beginner Adv 15M - Scoring'!B34&lt;&gt;"",IF('Beginner Adv 15M - Scoring'!H34&lt;&gt;"",'Beginner Adv 15M - Scoring'!H34,""),"")</f>
        <v/>
      </c>
      <c r="E248" s="80" t="str">
        <f>IF('Beginner Adv 15M - Scoring'!B34&lt;&gt;"",'Beginner Adv 15M - Scoring'!AP34,"")</f>
        <v/>
      </c>
      <c r="F248" s="81" t="str">
        <f>IFERROR(IF(ISNUMBER(E248),E248,""),"")</f>
        <v/>
      </c>
      <c r="H248" s="78" t="s">
        <v>222</v>
      </c>
      <c r="I248" s="79" t="str">
        <f>IF('Beginner Adv 15M - Scoring'!B35&lt;&gt;"",IF('Beginner Adv 15M - Scoring'!F35&lt;&gt;"",'Beginner Adv 15M - Scoring'!F35,""),"")</f>
        <v/>
      </c>
      <c r="J248" s="79" t="str">
        <f>IF('Beginner Adv 15M - Scoring'!B35&lt;&gt;"",IF('Beginner Adv 15M - Scoring'!G35&lt;&gt;"",'Beginner Adv 15M - Scoring'!G35,""),"")</f>
        <v/>
      </c>
      <c r="K248" s="79" t="str">
        <f>IF('Beginner Adv 15M - Scoring'!B35&lt;&gt;"",IF('Beginner Adv 15M - Scoring'!H35&lt;&gt;"",'Beginner Adv 15M - Scoring'!H35,""),"")</f>
        <v/>
      </c>
      <c r="L248" s="80" t="str">
        <f>IF('Beginner Adv 15M - Scoring'!B35&lt;&gt;"",'Beginner Adv 15M - Scoring'!AP35,"")</f>
        <v/>
      </c>
      <c r="M248" s="81" t="str">
        <f>IFERROR(IF(ISNUMBER(L248),L248,""),"")</f>
        <v/>
      </c>
    </row>
    <row r="249" spans="1:13" ht="19.5" customHeight="1" x14ac:dyDescent="0.35">
      <c r="A249" s="78" t="s">
        <v>223</v>
      </c>
      <c r="B249" s="79" t="str">
        <f>IF('Beginner Adv 15M - Scoring'!B34&lt;&gt;"",IF('Beginner Adv 15M - Scoring'!L34&lt;&gt;"",'Beginner Adv 15M - Scoring'!L34,""),"")</f>
        <v/>
      </c>
      <c r="C249" s="79" t="str">
        <f>IF('Beginner Adv 15M - Scoring'!B34&lt;&gt;"",IF('Beginner Adv 15M - Scoring'!M34&lt;&gt;"",'Beginner Adv 15M - Scoring'!M34,""),"")</f>
        <v/>
      </c>
      <c r="D249" s="79" t="str">
        <f>IF('Beginner Adv 15M - Scoring'!B34&lt;&gt;"",IF('Beginner Adv 15M - Scoring'!N34&lt;&gt;"",'Beginner Adv 15M - Scoring'!N34,""),"")</f>
        <v/>
      </c>
      <c r="E249" s="80" t="str">
        <f>IF('Beginner Adv 15M - Scoring'!B34&lt;&gt;"",'Beginner Adv 15M - Scoring'!AQ34,"")</f>
        <v/>
      </c>
      <c r="F249" s="81" t="str">
        <f>IF(E248&lt;&gt;"",IFERROR(IF(ISNUMBER(E248),E248,0),0)+IFERROR(IF(ISNUMBER(E249),E249,0),0),"")</f>
        <v/>
      </c>
      <c r="H249" s="78" t="s">
        <v>223</v>
      </c>
      <c r="I249" s="79" t="str">
        <f>IF('Beginner Adv 15M - Scoring'!B35&lt;&gt;"",IF('Beginner Adv 15M - Scoring'!L35&lt;&gt;"",'Beginner Adv 15M - Scoring'!L35,""),"")</f>
        <v/>
      </c>
      <c r="J249" s="79" t="str">
        <f>IF('Beginner Adv 15M - Scoring'!B35&lt;&gt;"",IF('Beginner Adv 15M - Scoring'!M35&lt;&gt;"",'Beginner Adv 15M - Scoring'!M35,""),"")</f>
        <v/>
      </c>
      <c r="K249" s="79" t="str">
        <f>IF('Beginner Adv 15M - Scoring'!B35&lt;&gt;"",IF('Beginner Adv 15M - Scoring'!N35&lt;&gt;"",'Beginner Adv 15M - Scoring'!N35,""),"")</f>
        <v/>
      </c>
      <c r="L249" s="80" t="str">
        <f>IF('Beginner Adv 15M - Scoring'!B35&lt;&gt;"",'Beginner Adv 15M - Scoring'!AQ35,"")</f>
        <v/>
      </c>
      <c r="M249" s="81" t="str">
        <f>IF(L248&lt;&gt;"",IFERROR(IF(ISNUMBER(L248),L248,0),0)+IFERROR(IF(ISNUMBER(L249),L249,0),0),"")</f>
        <v/>
      </c>
    </row>
    <row r="250" spans="1:13" ht="19.5" customHeight="1" x14ac:dyDescent="0.35">
      <c r="A250" s="78" t="s">
        <v>224</v>
      </c>
      <c r="B250" s="79" t="str">
        <f>IF('Beginner Adv 15M - Scoring'!B34&lt;&gt;"",IF('Beginner Adv 15M - Scoring'!R34&lt;&gt;"",'Beginner Adv 15M - Scoring'!R34,""),"")</f>
        <v/>
      </c>
      <c r="C250" s="79" t="str">
        <f>IF('Beginner Adv 15M - Scoring'!B34&lt;&gt;"",IF('Beginner Adv 15M - Scoring'!S34&lt;&gt;"",'Beginner Adv 15M - Scoring'!S34,""),"")</f>
        <v/>
      </c>
      <c r="D250" s="79" t="str">
        <f>IF('Beginner Adv 15M - Scoring'!B34&lt;&gt;"",IF('Beginner Adv 15M - Scoring'!T34&lt;&gt;"",'Beginner Adv 15M - Scoring'!T34,""),"")</f>
        <v/>
      </c>
      <c r="E250" s="80" t="str">
        <f>IF('Beginner Adv 15M - Scoring'!B34&lt;&gt;"",'Beginner Adv 15M - Scoring'!AR34,"")</f>
        <v/>
      </c>
      <c r="F250" s="81" t="str">
        <f>IF(E248&lt;&gt;"",IFERROR(IF(ISNUMBER(E248),E248,0),0)+IFERROR(IF(ISNUMBER(E249),E249,0),0)+IFERROR(IF(ISNUMBER(E250),E250,0),0),"")</f>
        <v/>
      </c>
      <c r="H250" s="78" t="s">
        <v>224</v>
      </c>
      <c r="I250" s="79" t="str">
        <f>IF('Beginner Adv 15M - Scoring'!B35&lt;&gt;"",IF('Beginner Adv 15M - Scoring'!R35&lt;&gt;"",'Beginner Adv 15M - Scoring'!R35,""),"")</f>
        <v/>
      </c>
      <c r="J250" s="79" t="str">
        <f>IF('Beginner Adv 15M - Scoring'!B35&lt;&gt;"",IF('Beginner Adv 15M - Scoring'!S35&lt;&gt;"",'Beginner Adv 15M - Scoring'!S35,""),"")</f>
        <v/>
      </c>
      <c r="K250" s="79" t="str">
        <f>IF('Beginner Adv 15M - Scoring'!B35&lt;&gt;"",IF('Beginner Adv 15M - Scoring'!T35&lt;&gt;"",'Beginner Adv 15M - Scoring'!T35,""),"")</f>
        <v/>
      </c>
      <c r="L250" s="80" t="str">
        <f>IF('Beginner Adv 15M - Scoring'!B35&lt;&gt;"",'Beginner Adv 15M - Scoring'!AR35,"")</f>
        <v/>
      </c>
      <c r="M250" s="81" t="str">
        <f>IF(L248&lt;&gt;"",IFERROR(IF(ISNUMBER(L248),L248,0),0)+IFERROR(IF(ISNUMBER(L249),L249,0),0)+IFERROR(IF(ISNUMBER(L250),L250,0),0),"")</f>
        <v/>
      </c>
    </row>
    <row r="251" spans="1:13" ht="19.5" customHeight="1" x14ac:dyDescent="0.35">
      <c r="A251" s="78" t="s">
        <v>227</v>
      </c>
      <c r="B251" s="79" t="str">
        <f>IF('Beginner Adv 15M - Scoring'!B34&lt;&gt;"",IF('Beginner Adv 15M - Scoring'!X34&lt;&gt;"",'Beginner Adv 15M - Scoring'!X34,""),"")</f>
        <v/>
      </c>
      <c r="C251" s="79" t="str">
        <f>IF('Beginner Adv 15M - Scoring'!B34&lt;&gt;"",IF('Beginner Adv 15M - Scoring'!Y34&lt;&gt;"",'Beginner Adv 15M - Scoring'!Y34,""),"")</f>
        <v/>
      </c>
      <c r="D251" s="79" t="str">
        <f>IF('Beginner Adv 15M - Scoring'!B34&lt;&gt;"",IF('Beginner Adv 15M - Scoring'!Z34&lt;&gt;"",'Beginner Adv 15M - Scoring'!Z34,""),"")</f>
        <v/>
      </c>
      <c r="E251" s="80" t="str">
        <f>IF('Beginner Adv 15M - Scoring'!B34&lt;&gt;"",'Beginner Adv 15M - Scoring'!AS34,"")</f>
        <v/>
      </c>
      <c r="F251" s="81" t="str">
        <f>IF(E248&lt;&gt;"",IFERROR(IF(ISNUMBER(E248),E248,0),0)+IFERROR(IF(ISNUMBER(E249),E249,0),0)+IFERROR(IF(ISNUMBER(E250),E250,0),0)+IFERROR(IF(ISNUMBER(E251),E251,0),0),"")</f>
        <v/>
      </c>
      <c r="H251" s="78" t="s">
        <v>227</v>
      </c>
      <c r="I251" s="79" t="str">
        <f>IF('Beginner Adv 15M - Scoring'!B35&lt;&gt;"",IF('Beginner Adv 15M - Scoring'!X35&lt;&gt;"",'Beginner Adv 15M - Scoring'!X35,""),"")</f>
        <v/>
      </c>
      <c r="J251" s="79" t="str">
        <f>IF('Beginner Adv 15M - Scoring'!B35&lt;&gt;"",IF('Beginner Adv 15M - Scoring'!Y35&lt;&gt;"",'Beginner Adv 15M - Scoring'!Y35,""),"")</f>
        <v/>
      </c>
      <c r="K251" s="79" t="str">
        <f>IF('Beginner Adv 15M - Scoring'!B35&lt;&gt;"",IF('Beginner Adv 15M - Scoring'!Z35&lt;&gt;"",'Beginner Adv 15M - Scoring'!Z35,""),"")</f>
        <v/>
      </c>
      <c r="L251" s="80" t="str">
        <f>IF('Beginner Adv 15M - Scoring'!B35&lt;&gt;"",'Beginner Adv 15M - Scoring'!AS35,"")</f>
        <v/>
      </c>
      <c r="M251" s="81" t="str">
        <f>IF(L248&lt;&gt;"",IFERROR(IF(ISNUMBER(L248),L248,0),0)+IFERROR(IF(ISNUMBER(L249),L249,0),0)+IFERROR(IF(ISNUMBER(L250),L250,0),0)+IFERROR(IF(ISNUMBER(L251),L251,0),0),"")</f>
        <v/>
      </c>
    </row>
    <row r="252" spans="1:13" ht="19.5" customHeight="1" x14ac:dyDescent="0.35">
      <c r="A252" s="78" t="s">
        <v>228</v>
      </c>
      <c r="B252" s="79" t="str">
        <f>IF('Beginner Adv 15M - Scoring'!B34&lt;&gt;"",IF('Beginner Adv 15M - Scoring'!AD34&lt;&gt;"",'Beginner Adv 15M - Scoring'!AD34,""),"")</f>
        <v/>
      </c>
      <c r="C252" s="79" t="str">
        <f>IF('Beginner Adv 15M - Scoring'!B34&lt;&gt;"",IF('Beginner Adv 15M - Scoring'!AE34&lt;&gt;"",'Beginner Adv 15M - Scoring'!AE34,""),"")</f>
        <v/>
      </c>
      <c r="D252" s="79" t="str">
        <f>IF('Beginner Adv 15M - Scoring'!B34&lt;&gt;"",IF('Beginner Adv 15M - Scoring'!AF34&lt;&gt;"",'Beginner Adv 15M - Scoring'!AF34,""),"")</f>
        <v/>
      </c>
      <c r="E252" s="80" t="str">
        <f>IF('Beginner Adv 15M - Scoring'!B34&lt;&gt;"",'Beginner Adv 15M - Scoring'!AT34,"")</f>
        <v/>
      </c>
      <c r="F252" s="81" t="str">
        <f>IF(E248&lt;&gt;"",IFERROR(IF(ISNUMBER(E248),E248,0),0)+IFERROR(IF(ISNUMBER(E249),E249,0),0)+IFERROR(IF(ISNUMBER(E250),E250,0),0)+IFERROR(IF(ISNUMBER(E251),E251,0),0)+IFERROR(IF(ISNUMBER(E252),E252,0),0),"")</f>
        <v/>
      </c>
      <c r="H252" s="78" t="s">
        <v>228</v>
      </c>
      <c r="I252" s="79" t="str">
        <f>IF('Beginner Adv 15M - Scoring'!B35&lt;&gt;"",IF('Beginner Adv 15M - Scoring'!AD35&lt;&gt;"",'Beginner Adv 15M - Scoring'!AD35,""),"")</f>
        <v/>
      </c>
      <c r="J252" s="79" t="str">
        <f>IF('Beginner Adv 15M - Scoring'!B35&lt;&gt;"",IF('Beginner Adv 15M - Scoring'!AE35&lt;&gt;"",'Beginner Adv 15M - Scoring'!AE35,""),"")</f>
        <v/>
      </c>
      <c r="K252" s="79" t="str">
        <f>IF('Beginner Adv 15M - Scoring'!B35&lt;&gt;"",IF('Beginner Adv 15M - Scoring'!AF35&lt;&gt;"",'Beginner Adv 15M - Scoring'!AF35,""),"")</f>
        <v/>
      </c>
      <c r="L252" s="80" t="str">
        <f>IF('Beginner Adv 15M - Scoring'!B35&lt;&gt;"",'Beginner Adv 15M - Scoring'!AT35,"")</f>
        <v/>
      </c>
      <c r="M252" s="81" t="str">
        <f>IF(L248&lt;&gt;"",IFERROR(IF(ISNUMBER(L248),L248,0),0)+IFERROR(IF(ISNUMBER(L249),L249,0),0)+IFERROR(IF(ISNUMBER(L250),L250,0),0)+IFERROR(IF(ISNUMBER(L251),L251,0),0)+IFERROR(IF(ISNUMBER(L252),L252,0),0),"")</f>
        <v/>
      </c>
    </row>
    <row r="253" spans="1:13" ht="19.5" customHeight="1" x14ac:dyDescent="0.35">
      <c r="A253" s="78" t="s">
        <v>229</v>
      </c>
      <c r="B253" s="79" t="str">
        <f>IF('Beginner Adv 15M - Scoring'!B34&lt;&gt;"",IF('Beginner Adv 15M - Scoring'!AJ34&lt;&gt;"",'Beginner Adv 15M - Scoring'!AJ34,""),"")</f>
        <v/>
      </c>
      <c r="C253" s="79" t="str">
        <f>IF('Beginner Adv 15M - Scoring'!B34&lt;&gt;"",IF('Beginner Adv 15M - Scoring'!AK34&lt;&gt;"",'Beginner Adv 15M - Scoring'!AK34,""),"")</f>
        <v/>
      </c>
      <c r="D253" s="79" t="str">
        <f>IF('Beginner Adv 15M - Scoring'!B34&lt;&gt;"",IF('Beginner Adv 15M - Scoring'!AL34&lt;&gt;"",'Beginner Adv 15M - Scoring'!AL34,""),"")</f>
        <v/>
      </c>
      <c r="E253" s="80" t="str">
        <f>IF('Beginner Adv 15M - Scoring'!B34&lt;&gt;"",'Beginner Adv 15M - Scoring'!AU34,"")</f>
        <v/>
      </c>
      <c r="F253" s="81" t="str">
        <f>IF(E248&lt;&gt;"",IFERROR(IF(ISNUMBER(E248),E248,0),0)+IFERROR(IF(ISNUMBER(E249),E249,0),0)+IFERROR(IF(ISNUMBER(E250),E250,0),0)+IFERROR(IF(ISNUMBER(E251),E251,0),0)+IFERROR(IF(ISNUMBER(E252),E252,0),0)+IFERROR(IF(ISNUMBER(E253),E253,0),0),"")</f>
        <v/>
      </c>
      <c r="H253" s="78" t="s">
        <v>229</v>
      </c>
      <c r="I253" s="79" t="str">
        <f>IF('Beginner Adv 15M - Scoring'!B35&lt;&gt;"",IF('Beginner Adv 15M - Scoring'!AJ35&lt;&gt;"",'Beginner Adv 15M - Scoring'!AJ35,""),"")</f>
        <v/>
      </c>
      <c r="J253" s="79" t="str">
        <f>IF('Beginner Adv 15M - Scoring'!B35&lt;&gt;"",IF('Beginner Adv 15M - Scoring'!AK35&lt;&gt;"",'Beginner Adv 15M - Scoring'!AK35,""),"")</f>
        <v/>
      </c>
      <c r="K253" s="79" t="str">
        <f>IF('Beginner Adv 15M - Scoring'!B35&lt;&gt;"",IF('Beginner Adv 15M - Scoring'!AL35&lt;&gt;"",'Beginner Adv 15M - Scoring'!AL35,""),"")</f>
        <v/>
      </c>
      <c r="L253" s="80" t="str">
        <f>IF('Beginner Adv 15M - Scoring'!B35&lt;&gt;"",'Beginner Adv 15M - Scoring'!AU35,"")</f>
        <v/>
      </c>
      <c r="M253" s="81" t="str">
        <f>IF(L248&lt;&gt;"",IFERROR(IF(ISNUMBER(L248),L248,0),0)+IFERROR(IF(ISNUMBER(L249),L249,0),0)+IFERROR(IF(ISNUMBER(L250),L250,0),0)+IFERROR(IF(ISNUMBER(L251),L251,0),0)+IFERROR(IF(ISNUMBER(L252),L252,0),0)+IFERROR(IF(ISNUMBER(L253),L253,0),0),"")</f>
        <v/>
      </c>
    </row>
    <row r="254" spans="1:13" ht="3.75" customHeight="1" x14ac:dyDescent="0.35"/>
    <row r="255" spans="1:13" ht="24" customHeight="1" x14ac:dyDescent="0.35">
      <c r="A255" s="124" t="s">
        <v>230</v>
      </c>
      <c r="B255" s="124"/>
      <c r="C255" s="124"/>
      <c r="D255" s="124"/>
      <c r="E255" s="125" t="str">
        <f>IF('Beginner Adv 15M - Scoring'!B34&lt;&gt;"",'Beginner Adv 15M - Scoring'!AV34,"")</f>
        <v/>
      </c>
      <c r="F255" s="125"/>
      <c r="H255" s="124" t="s">
        <v>230</v>
      </c>
      <c r="I255" s="124"/>
      <c r="J255" s="124"/>
      <c r="K255" s="124"/>
      <c r="L255" s="125" t="str">
        <f>IF('Beginner Adv 15M - Scoring'!B35&lt;&gt;"",'Beginner Adv 15M - Scoring'!AV35,"")</f>
        <v/>
      </c>
      <c r="M255" s="125"/>
    </row>
    <row r="256" spans="1:13" ht="19.5" customHeight="1" x14ac:dyDescent="0.35">
      <c r="E256" s="125"/>
      <c r="F256" s="125"/>
      <c r="L256" s="125"/>
      <c r="M256" s="125"/>
    </row>
    <row r="257" spans="1:13" ht="3.75" customHeight="1" x14ac:dyDescent="0.35"/>
    <row r="258" spans="1:13" ht="18" customHeight="1" x14ac:dyDescent="0.35">
      <c r="A258" s="73" t="s">
        <v>126</v>
      </c>
      <c r="B258" s="82" t="str">
        <f>IF('Beginner Adv 15M - Scoring'!B34&lt;&gt;"",'Beginner Adv 15M - Scoring'!AW34,"")</f>
        <v/>
      </c>
      <c r="C258" s="73" t="s">
        <v>127</v>
      </c>
      <c r="D258" s="83" t="str">
        <f>IF('Beginner Adv 15M - Scoring'!B34&lt;&gt;"",'Beginner Adv 15M - Scoring'!AX34,"")</f>
        <v/>
      </c>
      <c r="E258" s="73" t="s">
        <v>128</v>
      </c>
      <c r="F258" s="83" t="str">
        <f>IF('Beginner Adv 15M - Scoring'!B34&lt;&gt;"",'Beginner Adv 15M - Scoring'!AY34,"")</f>
        <v/>
      </c>
      <c r="H258" s="73" t="s">
        <v>126</v>
      </c>
      <c r="I258" s="82" t="str">
        <f>IF('Beginner Adv 15M - Scoring'!B35&lt;&gt;"",'Beginner Adv 15M - Scoring'!AW35,"")</f>
        <v/>
      </c>
      <c r="J258" s="73" t="s">
        <v>127</v>
      </c>
      <c r="K258" s="83" t="str">
        <f>IF('Beginner Adv 15M - Scoring'!B35&lt;&gt;"",'Beginner Adv 15M - Scoring'!AX35,"")</f>
        <v/>
      </c>
      <c r="L258" s="73" t="s">
        <v>128</v>
      </c>
      <c r="M258" s="83" t="str">
        <f>IF('Beginner Adv 15M - Scoring'!B35&lt;&gt;"",'Beginner Adv 15M - Scoring'!AY35,"")</f>
        <v/>
      </c>
    </row>
    <row r="259" spans="1:13" ht="3.75" customHeight="1" x14ac:dyDescent="0.35"/>
    <row r="260" spans="1:13" ht="7.5" customHeight="1" x14ac:dyDescent="0.35">
      <c r="A260" s="126"/>
      <c r="B260" s="126"/>
      <c r="C260" s="126"/>
      <c r="D260" s="126"/>
      <c r="E260" s="126"/>
      <c r="F260" s="126"/>
      <c r="G260" s="126"/>
      <c r="H260" s="126"/>
      <c r="I260" s="126"/>
      <c r="J260" s="126"/>
      <c r="K260" s="126"/>
      <c r="L260" s="126"/>
      <c r="M260" s="126"/>
    </row>
    <row r="261" spans="1:13" ht="15.75" customHeight="1" x14ac:dyDescent="0.35">
      <c r="A261" s="73" t="s">
        <v>218</v>
      </c>
      <c r="B261" s="122" t="str">
        <f>IF('Beginner Adv 15M - Scoring'!B36&lt;&gt;"",'Beginner Adv 15M - Scoring'!B36,"")</f>
        <v/>
      </c>
      <c r="C261" s="122"/>
      <c r="D261" s="122"/>
      <c r="E261" s="73" t="s">
        <v>219</v>
      </c>
      <c r="F261" s="74" t="str">
        <f>IF('Beginner Adv 15M - Scoring'!B36&lt;&gt;"",'Beginner Adv 15M - Scoring'!BB36,"")</f>
        <v/>
      </c>
      <c r="H261" s="73" t="s">
        <v>218</v>
      </c>
      <c r="I261" s="122" t="str">
        <f>IF('Beginner Adv 15M - Scoring'!B37&lt;&gt;"",'Beginner Adv 15M - Scoring'!B37,"")</f>
        <v/>
      </c>
      <c r="J261" s="122"/>
      <c r="K261" s="122"/>
      <c r="L261" s="73" t="s">
        <v>219</v>
      </c>
      <c r="M261" s="74" t="str">
        <f>IF('Beginner Adv 15M - Scoring'!B37&lt;&gt;"",'Beginner Adv 15M - Scoring'!BB37,"")</f>
        <v/>
      </c>
    </row>
    <row r="262" spans="1:13" ht="15.75" customHeight="1" x14ac:dyDescent="0.35">
      <c r="A262" s="73" t="s">
        <v>220</v>
      </c>
      <c r="B262" s="123" t="str">
        <f>IF('Beginner Adv 15M - Scoring'!B36&lt;&gt;"",'Beginner Adv 15M - Scoring'!D36,"")</f>
        <v/>
      </c>
      <c r="C262" s="123"/>
      <c r="D262" s="123"/>
      <c r="E262" s="73" t="s">
        <v>8</v>
      </c>
      <c r="F262" s="75" t="str">
        <f>IF('Beginner Adv 15M - Scoring'!B36&lt;&gt;"",'Beginner Adv 15M - Scoring'!E36,"")</f>
        <v/>
      </c>
      <c r="H262" s="73" t="s">
        <v>220</v>
      </c>
      <c r="I262" s="123" t="str">
        <f>IF('Beginner Adv 15M - Scoring'!B37&lt;&gt;"",'Beginner Adv 15M - Scoring'!D37,"")</f>
        <v/>
      </c>
      <c r="J262" s="123"/>
      <c r="K262" s="123"/>
      <c r="L262" s="73" t="s">
        <v>8</v>
      </c>
      <c r="M262" s="75" t="str">
        <f>IF('Beginner Adv 15M - Scoring'!B37&lt;&gt;"",'Beginner Adv 15M - Scoring'!E37,"")</f>
        <v/>
      </c>
    </row>
    <row r="263" spans="1:13" ht="3.75" customHeight="1" x14ac:dyDescent="0.35"/>
    <row r="264" spans="1:13" ht="25.5" customHeight="1" x14ac:dyDescent="0.35">
      <c r="A264" s="76" t="s">
        <v>221</v>
      </c>
      <c r="B264" s="77" t="s">
        <v>222</v>
      </c>
      <c r="C264" s="77" t="s">
        <v>223</v>
      </c>
      <c r="D264" s="77" t="s">
        <v>224</v>
      </c>
      <c r="E264" s="76" t="s">
        <v>225</v>
      </c>
      <c r="F264" s="76" t="s">
        <v>226</v>
      </c>
      <c r="H264" s="76" t="s">
        <v>221</v>
      </c>
      <c r="I264" s="77" t="s">
        <v>222</v>
      </c>
      <c r="J264" s="77" t="s">
        <v>223</v>
      </c>
      <c r="K264" s="77" t="s">
        <v>224</v>
      </c>
      <c r="L264" s="76" t="s">
        <v>225</v>
      </c>
      <c r="M264" s="76" t="s">
        <v>226</v>
      </c>
    </row>
    <row r="265" spans="1:13" ht="19.5" customHeight="1" x14ac:dyDescent="0.35">
      <c r="A265" s="78" t="s">
        <v>222</v>
      </c>
      <c r="B265" s="79" t="str">
        <f>IF('Beginner Adv 15M - Scoring'!B36&lt;&gt;"",IF('Beginner Adv 15M - Scoring'!F36&lt;&gt;"",'Beginner Adv 15M - Scoring'!F36,""),"")</f>
        <v/>
      </c>
      <c r="C265" s="79" t="str">
        <f>IF('Beginner Adv 15M - Scoring'!B36&lt;&gt;"",IF('Beginner Adv 15M - Scoring'!G36&lt;&gt;"",'Beginner Adv 15M - Scoring'!G36,""),"")</f>
        <v/>
      </c>
      <c r="D265" s="79" t="str">
        <f>IF('Beginner Adv 15M - Scoring'!B36&lt;&gt;"",IF('Beginner Adv 15M - Scoring'!H36&lt;&gt;"",'Beginner Adv 15M - Scoring'!H36,""),"")</f>
        <v/>
      </c>
      <c r="E265" s="80" t="str">
        <f>IF('Beginner Adv 15M - Scoring'!B36&lt;&gt;"",'Beginner Adv 15M - Scoring'!AP36,"")</f>
        <v/>
      </c>
      <c r="F265" s="81" t="str">
        <f>IFERROR(IF(ISNUMBER(E265),E265,""),"")</f>
        <v/>
      </c>
      <c r="H265" s="78" t="s">
        <v>222</v>
      </c>
      <c r="I265" s="79" t="str">
        <f>IF('Beginner Adv 15M - Scoring'!B37&lt;&gt;"",IF('Beginner Adv 15M - Scoring'!F37&lt;&gt;"",'Beginner Adv 15M - Scoring'!F37,""),"")</f>
        <v/>
      </c>
      <c r="J265" s="79" t="str">
        <f>IF('Beginner Adv 15M - Scoring'!B37&lt;&gt;"",IF('Beginner Adv 15M - Scoring'!G37&lt;&gt;"",'Beginner Adv 15M - Scoring'!G37,""),"")</f>
        <v/>
      </c>
      <c r="K265" s="79" t="str">
        <f>IF('Beginner Adv 15M - Scoring'!B37&lt;&gt;"",IF('Beginner Adv 15M - Scoring'!H37&lt;&gt;"",'Beginner Adv 15M - Scoring'!H37,""),"")</f>
        <v/>
      </c>
      <c r="L265" s="80" t="str">
        <f>IF('Beginner Adv 15M - Scoring'!B37&lt;&gt;"",'Beginner Adv 15M - Scoring'!AP37,"")</f>
        <v/>
      </c>
      <c r="M265" s="81" t="str">
        <f>IFERROR(IF(ISNUMBER(L265),L265,""),"")</f>
        <v/>
      </c>
    </row>
    <row r="266" spans="1:13" ht="19.5" customHeight="1" x14ac:dyDescent="0.35">
      <c r="A266" s="78" t="s">
        <v>223</v>
      </c>
      <c r="B266" s="79" t="str">
        <f>IF('Beginner Adv 15M - Scoring'!B36&lt;&gt;"",IF('Beginner Adv 15M - Scoring'!L36&lt;&gt;"",'Beginner Adv 15M - Scoring'!L36,""),"")</f>
        <v/>
      </c>
      <c r="C266" s="79" t="str">
        <f>IF('Beginner Adv 15M - Scoring'!B36&lt;&gt;"",IF('Beginner Adv 15M - Scoring'!M36&lt;&gt;"",'Beginner Adv 15M - Scoring'!M36,""),"")</f>
        <v/>
      </c>
      <c r="D266" s="79" t="str">
        <f>IF('Beginner Adv 15M - Scoring'!B36&lt;&gt;"",IF('Beginner Adv 15M - Scoring'!N36&lt;&gt;"",'Beginner Adv 15M - Scoring'!N36,""),"")</f>
        <v/>
      </c>
      <c r="E266" s="80" t="str">
        <f>IF('Beginner Adv 15M - Scoring'!B36&lt;&gt;"",'Beginner Adv 15M - Scoring'!AQ36,"")</f>
        <v/>
      </c>
      <c r="F266" s="81" t="str">
        <f>IF(E265&lt;&gt;"",IFERROR(IF(ISNUMBER(E265),E265,0),0)+IFERROR(IF(ISNUMBER(E266),E266,0),0),"")</f>
        <v/>
      </c>
      <c r="H266" s="78" t="s">
        <v>223</v>
      </c>
      <c r="I266" s="79" t="str">
        <f>IF('Beginner Adv 15M - Scoring'!B37&lt;&gt;"",IF('Beginner Adv 15M - Scoring'!L37&lt;&gt;"",'Beginner Adv 15M - Scoring'!L37,""),"")</f>
        <v/>
      </c>
      <c r="J266" s="79" t="str">
        <f>IF('Beginner Adv 15M - Scoring'!B37&lt;&gt;"",IF('Beginner Adv 15M - Scoring'!M37&lt;&gt;"",'Beginner Adv 15M - Scoring'!M37,""),"")</f>
        <v/>
      </c>
      <c r="K266" s="79" t="str">
        <f>IF('Beginner Adv 15M - Scoring'!B37&lt;&gt;"",IF('Beginner Adv 15M - Scoring'!N37&lt;&gt;"",'Beginner Adv 15M - Scoring'!N37,""),"")</f>
        <v/>
      </c>
      <c r="L266" s="80" t="str">
        <f>IF('Beginner Adv 15M - Scoring'!B37&lt;&gt;"",'Beginner Adv 15M - Scoring'!AQ37,"")</f>
        <v/>
      </c>
      <c r="M266" s="81" t="str">
        <f>IF(L265&lt;&gt;"",IFERROR(IF(ISNUMBER(L265),L265,0),0)+IFERROR(IF(ISNUMBER(L266),L266,0),0),"")</f>
        <v/>
      </c>
    </row>
    <row r="267" spans="1:13" ht="19.5" customHeight="1" x14ac:dyDescent="0.35">
      <c r="A267" s="78" t="s">
        <v>224</v>
      </c>
      <c r="B267" s="79" t="str">
        <f>IF('Beginner Adv 15M - Scoring'!B36&lt;&gt;"",IF('Beginner Adv 15M - Scoring'!R36&lt;&gt;"",'Beginner Adv 15M - Scoring'!R36,""),"")</f>
        <v/>
      </c>
      <c r="C267" s="79" t="str">
        <f>IF('Beginner Adv 15M - Scoring'!B36&lt;&gt;"",IF('Beginner Adv 15M - Scoring'!S36&lt;&gt;"",'Beginner Adv 15M - Scoring'!S36,""),"")</f>
        <v/>
      </c>
      <c r="D267" s="79" t="str">
        <f>IF('Beginner Adv 15M - Scoring'!B36&lt;&gt;"",IF('Beginner Adv 15M - Scoring'!T36&lt;&gt;"",'Beginner Adv 15M - Scoring'!T36,""),"")</f>
        <v/>
      </c>
      <c r="E267" s="80" t="str">
        <f>IF('Beginner Adv 15M - Scoring'!B36&lt;&gt;"",'Beginner Adv 15M - Scoring'!AR36,"")</f>
        <v/>
      </c>
      <c r="F267" s="81" t="str">
        <f>IF(E265&lt;&gt;"",IFERROR(IF(ISNUMBER(E265),E265,0),0)+IFERROR(IF(ISNUMBER(E266),E266,0),0)+IFERROR(IF(ISNUMBER(E267),E267,0),0),"")</f>
        <v/>
      </c>
      <c r="H267" s="78" t="s">
        <v>224</v>
      </c>
      <c r="I267" s="79" t="str">
        <f>IF('Beginner Adv 15M - Scoring'!B37&lt;&gt;"",IF('Beginner Adv 15M - Scoring'!R37&lt;&gt;"",'Beginner Adv 15M - Scoring'!R37,""),"")</f>
        <v/>
      </c>
      <c r="J267" s="79" t="str">
        <f>IF('Beginner Adv 15M - Scoring'!B37&lt;&gt;"",IF('Beginner Adv 15M - Scoring'!S37&lt;&gt;"",'Beginner Adv 15M - Scoring'!S37,""),"")</f>
        <v/>
      </c>
      <c r="K267" s="79" t="str">
        <f>IF('Beginner Adv 15M - Scoring'!B37&lt;&gt;"",IF('Beginner Adv 15M - Scoring'!T37&lt;&gt;"",'Beginner Adv 15M - Scoring'!T37,""),"")</f>
        <v/>
      </c>
      <c r="L267" s="80" t="str">
        <f>IF('Beginner Adv 15M - Scoring'!B37&lt;&gt;"",'Beginner Adv 15M - Scoring'!AR37,"")</f>
        <v/>
      </c>
      <c r="M267" s="81" t="str">
        <f>IF(L265&lt;&gt;"",IFERROR(IF(ISNUMBER(L265),L265,0),0)+IFERROR(IF(ISNUMBER(L266),L266,0),0)+IFERROR(IF(ISNUMBER(L267),L267,0),0),"")</f>
        <v/>
      </c>
    </row>
    <row r="268" spans="1:13" ht="19.5" customHeight="1" x14ac:dyDescent="0.35">
      <c r="A268" s="78" t="s">
        <v>227</v>
      </c>
      <c r="B268" s="79" t="str">
        <f>IF('Beginner Adv 15M - Scoring'!B36&lt;&gt;"",IF('Beginner Adv 15M - Scoring'!X36&lt;&gt;"",'Beginner Adv 15M - Scoring'!X36,""),"")</f>
        <v/>
      </c>
      <c r="C268" s="79" t="str">
        <f>IF('Beginner Adv 15M - Scoring'!B36&lt;&gt;"",IF('Beginner Adv 15M - Scoring'!Y36&lt;&gt;"",'Beginner Adv 15M - Scoring'!Y36,""),"")</f>
        <v/>
      </c>
      <c r="D268" s="79" t="str">
        <f>IF('Beginner Adv 15M - Scoring'!B36&lt;&gt;"",IF('Beginner Adv 15M - Scoring'!Z36&lt;&gt;"",'Beginner Adv 15M - Scoring'!Z36,""),"")</f>
        <v/>
      </c>
      <c r="E268" s="80" t="str">
        <f>IF('Beginner Adv 15M - Scoring'!B36&lt;&gt;"",'Beginner Adv 15M - Scoring'!AS36,"")</f>
        <v/>
      </c>
      <c r="F268" s="81" t="str">
        <f>IF(E265&lt;&gt;"",IFERROR(IF(ISNUMBER(E265),E265,0),0)+IFERROR(IF(ISNUMBER(E266),E266,0),0)+IFERROR(IF(ISNUMBER(E267),E267,0),0)+IFERROR(IF(ISNUMBER(E268),E268,0),0),"")</f>
        <v/>
      </c>
      <c r="H268" s="78" t="s">
        <v>227</v>
      </c>
      <c r="I268" s="79" t="str">
        <f>IF('Beginner Adv 15M - Scoring'!B37&lt;&gt;"",IF('Beginner Adv 15M - Scoring'!X37&lt;&gt;"",'Beginner Adv 15M - Scoring'!X37,""),"")</f>
        <v/>
      </c>
      <c r="J268" s="79" t="str">
        <f>IF('Beginner Adv 15M - Scoring'!B37&lt;&gt;"",IF('Beginner Adv 15M - Scoring'!Y37&lt;&gt;"",'Beginner Adv 15M - Scoring'!Y37,""),"")</f>
        <v/>
      </c>
      <c r="K268" s="79" t="str">
        <f>IF('Beginner Adv 15M - Scoring'!B37&lt;&gt;"",IF('Beginner Adv 15M - Scoring'!Z37&lt;&gt;"",'Beginner Adv 15M - Scoring'!Z37,""),"")</f>
        <v/>
      </c>
      <c r="L268" s="80" t="str">
        <f>IF('Beginner Adv 15M - Scoring'!B37&lt;&gt;"",'Beginner Adv 15M - Scoring'!AS37,"")</f>
        <v/>
      </c>
      <c r="M268" s="81" t="str">
        <f>IF(L265&lt;&gt;"",IFERROR(IF(ISNUMBER(L265),L265,0),0)+IFERROR(IF(ISNUMBER(L266),L266,0),0)+IFERROR(IF(ISNUMBER(L267),L267,0),0)+IFERROR(IF(ISNUMBER(L268),L268,0),0),"")</f>
        <v/>
      </c>
    </row>
    <row r="269" spans="1:13" ht="19.5" customHeight="1" x14ac:dyDescent="0.35">
      <c r="A269" s="78" t="s">
        <v>228</v>
      </c>
      <c r="B269" s="79" t="str">
        <f>IF('Beginner Adv 15M - Scoring'!B36&lt;&gt;"",IF('Beginner Adv 15M - Scoring'!AD36&lt;&gt;"",'Beginner Adv 15M - Scoring'!AD36,""),"")</f>
        <v/>
      </c>
      <c r="C269" s="79" t="str">
        <f>IF('Beginner Adv 15M - Scoring'!B36&lt;&gt;"",IF('Beginner Adv 15M - Scoring'!AE36&lt;&gt;"",'Beginner Adv 15M - Scoring'!AE36,""),"")</f>
        <v/>
      </c>
      <c r="D269" s="79" t="str">
        <f>IF('Beginner Adv 15M - Scoring'!B36&lt;&gt;"",IF('Beginner Adv 15M - Scoring'!AF36&lt;&gt;"",'Beginner Adv 15M - Scoring'!AF36,""),"")</f>
        <v/>
      </c>
      <c r="E269" s="80" t="str">
        <f>IF('Beginner Adv 15M - Scoring'!B36&lt;&gt;"",'Beginner Adv 15M - Scoring'!AT36,"")</f>
        <v/>
      </c>
      <c r="F269" s="81" t="str">
        <f>IF(E265&lt;&gt;"",IFERROR(IF(ISNUMBER(E265),E265,0),0)+IFERROR(IF(ISNUMBER(E266),E266,0),0)+IFERROR(IF(ISNUMBER(E267),E267,0),0)+IFERROR(IF(ISNUMBER(E268),E268,0),0)+IFERROR(IF(ISNUMBER(E269),E269,0),0),"")</f>
        <v/>
      </c>
      <c r="H269" s="78" t="s">
        <v>228</v>
      </c>
      <c r="I269" s="79" t="str">
        <f>IF('Beginner Adv 15M - Scoring'!B37&lt;&gt;"",IF('Beginner Adv 15M - Scoring'!AD37&lt;&gt;"",'Beginner Adv 15M - Scoring'!AD37,""),"")</f>
        <v/>
      </c>
      <c r="J269" s="79" t="str">
        <f>IF('Beginner Adv 15M - Scoring'!B37&lt;&gt;"",IF('Beginner Adv 15M - Scoring'!AE37&lt;&gt;"",'Beginner Adv 15M - Scoring'!AE37,""),"")</f>
        <v/>
      </c>
      <c r="K269" s="79" t="str">
        <f>IF('Beginner Adv 15M - Scoring'!B37&lt;&gt;"",IF('Beginner Adv 15M - Scoring'!AF37&lt;&gt;"",'Beginner Adv 15M - Scoring'!AF37,""),"")</f>
        <v/>
      </c>
      <c r="L269" s="80" t="str">
        <f>IF('Beginner Adv 15M - Scoring'!B37&lt;&gt;"",'Beginner Adv 15M - Scoring'!AT37,"")</f>
        <v/>
      </c>
      <c r="M269" s="81" t="str">
        <f>IF(L265&lt;&gt;"",IFERROR(IF(ISNUMBER(L265),L265,0),0)+IFERROR(IF(ISNUMBER(L266),L266,0),0)+IFERROR(IF(ISNUMBER(L267),L267,0),0)+IFERROR(IF(ISNUMBER(L268),L268,0),0)+IFERROR(IF(ISNUMBER(L269),L269,0),0),"")</f>
        <v/>
      </c>
    </row>
    <row r="270" spans="1:13" ht="19.5" customHeight="1" x14ac:dyDescent="0.35">
      <c r="A270" s="78" t="s">
        <v>229</v>
      </c>
      <c r="B270" s="79" t="str">
        <f>IF('Beginner Adv 15M - Scoring'!B36&lt;&gt;"",IF('Beginner Adv 15M - Scoring'!AJ36&lt;&gt;"",'Beginner Adv 15M - Scoring'!AJ36,""),"")</f>
        <v/>
      </c>
      <c r="C270" s="79" t="str">
        <f>IF('Beginner Adv 15M - Scoring'!B36&lt;&gt;"",IF('Beginner Adv 15M - Scoring'!AK36&lt;&gt;"",'Beginner Adv 15M - Scoring'!AK36,""),"")</f>
        <v/>
      </c>
      <c r="D270" s="79" t="str">
        <f>IF('Beginner Adv 15M - Scoring'!B36&lt;&gt;"",IF('Beginner Adv 15M - Scoring'!AL36&lt;&gt;"",'Beginner Adv 15M - Scoring'!AL36,""),"")</f>
        <v/>
      </c>
      <c r="E270" s="80" t="str">
        <f>IF('Beginner Adv 15M - Scoring'!B36&lt;&gt;"",'Beginner Adv 15M - Scoring'!AU36,"")</f>
        <v/>
      </c>
      <c r="F270" s="81" t="str">
        <f>IF(E265&lt;&gt;"",IFERROR(IF(ISNUMBER(E265),E265,0),0)+IFERROR(IF(ISNUMBER(E266),E266,0),0)+IFERROR(IF(ISNUMBER(E267),E267,0),0)+IFERROR(IF(ISNUMBER(E268),E268,0),0)+IFERROR(IF(ISNUMBER(E269),E269,0),0)+IFERROR(IF(ISNUMBER(E270),E270,0),0),"")</f>
        <v/>
      </c>
      <c r="H270" s="78" t="s">
        <v>229</v>
      </c>
      <c r="I270" s="79" t="str">
        <f>IF('Beginner Adv 15M - Scoring'!B37&lt;&gt;"",IF('Beginner Adv 15M - Scoring'!AJ37&lt;&gt;"",'Beginner Adv 15M - Scoring'!AJ37,""),"")</f>
        <v/>
      </c>
      <c r="J270" s="79" t="str">
        <f>IF('Beginner Adv 15M - Scoring'!B37&lt;&gt;"",IF('Beginner Adv 15M - Scoring'!AK37&lt;&gt;"",'Beginner Adv 15M - Scoring'!AK37,""),"")</f>
        <v/>
      </c>
      <c r="K270" s="79" t="str">
        <f>IF('Beginner Adv 15M - Scoring'!B37&lt;&gt;"",IF('Beginner Adv 15M - Scoring'!AL37&lt;&gt;"",'Beginner Adv 15M - Scoring'!AL37,""),"")</f>
        <v/>
      </c>
      <c r="L270" s="80" t="str">
        <f>IF('Beginner Adv 15M - Scoring'!B37&lt;&gt;"",'Beginner Adv 15M - Scoring'!AU37,"")</f>
        <v/>
      </c>
      <c r="M270" s="81" t="str">
        <f>IF(L265&lt;&gt;"",IFERROR(IF(ISNUMBER(L265),L265,0),0)+IFERROR(IF(ISNUMBER(L266),L266,0),0)+IFERROR(IF(ISNUMBER(L267),L267,0),0)+IFERROR(IF(ISNUMBER(L268),L268,0),0)+IFERROR(IF(ISNUMBER(L269),L269,0),0)+IFERROR(IF(ISNUMBER(L270),L270,0),0),"")</f>
        <v/>
      </c>
    </row>
    <row r="271" spans="1:13" ht="3.75" customHeight="1" x14ac:dyDescent="0.35"/>
    <row r="272" spans="1:13" ht="24" customHeight="1" x14ac:dyDescent="0.35">
      <c r="A272" s="124" t="s">
        <v>230</v>
      </c>
      <c r="B272" s="124"/>
      <c r="C272" s="124"/>
      <c r="D272" s="124"/>
      <c r="E272" s="125" t="str">
        <f>IF('Beginner Adv 15M - Scoring'!B36&lt;&gt;"",'Beginner Adv 15M - Scoring'!AV36,"")</f>
        <v/>
      </c>
      <c r="F272" s="125"/>
      <c r="H272" s="124" t="s">
        <v>230</v>
      </c>
      <c r="I272" s="124"/>
      <c r="J272" s="124"/>
      <c r="K272" s="124"/>
      <c r="L272" s="125" t="str">
        <f>IF('Beginner Adv 15M - Scoring'!B37&lt;&gt;"",'Beginner Adv 15M - Scoring'!AV37,"")</f>
        <v/>
      </c>
      <c r="M272" s="125"/>
    </row>
    <row r="273" spans="1:13" ht="19.5" customHeight="1" x14ac:dyDescent="0.35">
      <c r="E273" s="125"/>
      <c r="F273" s="125"/>
      <c r="L273" s="125"/>
      <c r="M273" s="125"/>
    </row>
    <row r="274" spans="1:13" ht="3.75" customHeight="1" x14ac:dyDescent="0.35"/>
    <row r="275" spans="1:13" ht="18" customHeight="1" x14ac:dyDescent="0.35">
      <c r="A275" s="73" t="s">
        <v>126</v>
      </c>
      <c r="B275" s="82" t="str">
        <f>IF('Beginner Adv 15M - Scoring'!B36&lt;&gt;"",'Beginner Adv 15M - Scoring'!AW36,"")</f>
        <v/>
      </c>
      <c r="C275" s="73" t="s">
        <v>127</v>
      </c>
      <c r="D275" s="83" t="str">
        <f>IF('Beginner Adv 15M - Scoring'!B36&lt;&gt;"",'Beginner Adv 15M - Scoring'!AX36,"")</f>
        <v/>
      </c>
      <c r="E275" s="73" t="s">
        <v>128</v>
      </c>
      <c r="F275" s="83" t="str">
        <f>IF('Beginner Adv 15M - Scoring'!B36&lt;&gt;"",'Beginner Adv 15M - Scoring'!AY36,"")</f>
        <v/>
      </c>
      <c r="H275" s="73" t="s">
        <v>126</v>
      </c>
      <c r="I275" s="82" t="str">
        <f>IF('Beginner Adv 15M - Scoring'!B37&lt;&gt;"",'Beginner Adv 15M - Scoring'!AW37,"")</f>
        <v/>
      </c>
      <c r="J275" s="73" t="s">
        <v>127</v>
      </c>
      <c r="K275" s="83" t="str">
        <f>IF('Beginner Adv 15M - Scoring'!B37&lt;&gt;"",'Beginner Adv 15M - Scoring'!AX37,"")</f>
        <v/>
      </c>
      <c r="L275" s="73" t="s">
        <v>128</v>
      </c>
      <c r="M275" s="83" t="str">
        <f>IF('Beginner Adv 15M - Scoring'!B37&lt;&gt;"",'Beginner Adv 15M - Scoring'!AY37,"")</f>
        <v/>
      </c>
    </row>
    <row r="276" spans="1:13" ht="3.75" customHeight="1" x14ac:dyDescent="0.35"/>
    <row r="277" spans="1:13" ht="7.5" customHeight="1" x14ac:dyDescent="0.35">
      <c r="A277" s="126"/>
      <c r="B277" s="126"/>
      <c r="C277" s="126"/>
      <c r="D277" s="126"/>
      <c r="E277" s="126"/>
      <c r="F277" s="126"/>
      <c r="G277" s="126"/>
      <c r="H277" s="126"/>
      <c r="I277" s="126"/>
      <c r="J277" s="126"/>
      <c r="K277" s="126"/>
      <c r="L277" s="126"/>
      <c r="M277" s="126"/>
    </row>
    <row r="278" spans="1:13" ht="15.75" customHeight="1" x14ac:dyDescent="0.35">
      <c r="A278" s="73" t="s">
        <v>218</v>
      </c>
      <c r="B278" s="122" t="str">
        <f>IF('Beginner Adv 15M - Scoring'!B38&lt;&gt;"",'Beginner Adv 15M - Scoring'!B38,"")</f>
        <v/>
      </c>
      <c r="C278" s="122"/>
      <c r="D278" s="122"/>
      <c r="E278" s="73" t="s">
        <v>219</v>
      </c>
      <c r="F278" s="74" t="str">
        <f>IF('Beginner Adv 15M - Scoring'!B38&lt;&gt;"",'Beginner Adv 15M - Scoring'!BB38,"")</f>
        <v/>
      </c>
      <c r="H278" s="73" t="s">
        <v>218</v>
      </c>
      <c r="I278" s="122" t="str">
        <f>IF('Beginner Adv 15M - Scoring'!B39&lt;&gt;"",'Beginner Adv 15M - Scoring'!B39,"")</f>
        <v/>
      </c>
      <c r="J278" s="122"/>
      <c r="K278" s="122"/>
      <c r="L278" s="73" t="s">
        <v>219</v>
      </c>
      <c r="M278" s="74" t="str">
        <f>IF('Beginner Adv 15M - Scoring'!B39&lt;&gt;"",'Beginner Adv 15M - Scoring'!BB39,"")</f>
        <v/>
      </c>
    </row>
    <row r="279" spans="1:13" ht="15.75" customHeight="1" x14ac:dyDescent="0.35">
      <c r="A279" s="73" t="s">
        <v>220</v>
      </c>
      <c r="B279" s="123" t="str">
        <f>IF('Beginner Adv 15M - Scoring'!B38&lt;&gt;"",'Beginner Adv 15M - Scoring'!D38,"")</f>
        <v/>
      </c>
      <c r="C279" s="123"/>
      <c r="D279" s="123"/>
      <c r="E279" s="73" t="s">
        <v>8</v>
      </c>
      <c r="F279" s="75" t="str">
        <f>IF('Beginner Adv 15M - Scoring'!B38&lt;&gt;"",'Beginner Adv 15M - Scoring'!E38,"")</f>
        <v/>
      </c>
      <c r="H279" s="73" t="s">
        <v>220</v>
      </c>
      <c r="I279" s="123" t="str">
        <f>IF('Beginner Adv 15M - Scoring'!B39&lt;&gt;"",'Beginner Adv 15M - Scoring'!D39,"")</f>
        <v/>
      </c>
      <c r="J279" s="123"/>
      <c r="K279" s="123"/>
      <c r="L279" s="73" t="s">
        <v>8</v>
      </c>
      <c r="M279" s="75" t="str">
        <f>IF('Beginner Adv 15M - Scoring'!B39&lt;&gt;"",'Beginner Adv 15M - Scoring'!E39,"")</f>
        <v/>
      </c>
    </row>
    <row r="280" spans="1:13" ht="3.75" customHeight="1" x14ac:dyDescent="0.35"/>
    <row r="281" spans="1:13" ht="25.5" customHeight="1" x14ac:dyDescent="0.35">
      <c r="A281" s="76" t="s">
        <v>221</v>
      </c>
      <c r="B281" s="77" t="s">
        <v>222</v>
      </c>
      <c r="C281" s="77" t="s">
        <v>223</v>
      </c>
      <c r="D281" s="77" t="s">
        <v>224</v>
      </c>
      <c r="E281" s="76" t="s">
        <v>225</v>
      </c>
      <c r="F281" s="76" t="s">
        <v>226</v>
      </c>
      <c r="H281" s="76" t="s">
        <v>221</v>
      </c>
      <c r="I281" s="77" t="s">
        <v>222</v>
      </c>
      <c r="J281" s="77" t="s">
        <v>223</v>
      </c>
      <c r="K281" s="77" t="s">
        <v>224</v>
      </c>
      <c r="L281" s="76" t="s">
        <v>225</v>
      </c>
      <c r="M281" s="76" t="s">
        <v>226</v>
      </c>
    </row>
    <row r="282" spans="1:13" ht="19.5" customHeight="1" x14ac:dyDescent="0.35">
      <c r="A282" s="78" t="s">
        <v>222</v>
      </c>
      <c r="B282" s="79" t="str">
        <f>IF('Beginner Adv 15M - Scoring'!B38&lt;&gt;"",IF('Beginner Adv 15M - Scoring'!F38&lt;&gt;"",'Beginner Adv 15M - Scoring'!F38,""),"")</f>
        <v/>
      </c>
      <c r="C282" s="79" t="str">
        <f>IF('Beginner Adv 15M - Scoring'!B38&lt;&gt;"",IF('Beginner Adv 15M - Scoring'!G38&lt;&gt;"",'Beginner Adv 15M - Scoring'!G38,""),"")</f>
        <v/>
      </c>
      <c r="D282" s="79" t="str">
        <f>IF('Beginner Adv 15M - Scoring'!B38&lt;&gt;"",IF('Beginner Adv 15M - Scoring'!H38&lt;&gt;"",'Beginner Adv 15M - Scoring'!H38,""),"")</f>
        <v/>
      </c>
      <c r="E282" s="80" t="str">
        <f>IF('Beginner Adv 15M - Scoring'!B38&lt;&gt;"",'Beginner Adv 15M - Scoring'!AP38,"")</f>
        <v/>
      </c>
      <c r="F282" s="81" t="str">
        <f>IFERROR(IF(ISNUMBER(E282),E282,""),"")</f>
        <v/>
      </c>
      <c r="H282" s="78" t="s">
        <v>222</v>
      </c>
      <c r="I282" s="79" t="str">
        <f>IF('Beginner Adv 15M - Scoring'!B39&lt;&gt;"",IF('Beginner Adv 15M - Scoring'!F39&lt;&gt;"",'Beginner Adv 15M - Scoring'!F39,""),"")</f>
        <v/>
      </c>
      <c r="J282" s="79" t="str">
        <f>IF('Beginner Adv 15M - Scoring'!B39&lt;&gt;"",IF('Beginner Adv 15M - Scoring'!G39&lt;&gt;"",'Beginner Adv 15M - Scoring'!G39,""),"")</f>
        <v/>
      </c>
      <c r="K282" s="79" t="str">
        <f>IF('Beginner Adv 15M - Scoring'!B39&lt;&gt;"",IF('Beginner Adv 15M - Scoring'!H39&lt;&gt;"",'Beginner Adv 15M - Scoring'!H39,""),"")</f>
        <v/>
      </c>
      <c r="L282" s="80" t="str">
        <f>IF('Beginner Adv 15M - Scoring'!B39&lt;&gt;"",'Beginner Adv 15M - Scoring'!AP39,"")</f>
        <v/>
      </c>
      <c r="M282" s="81" t="str">
        <f>IFERROR(IF(ISNUMBER(L282),L282,""),"")</f>
        <v/>
      </c>
    </row>
    <row r="283" spans="1:13" ht="19.5" customHeight="1" x14ac:dyDescent="0.35">
      <c r="A283" s="78" t="s">
        <v>223</v>
      </c>
      <c r="B283" s="79" t="str">
        <f>IF('Beginner Adv 15M - Scoring'!B38&lt;&gt;"",IF('Beginner Adv 15M - Scoring'!L38&lt;&gt;"",'Beginner Adv 15M - Scoring'!L38,""),"")</f>
        <v/>
      </c>
      <c r="C283" s="79" t="str">
        <f>IF('Beginner Adv 15M - Scoring'!B38&lt;&gt;"",IF('Beginner Adv 15M - Scoring'!M38&lt;&gt;"",'Beginner Adv 15M - Scoring'!M38,""),"")</f>
        <v/>
      </c>
      <c r="D283" s="79" t="str">
        <f>IF('Beginner Adv 15M - Scoring'!B38&lt;&gt;"",IF('Beginner Adv 15M - Scoring'!N38&lt;&gt;"",'Beginner Adv 15M - Scoring'!N38,""),"")</f>
        <v/>
      </c>
      <c r="E283" s="80" t="str">
        <f>IF('Beginner Adv 15M - Scoring'!B38&lt;&gt;"",'Beginner Adv 15M - Scoring'!AQ38,"")</f>
        <v/>
      </c>
      <c r="F283" s="81" t="str">
        <f>IF(E282&lt;&gt;"",IFERROR(IF(ISNUMBER(E282),E282,0),0)+IFERROR(IF(ISNUMBER(E283),E283,0),0),"")</f>
        <v/>
      </c>
      <c r="H283" s="78" t="s">
        <v>223</v>
      </c>
      <c r="I283" s="79" t="str">
        <f>IF('Beginner Adv 15M - Scoring'!B39&lt;&gt;"",IF('Beginner Adv 15M - Scoring'!L39&lt;&gt;"",'Beginner Adv 15M - Scoring'!L39,""),"")</f>
        <v/>
      </c>
      <c r="J283" s="79" t="str">
        <f>IF('Beginner Adv 15M - Scoring'!B39&lt;&gt;"",IF('Beginner Adv 15M - Scoring'!M39&lt;&gt;"",'Beginner Adv 15M - Scoring'!M39,""),"")</f>
        <v/>
      </c>
      <c r="K283" s="79" t="str">
        <f>IF('Beginner Adv 15M - Scoring'!B39&lt;&gt;"",IF('Beginner Adv 15M - Scoring'!N39&lt;&gt;"",'Beginner Adv 15M - Scoring'!N39,""),"")</f>
        <v/>
      </c>
      <c r="L283" s="80" t="str">
        <f>IF('Beginner Adv 15M - Scoring'!B39&lt;&gt;"",'Beginner Adv 15M - Scoring'!AQ39,"")</f>
        <v/>
      </c>
      <c r="M283" s="81" t="str">
        <f>IF(L282&lt;&gt;"",IFERROR(IF(ISNUMBER(L282),L282,0),0)+IFERROR(IF(ISNUMBER(L283),L283,0),0),"")</f>
        <v/>
      </c>
    </row>
    <row r="284" spans="1:13" ht="19.5" customHeight="1" x14ac:dyDescent="0.35">
      <c r="A284" s="78" t="s">
        <v>224</v>
      </c>
      <c r="B284" s="79" t="str">
        <f>IF('Beginner Adv 15M - Scoring'!B38&lt;&gt;"",IF('Beginner Adv 15M - Scoring'!R38&lt;&gt;"",'Beginner Adv 15M - Scoring'!R38,""),"")</f>
        <v/>
      </c>
      <c r="C284" s="79" t="str">
        <f>IF('Beginner Adv 15M - Scoring'!B38&lt;&gt;"",IF('Beginner Adv 15M - Scoring'!S38&lt;&gt;"",'Beginner Adv 15M - Scoring'!S38,""),"")</f>
        <v/>
      </c>
      <c r="D284" s="79" t="str">
        <f>IF('Beginner Adv 15M - Scoring'!B38&lt;&gt;"",IF('Beginner Adv 15M - Scoring'!T38&lt;&gt;"",'Beginner Adv 15M - Scoring'!T38,""),"")</f>
        <v/>
      </c>
      <c r="E284" s="80" t="str">
        <f>IF('Beginner Adv 15M - Scoring'!B38&lt;&gt;"",'Beginner Adv 15M - Scoring'!AR38,"")</f>
        <v/>
      </c>
      <c r="F284" s="81" t="str">
        <f>IF(E282&lt;&gt;"",IFERROR(IF(ISNUMBER(E282),E282,0),0)+IFERROR(IF(ISNUMBER(E283),E283,0),0)+IFERROR(IF(ISNUMBER(E284),E284,0),0),"")</f>
        <v/>
      </c>
      <c r="H284" s="78" t="s">
        <v>224</v>
      </c>
      <c r="I284" s="79" t="str">
        <f>IF('Beginner Adv 15M - Scoring'!B39&lt;&gt;"",IF('Beginner Adv 15M - Scoring'!R39&lt;&gt;"",'Beginner Adv 15M - Scoring'!R39,""),"")</f>
        <v/>
      </c>
      <c r="J284" s="79" t="str">
        <f>IF('Beginner Adv 15M - Scoring'!B39&lt;&gt;"",IF('Beginner Adv 15M - Scoring'!S39&lt;&gt;"",'Beginner Adv 15M - Scoring'!S39,""),"")</f>
        <v/>
      </c>
      <c r="K284" s="79" t="str">
        <f>IF('Beginner Adv 15M - Scoring'!B39&lt;&gt;"",IF('Beginner Adv 15M - Scoring'!T39&lt;&gt;"",'Beginner Adv 15M - Scoring'!T39,""),"")</f>
        <v/>
      </c>
      <c r="L284" s="80" t="str">
        <f>IF('Beginner Adv 15M - Scoring'!B39&lt;&gt;"",'Beginner Adv 15M - Scoring'!AR39,"")</f>
        <v/>
      </c>
      <c r="M284" s="81" t="str">
        <f>IF(L282&lt;&gt;"",IFERROR(IF(ISNUMBER(L282),L282,0),0)+IFERROR(IF(ISNUMBER(L283),L283,0),0)+IFERROR(IF(ISNUMBER(L284),L284,0),0),"")</f>
        <v/>
      </c>
    </row>
    <row r="285" spans="1:13" ht="19.5" customHeight="1" x14ac:dyDescent="0.35">
      <c r="A285" s="78" t="s">
        <v>227</v>
      </c>
      <c r="B285" s="79" t="str">
        <f>IF('Beginner Adv 15M - Scoring'!B38&lt;&gt;"",IF('Beginner Adv 15M - Scoring'!X38&lt;&gt;"",'Beginner Adv 15M - Scoring'!X38,""),"")</f>
        <v/>
      </c>
      <c r="C285" s="79" t="str">
        <f>IF('Beginner Adv 15M - Scoring'!B38&lt;&gt;"",IF('Beginner Adv 15M - Scoring'!Y38&lt;&gt;"",'Beginner Adv 15M - Scoring'!Y38,""),"")</f>
        <v/>
      </c>
      <c r="D285" s="79" t="str">
        <f>IF('Beginner Adv 15M - Scoring'!B38&lt;&gt;"",IF('Beginner Adv 15M - Scoring'!Z38&lt;&gt;"",'Beginner Adv 15M - Scoring'!Z38,""),"")</f>
        <v/>
      </c>
      <c r="E285" s="80" t="str">
        <f>IF('Beginner Adv 15M - Scoring'!B38&lt;&gt;"",'Beginner Adv 15M - Scoring'!AS38,"")</f>
        <v/>
      </c>
      <c r="F285" s="81" t="str">
        <f>IF(E282&lt;&gt;"",IFERROR(IF(ISNUMBER(E282),E282,0),0)+IFERROR(IF(ISNUMBER(E283),E283,0),0)+IFERROR(IF(ISNUMBER(E284),E284,0),0)+IFERROR(IF(ISNUMBER(E285),E285,0),0),"")</f>
        <v/>
      </c>
      <c r="H285" s="78" t="s">
        <v>227</v>
      </c>
      <c r="I285" s="79" t="str">
        <f>IF('Beginner Adv 15M - Scoring'!B39&lt;&gt;"",IF('Beginner Adv 15M - Scoring'!X39&lt;&gt;"",'Beginner Adv 15M - Scoring'!X39,""),"")</f>
        <v/>
      </c>
      <c r="J285" s="79" t="str">
        <f>IF('Beginner Adv 15M - Scoring'!B39&lt;&gt;"",IF('Beginner Adv 15M - Scoring'!Y39&lt;&gt;"",'Beginner Adv 15M - Scoring'!Y39,""),"")</f>
        <v/>
      </c>
      <c r="K285" s="79" t="str">
        <f>IF('Beginner Adv 15M - Scoring'!B39&lt;&gt;"",IF('Beginner Adv 15M - Scoring'!Z39&lt;&gt;"",'Beginner Adv 15M - Scoring'!Z39,""),"")</f>
        <v/>
      </c>
      <c r="L285" s="80" t="str">
        <f>IF('Beginner Adv 15M - Scoring'!B39&lt;&gt;"",'Beginner Adv 15M - Scoring'!AS39,"")</f>
        <v/>
      </c>
      <c r="M285" s="81" t="str">
        <f>IF(L282&lt;&gt;"",IFERROR(IF(ISNUMBER(L282),L282,0),0)+IFERROR(IF(ISNUMBER(L283),L283,0),0)+IFERROR(IF(ISNUMBER(L284),L284,0),0)+IFERROR(IF(ISNUMBER(L285),L285,0),0),"")</f>
        <v/>
      </c>
    </row>
    <row r="286" spans="1:13" ht="19.5" customHeight="1" x14ac:dyDescent="0.35">
      <c r="A286" s="78" t="s">
        <v>228</v>
      </c>
      <c r="B286" s="79" t="str">
        <f>IF('Beginner Adv 15M - Scoring'!B38&lt;&gt;"",IF('Beginner Adv 15M - Scoring'!AD38&lt;&gt;"",'Beginner Adv 15M - Scoring'!AD38,""),"")</f>
        <v/>
      </c>
      <c r="C286" s="79" t="str">
        <f>IF('Beginner Adv 15M - Scoring'!B38&lt;&gt;"",IF('Beginner Adv 15M - Scoring'!AE38&lt;&gt;"",'Beginner Adv 15M - Scoring'!AE38,""),"")</f>
        <v/>
      </c>
      <c r="D286" s="79" t="str">
        <f>IF('Beginner Adv 15M - Scoring'!B38&lt;&gt;"",IF('Beginner Adv 15M - Scoring'!AF38&lt;&gt;"",'Beginner Adv 15M - Scoring'!AF38,""),"")</f>
        <v/>
      </c>
      <c r="E286" s="80" t="str">
        <f>IF('Beginner Adv 15M - Scoring'!B38&lt;&gt;"",'Beginner Adv 15M - Scoring'!AT38,"")</f>
        <v/>
      </c>
      <c r="F286" s="81" t="str">
        <f>IF(E282&lt;&gt;"",IFERROR(IF(ISNUMBER(E282),E282,0),0)+IFERROR(IF(ISNUMBER(E283),E283,0),0)+IFERROR(IF(ISNUMBER(E284),E284,0),0)+IFERROR(IF(ISNUMBER(E285),E285,0),0)+IFERROR(IF(ISNUMBER(E286),E286,0),0),"")</f>
        <v/>
      </c>
      <c r="H286" s="78" t="s">
        <v>228</v>
      </c>
      <c r="I286" s="79" t="str">
        <f>IF('Beginner Adv 15M - Scoring'!B39&lt;&gt;"",IF('Beginner Adv 15M - Scoring'!AD39&lt;&gt;"",'Beginner Adv 15M - Scoring'!AD39,""),"")</f>
        <v/>
      </c>
      <c r="J286" s="79" t="str">
        <f>IF('Beginner Adv 15M - Scoring'!B39&lt;&gt;"",IF('Beginner Adv 15M - Scoring'!AE39&lt;&gt;"",'Beginner Adv 15M - Scoring'!AE39,""),"")</f>
        <v/>
      </c>
      <c r="K286" s="79" t="str">
        <f>IF('Beginner Adv 15M - Scoring'!B39&lt;&gt;"",IF('Beginner Adv 15M - Scoring'!AF39&lt;&gt;"",'Beginner Adv 15M - Scoring'!AF39,""),"")</f>
        <v/>
      </c>
      <c r="L286" s="80" t="str">
        <f>IF('Beginner Adv 15M - Scoring'!B39&lt;&gt;"",'Beginner Adv 15M - Scoring'!AT39,"")</f>
        <v/>
      </c>
      <c r="M286" s="81" t="str">
        <f>IF(L282&lt;&gt;"",IFERROR(IF(ISNUMBER(L282),L282,0),0)+IFERROR(IF(ISNUMBER(L283),L283,0),0)+IFERROR(IF(ISNUMBER(L284),L284,0),0)+IFERROR(IF(ISNUMBER(L285),L285,0),0)+IFERROR(IF(ISNUMBER(L286),L286,0),0),"")</f>
        <v/>
      </c>
    </row>
    <row r="287" spans="1:13" ht="19.5" customHeight="1" x14ac:dyDescent="0.35">
      <c r="A287" s="78" t="s">
        <v>229</v>
      </c>
      <c r="B287" s="79" t="str">
        <f>IF('Beginner Adv 15M - Scoring'!B38&lt;&gt;"",IF('Beginner Adv 15M - Scoring'!AJ38&lt;&gt;"",'Beginner Adv 15M - Scoring'!AJ38,""),"")</f>
        <v/>
      </c>
      <c r="C287" s="79" t="str">
        <f>IF('Beginner Adv 15M - Scoring'!B38&lt;&gt;"",IF('Beginner Adv 15M - Scoring'!AK38&lt;&gt;"",'Beginner Adv 15M - Scoring'!AK38,""),"")</f>
        <v/>
      </c>
      <c r="D287" s="79" t="str">
        <f>IF('Beginner Adv 15M - Scoring'!B38&lt;&gt;"",IF('Beginner Adv 15M - Scoring'!AL38&lt;&gt;"",'Beginner Adv 15M - Scoring'!AL38,""),"")</f>
        <v/>
      </c>
      <c r="E287" s="80" t="str">
        <f>IF('Beginner Adv 15M - Scoring'!B38&lt;&gt;"",'Beginner Adv 15M - Scoring'!AU38,"")</f>
        <v/>
      </c>
      <c r="F287" s="81" t="str">
        <f>IF(E282&lt;&gt;"",IFERROR(IF(ISNUMBER(E282),E282,0),0)+IFERROR(IF(ISNUMBER(E283),E283,0),0)+IFERROR(IF(ISNUMBER(E284),E284,0),0)+IFERROR(IF(ISNUMBER(E285),E285,0),0)+IFERROR(IF(ISNUMBER(E286),E286,0),0)+IFERROR(IF(ISNUMBER(E287),E287,0),0),"")</f>
        <v/>
      </c>
      <c r="H287" s="78" t="s">
        <v>229</v>
      </c>
      <c r="I287" s="79" t="str">
        <f>IF('Beginner Adv 15M - Scoring'!B39&lt;&gt;"",IF('Beginner Adv 15M - Scoring'!AJ39&lt;&gt;"",'Beginner Adv 15M - Scoring'!AJ39,""),"")</f>
        <v/>
      </c>
      <c r="J287" s="79" t="str">
        <f>IF('Beginner Adv 15M - Scoring'!B39&lt;&gt;"",IF('Beginner Adv 15M - Scoring'!AK39&lt;&gt;"",'Beginner Adv 15M - Scoring'!AK39,""),"")</f>
        <v/>
      </c>
      <c r="K287" s="79" t="str">
        <f>IF('Beginner Adv 15M - Scoring'!B39&lt;&gt;"",IF('Beginner Adv 15M - Scoring'!AL39&lt;&gt;"",'Beginner Adv 15M - Scoring'!AL39,""),"")</f>
        <v/>
      </c>
      <c r="L287" s="80" t="str">
        <f>IF('Beginner Adv 15M - Scoring'!B39&lt;&gt;"",'Beginner Adv 15M - Scoring'!AU39,"")</f>
        <v/>
      </c>
      <c r="M287" s="81" t="str">
        <f>IF(L282&lt;&gt;"",IFERROR(IF(ISNUMBER(L282),L282,0),0)+IFERROR(IF(ISNUMBER(L283),L283,0),0)+IFERROR(IF(ISNUMBER(L284),L284,0),0)+IFERROR(IF(ISNUMBER(L285),L285,0),0)+IFERROR(IF(ISNUMBER(L286),L286,0),0)+IFERROR(IF(ISNUMBER(L287),L287,0),0),"")</f>
        <v/>
      </c>
    </row>
    <row r="288" spans="1:13" ht="3.75" customHeight="1" x14ac:dyDescent="0.35"/>
    <row r="289" spans="1:13" ht="24" customHeight="1" x14ac:dyDescent="0.35">
      <c r="A289" s="124" t="s">
        <v>230</v>
      </c>
      <c r="B289" s="124"/>
      <c r="C289" s="124"/>
      <c r="D289" s="124"/>
      <c r="E289" s="125" t="str">
        <f>IF('Beginner Adv 15M - Scoring'!B38&lt;&gt;"",'Beginner Adv 15M - Scoring'!AV38,"")</f>
        <v/>
      </c>
      <c r="F289" s="125"/>
      <c r="H289" s="124" t="s">
        <v>230</v>
      </c>
      <c r="I289" s="124"/>
      <c r="J289" s="124"/>
      <c r="K289" s="124"/>
      <c r="L289" s="125" t="str">
        <f>IF('Beginner Adv 15M - Scoring'!B39&lt;&gt;"",'Beginner Adv 15M - Scoring'!AV39,"")</f>
        <v/>
      </c>
      <c r="M289" s="125"/>
    </row>
    <row r="290" spans="1:13" ht="19.5" customHeight="1" x14ac:dyDescent="0.35">
      <c r="E290" s="125"/>
      <c r="F290" s="125"/>
      <c r="L290" s="125"/>
      <c r="M290" s="125"/>
    </row>
    <row r="291" spans="1:13" ht="3.75" customHeight="1" x14ac:dyDescent="0.35"/>
    <row r="292" spans="1:13" ht="18" customHeight="1" x14ac:dyDescent="0.35">
      <c r="A292" s="73" t="s">
        <v>126</v>
      </c>
      <c r="B292" s="82" t="str">
        <f>IF('Beginner Adv 15M - Scoring'!B38&lt;&gt;"",'Beginner Adv 15M - Scoring'!AW38,"")</f>
        <v/>
      </c>
      <c r="C292" s="73" t="s">
        <v>127</v>
      </c>
      <c r="D292" s="83" t="str">
        <f>IF('Beginner Adv 15M - Scoring'!B38&lt;&gt;"",'Beginner Adv 15M - Scoring'!AX38,"")</f>
        <v/>
      </c>
      <c r="E292" s="73" t="s">
        <v>128</v>
      </c>
      <c r="F292" s="83" t="str">
        <f>IF('Beginner Adv 15M - Scoring'!B38&lt;&gt;"",'Beginner Adv 15M - Scoring'!AY38,"")</f>
        <v/>
      </c>
      <c r="H292" s="73" t="s">
        <v>126</v>
      </c>
      <c r="I292" s="82" t="str">
        <f>IF('Beginner Adv 15M - Scoring'!B39&lt;&gt;"",'Beginner Adv 15M - Scoring'!AW39,"")</f>
        <v/>
      </c>
      <c r="J292" s="73" t="s">
        <v>127</v>
      </c>
      <c r="K292" s="83" t="str">
        <f>IF('Beginner Adv 15M - Scoring'!B39&lt;&gt;"",'Beginner Adv 15M - Scoring'!AX39,"")</f>
        <v/>
      </c>
      <c r="L292" s="73" t="s">
        <v>128</v>
      </c>
      <c r="M292" s="83" t="str">
        <f>IF('Beginner Adv 15M - Scoring'!B39&lt;&gt;"",'Beginner Adv 15M - Scoring'!AY39,"")</f>
        <v/>
      </c>
    </row>
    <row r="293" spans="1:13" ht="3.75" customHeight="1" x14ac:dyDescent="0.35"/>
    <row r="294" spans="1:13" ht="7.5" customHeight="1" x14ac:dyDescent="0.35">
      <c r="A294" s="126"/>
      <c r="B294" s="126"/>
      <c r="C294" s="126"/>
      <c r="D294" s="126"/>
      <c r="E294" s="126"/>
      <c r="F294" s="126"/>
      <c r="G294" s="126"/>
      <c r="H294" s="126"/>
      <c r="I294" s="126"/>
      <c r="J294" s="126"/>
      <c r="K294" s="126"/>
      <c r="L294" s="126"/>
      <c r="M294" s="126"/>
    </row>
    <row r="295" spans="1:13" ht="15.75" customHeight="1" x14ac:dyDescent="0.35">
      <c r="A295" s="73" t="s">
        <v>218</v>
      </c>
      <c r="B295" s="122" t="str">
        <f>IF('Beginner Adv 15M - Scoring'!B40&lt;&gt;"",'Beginner Adv 15M - Scoring'!B40,"")</f>
        <v/>
      </c>
      <c r="C295" s="122"/>
      <c r="D295" s="122"/>
      <c r="E295" s="73" t="s">
        <v>219</v>
      </c>
      <c r="F295" s="74" t="str">
        <f>IF('Beginner Adv 15M - Scoring'!B40&lt;&gt;"",'Beginner Adv 15M - Scoring'!BB40,"")</f>
        <v/>
      </c>
      <c r="H295" s="73" t="s">
        <v>218</v>
      </c>
      <c r="I295" s="122" t="str">
        <f>IF('Beginner Adv 15M - Scoring'!B41&lt;&gt;"",'Beginner Adv 15M - Scoring'!B41,"")</f>
        <v/>
      </c>
      <c r="J295" s="122"/>
      <c r="K295" s="122"/>
      <c r="L295" s="73" t="s">
        <v>219</v>
      </c>
      <c r="M295" s="74" t="str">
        <f>IF('Beginner Adv 15M - Scoring'!B41&lt;&gt;"",'Beginner Adv 15M - Scoring'!BB41,"")</f>
        <v/>
      </c>
    </row>
    <row r="296" spans="1:13" ht="15.75" customHeight="1" x14ac:dyDescent="0.35">
      <c r="A296" s="73" t="s">
        <v>220</v>
      </c>
      <c r="B296" s="123" t="str">
        <f>IF('Beginner Adv 15M - Scoring'!B40&lt;&gt;"",'Beginner Adv 15M - Scoring'!D40,"")</f>
        <v/>
      </c>
      <c r="C296" s="123"/>
      <c r="D296" s="123"/>
      <c r="E296" s="73" t="s">
        <v>8</v>
      </c>
      <c r="F296" s="75" t="str">
        <f>IF('Beginner Adv 15M - Scoring'!B40&lt;&gt;"",'Beginner Adv 15M - Scoring'!E40,"")</f>
        <v/>
      </c>
      <c r="H296" s="73" t="s">
        <v>220</v>
      </c>
      <c r="I296" s="123" t="str">
        <f>IF('Beginner Adv 15M - Scoring'!B41&lt;&gt;"",'Beginner Adv 15M - Scoring'!D41,"")</f>
        <v/>
      </c>
      <c r="J296" s="123"/>
      <c r="K296" s="123"/>
      <c r="L296" s="73" t="s">
        <v>8</v>
      </c>
      <c r="M296" s="75" t="str">
        <f>IF('Beginner Adv 15M - Scoring'!B41&lt;&gt;"",'Beginner Adv 15M - Scoring'!E41,"")</f>
        <v/>
      </c>
    </row>
    <row r="297" spans="1:13" ht="3.75" customHeight="1" x14ac:dyDescent="0.35"/>
    <row r="298" spans="1:13" ht="25.5" customHeight="1" x14ac:dyDescent="0.35">
      <c r="A298" s="76" t="s">
        <v>221</v>
      </c>
      <c r="B298" s="77" t="s">
        <v>222</v>
      </c>
      <c r="C298" s="77" t="s">
        <v>223</v>
      </c>
      <c r="D298" s="77" t="s">
        <v>224</v>
      </c>
      <c r="E298" s="76" t="s">
        <v>225</v>
      </c>
      <c r="F298" s="76" t="s">
        <v>226</v>
      </c>
      <c r="H298" s="76" t="s">
        <v>221</v>
      </c>
      <c r="I298" s="77" t="s">
        <v>222</v>
      </c>
      <c r="J298" s="77" t="s">
        <v>223</v>
      </c>
      <c r="K298" s="77" t="s">
        <v>224</v>
      </c>
      <c r="L298" s="76" t="s">
        <v>225</v>
      </c>
      <c r="M298" s="76" t="s">
        <v>226</v>
      </c>
    </row>
    <row r="299" spans="1:13" ht="19.5" customHeight="1" x14ac:dyDescent="0.35">
      <c r="A299" s="78" t="s">
        <v>222</v>
      </c>
      <c r="B299" s="79" t="str">
        <f>IF('Beginner Adv 15M - Scoring'!B40&lt;&gt;"",IF('Beginner Adv 15M - Scoring'!F40&lt;&gt;"",'Beginner Adv 15M - Scoring'!F40,""),"")</f>
        <v/>
      </c>
      <c r="C299" s="79" t="str">
        <f>IF('Beginner Adv 15M - Scoring'!B40&lt;&gt;"",IF('Beginner Adv 15M - Scoring'!G40&lt;&gt;"",'Beginner Adv 15M - Scoring'!G40,""),"")</f>
        <v/>
      </c>
      <c r="D299" s="79" t="str">
        <f>IF('Beginner Adv 15M - Scoring'!B40&lt;&gt;"",IF('Beginner Adv 15M - Scoring'!H40&lt;&gt;"",'Beginner Adv 15M - Scoring'!H40,""),"")</f>
        <v/>
      </c>
      <c r="E299" s="80" t="str">
        <f>IF('Beginner Adv 15M - Scoring'!B40&lt;&gt;"",'Beginner Adv 15M - Scoring'!AP40,"")</f>
        <v/>
      </c>
      <c r="F299" s="81" t="str">
        <f>IFERROR(IF(ISNUMBER(E299),E299,""),"")</f>
        <v/>
      </c>
      <c r="H299" s="78" t="s">
        <v>222</v>
      </c>
      <c r="I299" s="79" t="str">
        <f>IF('Beginner Adv 15M - Scoring'!B41&lt;&gt;"",IF('Beginner Adv 15M - Scoring'!F41&lt;&gt;"",'Beginner Adv 15M - Scoring'!F41,""),"")</f>
        <v/>
      </c>
      <c r="J299" s="79" t="str">
        <f>IF('Beginner Adv 15M - Scoring'!B41&lt;&gt;"",IF('Beginner Adv 15M - Scoring'!G41&lt;&gt;"",'Beginner Adv 15M - Scoring'!G41,""),"")</f>
        <v/>
      </c>
      <c r="K299" s="79" t="str">
        <f>IF('Beginner Adv 15M - Scoring'!B41&lt;&gt;"",IF('Beginner Adv 15M - Scoring'!H41&lt;&gt;"",'Beginner Adv 15M - Scoring'!H41,""),"")</f>
        <v/>
      </c>
      <c r="L299" s="80" t="str">
        <f>IF('Beginner Adv 15M - Scoring'!B41&lt;&gt;"",'Beginner Adv 15M - Scoring'!AP41,"")</f>
        <v/>
      </c>
      <c r="M299" s="81" t="str">
        <f>IFERROR(IF(ISNUMBER(L299),L299,""),"")</f>
        <v/>
      </c>
    </row>
    <row r="300" spans="1:13" ht="19.5" customHeight="1" x14ac:dyDescent="0.35">
      <c r="A300" s="78" t="s">
        <v>223</v>
      </c>
      <c r="B300" s="79" t="str">
        <f>IF('Beginner Adv 15M - Scoring'!B40&lt;&gt;"",IF('Beginner Adv 15M - Scoring'!L40&lt;&gt;"",'Beginner Adv 15M - Scoring'!L40,""),"")</f>
        <v/>
      </c>
      <c r="C300" s="79" t="str">
        <f>IF('Beginner Adv 15M - Scoring'!B40&lt;&gt;"",IF('Beginner Adv 15M - Scoring'!M40&lt;&gt;"",'Beginner Adv 15M - Scoring'!M40,""),"")</f>
        <v/>
      </c>
      <c r="D300" s="79" t="str">
        <f>IF('Beginner Adv 15M - Scoring'!B40&lt;&gt;"",IF('Beginner Adv 15M - Scoring'!N40&lt;&gt;"",'Beginner Adv 15M - Scoring'!N40,""),"")</f>
        <v/>
      </c>
      <c r="E300" s="80" t="str">
        <f>IF('Beginner Adv 15M - Scoring'!B40&lt;&gt;"",'Beginner Adv 15M - Scoring'!AQ40,"")</f>
        <v/>
      </c>
      <c r="F300" s="81" t="str">
        <f>IF(E299&lt;&gt;"",IFERROR(IF(ISNUMBER(E299),E299,0),0)+IFERROR(IF(ISNUMBER(E300),E300,0),0),"")</f>
        <v/>
      </c>
      <c r="H300" s="78" t="s">
        <v>223</v>
      </c>
      <c r="I300" s="79" t="str">
        <f>IF('Beginner Adv 15M - Scoring'!B41&lt;&gt;"",IF('Beginner Adv 15M - Scoring'!L41&lt;&gt;"",'Beginner Adv 15M - Scoring'!L41,""),"")</f>
        <v/>
      </c>
      <c r="J300" s="79" t="str">
        <f>IF('Beginner Adv 15M - Scoring'!B41&lt;&gt;"",IF('Beginner Adv 15M - Scoring'!M41&lt;&gt;"",'Beginner Adv 15M - Scoring'!M41,""),"")</f>
        <v/>
      </c>
      <c r="K300" s="79" t="str">
        <f>IF('Beginner Adv 15M - Scoring'!B41&lt;&gt;"",IF('Beginner Adv 15M - Scoring'!N41&lt;&gt;"",'Beginner Adv 15M - Scoring'!N41,""),"")</f>
        <v/>
      </c>
      <c r="L300" s="80" t="str">
        <f>IF('Beginner Adv 15M - Scoring'!B41&lt;&gt;"",'Beginner Adv 15M - Scoring'!AQ41,"")</f>
        <v/>
      </c>
      <c r="M300" s="81" t="str">
        <f>IF(L299&lt;&gt;"",IFERROR(IF(ISNUMBER(L299),L299,0),0)+IFERROR(IF(ISNUMBER(L300),L300,0),0),"")</f>
        <v/>
      </c>
    </row>
    <row r="301" spans="1:13" ht="19.5" customHeight="1" x14ac:dyDescent="0.35">
      <c r="A301" s="78" t="s">
        <v>224</v>
      </c>
      <c r="B301" s="79" t="str">
        <f>IF('Beginner Adv 15M - Scoring'!B40&lt;&gt;"",IF('Beginner Adv 15M - Scoring'!R40&lt;&gt;"",'Beginner Adv 15M - Scoring'!R40,""),"")</f>
        <v/>
      </c>
      <c r="C301" s="79" t="str">
        <f>IF('Beginner Adv 15M - Scoring'!B40&lt;&gt;"",IF('Beginner Adv 15M - Scoring'!S40&lt;&gt;"",'Beginner Adv 15M - Scoring'!S40,""),"")</f>
        <v/>
      </c>
      <c r="D301" s="79" t="str">
        <f>IF('Beginner Adv 15M - Scoring'!B40&lt;&gt;"",IF('Beginner Adv 15M - Scoring'!T40&lt;&gt;"",'Beginner Adv 15M - Scoring'!T40,""),"")</f>
        <v/>
      </c>
      <c r="E301" s="80" t="str">
        <f>IF('Beginner Adv 15M - Scoring'!B40&lt;&gt;"",'Beginner Adv 15M - Scoring'!AR40,"")</f>
        <v/>
      </c>
      <c r="F301" s="81" t="str">
        <f>IF(E299&lt;&gt;"",IFERROR(IF(ISNUMBER(E299),E299,0),0)+IFERROR(IF(ISNUMBER(E300),E300,0),0)+IFERROR(IF(ISNUMBER(E301),E301,0),0),"")</f>
        <v/>
      </c>
      <c r="H301" s="78" t="s">
        <v>224</v>
      </c>
      <c r="I301" s="79" t="str">
        <f>IF('Beginner Adv 15M - Scoring'!B41&lt;&gt;"",IF('Beginner Adv 15M - Scoring'!R41&lt;&gt;"",'Beginner Adv 15M - Scoring'!R41,""),"")</f>
        <v/>
      </c>
      <c r="J301" s="79" t="str">
        <f>IF('Beginner Adv 15M - Scoring'!B41&lt;&gt;"",IF('Beginner Adv 15M - Scoring'!S41&lt;&gt;"",'Beginner Adv 15M - Scoring'!S41,""),"")</f>
        <v/>
      </c>
      <c r="K301" s="79" t="str">
        <f>IF('Beginner Adv 15M - Scoring'!B41&lt;&gt;"",IF('Beginner Adv 15M - Scoring'!T41&lt;&gt;"",'Beginner Adv 15M - Scoring'!T41,""),"")</f>
        <v/>
      </c>
      <c r="L301" s="80" t="str">
        <f>IF('Beginner Adv 15M - Scoring'!B41&lt;&gt;"",'Beginner Adv 15M - Scoring'!AR41,"")</f>
        <v/>
      </c>
      <c r="M301" s="81" t="str">
        <f>IF(L299&lt;&gt;"",IFERROR(IF(ISNUMBER(L299),L299,0),0)+IFERROR(IF(ISNUMBER(L300),L300,0),0)+IFERROR(IF(ISNUMBER(L301),L301,0),0),"")</f>
        <v/>
      </c>
    </row>
    <row r="302" spans="1:13" ht="19.5" customHeight="1" x14ac:dyDescent="0.35">
      <c r="A302" s="78" t="s">
        <v>227</v>
      </c>
      <c r="B302" s="79" t="str">
        <f>IF('Beginner Adv 15M - Scoring'!B40&lt;&gt;"",IF('Beginner Adv 15M - Scoring'!X40&lt;&gt;"",'Beginner Adv 15M - Scoring'!X40,""),"")</f>
        <v/>
      </c>
      <c r="C302" s="79" t="str">
        <f>IF('Beginner Adv 15M - Scoring'!B40&lt;&gt;"",IF('Beginner Adv 15M - Scoring'!Y40&lt;&gt;"",'Beginner Adv 15M - Scoring'!Y40,""),"")</f>
        <v/>
      </c>
      <c r="D302" s="79" t="str">
        <f>IF('Beginner Adv 15M - Scoring'!B40&lt;&gt;"",IF('Beginner Adv 15M - Scoring'!Z40&lt;&gt;"",'Beginner Adv 15M - Scoring'!Z40,""),"")</f>
        <v/>
      </c>
      <c r="E302" s="80" t="str">
        <f>IF('Beginner Adv 15M - Scoring'!B40&lt;&gt;"",'Beginner Adv 15M - Scoring'!AS40,"")</f>
        <v/>
      </c>
      <c r="F302" s="81" t="str">
        <f>IF(E299&lt;&gt;"",IFERROR(IF(ISNUMBER(E299),E299,0),0)+IFERROR(IF(ISNUMBER(E300),E300,0),0)+IFERROR(IF(ISNUMBER(E301),E301,0),0)+IFERROR(IF(ISNUMBER(E302),E302,0),0),"")</f>
        <v/>
      </c>
      <c r="H302" s="78" t="s">
        <v>227</v>
      </c>
      <c r="I302" s="79" t="str">
        <f>IF('Beginner Adv 15M - Scoring'!B41&lt;&gt;"",IF('Beginner Adv 15M - Scoring'!X41&lt;&gt;"",'Beginner Adv 15M - Scoring'!X41,""),"")</f>
        <v/>
      </c>
      <c r="J302" s="79" t="str">
        <f>IF('Beginner Adv 15M - Scoring'!B41&lt;&gt;"",IF('Beginner Adv 15M - Scoring'!Y41&lt;&gt;"",'Beginner Adv 15M - Scoring'!Y41,""),"")</f>
        <v/>
      </c>
      <c r="K302" s="79" t="str">
        <f>IF('Beginner Adv 15M - Scoring'!B41&lt;&gt;"",IF('Beginner Adv 15M - Scoring'!Z41&lt;&gt;"",'Beginner Adv 15M - Scoring'!Z41,""),"")</f>
        <v/>
      </c>
      <c r="L302" s="80" t="str">
        <f>IF('Beginner Adv 15M - Scoring'!B41&lt;&gt;"",'Beginner Adv 15M - Scoring'!AS41,"")</f>
        <v/>
      </c>
      <c r="M302" s="81" t="str">
        <f>IF(L299&lt;&gt;"",IFERROR(IF(ISNUMBER(L299),L299,0),0)+IFERROR(IF(ISNUMBER(L300),L300,0),0)+IFERROR(IF(ISNUMBER(L301),L301,0),0)+IFERROR(IF(ISNUMBER(L302),L302,0),0),"")</f>
        <v/>
      </c>
    </row>
    <row r="303" spans="1:13" ht="19.5" customHeight="1" x14ac:dyDescent="0.35">
      <c r="A303" s="78" t="s">
        <v>228</v>
      </c>
      <c r="B303" s="79" t="str">
        <f>IF('Beginner Adv 15M - Scoring'!B40&lt;&gt;"",IF('Beginner Adv 15M - Scoring'!AD40&lt;&gt;"",'Beginner Adv 15M - Scoring'!AD40,""),"")</f>
        <v/>
      </c>
      <c r="C303" s="79" t="str">
        <f>IF('Beginner Adv 15M - Scoring'!B40&lt;&gt;"",IF('Beginner Adv 15M - Scoring'!AE40&lt;&gt;"",'Beginner Adv 15M - Scoring'!AE40,""),"")</f>
        <v/>
      </c>
      <c r="D303" s="79" t="str">
        <f>IF('Beginner Adv 15M - Scoring'!B40&lt;&gt;"",IF('Beginner Adv 15M - Scoring'!AF40&lt;&gt;"",'Beginner Adv 15M - Scoring'!AF40,""),"")</f>
        <v/>
      </c>
      <c r="E303" s="80" t="str">
        <f>IF('Beginner Adv 15M - Scoring'!B40&lt;&gt;"",'Beginner Adv 15M - Scoring'!AT40,"")</f>
        <v/>
      </c>
      <c r="F303" s="81" t="str">
        <f>IF(E299&lt;&gt;"",IFERROR(IF(ISNUMBER(E299),E299,0),0)+IFERROR(IF(ISNUMBER(E300),E300,0),0)+IFERROR(IF(ISNUMBER(E301),E301,0),0)+IFERROR(IF(ISNUMBER(E302),E302,0),0)+IFERROR(IF(ISNUMBER(E303),E303,0),0),"")</f>
        <v/>
      </c>
      <c r="H303" s="78" t="s">
        <v>228</v>
      </c>
      <c r="I303" s="79" t="str">
        <f>IF('Beginner Adv 15M - Scoring'!B41&lt;&gt;"",IF('Beginner Adv 15M - Scoring'!AD41&lt;&gt;"",'Beginner Adv 15M - Scoring'!AD41,""),"")</f>
        <v/>
      </c>
      <c r="J303" s="79" t="str">
        <f>IF('Beginner Adv 15M - Scoring'!B41&lt;&gt;"",IF('Beginner Adv 15M - Scoring'!AE41&lt;&gt;"",'Beginner Adv 15M - Scoring'!AE41,""),"")</f>
        <v/>
      </c>
      <c r="K303" s="79" t="str">
        <f>IF('Beginner Adv 15M - Scoring'!B41&lt;&gt;"",IF('Beginner Adv 15M - Scoring'!AF41&lt;&gt;"",'Beginner Adv 15M - Scoring'!AF41,""),"")</f>
        <v/>
      </c>
      <c r="L303" s="80" t="str">
        <f>IF('Beginner Adv 15M - Scoring'!B41&lt;&gt;"",'Beginner Adv 15M - Scoring'!AT41,"")</f>
        <v/>
      </c>
      <c r="M303" s="81" t="str">
        <f>IF(L299&lt;&gt;"",IFERROR(IF(ISNUMBER(L299),L299,0),0)+IFERROR(IF(ISNUMBER(L300),L300,0),0)+IFERROR(IF(ISNUMBER(L301),L301,0),0)+IFERROR(IF(ISNUMBER(L302),L302,0),0)+IFERROR(IF(ISNUMBER(L303),L303,0),0),"")</f>
        <v/>
      </c>
    </row>
    <row r="304" spans="1:13" ht="19.5" customHeight="1" x14ac:dyDescent="0.35">
      <c r="A304" s="78" t="s">
        <v>229</v>
      </c>
      <c r="B304" s="79" t="str">
        <f>IF('Beginner Adv 15M - Scoring'!B40&lt;&gt;"",IF('Beginner Adv 15M - Scoring'!AJ40&lt;&gt;"",'Beginner Adv 15M - Scoring'!AJ40,""),"")</f>
        <v/>
      </c>
      <c r="C304" s="79" t="str">
        <f>IF('Beginner Adv 15M - Scoring'!B40&lt;&gt;"",IF('Beginner Adv 15M - Scoring'!AK40&lt;&gt;"",'Beginner Adv 15M - Scoring'!AK40,""),"")</f>
        <v/>
      </c>
      <c r="D304" s="79" t="str">
        <f>IF('Beginner Adv 15M - Scoring'!B40&lt;&gt;"",IF('Beginner Adv 15M - Scoring'!AL40&lt;&gt;"",'Beginner Adv 15M - Scoring'!AL40,""),"")</f>
        <v/>
      </c>
      <c r="E304" s="80" t="str">
        <f>IF('Beginner Adv 15M - Scoring'!B40&lt;&gt;"",'Beginner Adv 15M - Scoring'!AU40,"")</f>
        <v/>
      </c>
      <c r="F304" s="81" t="str">
        <f>IF(E299&lt;&gt;"",IFERROR(IF(ISNUMBER(E299),E299,0),0)+IFERROR(IF(ISNUMBER(E300),E300,0),0)+IFERROR(IF(ISNUMBER(E301),E301,0),0)+IFERROR(IF(ISNUMBER(E302),E302,0),0)+IFERROR(IF(ISNUMBER(E303),E303,0),0)+IFERROR(IF(ISNUMBER(E304),E304,0),0),"")</f>
        <v/>
      </c>
      <c r="H304" s="78" t="s">
        <v>229</v>
      </c>
      <c r="I304" s="79" t="str">
        <f>IF('Beginner Adv 15M - Scoring'!B41&lt;&gt;"",IF('Beginner Adv 15M - Scoring'!AJ41&lt;&gt;"",'Beginner Adv 15M - Scoring'!AJ41,""),"")</f>
        <v/>
      </c>
      <c r="J304" s="79" t="str">
        <f>IF('Beginner Adv 15M - Scoring'!B41&lt;&gt;"",IF('Beginner Adv 15M - Scoring'!AK41&lt;&gt;"",'Beginner Adv 15M - Scoring'!AK41,""),"")</f>
        <v/>
      </c>
      <c r="K304" s="79" t="str">
        <f>IF('Beginner Adv 15M - Scoring'!B41&lt;&gt;"",IF('Beginner Adv 15M - Scoring'!AL41&lt;&gt;"",'Beginner Adv 15M - Scoring'!AL41,""),"")</f>
        <v/>
      </c>
      <c r="L304" s="80" t="str">
        <f>IF('Beginner Adv 15M - Scoring'!B41&lt;&gt;"",'Beginner Adv 15M - Scoring'!AU41,"")</f>
        <v/>
      </c>
      <c r="M304" s="81" t="str">
        <f>IF(L299&lt;&gt;"",IFERROR(IF(ISNUMBER(L299),L299,0),0)+IFERROR(IF(ISNUMBER(L300),L300,0),0)+IFERROR(IF(ISNUMBER(L301),L301,0),0)+IFERROR(IF(ISNUMBER(L302),L302,0),0)+IFERROR(IF(ISNUMBER(L303),L303,0),0)+IFERROR(IF(ISNUMBER(L304),L304,0),0),"")</f>
        <v/>
      </c>
    </row>
    <row r="305" spans="1:13" ht="3.75" customHeight="1" x14ac:dyDescent="0.35"/>
    <row r="306" spans="1:13" ht="24" customHeight="1" x14ac:dyDescent="0.35">
      <c r="A306" s="124" t="s">
        <v>230</v>
      </c>
      <c r="B306" s="124"/>
      <c r="C306" s="124"/>
      <c r="D306" s="124"/>
      <c r="E306" s="125" t="str">
        <f>IF('Beginner Adv 15M - Scoring'!B40&lt;&gt;"",'Beginner Adv 15M - Scoring'!AV40,"")</f>
        <v/>
      </c>
      <c r="F306" s="125"/>
      <c r="H306" s="124" t="s">
        <v>230</v>
      </c>
      <c r="I306" s="124"/>
      <c r="J306" s="124"/>
      <c r="K306" s="124"/>
      <c r="L306" s="125" t="str">
        <f>IF('Beginner Adv 15M - Scoring'!B41&lt;&gt;"",'Beginner Adv 15M - Scoring'!AV41,"")</f>
        <v/>
      </c>
      <c r="M306" s="125"/>
    </row>
    <row r="307" spans="1:13" ht="19.5" customHeight="1" x14ac:dyDescent="0.35">
      <c r="E307" s="125"/>
      <c r="F307" s="125"/>
      <c r="L307" s="125"/>
      <c r="M307" s="125"/>
    </row>
    <row r="308" spans="1:13" ht="3.75" customHeight="1" x14ac:dyDescent="0.35"/>
    <row r="309" spans="1:13" ht="18" customHeight="1" x14ac:dyDescent="0.35">
      <c r="A309" s="73" t="s">
        <v>126</v>
      </c>
      <c r="B309" s="82" t="str">
        <f>IF('Beginner Adv 15M - Scoring'!B40&lt;&gt;"",'Beginner Adv 15M - Scoring'!AW40,"")</f>
        <v/>
      </c>
      <c r="C309" s="73" t="s">
        <v>127</v>
      </c>
      <c r="D309" s="83" t="str">
        <f>IF('Beginner Adv 15M - Scoring'!B40&lt;&gt;"",'Beginner Adv 15M - Scoring'!AX40,"")</f>
        <v/>
      </c>
      <c r="E309" s="73" t="s">
        <v>128</v>
      </c>
      <c r="F309" s="83" t="str">
        <f>IF('Beginner Adv 15M - Scoring'!B40&lt;&gt;"",'Beginner Adv 15M - Scoring'!AY40,"")</f>
        <v/>
      </c>
      <c r="H309" s="73" t="s">
        <v>126</v>
      </c>
      <c r="I309" s="82" t="str">
        <f>IF('Beginner Adv 15M - Scoring'!B41&lt;&gt;"",'Beginner Adv 15M - Scoring'!AW41,"")</f>
        <v/>
      </c>
      <c r="J309" s="73" t="s">
        <v>127</v>
      </c>
      <c r="K309" s="83" t="str">
        <f>IF('Beginner Adv 15M - Scoring'!B41&lt;&gt;"",'Beginner Adv 15M - Scoring'!AX41,"")</f>
        <v/>
      </c>
      <c r="L309" s="73" t="s">
        <v>128</v>
      </c>
      <c r="M309" s="83" t="str">
        <f>IF('Beginner Adv 15M - Scoring'!B41&lt;&gt;"",'Beginner Adv 15M - Scoring'!AY41,"")</f>
        <v/>
      </c>
    </row>
    <row r="310" spans="1:13" ht="3.75" customHeight="1" x14ac:dyDescent="0.35"/>
    <row r="311" spans="1:13" ht="7.5" customHeight="1" x14ac:dyDescent="0.35">
      <c r="A311" s="126"/>
      <c r="B311" s="126"/>
      <c r="C311" s="126"/>
      <c r="D311" s="126"/>
      <c r="E311" s="126"/>
      <c r="F311" s="126"/>
      <c r="G311" s="126"/>
      <c r="H311" s="126"/>
      <c r="I311" s="126"/>
      <c r="J311" s="126"/>
      <c r="K311" s="126"/>
      <c r="L311" s="126"/>
      <c r="M311" s="126"/>
    </row>
    <row r="312" spans="1:13" ht="15.75" customHeight="1" x14ac:dyDescent="0.35">
      <c r="A312" s="73" t="s">
        <v>218</v>
      </c>
      <c r="B312" s="122" t="str">
        <f>IF('Beginner Adv 15M - Scoring'!B42&lt;&gt;"",'Beginner Adv 15M - Scoring'!B42,"")</f>
        <v/>
      </c>
      <c r="C312" s="122"/>
      <c r="D312" s="122"/>
      <c r="E312" s="73" t="s">
        <v>219</v>
      </c>
      <c r="F312" s="74" t="str">
        <f>IF('Beginner Adv 15M - Scoring'!B42&lt;&gt;"",'Beginner Adv 15M - Scoring'!BB42,"")</f>
        <v/>
      </c>
      <c r="H312" s="73" t="s">
        <v>218</v>
      </c>
      <c r="I312" s="122" t="str">
        <f>IF('Beginner Adv 15M - Scoring'!B43&lt;&gt;"",'Beginner Adv 15M - Scoring'!B43,"")</f>
        <v/>
      </c>
      <c r="J312" s="122"/>
      <c r="K312" s="122"/>
      <c r="L312" s="73" t="s">
        <v>219</v>
      </c>
      <c r="M312" s="74" t="str">
        <f>IF('Beginner Adv 15M - Scoring'!B43&lt;&gt;"",'Beginner Adv 15M - Scoring'!BB43,"")</f>
        <v/>
      </c>
    </row>
    <row r="313" spans="1:13" ht="15.75" customHeight="1" x14ac:dyDescent="0.35">
      <c r="A313" s="73" t="s">
        <v>220</v>
      </c>
      <c r="B313" s="123" t="str">
        <f>IF('Beginner Adv 15M - Scoring'!B42&lt;&gt;"",'Beginner Adv 15M - Scoring'!D42,"")</f>
        <v/>
      </c>
      <c r="C313" s="123"/>
      <c r="D313" s="123"/>
      <c r="E313" s="73" t="s">
        <v>8</v>
      </c>
      <c r="F313" s="75" t="str">
        <f>IF('Beginner Adv 15M - Scoring'!B42&lt;&gt;"",'Beginner Adv 15M - Scoring'!E42,"")</f>
        <v/>
      </c>
      <c r="H313" s="73" t="s">
        <v>220</v>
      </c>
      <c r="I313" s="123" t="str">
        <f>IF('Beginner Adv 15M - Scoring'!B43&lt;&gt;"",'Beginner Adv 15M - Scoring'!D43,"")</f>
        <v/>
      </c>
      <c r="J313" s="123"/>
      <c r="K313" s="123"/>
      <c r="L313" s="73" t="s">
        <v>8</v>
      </c>
      <c r="M313" s="75" t="str">
        <f>IF('Beginner Adv 15M - Scoring'!B43&lt;&gt;"",'Beginner Adv 15M - Scoring'!E43,"")</f>
        <v/>
      </c>
    </row>
    <row r="314" spans="1:13" ht="3.75" customHeight="1" x14ac:dyDescent="0.35"/>
    <row r="315" spans="1:13" ht="25.5" customHeight="1" x14ac:dyDescent="0.35">
      <c r="A315" s="76" t="s">
        <v>221</v>
      </c>
      <c r="B315" s="77" t="s">
        <v>222</v>
      </c>
      <c r="C315" s="77" t="s">
        <v>223</v>
      </c>
      <c r="D315" s="77" t="s">
        <v>224</v>
      </c>
      <c r="E315" s="76" t="s">
        <v>225</v>
      </c>
      <c r="F315" s="76" t="s">
        <v>226</v>
      </c>
      <c r="H315" s="76" t="s">
        <v>221</v>
      </c>
      <c r="I315" s="77" t="s">
        <v>222</v>
      </c>
      <c r="J315" s="77" t="s">
        <v>223</v>
      </c>
      <c r="K315" s="77" t="s">
        <v>224</v>
      </c>
      <c r="L315" s="76" t="s">
        <v>225</v>
      </c>
      <c r="M315" s="76" t="s">
        <v>226</v>
      </c>
    </row>
    <row r="316" spans="1:13" ht="19.5" customHeight="1" x14ac:dyDescent="0.35">
      <c r="A316" s="78" t="s">
        <v>222</v>
      </c>
      <c r="B316" s="79" t="str">
        <f>IF('Beginner Adv 15M - Scoring'!B42&lt;&gt;"",IF('Beginner Adv 15M - Scoring'!F42&lt;&gt;"",'Beginner Adv 15M - Scoring'!F42,""),"")</f>
        <v/>
      </c>
      <c r="C316" s="79" t="str">
        <f>IF('Beginner Adv 15M - Scoring'!B42&lt;&gt;"",IF('Beginner Adv 15M - Scoring'!G42&lt;&gt;"",'Beginner Adv 15M - Scoring'!G42,""),"")</f>
        <v/>
      </c>
      <c r="D316" s="79" t="str">
        <f>IF('Beginner Adv 15M - Scoring'!B42&lt;&gt;"",IF('Beginner Adv 15M - Scoring'!H42&lt;&gt;"",'Beginner Adv 15M - Scoring'!H42,""),"")</f>
        <v/>
      </c>
      <c r="E316" s="80" t="str">
        <f>IF('Beginner Adv 15M - Scoring'!B42&lt;&gt;"",'Beginner Adv 15M - Scoring'!AP42,"")</f>
        <v/>
      </c>
      <c r="F316" s="81" t="str">
        <f>IFERROR(IF(ISNUMBER(E316),E316,""),"")</f>
        <v/>
      </c>
      <c r="H316" s="78" t="s">
        <v>222</v>
      </c>
      <c r="I316" s="79" t="str">
        <f>IF('Beginner Adv 15M - Scoring'!B43&lt;&gt;"",IF('Beginner Adv 15M - Scoring'!F43&lt;&gt;"",'Beginner Adv 15M - Scoring'!F43,""),"")</f>
        <v/>
      </c>
      <c r="J316" s="79" t="str">
        <f>IF('Beginner Adv 15M - Scoring'!B43&lt;&gt;"",IF('Beginner Adv 15M - Scoring'!G43&lt;&gt;"",'Beginner Adv 15M - Scoring'!G43,""),"")</f>
        <v/>
      </c>
      <c r="K316" s="79" t="str">
        <f>IF('Beginner Adv 15M - Scoring'!B43&lt;&gt;"",IF('Beginner Adv 15M - Scoring'!H43&lt;&gt;"",'Beginner Adv 15M - Scoring'!H43,""),"")</f>
        <v/>
      </c>
      <c r="L316" s="80" t="str">
        <f>IF('Beginner Adv 15M - Scoring'!B43&lt;&gt;"",'Beginner Adv 15M - Scoring'!AP43,"")</f>
        <v/>
      </c>
      <c r="M316" s="81" t="str">
        <f>IFERROR(IF(ISNUMBER(L316),L316,""),"")</f>
        <v/>
      </c>
    </row>
    <row r="317" spans="1:13" ht="19.5" customHeight="1" x14ac:dyDescent="0.35">
      <c r="A317" s="78" t="s">
        <v>223</v>
      </c>
      <c r="B317" s="79" t="str">
        <f>IF('Beginner Adv 15M - Scoring'!B42&lt;&gt;"",IF('Beginner Adv 15M - Scoring'!L42&lt;&gt;"",'Beginner Adv 15M - Scoring'!L42,""),"")</f>
        <v/>
      </c>
      <c r="C317" s="79" t="str">
        <f>IF('Beginner Adv 15M - Scoring'!B42&lt;&gt;"",IF('Beginner Adv 15M - Scoring'!M42&lt;&gt;"",'Beginner Adv 15M - Scoring'!M42,""),"")</f>
        <v/>
      </c>
      <c r="D317" s="79" t="str">
        <f>IF('Beginner Adv 15M - Scoring'!B42&lt;&gt;"",IF('Beginner Adv 15M - Scoring'!N42&lt;&gt;"",'Beginner Adv 15M - Scoring'!N42,""),"")</f>
        <v/>
      </c>
      <c r="E317" s="80" t="str">
        <f>IF('Beginner Adv 15M - Scoring'!B42&lt;&gt;"",'Beginner Adv 15M - Scoring'!AQ42,"")</f>
        <v/>
      </c>
      <c r="F317" s="81" t="str">
        <f>IF(E316&lt;&gt;"",IFERROR(IF(ISNUMBER(E316),E316,0),0)+IFERROR(IF(ISNUMBER(E317),E317,0),0),"")</f>
        <v/>
      </c>
      <c r="H317" s="78" t="s">
        <v>223</v>
      </c>
      <c r="I317" s="79" t="str">
        <f>IF('Beginner Adv 15M - Scoring'!B43&lt;&gt;"",IF('Beginner Adv 15M - Scoring'!L43&lt;&gt;"",'Beginner Adv 15M - Scoring'!L43,""),"")</f>
        <v/>
      </c>
      <c r="J317" s="79" t="str">
        <f>IF('Beginner Adv 15M - Scoring'!B43&lt;&gt;"",IF('Beginner Adv 15M - Scoring'!M43&lt;&gt;"",'Beginner Adv 15M - Scoring'!M43,""),"")</f>
        <v/>
      </c>
      <c r="K317" s="79" t="str">
        <f>IF('Beginner Adv 15M - Scoring'!B43&lt;&gt;"",IF('Beginner Adv 15M - Scoring'!N43&lt;&gt;"",'Beginner Adv 15M - Scoring'!N43,""),"")</f>
        <v/>
      </c>
      <c r="L317" s="80" t="str">
        <f>IF('Beginner Adv 15M - Scoring'!B43&lt;&gt;"",'Beginner Adv 15M - Scoring'!AQ43,"")</f>
        <v/>
      </c>
      <c r="M317" s="81" t="str">
        <f>IF(L316&lt;&gt;"",IFERROR(IF(ISNUMBER(L316),L316,0),0)+IFERROR(IF(ISNUMBER(L317),L317,0),0),"")</f>
        <v/>
      </c>
    </row>
    <row r="318" spans="1:13" ht="19.5" customHeight="1" x14ac:dyDescent="0.35">
      <c r="A318" s="78" t="s">
        <v>224</v>
      </c>
      <c r="B318" s="79" t="str">
        <f>IF('Beginner Adv 15M - Scoring'!B42&lt;&gt;"",IF('Beginner Adv 15M - Scoring'!R42&lt;&gt;"",'Beginner Adv 15M - Scoring'!R42,""),"")</f>
        <v/>
      </c>
      <c r="C318" s="79" t="str">
        <f>IF('Beginner Adv 15M - Scoring'!B42&lt;&gt;"",IF('Beginner Adv 15M - Scoring'!S42&lt;&gt;"",'Beginner Adv 15M - Scoring'!S42,""),"")</f>
        <v/>
      </c>
      <c r="D318" s="79" t="str">
        <f>IF('Beginner Adv 15M - Scoring'!B42&lt;&gt;"",IF('Beginner Adv 15M - Scoring'!T42&lt;&gt;"",'Beginner Adv 15M - Scoring'!T42,""),"")</f>
        <v/>
      </c>
      <c r="E318" s="80" t="str">
        <f>IF('Beginner Adv 15M - Scoring'!B42&lt;&gt;"",'Beginner Adv 15M - Scoring'!AR42,"")</f>
        <v/>
      </c>
      <c r="F318" s="81" t="str">
        <f>IF(E316&lt;&gt;"",IFERROR(IF(ISNUMBER(E316),E316,0),0)+IFERROR(IF(ISNUMBER(E317),E317,0),0)+IFERROR(IF(ISNUMBER(E318),E318,0),0),"")</f>
        <v/>
      </c>
      <c r="H318" s="78" t="s">
        <v>224</v>
      </c>
      <c r="I318" s="79" t="str">
        <f>IF('Beginner Adv 15M - Scoring'!B43&lt;&gt;"",IF('Beginner Adv 15M - Scoring'!R43&lt;&gt;"",'Beginner Adv 15M - Scoring'!R43,""),"")</f>
        <v/>
      </c>
      <c r="J318" s="79" t="str">
        <f>IF('Beginner Adv 15M - Scoring'!B43&lt;&gt;"",IF('Beginner Adv 15M - Scoring'!S43&lt;&gt;"",'Beginner Adv 15M - Scoring'!S43,""),"")</f>
        <v/>
      </c>
      <c r="K318" s="79" t="str">
        <f>IF('Beginner Adv 15M - Scoring'!B43&lt;&gt;"",IF('Beginner Adv 15M - Scoring'!T43&lt;&gt;"",'Beginner Adv 15M - Scoring'!T43,""),"")</f>
        <v/>
      </c>
      <c r="L318" s="80" t="str">
        <f>IF('Beginner Adv 15M - Scoring'!B43&lt;&gt;"",'Beginner Adv 15M - Scoring'!AR43,"")</f>
        <v/>
      </c>
      <c r="M318" s="81" t="str">
        <f>IF(L316&lt;&gt;"",IFERROR(IF(ISNUMBER(L316),L316,0),0)+IFERROR(IF(ISNUMBER(L317),L317,0),0)+IFERROR(IF(ISNUMBER(L318),L318,0),0),"")</f>
        <v/>
      </c>
    </row>
    <row r="319" spans="1:13" ht="19.5" customHeight="1" x14ac:dyDescent="0.35">
      <c r="A319" s="78" t="s">
        <v>227</v>
      </c>
      <c r="B319" s="79" t="str">
        <f>IF('Beginner Adv 15M - Scoring'!B42&lt;&gt;"",IF('Beginner Adv 15M - Scoring'!X42&lt;&gt;"",'Beginner Adv 15M - Scoring'!X42,""),"")</f>
        <v/>
      </c>
      <c r="C319" s="79" t="str">
        <f>IF('Beginner Adv 15M - Scoring'!B42&lt;&gt;"",IF('Beginner Adv 15M - Scoring'!Y42&lt;&gt;"",'Beginner Adv 15M - Scoring'!Y42,""),"")</f>
        <v/>
      </c>
      <c r="D319" s="79" t="str">
        <f>IF('Beginner Adv 15M - Scoring'!B42&lt;&gt;"",IF('Beginner Adv 15M - Scoring'!Z42&lt;&gt;"",'Beginner Adv 15M - Scoring'!Z42,""),"")</f>
        <v/>
      </c>
      <c r="E319" s="80" t="str">
        <f>IF('Beginner Adv 15M - Scoring'!B42&lt;&gt;"",'Beginner Adv 15M - Scoring'!AS42,"")</f>
        <v/>
      </c>
      <c r="F319" s="81" t="str">
        <f>IF(E316&lt;&gt;"",IFERROR(IF(ISNUMBER(E316),E316,0),0)+IFERROR(IF(ISNUMBER(E317),E317,0),0)+IFERROR(IF(ISNUMBER(E318),E318,0),0)+IFERROR(IF(ISNUMBER(E319),E319,0),0),"")</f>
        <v/>
      </c>
      <c r="H319" s="78" t="s">
        <v>227</v>
      </c>
      <c r="I319" s="79" t="str">
        <f>IF('Beginner Adv 15M - Scoring'!B43&lt;&gt;"",IF('Beginner Adv 15M - Scoring'!X43&lt;&gt;"",'Beginner Adv 15M - Scoring'!X43,""),"")</f>
        <v/>
      </c>
      <c r="J319" s="79" t="str">
        <f>IF('Beginner Adv 15M - Scoring'!B43&lt;&gt;"",IF('Beginner Adv 15M - Scoring'!Y43&lt;&gt;"",'Beginner Adv 15M - Scoring'!Y43,""),"")</f>
        <v/>
      </c>
      <c r="K319" s="79" t="str">
        <f>IF('Beginner Adv 15M - Scoring'!B43&lt;&gt;"",IF('Beginner Adv 15M - Scoring'!Z43&lt;&gt;"",'Beginner Adv 15M - Scoring'!Z43,""),"")</f>
        <v/>
      </c>
      <c r="L319" s="80" t="str">
        <f>IF('Beginner Adv 15M - Scoring'!B43&lt;&gt;"",'Beginner Adv 15M - Scoring'!AS43,"")</f>
        <v/>
      </c>
      <c r="M319" s="81" t="str">
        <f>IF(L316&lt;&gt;"",IFERROR(IF(ISNUMBER(L316),L316,0),0)+IFERROR(IF(ISNUMBER(L317),L317,0),0)+IFERROR(IF(ISNUMBER(L318),L318,0),0)+IFERROR(IF(ISNUMBER(L319),L319,0),0),"")</f>
        <v/>
      </c>
    </row>
    <row r="320" spans="1:13" ht="19.5" customHeight="1" x14ac:dyDescent="0.35">
      <c r="A320" s="78" t="s">
        <v>228</v>
      </c>
      <c r="B320" s="79" t="str">
        <f>IF('Beginner Adv 15M - Scoring'!B42&lt;&gt;"",IF('Beginner Adv 15M - Scoring'!AD42&lt;&gt;"",'Beginner Adv 15M - Scoring'!AD42,""),"")</f>
        <v/>
      </c>
      <c r="C320" s="79" t="str">
        <f>IF('Beginner Adv 15M - Scoring'!B42&lt;&gt;"",IF('Beginner Adv 15M - Scoring'!AE42&lt;&gt;"",'Beginner Adv 15M - Scoring'!AE42,""),"")</f>
        <v/>
      </c>
      <c r="D320" s="79" t="str">
        <f>IF('Beginner Adv 15M - Scoring'!B42&lt;&gt;"",IF('Beginner Adv 15M - Scoring'!AF42&lt;&gt;"",'Beginner Adv 15M - Scoring'!AF42,""),"")</f>
        <v/>
      </c>
      <c r="E320" s="80" t="str">
        <f>IF('Beginner Adv 15M - Scoring'!B42&lt;&gt;"",'Beginner Adv 15M - Scoring'!AT42,"")</f>
        <v/>
      </c>
      <c r="F320" s="81" t="str">
        <f>IF(E316&lt;&gt;"",IFERROR(IF(ISNUMBER(E316),E316,0),0)+IFERROR(IF(ISNUMBER(E317),E317,0),0)+IFERROR(IF(ISNUMBER(E318),E318,0),0)+IFERROR(IF(ISNUMBER(E319),E319,0),0)+IFERROR(IF(ISNUMBER(E320),E320,0),0),"")</f>
        <v/>
      </c>
      <c r="H320" s="78" t="s">
        <v>228</v>
      </c>
      <c r="I320" s="79" t="str">
        <f>IF('Beginner Adv 15M - Scoring'!B43&lt;&gt;"",IF('Beginner Adv 15M - Scoring'!AD43&lt;&gt;"",'Beginner Adv 15M - Scoring'!AD43,""),"")</f>
        <v/>
      </c>
      <c r="J320" s="79" t="str">
        <f>IF('Beginner Adv 15M - Scoring'!B43&lt;&gt;"",IF('Beginner Adv 15M - Scoring'!AE43&lt;&gt;"",'Beginner Adv 15M - Scoring'!AE43,""),"")</f>
        <v/>
      </c>
      <c r="K320" s="79" t="str">
        <f>IF('Beginner Adv 15M - Scoring'!B43&lt;&gt;"",IF('Beginner Adv 15M - Scoring'!AF43&lt;&gt;"",'Beginner Adv 15M - Scoring'!AF43,""),"")</f>
        <v/>
      </c>
      <c r="L320" s="80" t="str">
        <f>IF('Beginner Adv 15M - Scoring'!B43&lt;&gt;"",'Beginner Adv 15M - Scoring'!AT43,"")</f>
        <v/>
      </c>
      <c r="M320" s="81" t="str">
        <f>IF(L316&lt;&gt;"",IFERROR(IF(ISNUMBER(L316),L316,0),0)+IFERROR(IF(ISNUMBER(L317),L317,0),0)+IFERROR(IF(ISNUMBER(L318),L318,0),0)+IFERROR(IF(ISNUMBER(L319),L319,0),0)+IFERROR(IF(ISNUMBER(L320),L320,0),0),"")</f>
        <v/>
      </c>
    </row>
    <row r="321" spans="1:13" ht="19.5" customHeight="1" x14ac:dyDescent="0.35">
      <c r="A321" s="78" t="s">
        <v>229</v>
      </c>
      <c r="B321" s="79" t="str">
        <f>IF('Beginner Adv 15M - Scoring'!B42&lt;&gt;"",IF('Beginner Adv 15M - Scoring'!AJ42&lt;&gt;"",'Beginner Adv 15M - Scoring'!AJ42,""),"")</f>
        <v/>
      </c>
      <c r="C321" s="79" t="str">
        <f>IF('Beginner Adv 15M - Scoring'!B42&lt;&gt;"",IF('Beginner Adv 15M - Scoring'!AK42&lt;&gt;"",'Beginner Adv 15M - Scoring'!AK42,""),"")</f>
        <v/>
      </c>
      <c r="D321" s="79" t="str">
        <f>IF('Beginner Adv 15M - Scoring'!B42&lt;&gt;"",IF('Beginner Adv 15M - Scoring'!AL42&lt;&gt;"",'Beginner Adv 15M - Scoring'!AL42,""),"")</f>
        <v/>
      </c>
      <c r="E321" s="80" t="str">
        <f>IF('Beginner Adv 15M - Scoring'!B42&lt;&gt;"",'Beginner Adv 15M - Scoring'!AU42,"")</f>
        <v/>
      </c>
      <c r="F321" s="81" t="str">
        <f>IF(E316&lt;&gt;"",IFERROR(IF(ISNUMBER(E316),E316,0),0)+IFERROR(IF(ISNUMBER(E317),E317,0),0)+IFERROR(IF(ISNUMBER(E318),E318,0),0)+IFERROR(IF(ISNUMBER(E319),E319,0),0)+IFERROR(IF(ISNUMBER(E320),E320,0),0)+IFERROR(IF(ISNUMBER(E321),E321,0),0),"")</f>
        <v/>
      </c>
      <c r="H321" s="78" t="s">
        <v>229</v>
      </c>
      <c r="I321" s="79" t="str">
        <f>IF('Beginner Adv 15M - Scoring'!B43&lt;&gt;"",IF('Beginner Adv 15M - Scoring'!AJ43&lt;&gt;"",'Beginner Adv 15M - Scoring'!AJ43,""),"")</f>
        <v/>
      </c>
      <c r="J321" s="79" t="str">
        <f>IF('Beginner Adv 15M - Scoring'!B43&lt;&gt;"",IF('Beginner Adv 15M - Scoring'!AK43&lt;&gt;"",'Beginner Adv 15M - Scoring'!AK43,""),"")</f>
        <v/>
      </c>
      <c r="K321" s="79" t="str">
        <f>IF('Beginner Adv 15M - Scoring'!B43&lt;&gt;"",IF('Beginner Adv 15M - Scoring'!AL43&lt;&gt;"",'Beginner Adv 15M - Scoring'!AL43,""),"")</f>
        <v/>
      </c>
      <c r="L321" s="80" t="str">
        <f>IF('Beginner Adv 15M - Scoring'!B43&lt;&gt;"",'Beginner Adv 15M - Scoring'!AU43,"")</f>
        <v/>
      </c>
      <c r="M321" s="81" t="str">
        <f>IF(L316&lt;&gt;"",IFERROR(IF(ISNUMBER(L316),L316,0),0)+IFERROR(IF(ISNUMBER(L317),L317,0),0)+IFERROR(IF(ISNUMBER(L318),L318,0),0)+IFERROR(IF(ISNUMBER(L319),L319,0),0)+IFERROR(IF(ISNUMBER(L320),L320,0),0)+IFERROR(IF(ISNUMBER(L321),L321,0),0),"")</f>
        <v/>
      </c>
    </row>
    <row r="322" spans="1:13" ht="3.75" customHeight="1" x14ac:dyDescent="0.35"/>
    <row r="323" spans="1:13" ht="24" customHeight="1" x14ac:dyDescent="0.35">
      <c r="A323" s="124" t="s">
        <v>230</v>
      </c>
      <c r="B323" s="124"/>
      <c r="C323" s="124"/>
      <c r="D323" s="124"/>
      <c r="E323" s="125" t="str">
        <f>IF('Beginner Adv 15M - Scoring'!B42&lt;&gt;"",'Beginner Adv 15M - Scoring'!AV42,"")</f>
        <v/>
      </c>
      <c r="F323" s="125"/>
      <c r="H323" s="124" t="s">
        <v>230</v>
      </c>
      <c r="I323" s="124"/>
      <c r="J323" s="124"/>
      <c r="K323" s="124"/>
      <c r="L323" s="125" t="str">
        <f>IF('Beginner Adv 15M - Scoring'!B43&lt;&gt;"",'Beginner Adv 15M - Scoring'!AV43,"")</f>
        <v/>
      </c>
      <c r="M323" s="125"/>
    </row>
    <row r="324" spans="1:13" ht="19.5" customHeight="1" x14ac:dyDescent="0.35">
      <c r="E324" s="125"/>
      <c r="F324" s="125"/>
      <c r="L324" s="125"/>
      <c r="M324" s="125"/>
    </row>
    <row r="325" spans="1:13" ht="3.75" customHeight="1" x14ac:dyDescent="0.35"/>
    <row r="326" spans="1:13" ht="18" customHeight="1" x14ac:dyDescent="0.35">
      <c r="A326" s="73" t="s">
        <v>126</v>
      </c>
      <c r="B326" s="82" t="str">
        <f>IF('Beginner Adv 15M - Scoring'!B42&lt;&gt;"",'Beginner Adv 15M - Scoring'!AW42,"")</f>
        <v/>
      </c>
      <c r="C326" s="73" t="s">
        <v>127</v>
      </c>
      <c r="D326" s="83" t="str">
        <f>IF('Beginner Adv 15M - Scoring'!B42&lt;&gt;"",'Beginner Adv 15M - Scoring'!AX42,"")</f>
        <v/>
      </c>
      <c r="E326" s="73" t="s">
        <v>128</v>
      </c>
      <c r="F326" s="83" t="str">
        <f>IF('Beginner Adv 15M - Scoring'!B42&lt;&gt;"",'Beginner Adv 15M - Scoring'!AY42,"")</f>
        <v/>
      </c>
      <c r="H326" s="73" t="s">
        <v>126</v>
      </c>
      <c r="I326" s="82" t="str">
        <f>IF('Beginner Adv 15M - Scoring'!B43&lt;&gt;"",'Beginner Adv 15M - Scoring'!AW43,"")</f>
        <v/>
      </c>
      <c r="J326" s="73" t="s">
        <v>127</v>
      </c>
      <c r="K326" s="83" t="str">
        <f>IF('Beginner Adv 15M - Scoring'!B43&lt;&gt;"",'Beginner Adv 15M - Scoring'!AX43,"")</f>
        <v/>
      </c>
      <c r="L326" s="73" t="s">
        <v>128</v>
      </c>
      <c r="M326" s="83" t="str">
        <f>IF('Beginner Adv 15M - Scoring'!B43&lt;&gt;"",'Beginner Adv 15M - Scoring'!AY43,"")</f>
        <v/>
      </c>
    </row>
    <row r="327" spans="1:13" ht="3.75" customHeight="1" x14ac:dyDescent="0.35"/>
    <row r="328" spans="1:13" ht="7.5" customHeight="1" x14ac:dyDescent="0.35">
      <c r="A328" s="126"/>
      <c r="B328" s="126"/>
      <c r="C328" s="126"/>
      <c r="D328" s="126"/>
      <c r="E328" s="126"/>
      <c r="F328" s="126"/>
      <c r="G328" s="126"/>
      <c r="H328" s="126"/>
      <c r="I328" s="126"/>
      <c r="J328" s="126"/>
      <c r="K328" s="126"/>
      <c r="L328" s="126"/>
      <c r="M328" s="126"/>
    </row>
    <row r="329" spans="1:13" ht="15.75" customHeight="1" x14ac:dyDescent="0.35">
      <c r="A329" s="73" t="s">
        <v>218</v>
      </c>
      <c r="B329" s="122" t="str">
        <f>IF('Beginner Adv 15M - Scoring'!B44&lt;&gt;"",'Beginner Adv 15M - Scoring'!B44,"")</f>
        <v/>
      </c>
      <c r="C329" s="122"/>
      <c r="D329" s="122"/>
      <c r="E329" s="73" t="s">
        <v>219</v>
      </c>
      <c r="F329" s="74" t="str">
        <f>IF('Beginner Adv 15M - Scoring'!B44&lt;&gt;"",'Beginner Adv 15M - Scoring'!BB44,"")</f>
        <v/>
      </c>
      <c r="H329" s="73" t="s">
        <v>218</v>
      </c>
      <c r="I329" s="122" t="str">
        <f>IF('Beginner Adv 15M - Scoring'!B45&lt;&gt;"",'Beginner Adv 15M - Scoring'!B45,"")</f>
        <v/>
      </c>
      <c r="J329" s="122"/>
      <c r="K329" s="122"/>
      <c r="L329" s="73" t="s">
        <v>219</v>
      </c>
      <c r="M329" s="74" t="str">
        <f>IF('Beginner Adv 15M - Scoring'!B45&lt;&gt;"",'Beginner Adv 15M - Scoring'!BB45,"")</f>
        <v/>
      </c>
    </row>
    <row r="330" spans="1:13" ht="15.75" customHeight="1" x14ac:dyDescent="0.35">
      <c r="A330" s="73" t="s">
        <v>220</v>
      </c>
      <c r="B330" s="123" t="str">
        <f>IF('Beginner Adv 15M - Scoring'!B44&lt;&gt;"",'Beginner Adv 15M - Scoring'!D44,"")</f>
        <v/>
      </c>
      <c r="C330" s="123"/>
      <c r="D330" s="123"/>
      <c r="E330" s="73" t="s">
        <v>8</v>
      </c>
      <c r="F330" s="75" t="str">
        <f>IF('Beginner Adv 15M - Scoring'!B44&lt;&gt;"",'Beginner Adv 15M - Scoring'!E44,"")</f>
        <v/>
      </c>
      <c r="H330" s="73" t="s">
        <v>220</v>
      </c>
      <c r="I330" s="123" t="str">
        <f>IF('Beginner Adv 15M - Scoring'!B45&lt;&gt;"",'Beginner Adv 15M - Scoring'!D45,"")</f>
        <v/>
      </c>
      <c r="J330" s="123"/>
      <c r="K330" s="123"/>
      <c r="L330" s="73" t="s">
        <v>8</v>
      </c>
      <c r="M330" s="75" t="str">
        <f>IF('Beginner Adv 15M - Scoring'!B45&lt;&gt;"",'Beginner Adv 15M - Scoring'!E45,"")</f>
        <v/>
      </c>
    </row>
    <row r="331" spans="1:13" ht="3.75" customHeight="1" x14ac:dyDescent="0.35"/>
    <row r="332" spans="1:13" ht="25.5" customHeight="1" x14ac:dyDescent="0.35">
      <c r="A332" s="76" t="s">
        <v>221</v>
      </c>
      <c r="B332" s="77" t="s">
        <v>222</v>
      </c>
      <c r="C332" s="77" t="s">
        <v>223</v>
      </c>
      <c r="D332" s="77" t="s">
        <v>224</v>
      </c>
      <c r="E332" s="76" t="s">
        <v>225</v>
      </c>
      <c r="F332" s="76" t="s">
        <v>226</v>
      </c>
      <c r="H332" s="76" t="s">
        <v>221</v>
      </c>
      <c r="I332" s="77" t="s">
        <v>222</v>
      </c>
      <c r="J332" s="77" t="s">
        <v>223</v>
      </c>
      <c r="K332" s="77" t="s">
        <v>224</v>
      </c>
      <c r="L332" s="76" t="s">
        <v>225</v>
      </c>
      <c r="M332" s="76" t="s">
        <v>226</v>
      </c>
    </row>
    <row r="333" spans="1:13" ht="19.5" customHeight="1" x14ac:dyDescent="0.35">
      <c r="A333" s="78" t="s">
        <v>222</v>
      </c>
      <c r="B333" s="79" t="str">
        <f>IF('Beginner Adv 15M - Scoring'!B44&lt;&gt;"",IF('Beginner Adv 15M - Scoring'!F44&lt;&gt;"",'Beginner Adv 15M - Scoring'!F44,""),"")</f>
        <v/>
      </c>
      <c r="C333" s="79" t="str">
        <f>IF('Beginner Adv 15M - Scoring'!B44&lt;&gt;"",IF('Beginner Adv 15M - Scoring'!G44&lt;&gt;"",'Beginner Adv 15M - Scoring'!G44,""),"")</f>
        <v/>
      </c>
      <c r="D333" s="79" t="str">
        <f>IF('Beginner Adv 15M - Scoring'!B44&lt;&gt;"",IF('Beginner Adv 15M - Scoring'!H44&lt;&gt;"",'Beginner Adv 15M - Scoring'!H44,""),"")</f>
        <v/>
      </c>
      <c r="E333" s="80" t="str">
        <f>IF('Beginner Adv 15M - Scoring'!B44&lt;&gt;"",'Beginner Adv 15M - Scoring'!AP44,"")</f>
        <v/>
      </c>
      <c r="F333" s="81" t="str">
        <f>IFERROR(IF(ISNUMBER(E333),E333,""),"")</f>
        <v/>
      </c>
      <c r="H333" s="78" t="s">
        <v>222</v>
      </c>
      <c r="I333" s="79" t="str">
        <f>IF('Beginner Adv 15M - Scoring'!B45&lt;&gt;"",IF('Beginner Adv 15M - Scoring'!F45&lt;&gt;"",'Beginner Adv 15M - Scoring'!F45,""),"")</f>
        <v/>
      </c>
      <c r="J333" s="79" t="str">
        <f>IF('Beginner Adv 15M - Scoring'!B45&lt;&gt;"",IF('Beginner Adv 15M - Scoring'!G45&lt;&gt;"",'Beginner Adv 15M - Scoring'!G45,""),"")</f>
        <v/>
      </c>
      <c r="K333" s="79" t="str">
        <f>IF('Beginner Adv 15M - Scoring'!B45&lt;&gt;"",IF('Beginner Adv 15M - Scoring'!H45&lt;&gt;"",'Beginner Adv 15M - Scoring'!H45,""),"")</f>
        <v/>
      </c>
      <c r="L333" s="80" t="str">
        <f>IF('Beginner Adv 15M - Scoring'!B45&lt;&gt;"",'Beginner Adv 15M - Scoring'!AP45,"")</f>
        <v/>
      </c>
      <c r="M333" s="81" t="str">
        <f>IFERROR(IF(ISNUMBER(L333),L333,""),"")</f>
        <v/>
      </c>
    </row>
    <row r="334" spans="1:13" ht="19.5" customHeight="1" x14ac:dyDescent="0.35">
      <c r="A334" s="78" t="s">
        <v>223</v>
      </c>
      <c r="B334" s="79" t="str">
        <f>IF('Beginner Adv 15M - Scoring'!B44&lt;&gt;"",IF('Beginner Adv 15M - Scoring'!L44&lt;&gt;"",'Beginner Adv 15M - Scoring'!L44,""),"")</f>
        <v/>
      </c>
      <c r="C334" s="79" t="str">
        <f>IF('Beginner Adv 15M - Scoring'!B44&lt;&gt;"",IF('Beginner Adv 15M - Scoring'!M44&lt;&gt;"",'Beginner Adv 15M - Scoring'!M44,""),"")</f>
        <v/>
      </c>
      <c r="D334" s="79" t="str">
        <f>IF('Beginner Adv 15M - Scoring'!B44&lt;&gt;"",IF('Beginner Adv 15M - Scoring'!N44&lt;&gt;"",'Beginner Adv 15M - Scoring'!N44,""),"")</f>
        <v/>
      </c>
      <c r="E334" s="80" t="str">
        <f>IF('Beginner Adv 15M - Scoring'!B44&lt;&gt;"",'Beginner Adv 15M - Scoring'!AQ44,"")</f>
        <v/>
      </c>
      <c r="F334" s="81" t="str">
        <f>IF(E333&lt;&gt;"",IFERROR(IF(ISNUMBER(E333),E333,0),0)+IFERROR(IF(ISNUMBER(E334),E334,0),0),"")</f>
        <v/>
      </c>
      <c r="H334" s="78" t="s">
        <v>223</v>
      </c>
      <c r="I334" s="79" t="str">
        <f>IF('Beginner Adv 15M - Scoring'!B45&lt;&gt;"",IF('Beginner Adv 15M - Scoring'!L45&lt;&gt;"",'Beginner Adv 15M - Scoring'!L45,""),"")</f>
        <v/>
      </c>
      <c r="J334" s="79" t="str">
        <f>IF('Beginner Adv 15M - Scoring'!B45&lt;&gt;"",IF('Beginner Adv 15M - Scoring'!M45&lt;&gt;"",'Beginner Adv 15M - Scoring'!M45,""),"")</f>
        <v/>
      </c>
      <c r="K334" s="79" t="str">
        <f>IF('Beginner Adv 15M - Scoring'!B45&lt;&gt;"",IF('Beginner Adv 15M - Scoring'!N45&lt;&gt;"",'Beginner Adv 15M - Scoring'!N45,""),"")</f>
        <v/>
      </c>
      <c r="L334" s="80" t="str">
        <f>IF('Beginner Adv 15M - Scoring'!B45&lt;&gt;"",'Beginner Adv 15M - Scoring'!AQ45,"")</f>
        <v/>
      </c>
      <c r="M334" s="81" t="str">
        <f>IF(L333&lt;&gt;"",IFERROR(IF(ISNUMBER(L333),L333,0),0)+IFERROR(IF(ISNUMBER(L334),L334,0),0),"")</f>
        <v/>
      </c>
    </row>
    <row r="335" spans="1:13" ht="19.5" customHeight="1" x14ac:dyDescent="0.35">
      <c r="A335" s="78" t="s">
        <v>224</v>
      </c>
      <c r="B335" s="79" t="str">
        <f>IF('Beginner Adv 15M - Scoring'!B44&lt;&gt;"",IF('Beginner Adv 15M - Scoring'!R44&lt;&gt;"",'Beginner Adv 15M - Scoring'!R44,""),"")</f>
        <v/>
      </c>
      <c r="C335" s="79" t="str">
        <f>IF('Beginner Adv 15M - Scoring'!B44&lt;&gt;"",IF('Beginner Adv 15M - Scoring'!S44&lt;&gt;"",'Beginner Adv 15M - Scoring'!S44,""),"")</f>
        <v/>
      </c>
      <c r="D335" s="79" t="str">
        <f>IF('Beginner Adv 15M - Scoring'!B44&lt;&gt;"",IF('Beginner Adv 15M - Scoring'!T44&lt;&gt;"",'Beginner Adv 15M - Scoring'!T44,""),"")</f>
        <v/>
      </c>
      <c r="E335" s="80" t="str">
        <f>IF('Beginner Adv 15M - Scoring'!B44&lt;&gt;"",'Beginner Adv 15M - Scoring'!AR44,"")</f>
        <v/>
      </c>
      <c r="F335" s="81" t="str">
        <f>IF(E333&lt;&gt;"",IFERROR(IF(ISNUMBER(E333),E333,0),0)+IFERROR(IF(ISNUMBER(E334),E334,0),0)+IFERROR(IF(ISNUMBER(E335),E335,0),0),"")</f>
        <v/>
      </c>
      <c r="H335" s="78" t="s">
        <v>224</v>
      </c>
      <c r="I335" s="79" t="str">
        <f>IF('Beginner Adv 15M - Scoring'!B45&lt;&gt;"",IF('Beginner Adv 15M - Scoring'!R45&lt;&gt;"",'Beginner Adv 15M - Scoring'!R45,""),"")</f>
        <v/>
      </c>
      <c r="J335" s="79" t="str">
        <f>IF('Beginner Adv 15M - Scoring'!B45&lt;&gt;"",IF('Beginner Adv 15M - Scoring'!S45&lt;&gt;"",'Beginner Adv 15M - Scoring'!S45,""),"")</f>
        <v/>
      </c>
      <c r="K335" s="79" t="str">
        <f>IF('Beginner Adv 15M - Scoring'!B45&lt;&gt;"",IF('Beginner Adv 15M - Scoring'!T45&lt;&gt;"",'Beginner Adv 15M - Scoring'!T45,""),"")</f>
        <v/>
      </c>
      <c r="L335" s="80" t="str">
        <f>IF('Beginner Adv 15M - Scoring'!B45&lt;&gt;"",'Beginner Adv 15M - Scoring'!AR45,"")</f>
        <v/>
      </c>
      <c r="M335" s="81" t="str">
        <f>IF(L333&lt;&gt;"",IFERROR(IF(ISNUMBER(L333),L333,0),0)+IFERROR(IF(ISNUMBER(L334),L334,0),0)+IFERROR(IF(ISNUMBER(L335),L335,0),0),"")</f>
        <v/>
      </c>
    </row>
    <row r="336" spans="1:13" ht="19.5" customHeight="1" x14ac:dyDescent="0.35">
      <c r="A336" s="78" t="s">
        <v>227</v>
      </c>
      <c r="B336" s="79" t="str">
        <f>IF('Beginner Adv 15M - Scoring'!B44&lt;&gt;"",IF('Beginner Adv 15M - Scoring'!X44&lt;&gt;"",'Beginner Adv 15M - Scoring'!X44,""),"")</f>
        <v/>
      </c>
      <c r="C336" s="79" t="str">
        <f>IF('Beginner Adv 15M - Scoring'!B44&lt;&gt;"",IF('Beginner Adv 15M - Scoring'!Y44&lt;&gt;"",'Beginner Adv 15M - Scoring'!Y44,""),"")</f>
        <v/>
      </c>
      <c r="D336" s="79" t="str">
        <f>IF('Beginner Adv 15M - Scoring'!B44&lt;&gt;"",IF('Beginner Adv 15M - Scoring'!Z44&lt;&gt;"",'Beginner Adv 15M - Scoring'!Z44,""),"")</f>
        <v/>
      </c>
      <c r="E336" s="80" t="str">
        <f>IF('Beginner Adv 15M - Scoring'!B44&lt;&gt;"",'Beginner Adv 15M - Scoring'!AS44,"")</f>
        <v/>
      </c>
      <c r="F336" s="81" t="str">
        <f>IF(E333&lt;&gt;"",IFERROR(IF(ISNUMBER(E333),E333,0),0)+IFERROR(IF(ISNUMBER(E334),E334,0),0)+IFERROR(IF(ISNUMBER(E335),E335,0),0)+IFERROR(IF(ISNUMBER(E336),E336,0),0),"")</f>
        <v/>
      </c>
      <c r="H336" s="78" t="s">
        <v>227</v>
      </c>
      <c r="I336" s="79" t="str">
        <f>IF('Beginner Adv 15M - Scoring'!B45&lt;&gt;"",IF('Beginner Adv 15M - Scoring'!X45&lt;&gt;"",'Beginner Adv 15M - Scoring'!X45,""),"")</f>
        <v/>
      </c>
      <c r="J336" s="79" t="str">
        <f>IF('Beginner Adv 15M - Scoring'!B45&lt;&gt;"",IF('Beginner Adv 15M - Scoring'!Y45&lt;&gt;"",'Beginner Adv 15M - Scoring'!Y45,""),"")</f>
        <v/>
      </c>
      <c r="K336" s="79" t="str">
        <f>IF('Beginner Adv 15M - Scoring'!B45&lt;&gt;"",IF('Beginner Adv 15M - Scoring'!Z45&lt;&gt;"",'Beginner Adv 15M - Scoring'!Z45,""),"")</f>
        <v/>
      </c>
      <c r="L336" s="80" t="str">
        <f>IF('Beginner Adv 15M - Scoring'!B45&lt;&gt;"",'Beginner Adv 15M - Scoring'!AS45,"")</f>
        <v/>
      </c>
      <c r="M336" s="81" t="str">
        <f>IF(L333&lt;&gt;"",IFERROR(IF(ISNUMBER(L333),L333,0),0)+IFERROR(IF(ISNUMBER(L334),L334,0),0)+IFERROR(IF(ISNUMBER(L335),L335,0),0)+IFERROR(IF(ISNUMBER(L336),L336,0),0),"")</f>
        <v/>
      </c>
    </row>
    <row r="337" spans="1:13" ht="19.5" customHeight="1" x14ac:dyDescent="0.35">
      <c r="A337" s="78" t="s">
        <v>228</v>
      </c>
      <c r="B337" s="79" t="str">
        <f>IF('Beginner Adv 15M - Scoring'!B44&lt;&gt;"",IF('Beginner Adv 15M - Scoring'!AD44&lt;&gt;"",'Beginner Adv 15M - Scoring'!AD44,""),"")</f>
        <v/>
      </c>
      <c r="C337" s="79" t="str">
        <f>IF('Beginner Adv 15M - Scoring'!B44&lt;&gt;"",IF('Beginner Adv 15M - Scoring'!AE44&lt;&gt;"",'Beginner Adv 15M - Scoring'!AE44,""),"")</f>
        <v/>
      </c>
      <c r="D337" s="79" t="str">
        <f>IF('Beginner Adv 15M - Scoring'!B44&lt;&gt;"",IF('Beginner Adv 15M - Scoring'!AF44&lt;&gt;"",'Beginner Adv 15M - Scoring'!AF44,""),"")</f>
        <v/>
      </c>
      <c r="E337" s="80" t="str">
        <f>IF('Beginner Adv 15M - Scoring'!B44&lt;&gt;"",'Beginner Adv 15M - Scoring'!AT44,"")</f>
        <v/>
      </c>
      <c r="F337" s="81" t="str">
        <f>IF(E333&lt;&gt;"",IFERROR(IF(ISNUMBER(E333),E333,0),0)+IFERROR(IF(ISNUMBER(E334),E334,0),0)+IFERROR(IF(ISNUMBER(E335),E335,0),0)+IFERROR(IF(ISNUMBER(E336),E336,0),0)+IFERROR(IF(ISNUMBER(E337),E337,0),0),"")</f>
        <v/>
      </c>
      <c r="H337" s="78" t="s">
        <v>228</v>
      </c>
      <c r="I337" s="79" t="str">
        <f>IF('Beginner Adv 15M - Scoring'!B45&lt;&gt;"",IF('Beginner Adv 15M - Scoring'!AD45&lt;&gt;"",'Beginner Adv 15M - Scoring'!AD45,""),"")</f>
        <v/>
      </c>
      <c r="J337" s="79" t="str">
        <f>IF('Beginner Adv 15M - Scoring'!B45&lt;&gt;"",IF('Beginner Adv 15M - Scoring'!AE45&lt;&gt;"",'Beginner Adv 15M - Scoring'!AE45,""),"")</f>
        <v/>
      </c>
      <c r="K337" s="79" t="str">
        <f>IF('Beginner Adv 15M - Scoring'!B45&lt;&gt;"",IF('Beginner Adv 15M - Scoring'!AF45&lt;&gt;"",'Beginner Adv 15M - Scoring'!AF45,""),"")</f>
        <v/>
      </c>
      <c r="L337" s="80" t="str">
        <f>IF('Beginner Adv 15M - Scoring'!B45&lt;&gt;"",'Beginner Adv 15M - Scoring'!AT45,"")</f>
        <v/>
      </c>
      <c r="M337" s="81" t="str">
        <f>IF(L333&lt;&gt;"",IFERROR(IF(ISNUMBER(L333),L333,0),0)+IFERROR(IF(ISNUMBER(L334),L334,0),0)+IFERROR(IF(ISNUMBER(L335),L335,0),0)+IFERROR(IF(ISNUMBER(L336),L336,0),0)+IFERROR(IF(ISNUMBER(L337),L337,0),0),"")</f>
        <v/>
      </c>
    </row>
    <row r="338" spans="1:13" ht="19.5" customHeight="1" x14ac:dyDescent="0.35">
      <c r="A338" s="78" t="s">
        <v>229</v>
      </c>
      <c r="B338" s="79" t="str">
        <f>IF('Beginner Adv 15M - Scoring'!B44&lt;&gt;"",IF('Beginner Adv 15M - Scoring'!AJ44&lt;&gt;"",'Beginner Adv 15M - Scoring'!AJ44,""),"")</f>
        <v/>
      </c>
      <c r="C338" s="79" t="str">
        <f>IF('Beginner Adv 15M - Scoring'!B44&lt;&gt;"",IF('Beginner Adv 15M - Scoring'!AK44&lt;&gt;"",'Beginner Adv 15M - Scoring'!AK44,""),"")</f>
        <v/>
      </c>
      <c r="D338" s="79" t="str">
        <f>IF('Beginner Adv 15M - Scoring'!B44&lt;&gt;"",IF('Beginner Adv 15M - Scoring'!AL44&lt;&gt;"",'Beginner Adv 15M - Scoring'!AL44,""),"")</f>
        <v/>
      </c>
      <c r="E338" s="80" t="str">
        <f>IF('Beginner Adv 15M - Scoring'!B44&lt;&gt;"",'Beginner Adv 15M - Scoring'!AU44,"")</f>
        <v/>
      </c>
      <c r="F338" s="81" t="str">
        <f>IF(E333&lt;&gt;"",IFERROR(IF(ISNUMBER(E333),E333,0),0)+IFERROR(IF(ISNUMBER(E334),E334,0),0)+IFERROR(IF(ISNUMBER(E335),E335,0),0)+IFERROR(IF(ISNUMBER(E336),E336,0),0)+IFERROR(IF(ISNUMBER(E337),E337,0),0)+IFERROR(IF(ISNUMBER(E338),E338,0),0),"")</f>
        <v/>
      </c>
      <c r="H338" s="78" t="s">
        <v>229</v>
      </c>
      <c r="I338" s="79" t="str">
        <f>IF('Beginner Adv 15M - Scoring'!B45&lt;&gt;"",IF('Beginner Adv 15M - Scoring'!AJ45&lt;&gt;"",'Beginner Adv 15M - Scoring'!AJ45,""),"")</f>
        <v/>
      </c>
      <c r="J338" s="79" t="str">
        <f>IF('Beginner Adv 15M - Scoring'!B45&lt;&gt;"",IF('Beginner Adv 15M - Scoring'!AK45&lt;&gt;"",'Beginner Adv 15M - Scoring'!AK45,""),"")</f>
        <v/>
      </c>
      <c r="K338" s="79" t="str">
        <f>IF('Beginner Adv 15M - Scoring'!B45&lt;&gt;"",IF('Beginner Adv 15M - Scoring'!AL45&lt;&gt;"",'Beginner Adv 15M - Scoring'!AL45,""),"")</f>
        <v/>
      </c>
      <c r="L338" s="80" t="str">
        <f>IF('Beginner Adv 15M - Scoring'!B45&lt;&gt;"",'Beginner Adv 15M - Scoring'!AU45,"")</f>
        <v/>
      </c>
      <c r="M338" s="81" t="str">
        <f>IF(L333&lt;&gt;"",IFERROR(IF(ISNUMBER(L333),L333,0),0)+IFERROR(IF(ISNUMBER(L334),L334,0),0)+IFERROR(IF(ISNUMBER(L335),L335,0),0)+IFERROR(IF(ISNUMBER(L336),L336,0),0)+IFERROR(IF(ISNUMBER(L337),L337,0),0)+IFERROR(IF(ISNUMBER(L338),L338,0),0),"")</f>
        <v/>
      </c>
    </row>
    <row r="339" spans="1:13" ht="3.75" customHeight="1" x14ac:dyDescent="0.35"/>
    <row r="340" spans="1:13" ht="24" customHeight="1" x14ac:dyDescent="0.35">
      <c r="A340" s="124" t="s">
        <v>230</v>
      </c>
      <c r="B340" s="124"/>
      <c r="C340" s="124"/>
      <c r="D340" s="124"/>
      <c r="E340" s="125" t="str">
        <f>IF('Beginner Adv 15M - Scoring'!B44&lt;&gt;"",'Beginner Adv 15M - Scoring'!AV44,"")</f>
        <v/>
      </c>
      <c r="F340" s="125"/>
      <c r="H340" s="124" t="s">
        <v>230</v>
      </c>
      <c r="I340" s="124"/>
      <c r="J340" s="124"/>
      <c r="K340" s="124"/>
      <c r="L340" s="125" t="str">
        <f>IF('Beginner Adv 15M - Scoring'!B45&lt;&gt;"",'Beginner Adv 15M - Scoring'!AV45,"")</f>
        <v/>
      </c>
      <c r="M340" s="125"/>
    </row>
    <row r="341" spans="1:13" ht="19.5" customHeight="1" x14ac:dyDescent="0.35">
      <c r="E341" s="125"/>
      <c r="F341" s="125"/>
      <c r="L341" s="125"/>
      <c r="M341" s="125"/>
    </row>
    <row r="342" spans="1:13" ht="3.75" customHeight="1" x14ac:dyDescent="0.35"/>
    <row r="343" spans="1:13" ht="18" customHeight="1" x14ac:dyDescent="0.35">
      <c r="A343" s="73" t="s">
        <v>126</v>
      </c>
      <c r="B343" s="82" t="str">
        <f>IF('Beginner Adv 15M - Scoring'!B44&lt;&gt;"",'Beginner Adv 15M - Scoring'!AW44,"")</f>
        <v/>
      </c>
      <c r="C343" s="73" t="s">
        <v>127</v>
      </c>
      <c r="D343" s="83" t="str">
        <f>IF('Beginner Adv 15M - Scoring'!B44&lt;&gt;"",'Beginner Adv 15M - Scoring'!AX44,"")</f>
        <v/>
      </c>
      <c r="E343" s="73" t="s">
        <v>128</v>
      </c>
      <c r="F343" s="83" t="str">
        <f>IF('Beginner Adv 15M - Scoring'!B44&lt;&gt;"",'Beginner Adv 15M - Scoring'!AY44,"")</f>
        <v/>
      </c>
      <c r="H343" s="73" t="s">
        <v>126</v>
      </c>
      <c r="I343" s="82" t="str">
        <f>IF('Beginner Adv 15M - Scoring'!B45&lt;&gt;"",'Beginner Adv 15M - Scoring'!AW45,"")</f>
        <v/>
      </c>
      <c r="J343" s="73" t="s">
        <v>127</v>
      </c>
      <c r="K343" s="83" t="str">
        <f>IF('Beginner Adv 15M - Scoring'!B45&lt;&gt;"",'Beginner Adv 15M - Scoring'!AX45,"")</f>
        <v/>
      </c>
      <c r="L343" s="73" t="s">
        <v>128</v>
      </c>
      <c r="M343" s="83" t="str">
        <f>IF('Beginner Adv 15M - Scoring'!B45&lt;&gt;"",'Beginner Adv 15M - Scoring'!AY45,"")</f>
        <v/>
      </c>
    </row>
    <row r="344" spans="1:13" ht="3.75" customHeight="1" x14ac:dyDescent="0.35"/>
    <row r="345" spans="1:13" ht="7.5" customHeight="1" x14ac:dyDescent="0.35">
      <c r="A345" s="126"/>
      <c r="B345" s="126"/>
      <c r="C345" s="126"/>
      <c r="D345" s="126"/>
      <c r="E345" s="126"/>
      <c r="F345" s="126"/>
      <c r="G345" s="126"/>
      <c r="H345" s="126"/>
      <c r="I345" s="126"/>
      <c r="J345" s="126"/>
      <c r="K345" s="126"/>
      <c r="L345" s="126"/>
      <c r="M345" s="126"/>
    </row>
    <row r="346" spans="1:13" ht="15.75" customHeight="1" x14ac:dyDescent="0.35">
      <c r="A346" s="73" t="s">
        <v>218</v>
      </c>
      <c r="B346" s="122" t="str">
        <f>IF('Beginner Adv 15M - Scoring'!B46&lt;&gt;"",'Beginner Adv 15M - Scoring'!B46,"")</f>
        <v/>
      </c>
      <c r="C346" s="122"/>
      <c r="D346" s="122"/>
      <c r="E346" s="73" t="s">
        <v>219</v>
      </c>
      <c r="F346" s="74" t="str">
        <f>IF('Beginner Adv 15M - Scoring'!B46&lt;&gt;"",'Beginner Adv 15M - Scoring'!BB46,"")</f>
        <v/>
      </c>
      <c r="H346" s="73" t="s">
        <v>218</v>
      </c>
      <c r="I346" s="122" t="str">
        <f>IF('Beginner Adv 15M - Scoring'!B47&lt;&gt;"",'Beginner Adv 15M - Scoring'!B47,"")</f>
        <v/>
      </c>
      <c r="J346" s="122"/>
      <c r="K346" s="122"/>
      <c r="L346" s="73" t="s">
        <v>219</v>
      </c>
      <c r="M346" s="74" t="str">
        <f>IF('Beginner Adv 15M - Scoring'!B47&lt;&gt;"",'Beginner Adv 15M - Scoring'!BB47,"")</f>
        <v/>
      </c>
    </row>
    <row r="347" spans="1:13" ht="15.75" customHeight="1" x14ac:dyDescent="0.35">
      <c r="A347" s="73" t="s">
        <v>220</v>
      </c>
      <c r="B347" s="123" t="str">
        <f>IF('Beginner Adv 15M - Scoring'!B46&lt;&gt;"",'Beginner Adv 15M - Scoring'!D46,"")</f>
        <v/>
      </c>
      <c r="C347" s="123"/>
      <c r="D347" s="123"/>
      <c r="E347" s="73" t="s">
        <v>8</v>
      </c>
      <c r="F347" s="75" t="str">
        <f>IF('Beginner Adv 15M - Scoring'!B46&lt;&gt;"",'Beginner Adv 15M - Scoring'!E46,"")</f>
        <v/>
      </c>
      <c r="H347" s="73" t="s">
        <v>220</v>
      </c>
      <c r="I347" s="123" t="str">
        <f>IF('Beginner Adv 15M - Scoring'!B47&lt;&gt;"",'Beginner Adv 15M - Scoring'!D47,"")</f>
        <v/>
      </c>
      <c r="J347" s="123"/>
      <c r="K347" s="123"/>
      <c r="L347" s="73" t="s">
        <v>8</v>
      </c>
      <c r="M347" s="75" t="str">
        <f>IF('Beginner Adv 15M - Scoring'!B47&lt;&gt;"",'Beginner Adv 15M - Scoring'!E47,"")</f>
        <v/>
      </c>
    </row>
    <row r="348" spans="1:13" ht="3.75" customHeight="1" x14ac:dyDescent="0.35"/>
    <row r="349" spans="1:13" ht="25.5" customHeight="1" x14ac:dyDescent="0.35">
      <c r="A349" s="76" t="s">
        <v>221</v>
      </c>
      <c r="B349" s="77" t="s">
        <v>222</v>
      </c>
      <c r="C349" s="77" t="s">
        <v>223</v>
      </c>
      <c r="D349" s="77" t="s">
        <v>224</v>
      </c>
      <c r="E349" s="76" t="s">
        <v>225</v>
      </c>
      <c r="F349" s="76" t="s">
        <v>226</v>
      </c>
      <c r="H349" s="76" t="s">
        <v>221</v>
      </c>
      <c r="I349" s="77" t="s">
        <v>222</v>
      </c>
      <c r="J349" s="77" t="s">
        <v>223</v>
      </c>
      <c r="K349" s="77" t="s">
        <v>224</v>
      </c>
      <c r="L349" s="76" t="s">
        <v>225</v>
      </c>
      <c r="M349" s="76" t="s">
        <v>226</v>
      </c>
    </row>
    <row r="350" spans="1:13" ht="19.5" customHeight="1" x14ac:dyDescent="0.35">
      <c r="A350" s="78" t="s">
        <v>222</v>
      </c>
      <c r="B350" s="79" t="str">
        <f>IF('Beginner Adv 15M - Scoring'!B46&lt;&gt;"",IF('Beginner Adv 15M - Scoring'!F46&lt;&gt;"",'Beginner Adv 15M - Scoring'!F46,""),"")</f>
        <v/>
      </c>
      <c r="C350" s="79" t="str">
        <f>IF('Beginner Adv 15M - Scoring'!B46&lt;&gt;"",IF('Beginner Adv 15M - Scoring'!G46&lt;&gt;"",'Beginner Adv 15M - Scoring'!G46,""),"")</f>
        <v/>
      </c>
      <c r="D350" s="79" t="str">
        <f>IF('Beginner Adv 15M - Scoring'!B46&lt;&gt;"",IF('Beginner Adv 15M - Scoring'!H46&lt;&gt;"",'Beginner Adv 15M - Scoring'!H46,""),"")</f>
        <v/>
      </c>
      <c r="E350" s="80" t="str">
        <f>IF('Beginner Adv 15M - Scoring'!B46&lt;&gt;"",'Beginner Adv 15M - Scoring'!AP46,"")</f>
        <v/>
      </c>
      <c r="F350" s="81" t="str">
        <f>IFERROR(IF(ISNUMBER(E350),E350,""),"")</f>
        <v/>
      </c>
      <c r="H350" s="78" t="s">
        <v>222</v>
      </c>
      <c r="I350" s="79" t="str">
        <f>IF('Beginner Adv 15M - Scoring'!B47&lt;&gt;"",IF('Beginner Adv 15M - Scoring'!F47&lt;&gt;"",'Beginner Adv 15M - Scoring'!F47,""),"")</f>
        <v/>
      </c>
      <c r="J350" s="79" t="str">
        <f>IF('Beginner Adv 15M - Scoring'!B47&lt;&gt;"",IF('Beginner Adv 15M - Scoring'!G47&lt;&gt;"",'Beginner Adv 15M - Scoring'!G47,""),"")</f>
        <v/>
      </c>
      <c r="K350" s="79" t="str">
        <f>IF('Beginner Adv 15M - Scoring'!B47&lt;&gt;"",IF('Beginner Adv 15M - Scoring'!H47&lt;&gt;"",'Beginner Adv 15M - Scoring'!H47,""),"")</f>
        <v/>
      </c>
      <c r="L350" s="80" t="str">
        <f>IF('Beginner Adv 15M - Scoring'!B47&lt;&gt;"",'Beginner Adv 15M - Scoring'!AP47,"")</f>
        <v/>
      </c>
      <c r="M350" s="81" t="str">
        <f>IFERROR(IF(ISNUMBER(L350),L350,""),"")</f>
        <v/>
      </c>
    </row>
    <row r="351" spans="1:13" ht="19.5" customHeight="1" x14ac:dyDescent="0.35">
      <c r="A351" s="78" t="s">
        <v>223</v>
      </c>
      <c r="B351" s="79" t="str">
        <f>IF('Beginner Adv 15M - Scoring'!B46&lt;&gt;"",IF('Beginner Adv 15M - Scoring'!L46&lt;&gt;"",'Beginner Adv 15M - Scoring'!L46,""),"")</f>
        <v/>
      </c>
      <c r="C351" s="79" t="str">
        <f>IF('Beginner Adv 15M - Scoring'!B46&lt;&gt;"",IF('Beginner Adv 15M - Scoring'!M46&lt;&gt;"",'Beginner Adv 15M - Scoring'!M46,""),"")</f>
        <v/>
      </c>
      <c r="D351" s="79" t="str">
        <f>IF('Beginner Adv 15M - Scoring'!B46&lt;&gt;"",IF('Beginner Adv 15M - Scoring'!N46&lt;&gt;"",'Beginner Adv 15M - Scoring'!N46,""),"")</f>
        <v/>
      </c>
      <c r="E351" s="80" t="str">
        <f>IF('Beginner Adv 15M - Scoring'!B46&lt;&gt;"",'Beginner Adv 15M - Scoring'!AQ46,"")</f>
        <v/>
      </c>
      <c r="F351" s="81" t="str">
        <f>IF(E350&lt;&gt;"",IFERROR(IF(ISNUMBER(E350),E350,0),0)+IFERROR(IF(ISNUMBER(E351),E351,0),0),"")</f>
        <v/>
      </c>
      <c r="H351" s="78" t="s">
        <v>223</v>
      </c>
      <c r="I351" s="79" t="str">
        <f>IF('Beginner Adv 15M - Scoring'!B47&lt;&gt;"",IF('Beginner Adv 15M - Scoring'!L47&lt;&gt;"",'Beginner Adv 15M - Scoring'!L47,""),"")</f>
        <v/>
      </c>
      <c r="J351" s="79" t="str">
        <f>IF('Beginner Adv 15M - Scoring'!B47&lt;&gt;"",IF('Beginner Adv 15M - Scoring'!M47&lt;&gt;"",'Beginner Adv 15M - Scoring'!M47,""),"")</f>
        <v/>
      </c>
      <c r="K351" s="79" t="str">
        <f>IF('Beginner Adv 15M - Scoring'!B47&lt;&gt;"",IF('Beginner Adv 15M - Scoring'!N47&lt;&gt;"",'Beginner Adv 15M - Scoring'!N47,""),"")</f>
        <v/>
      </c>
      <c r="L351" s="80" t="str">
        <f>IF('Beginner Adv 15M - Scoring'!B47&lt;&gt;"",'Beginner Adv 15M - Scoring'!AQ47,"")</f>
        <v/>
      </c>
      <c r="M351" s="81" t="str">
        <f>IF(L350&lt;&gt;"",IFERROR(IF(ISNUMBER(L350),L350,0),0)+IFERROR(IF(ISNUMBER(L351),L351,0),0),"")</f>
        <v/>
      </c>
    </row>
    <row r="352" spans="1:13" ht="19.5" customHeight="1" x14ac:dyDescent="0.35">
      <c r="A352" s="78" t="s">
        <v>224</v>
      </c>
      <c r="B352" s="79" t="str">
        <f>IF('Beginner Adv 15M - Scoring'!B46&lt;&gt;"",IF('Beginner Adv 15M - Scoring'!R46&lt;&gt;"",'Beginner Adv 15M - Scoring'!R46,""),"")</f>
        <v/>
      </c>
      <c r="C352" s="79" t="str">
        <f>IF('Beginner Adv 15M - Scoring'!B46&lt;&gt;"",IF('Beginner Adv 15M - Scoring'!S46&lt;&gt;"",'Beginner Adv 15M - Scoring'!S46,""),"")</f>
        <v/>
      </c>
      <c r="D352" s="79" t="str">
        <f>IF('Beginner Adv 15M - Scoring'!B46&lt;&gt;"",IF('Beginner Adv 15M - Scoring'!T46&lt;&gt;"",'Beginner Adv 15M - Scoring'!T46,""),"")</f>
        <v/>
      </c>
      <c r="E352" s="80" t="str">
        <f>IF('Beginner Adv 15M - Scoring'!B46&lt;&gt;"",'Beginner Adv 15M - Scoring'!AR46,"")</f>
        <v/>
      </c>
      <c r="F352" s="81" t="str">
        <f>IF(E350&lt;&gt;"",IFERROR(IF(ISNUMBER(E350),E350,0),0)+IFERROR(IF(ISNUMBER(E351),E351,0),0)+IFERROR(IF(ISNUMBER(E352),E352,0),0),"")</f>
        <v/>
      </c>
      <c r="H352" s="78" t="s">
        <v>224</v>
      </c>
      <c r="I352" s="79" t="str">
        <f>IF('Beginner Adv 15M - Scoring'!B47&lt;&gt;"",IF('Beginner Adv 15M - Scoring'!R47&lt;&gt;"",'Beginner Adv 15M - Scoring'!R47,""),"")</f>
        <v/>
      </c>
      <c r="J352" s="79" t="str">
        <f>IF('Beginner Adv 15M - Scoring'!B47&lt;&gt;"",IF('Beginner Adv 15M - Scoring'!S47&lt;&gt;"",'Beginner Adv 15M - Scoring'!S47,""),"")</f>
        <v/>
      </c>
      <c r="K352" s="79" t="str">
        <f>IF('Beginner Adv 15M - Scoring'!B47&lt;&gt;"",IF('Beginner Adv 15M - Scoring'!T47&lt;&gt;"",'Beginner Adv 15M - Scoring'!T47,""),"")</f>
        <v/>
      </c>
      <c r="L352" s="80" t="str">
        <f>IF('Beginner Adv 15M - Scoring'!B47&lt;&gt;"",'Beginner Adv 15M - Scoring'!AR47,"")</f>
        <v/>
      </c>
      <c r="M352" s="81" t="str">
        <f>IF(L350&lt;&gt;"",IFERROR(IF(ISNUMBER(L350),L350,0),0)+IFERROR(IF(ISNUMBER(L351),L351,0),0)+IFERROR(IF(ISNUMBER(L352),L352,0),0),"")</f>
        <v/>
      </c>
    </row>
    <row r="353" spans="1:13" ht="19.5" customHeight="1" x14ac:dyDescent="0.35">
      <c r="A353" s="78" t="s">
        <v>227</v>
      </c>
      <c r="B353" s="79" t="str">
        <f>IF('Beginner Adv 15M - Scoring'!B46&lt;&gt;"",IF('Beginner Adv 15M - Scoring'!X46&lt;&gt;"",'Beginner Adv 15M - Scoring'!X46,""),"")</f>
        <v/>
      </c>
      <c r="C353" s="79" t="str">
        <f>IF('Beginner Adv 15M - Scoring'!B46&lt;&gt;"",IF('Beginner Adv 15M - Scoring'!Y46&lt;&gt;"",'Beginner Adv 15M - Scoring'!Y46,""),"")</f>
        <v/>
      </c>
      <c r="D353" s="79" t="str">
        <f>IF('Beginner Adv 15M - Scoring'!B46&lt;&gt;"",IF('Beginner Adv 15M - Scoring'!Z46&lt;&gt;"",'Beginner Adv 15M - Scoring'!Z46,""),"")</f>
        <v/>
      </c>
      <c r="E353" s="80" t="str">
        <f>IF('Beginner Adv 15M - Scoring'!B46&lt;&gt;"",'Beginner Adv 15M - Scoring'!AS46,"")</f>
        <v/>
      </c>
      <c r="F353" s="81" t="str">
        <f>IF(E350&lt;&gt;"",IFERROR(IF(ISNUMBER(E350),E350,0),0)+IFERROR(IF(ISNUMBER(E351),E351,0),0)+IFERROR(IF(ISNUMBER(E352),E352,0),0)+IFERROR(IF(ISNUMBER(E353),E353,0),0),"")</f>
        <v/>
      </c>
      <c r="H353" s="78" t="s">
        <v>227</v>
      </c>
      <c r="I353" s="79" t="str">
        <f>IF('Beginner Adv 15M - Scoring'!B47&lt;&gt;"",IF('Beginner Adv 15M - Scoring'!X47&lt;&gt;"",'Beginner Adv 15M - Scoring'!X47,""),"")</f>
        <v/>
      </c>
      <c r="J353" s="79" t="str">
        <f>IF('Beginner Adv 15M - Scoring'!B47&lt;&gt;"",IF('Beginner Adv 15M - Scoring'!Y47&lt;&gt;"",'Beginner Adv 15M - Scoring'!Y47,""),"")</f>
        <v/>
      </c>
      <c r="K353" s="79" t="str">
        <f>IF('Beginner Adv 15M - Scoring'!B47&lt;&gt;"",IF('Beginner Adv 15M - Scoring'!Z47&lt;&gt;"",'Beginner Adv 15M - Scoring'!Z47,""),"")</f>
        <v/>
      </c>
      <c r="L353" s="80" t="str">
        <f>IF('Beginner Adv 15M - Scoring'!B47&lt;&gt;"",'Beginner Adv 15M - Scoring'!AS47,"")</f>
        <v/>
      </c>
      <c r="M353" s="81" t="str">
        <f>IF(L350&lt;&gt;"",IFERROR(IF(ISNUMBER(L350),L350,0),0)+IFERROR(IF(ISNUMBER(L351),L351,0),0)+IFERROR(IF(ISNUMBER(L352),L352,0),0)+IFERROR(IF(ISNUMBER(L353),L353,0),0),"")</f>
        <v/>
      </c>
    </row>
    <row r="354" spans="1:13" ht="19.5" customHeight="1" x14ac:dyDescent="0.35">
      <c r="A354" s="78" t="s">
        <v>228</v>
      </c>
      <c r="B354" s="79" t="str">
        <f>IF('Beginner Adv 15M - Scoring'!B46&lt;&gt;"",IF('Beginner Adv 15M - Scoring'!AD46&lt;&gt;"",'Beginner Adv 15M - Scoring'!AD46,""),"")</f>
        <v/>
      </c>
      <c r="C354" s="79" t="str">
        <f>IF('Beginner Adv 15M - Scoring'!B46&lt;&gt;"",IF('Beginner Adv 15M - Scoring'!AE46&lt;&gt;"",'Beginner Adv 15M - Scoring'!AE46,""),"")</f>
        <v/>
      </c>
      <c r="D354" s="79" t="str">
        <f>IF('Beginner Adv 15M - Scoring'!B46&lt;&gt;"",IF('Beginner Adv 15M - Scoring'!AF46&lt;&gt;"",'Beginner Adv 15M - Scoring'!AF46,""),"")</f>
        <v/>
      </c>
      <c r="E354" s="80" t="str">
        <f>IF('Beginner Adv 15M - Scoring'!B46&lt;&gt;"",'Beginner Adv 15M - Scoring'!AT46,"")</f>
        <v/>
      </c>
      <c r="F354" s="81" t="str">
        <f>IF(E350&lt;&gt;"",IFERROR(IF(ISNUMBER(E350),E350,0),0)+IFERROR(IF(ISNUMBER(E351),E351,0),0)+IFERROR(IF(ISNUMBER(E352),E352,0),0)+IFERROR(IF(ISNUMBER(E353),E353,0),0)+IFERROR(IF(ISNUMBER(E354),E354,0),0),"")</f>
        <v/>
      </c>
      <c r="H354" s="78" t="s">
        <v>228</v>
      </c>
      <c r="I354" s="79" t="str">
        <f>IF('Beginner Adv 15M - Scoring'!B47&lt;&gt;"",IF('Beginner Adv 15M - Scoring'!AD47&lt;&gt;"",'Beginner Adv 15M - Scoring'!AD47,""),"")</f>
        <v/>
      </c>
      <c r="J354" s="79" t="str">
        <f>IF('Beginner Adv 15M - Scoring'!B47&lt;&gt;"",IF('Beginner Adv 15M - Scoring'!AE47&lt;&gt;"",'Beginner Adv 15M - Scoring'!AE47,""),"")</f>
        <v/>
      </c>
      <c r="K354" s="79" t="str">
        <f>IF('Beginner Adv 15M - Scoring'!B47&lt;&gt;"",IF('Beginner Adv 15M - Scoring'!AF47&lt;&gt;"",'Beginner Adv 15M - Scoring'!AF47,""),"")</f>
        <v/>
      </c>
      <c r="L354" s="80" t="str">
        <f>IF('Beginner Adv 15M - Scoring'!B47&lt;&gt;"",'Beginner Adv 15M - Scoring'!AT47,"")</f>
        <v/>
      </c>
      <c r="M354" s="81" t="str">
        <f>IF(L350&lt;&gt;"",IFERROR(IF(ISNUMBER(L350),L350,0),0)+IFERROR(IF(ISNUMBER(L351),L351,0),0)+IFERROR(IF(ISNUMBER(L352),L352,0),0)+IFERROR(IF(ISNUMBER(L353),L353,0),0)+IFERROR(IF(ISNUMBER(L354),L354,0),0),"")</f>
        <v/>
      </c>
    </row>
    <row r="355" spans="1:13" ht="19.5" customHeight="1" x14ac:dyDescent="0.35">
      <c r="A355" s="78" t="s">
        <v>229</v>
      </c>
      <c r="B355" s="79" t="str">
        <f>IF('Beginner Adv 15M - Scoring'!B46&lt;&gt;"",IF('Beginner Adv 15M - Scoring'!AJ46&lt;&gt;"",'Beginner Adv 15M - Scoring'!AJ46,""),"")</f>
        <v/>
      </c>
      <c r="C355" s="79" t="str">
        <f>IF('Beginner Adv 15M - Scoring'!B46&lt;&gt;"",IF('Beginner Adv 15M - Scoring'!AK46&lt;&gt;"",'Beginner Adv 15M - Scoring'!AK46,""),"")</f>
        <v/>
      </c>
      <c r="D355" s="79" t="str">
        <f>IF('Beginner Adv 15M - Scoring'!B46&lt;&gt;"",IF('Beginner Adv 15M - Scoring'!AL46&lt;&gt;"",'Beginner Adv 15M - Scoring'!AL46,""),"")</f>
        <v/>
      </c>
      <c r="E355" s="80" t="str">
        <f>IF('Beginner Adv 15M - Scoring'!B46&lt;&gt;"",'Beginner Adv 15M - Scoring'!AU46,"")</f>
        <v/>
      </c>
      <c r="F355" s="81" t="str">
        <f>IF(E350&lt;&gt;"",IFERROR(IF(ISNUMBER(E350),E350,0),0)+IFERROR(IF(ISNUMBER(E351),E351,0),0)+IFERROR(IF(ISNUMBER(E352),E352,0),0)+IFERROR(IF(ISNUMBER(E353),E353,0),0)+IFERROR(IF(ISNUMBER(E354),E354,0),0)+IFERROR(IF(ISNUMBER(E355),E355,0),0),"")</f>
        <v/>
      </c>
      <c r="H355" s="78" t="s">
        <v>229</v>
      </c>
      <c r="I355" s="79" t="str">
        <f>IF('Beginner Adv 15M - Scoring'!B47&lt;&gt;"",IF('Beginner Adv 15M - Scoring'!AJ47&lt;&gt;"",'Beginner Adv 15M - Scoring'!AJ47,""),"")</f>
        <v/>
      </c>
      <c r="J355" s="79" t="str">
        <f>IF('Beginner Adv 15M - Scoring'!B47&lt;&gt;"",IF('Beginner Adv 15M - Scoring'!AK47&lt;&gt;"",'Beginner Adv 15M - Scoring'!AK47,""),"")</f>
        <v/>
      </c>
      <c r="K355" s="79" t="str">
        <f>IF('Beginner Adv 15M - Scoring'!B47&lt;&gt;"",IF('Beginner Adv 15M - Scoring'!AL47&lt;&gt;"",'Beginner Adv 15M - Scoring'!AL47,""),"")</f>
        <v/>
      </c>
      <c r="L355" s="80" t="str">
        <f>IF('Beginner Adv 15M - Scoring'!B47&lt;&gt;"",'Beginner Adv 15M - Scoring'!AU47,"")</f>
        <v/>
      </c>
      <c r="M355" s="81" t="str">
        <f>IF(L350&lt;&gt;"",IFERROR(IF(ISNUMBER(L350),L350,0),0)+IFERROR(IF(ISNUMBER(L351),L351,0),0)+IFERROR(IF(ISNUMBER(L352),L352,0),0)+IFERROR(IF(ISNUMBER(L353),L353,0),0)+IFERROR(IF(ISNUMBER(L354),L354,0),0)+IFERROR(IF(ISNUMBER(L355),L355,0),0),"")</f>
        <v/>
      </c>
    </row>
    <row r="356" spans="1:13" ht="3.75" customHeight="1" x14ac:dyDescent="0.35"/>
    <row r="357" spans="1:13" ht="24" customHeight="1" x14ac:dyDescent="0.35">
      <c r="A357" s="124" t="s">
        <v>230</v>
      </c>
      <c r="B357" s="124"/>
      <c r="C357" s="124"/>
      <c r="D357" s="124"/>
      <c r="E357" s="125" t="str">
        <f>IF('Beginner Adv 15M - Scoring'!B46&lt;&gt;"",'Beginner Adv 15M - Scoring'!AV46,"")</f>
        <v/>
      </c>
      <c r="F357" s="125"/>
      <c r="H357" s="124" t="s">
        <v>230</v>
      </c>
      <c r="I357" s="124"/>
      <c r="J357" s="124"/>
      <c r="K357" s="124"/>
      <c r="L357" s="125" t="str">
        <f>IF('Beginner Adv 15M - Scoring'!B47&lt;&gt;"",'Beginner Adv 15M - Scoring'!AV47,"")</f>
        <v/>
      </c>
      <c r="M357" s="125"/>
    </row>
    <row r="358" spans="1:13" ht="19.5" customHeight="1" x14ac:dyDescent="0.35">
      <c r="E358" s="125"/>
      <c r="F358" s="125"/>
      <c r="L358" s="125"/>
      <c r="M358" s="125"/>
    </row>
    <row r="359" spans="1:13" ht="3.75" customHeight="1" x14ac:dyDescent="0.35"/>
    <row r="360" spans="1:13" ht="18" customHeight="1" x14ac:dyDescent="0.35">
      <c r="A360" s="73" t="s">
        <v>126</v>
      </c>
      <c r="B360" s="82" t="str">
        <f>IF('Beginner Adv 15M - Scoring'!B46&lt;&gt;"",'Beginner Adv 15M - Scoring'!AW46,"")</f>
        <v/>
      </c>
      <c r="C360" s="73" t="s">
        <v>127</v>
      </c>
      <c r="D360" s="83" t="str">
        <f>IF('Beginner Adv 15M - Scoring'!B46&lt;&gt;"",'Beginner Adv 15M - Scoring'!AX46,"")</f>
        <v/>
      </c>
      <c r="E360" s="73" t="s">
        <v>128</v>
      </c>
      <c r="F360" s="83" t="str">
        <f>IF('Beginner Adv 15M - Scoring'!B46&lt;&gt;"",'Beginner Adv 15M - Scoring'!AY46,"")</f>
        <v/>
      </c>
      <c r="H360" s="73" t="s">
        <v>126</v>
      </c>
      <c r="I360" s="82" t="str">
        <f>IF('Beginner Adv 15M - Scoring'!B47&lt;&gt;"",'Beginner Adv 15M - Scoring'!AW47,"")</f>
        <v/>
      </c>
      <c r="J360" s="73" t="s">
        <v>127</v>
      </c>
      <c r="K360" s="83" t="str">
        <f>IF('Beginner Adv 15M - Scoring'!B47&lt;&gt;"",'Beginner Adv 15M - Scoring'!AX47,"")</f>
        <v/>
      </c>
      <c r="L360" s="73" t="s">
        <v>128</v>
      </c>
      <c r="M360" s="83" t="str">
        <f>IF('Beginner Adv 15M - Scoring'!B47&lt;&gt;"",'Beginner Adv 15M - Scoring'!AY47,"")</f>
        <v/>
      </c>
    </row>
    <row r="361" spans="1:13" ht="3.75" customHeight="1" x14ac:dyDescent="0.35"/>
    <row r="362" spans="1:13" ht="7.5" customHeight="1" x14ac:dyDescent="0.35">
      <c r="A362" s="126"/>
      <c r="B362" s="126"/>
      <c r="C362" s="126"/>
      <c r="D362" s="126"/>
      <c r="E362" s="126"/>
      <c r="F362" s="126"/>
      <c r="G362" s="126"/>
      <c r="H362" s="126"/>
      <c r="I362" s="126"/>
      <c r="J362" s="126"/>
      <c r="K362" s="126"/>
      <c r="L362" s="126"/>
      <c r="M362" s="126"/>
    </row>
    <row r="363" spans="1:13" ht="15.75" customHeight="1" x14ac:dyDescent="0.35">
      <c r="A363" s="73" t="s">
        <v>218</v>
      </c>
      <c r="B363" s="122" t="str">
        <f>IF('Beginner Adv 15M - Scoring'!B48&lt;&gt;"",'Beginner Adv 15M - Scoring'!B48,"")</f>
        <v/>
      </c>
      <c r="C363" s="122"/>
      <c r="D363" s="122"/>
      <c r="E363" s="73" t="s">
        <v>219</v>
      </c>
      <c r="F363" s="74" t="str">
        <f>IF('Beginner Adv 15M - Scoring'!B48&lt;&gt;"",'Beginner Adv 15M - Scoring'!BB48,"")</f>
        <v/>
      </c>
      <c r="H363" s="73" t="s">
        <v>218</v>
      </c>
      <c r="I363" s="122" t="str">
        <f>IF('Beginner Adv 15M - Scoring'!B49&lt;&gt;"",'Beginner Adv 15M - Scoring'!B49,"")</f>
        <v/>
      </c>
      <c r="J363" s="122"/>
      <c r="K363" s="122"/>
      <c r="L363" s="73" t="s">
        <v>219</v>
      </c>
      <c r="M363" s="74" t="str">
        <f>IF('Beginner Adv 15M - Scoring'!B49&lt;&gt;"",'Beginner Adv 15M - Scoring'!BB49,"")</f>
        <v/>
      </c>
    </row>
    <row r="364" spans="1:13" ht="15.75" customHeight="1" x14ac:dyDescent="0.35">
      <c r="A364" s="73" t="s">
        <v>220</v>
      </c>
      <c r="B364" s="123" t="str">
        <f>IF('Beginner Adv 15M - Scoring'!B48&lt;&gt;"",'Beginner Adv 15M - Scoring'!D48,"")</f>
        <v/>
      </c>
      <c r="C364" s="123"/>
      <c r="D364" s="123"/>
      <c r="E364" s="73" t="s">
        <v>8</v>
      </c>
      <c r="F364" s="75" t="str">
        <f>IF('Beginner Adv 15M - Scoring'!B48&lt;&gt;"",'Beginner Adv 15M - Scoring'!E48,"")</f>
        <v/>
      </c>
      <c r="H364" s="73" t="s">
        <v>220</v>
      </c>
      <c r="I364" s="123" t="str">
        <f>IF('Beginner Adv 15M - Scoring'!B49&lt;&gt;"",'Beginner Adv 15M - Scoring'!D49,"")</f>
        <v/>
      </c>
      <c r="J364" s="123"/>
      <c r="K364" s="123"/>
      <c r="L364" s="73" t="s">
        <v>8</v>
      </c>
      <c r="M364" s="75" t="str">
        <f>IF('Beginner Adv 15M - Scoring'!B49&lt;&gt;"",'Beginner Adv 15M - Scoring'!E49,"")</f>
        <v/>
      </c>
    </row>
    <row r="365" spans="1:13" ht="3.75" customHeight="1" x14ac:dyDescent="0.35"/>
    <row r="366" spans="1:13" ht="25.5" customHeight="1" x14ac:dyDescent="0.35">
      <c r="A366" s="76" t="s">
        <v>221</v>
      </c>
      <c r="B366" s="77" t="s">
        <v>222</v>
      </c>
      <c r="C366" s="77" t="s">
        <v>223</v>
      </c>
      <c r="D366" s="77" t="s">
        <v>224</v>
      </c>
      <c r="E366" s="76" t="s">
        <v>225</v>
      </c>
      <c r="F366" s="76" t="s">
        <v>226</v>
      </c>
      <c r="H366" s="76" t="s">
        <v>221</v>
      </c>
      <c r="I366" s="77" t="s">
        <v>222</v>
      </c>
      <c r="J366" s="77" t="s">
        <v>223</v>
      </c>
      <c r="K366" s="77" t="s">
        <v>224</v>
      </c>
      <c r="L366" s="76" t="s">
        <v>225</v>
      </c>
      <c r="M366" s="76" t="s">
        <v>226</v>
      </c>
    </row>
    <row r="367" spans="1:13" ht="19.5" customHeight="1" x14ac:dyDescent="0.35">
      <c r="A367" s="78" t="s">
        <v>222</v>
      </c>
      <c r="B367" s="79" t="str">
        <f>IF('Beginner Adv 15M - Scoring'!B48&lt;&gt;"",IF('Beginner Adv 15M - Scoring'!F48&lt;&gt;"",'Beginner Adv 15M - Scoring'!F48,""),"")</f>
        <v/>
      </c>
      <c r="C367" s="79" t="str">
        <f>IF('Beginner Adv 15M - Scoring'!B48&lt;&gt;"",IF('Beginner Adv 15M - Scoring'!G48&lt;&gt;"",'Beginner Adv 15M - Scoring'!G48,""),"")</f>
        <v/>
      </c>
      <c r="D367" s="79" t="str">
        <f>IF('Beginner Adv 15M - Scoring'!B48&lt;&gt;"",IF('Beginner Adv 15M - Scoring'!H48&lt;&gt;"",'Beginner Adv 15M - Scoring'!H48,""),"")</f>
        <v/>
      </c>
      <c r="E367" s="80" t="str">
        <f>IF('Beginner Adv 15M - Scoring'!B48&lt;&gt;"",'Beginner Adv 15M - Scoring'!AP48,"")</f>
        <v/>
      </c>
      <c r="F367" s="81" t="str">
        <f>IFERROR(IF(ISNUMBER(E367),E367,""),"")</f>
        <v/>
      </c>
      <c r="H367" s="78" t="s">
        <v>222</v>
      </c>
      <c r="I367" s="79" t="str">
        <f>IF('Beginner Adv 15M - Scoring'!B49&lt;&gt;"",IF('Beginner Adv 15M - Scoring'!F49&lt;&gt;"",'Beginner Adv 15M - Scoring'!F49,""),"")</f>
        <v/>
      </c>
      <c r="J367" s="79" t="str">
        <f>IF('Beginner Adv 15M - Scoring'!B49&lt;&gt;"",IF('Beginner Adv 15M - Scoring'!G49&lt;&gt;"",'Beginner Adv 15M - Scoring'!G49,""),"")</f>
        <v/>
      </c>
      <c r="K367" s="79" t="str">
        <f>IF('Beginner Adv 15M - Scoring'!B49&lt;&gt;"",IF('Beginner Adv 15M - Scoring'!H49&lt;&gt;"",'Beginner Adv 15M - Scoring'!H49,""),"")</f>
        <v/>
      </c>
      <c r="L367" s="80" t="str">
        <f>IF('Beginner Adv 15M - Scoring'!B49&lt;&gt;"",'Beginner Adv 15M - Scoring'!AP49,"")</f>
        <v/>
      </c>
      <c r="M367" s="81" t="str">
        <f>IFERROR(IF(ISNUMBER(L367),L367,""),"")</f>
        <v/>
      </c>
    </row>
    <row r="368" spans="1:13" ht="19.5" customHeight="1" x14ac:dyDescent="0.35">
      <c r="A368" s="78" t="s">
        <v>223</v>
      </c>
      <c r="B368" s="79" t="str">
        <f>IF('Beginner Adv 15M - Scoring'!B48&lt;&gt;"",IF('Beginner Adv 15M - Scoring'!L48&lt;&gt;"",'Beginner Adv 15M - Scoring'!L48,""),"")</f>
        <v/>
      </c>
      <c r="C368" s="79" t="str">
        <f>IF('Beginner Adv 15M - Scoring'!B48&lt;&gt;"",IF('Beginner Adv 15M - Scoring'!M48&lt;&gt;"",'Beginner Adv 15M - Scoring'!M48,""),"")</f>
        <v/>
      </c>
      <c r="D368" s="79" t="str">
        <f>IF('Beginner Adv 15M - Scoring'!B48&lt;&gt;"",IF('Beginner Adv 15M - Scoring'!N48&lt;&gt;"",'Beginner Adv 15M - Scoring'!N48,""),"")</f>
        <v/>
      </c>
      <c r="E368" s="80" t="str">
        <f>IF('Beginner Adv 15M - Scoring'!B48&lt;&gt;"",'Beginner Adv 15M - Scoring'!AQ48,"")</f>
        <v/>
      </c>
      <c r="F368" s="81" t="str">
        <f>IF(E367&lt;&gt;"",IFERROR(IF(ISNUMBER(E367),E367,0),0)+IFERROR(IF(ISNUMBER(E368),E368,0),0),"")</f>
        <v/>
      </c>
      <c r="H368" s="78" t="s">
        <v>223</v>
      </c>
      <c r="I368" s="79" t="str">
        <f>IF('Beginner Adv 15M - Scoring'!B49&lt;&gt;"",IF('Beginner Adv 15M - Scoring'!L49&lt;&gt;"",'Beginner Adv 15M - Scoring'!L49,""),"")</f>
        <v/>
      </c>
      <c r="J368" s="79" t="str">
        <f>IF('Beginner Adv 15M - Scoring'!B49&lt;&gt;"",IF('Beginner Adv 15M - Scoring'!M49&lt;&gt;"",'Beginner Adv 15M - Scoring'!M49,""),"")</f>
        <v/>
      </c>
      <c r="K368" s="79" t="str">
        <f>IF('Beginner Adv 15M - Scoring'!B49&lt;&gt;"",IF('Beginner Adv 15M - Scoring'!N49&lt;&gt;"",'Beginner Adv 15M - Scoring'!N49,""),"")</f>
        <v/>
      </c>
      <c r="L368" s="80" t="str">
        <f>IF('Beginner Adv 15M - Scoring'!B49&lt;&gt;"",'Beginner Adv 15M - Scoring'!AQ49,"")</f>
        <v/>
      </c>
      <c r="M368" s="81" t="str">
        <f>IF(L367&lt;&gt;"",IFERROR(IF(ISNUMBER(L367),L367,0),0)+IFERROR(IF(ISNUMBER(L368),L368,0),0),"")</f>
        <v/>
      </c>
    </row>
    <row r="369" spans="1:13" ht="19.5" customHeight="1" x14ac:dyDescent="0.35">
      <c r="A369" s="78" t="s">
        <v>224</v>
      </c>
      <c r="B369" s="79" t="str">
        <f>IF('Beginner Adv 15M - Scoring'!B48&lt;&gt;"",IF('Beginner Adv 15M - Scoring'!R48&lt;&gt;"",'Beginner Adv 15M - Scoring'!R48,""),"")</f>
        <v/>
      </c>
      <c r="C369" s="79" t="str">
        <f>IF('Beginner Adv 15M - Scoring'!B48&lt;&gt;"",IF('Beginner Adv 15M - Scoring'!S48&lt;&gt;"",'Beginner Adv 15M - Scoring'!S48,""),"")</f>
        <v/>
      </c>
      <c r="D369" s="79" t="str">
        <f>IF('Beginner Adv 15M - Scoring'!B48&lt;&gt;"",IF('Beginner Adv 15M - Scoring'!T48&lt;&gt;"",'Beginner Adv 15M - Scoring'!T48,""),"")</f>
        <v/>
      </c>
      <c r="E369" s="80" t="str">
        <f>IF('Beginner Adv 15M - Scoring'!B48&lt;&gt;"",'Beginner Adv 15M - Scoring'!AR48,"")</f>
        <v/>
      </c>
      <c r="F369" s="81" t="str">
        <f>IF(E367&lt;&gt;"",IFERROR(IF(ISNUMBER(E367),E367,0),0)+IFERROR(IF(ISNUMBER(E368),E368,0),0)+IFERROR(IF(ISNUMBER(E369),E369,0),0),"")</f>
        <v/>
      </c>
      <c r="H369" s="78" t="s">
        <v>224</v>
      </c>
      <c r="I369" s="79" t="str">
        <f>IF('Beginner Adv 15M - Scoring'!B49&lt;&gt;"",IF('Beginner Adv 15M - Scoring'!R49&lt;&gt;"",'Beginner Adv 15M - Scoring'!R49,""),"")</f>
        <v/>
      </c>
      <c r="J369" s="79" t="str">
        <f>IF('Beginner Adv 15M - Scoring'!B49&lt;&gt;"",IF('Beginner Adv 15M - Scoring'!S49&lt;&gt;"",'Beginner Adv 15M - Scoring'!S49,""),"")</f>
        <v/>
      </c>
      <c r="K369" s="79" t="str">
        <f>IF('Beginner Adv 15M - Scoring'!B49&lt;&gt;"",IF('Beginner Adv 15M - Scoring'!T49&lt;&gt;"",'Beginner Adv 15M - Scoring'!T49,""),"")</f>
        <v/>
      </c>
      <c r="L369" s="80" t="str">
        <f>IF('Beginner Adv 15M - Scoring'!B49&lt;&gt;"",'Beginner Adv 15M - Scoring'!AR49,"")</f>
        <v/>
      </c>
      <c r="M369" s="81" t="str">
        <f>IF(L367&lt;&gt;"",IFERROR(IF(ISNUMBER(L367),L367,0),0)+IFERROR(IF(ISNUMBER(L368),L368,0),0)+IFERROR(IF(ISNUMBER(L369),L369,0),0),"")</f>
        <v/>
      </c>
    </row>
    <row r="370" spans="1:13" ht="19.5" customHeight="1" x14ac:dyDescent="0.35">
      <c r="A370" s="78" t="s">
        <v>227</v>
      </c>
      <c r="B370" s="79" t="str">
        <f>IF('Beginner Adv 15M - Scoring'!B48&lt;&gt;"",IF('Beginner Adv 15M - Scoring'!X48&lt;&gt;"",'Beginner Adv 15M - Scoring'!X48,""),"")</f>
        <v/>
      </c>
      <c r="C370" s="79" t="str">
        <f>IF('Beginner Adv 15M - Scoring'!B48&lt;&gt;"",IF('Beginner Adv 15M - Scoring'!Y48&lt;&gt;"",'Beginner Adv 15M - Scoring'!Y48,""),"")</f>
        <v/>
      </c>
      <c r="D370" s="79" t="str">
        <f>IF('Beginner Adv 15M - Scoring'!B48&lt;&gt;"",IF('Beginner Adv 15M - Scoring'!Z48&lt;&gt;"",'Beginner Adv 15M - Scoring'!Z48,""),"")</f>
        <v/>
      </c>
      <c r="E370" s="80" t="str">
        <f>IF('Beginner Adv 15M - Scoring'!B48&lt;&gt;"",'Beginner Adv 15M - Scoring'!AS48,"")</f>
        <v/>
      </c>
      <c r="F370" s="81" t="str">
        <f>IF(E367&lt;&gt;"",IFERROR(IF(ISNUMBER(E367),E367,0),0)+IFERROR(IF(ISNUMBER(E368),E368,0),0)+IFERROR(IF(ISNUMBER(E369),E369,0),0)+IFERROR(IF(ISNUMBER(E370),E370,0),0),"")</f>
        <v/>
      </c>
      <c r="H370" s="78" t="s">
        <v>227</v>
      </c>
      <c r="I370" s="79" t="str">
        <f>IF('Beginner Adv 15M - Scoring'!B49&lt;&gt;"",IF('Beginner Adv 15M - Scoring'!X49&lt;&gt;"",'Beginner Adv 15M - Scoring'!X49,""),"")</f>
        <v/>
      </c>
      <c r="J370" s="79" t="str">
        <f>IF('Beginner Adv 15M - Scoring'!B49&lt;&gt;"",IF('Beginner Adv 15M - Scoring'!Y49&lt;&gt;"",'Beginner Adv 15M - Scoring'!Y49,""),"")</f>
        <v/>
      </c>
      <c r="K370" s="79" t="str">
        <f>IF('Beginner Adv 15M - Scoring'!B49&lt;&gt;"",IF('Beginner Adv 15M - Scoring'!Z49&lt;&gt;"",'Beginner Adv 15M - Scoring'!Z49,""),"")</f>
        <v/>
      </c>
      <c r="L370" s="80" t="str">
        <f>IF('Beginner Adv 15M - Scoring'!B49&lt;&gt;"",'Beginner Adv 15M - Scoring'!AS49,"")</f>
        <v/>
      </c>
      <c r="M370" s="81" t="str">
        <f>IF(L367&lt;&gt;"",IFERROR(IF(ISNUMBER(L367),L367,0),0)+IFERROR(IF(ISNUMBER(L368),L368,0),0)+IFERROR(IF(ISNUMBER(L369),L369,0),0)+IFERROR(IF(ISNUMBER(L370),L370,0),0),"")</f>
        <v/>
      </c>
    </row>
    <row r="371" spans="1:13" ht="19.5" customHeight="1" x14ac:dyDescent="0.35">
      <c r="A371" s="78" t="s">
        <v>228</v>
      </c>
      <c r="B371" s="79" t="str">
        <f>IF('Beginner Adv 15M - Scoring'!B48&lt;&gt;"",IF('Beginner Adv 15M - Scoring'!AD48&lt;&gt;"",'Beginner Adv 15M - Scoring'!AD48,""),"")</f>
        <v/>
      </c>
      <c r="C371" s="79" t="str">
        <f>IF('Beginner Adv 15M - Scoring'!B48&lt;&gt;"",IF('Beginner Adv 15M - Scoring'!AE48&lt;&gt;"",'Beginner Adv 15M - Scoring'!AE48,""),"")</f>
        <v/>
      </c>
      <c r="D371" s="79" t="str">
        <f>IF('Beginner Adv 15M - Scoring'!B48&lt;&gt;"",IF('Beginner Adv 15M - Scoring'!AF48&lt;&gt;"",'Beginner Adv 15M - Scoring'!AF48,""),"")</f>
        <v/>
      </c>
      <c r="E371" s="80" t="str">
        <f>IF('Beginner Adv 15M - Scoring'!B48&lt;&gt;"",'Beginner Adv 15M - Scoring'!AT48,"")</f>
        <v/>
      </c>
      <c r="F371" s="81" t="str">
        <f>IF(E367&lt;&gt;"",IFERROR(IF(ISNUMBER(E367),E367,0),0)+IFERROR(IF(ISNUMBER(E368),E368,0),0)+IFERROR(IF(ISNUMBER(E369),E369,0),0)+IFERROR(IF(ISNUMBER(E370),E370,0),0)+IFERROR(IF(ISNUMBER(E371),E371,0),0),"")</f>
        <v/>
      </c>
      <c r="H371" s="78" t="s">
        <v>228</v>
      </c>
      <c r="I371" s="79" t="str">
        <f>IF('Beginner Adv 15M - Scoring'!B49&lt;&gt;"",IF('Beginner Adv 15M - Scoring'!AD49&lt;&gt;"",'Beginner Adv 15M - Scoring'!AD49,""),"")</f>
        <v/>
      </c>
      <c r="J371" s="79" t="str">
        <f>IF('Beginner Adv 15M - Scoring'!B49&lt;&gt;"",IF('Beginner Adv 15M - Scoring'!AE49&lt;&gt;"",'Beginner Adv 15M - Scoring'!AE49,""),"")</f>
        <v/>
      </c>
      <c r="K371" s="79" t="str">
        <f>IF('Beginner Adv 15M - Scoring'!B49&lt;&gt;"",IF('Beginner Adv 15M - Scoring'!AF49&lt;&gt;"",'Beginner Adv 15M - Scoring'!AF49,""),"")</f>
        <v/>
      </c>
      <c r="L371" s="80" t="str">
        <f>IF('Beginner Adv 15M - Scoring'!B49&lt;&gt;"",'Beginner Adv 15M - Scoring'!AT49,"")</f>
        <v/>
      </c>
      <c r="M371" s="81" t="str">
        <f>IF(L367&lt;&gt;"",IFERROR(IF(ISNUMBER(L367),L367,0),0)+IFERROR(IF(ISNUMBER(L368),L368,0),0)+IFERROR(IF(ISNUMBER(L369),L369,0),0)+IFERROR(IF(ISNUMBER(L370),L370,0),0)+IFERROR(IF(ISNUMBER(L371),L371,0),0),"")</f>
        <v/>
      </c>
    </row>
    <row r="372" spans="1:13" ht="19.5" customHeight="1" x14ac:dyDescent="0.35">
      <c r="A372" s="78" t="s">
        <v>229</v>
      </c>
      <c r="B372" s="79" t="str">
        <f>IF('Beginner Adv 15M - Scoring'!B48&lt;&gt;"",IF('Beginner Adv 15M - Scoring'!AJ48&lt;&gt;"",'Beginner Adv 15M - Scoring'!AJ48,""),"")</f>
        <v/>
      </c>
      <c r="C372" s="79" t="str">
        <f>IF('Beginner Adv 15M - Scoring'!B48&lt;&gt;"",IF('Beginner Adv 15M - Scoring'!AK48&lt;&gt;"",'Beginner Adv 15M - Scoring'!AK48,""),"")</f>
        <v/>
      </c>
      <c r="D372" s="79" t="str">
        <f>IF('Beginner Adv 15M - Scoring'!B48&lt;&gt;"",IF('Beginner Adv 15M - Scoring'!AL48&lt;&gt;"",'Beginner Adv 15M - Scoring'!AL48,""),"")</f>
        <v/>
      </c>
      <c r="E372" s="80" t="str">
        <f>IF('Beginner Adv 15M - Scoring'!B48&lt;&gt;"",'Beginner Adv 15M - Scoring'!AU48,"")</f>
        <v/>
      </c>
      <c r="F372" s="81" t="str">
        <f>IF(E367&lt;&gt;"",IFERROR(IF(ISNUMBER(E367),E367,0),0)+IFERROR(IF(ISNUMBER(E368),E368,0),0)+IFERROR(IF(ISNUMBER(E369),E369,0),0)+IFERROR(IF(ISNUMBER(E370),E370,0),0)+IFERROR(IF(ISNUMBER(E371),E371,0),0)+IFERROR(IF(ISNUMBER(E372),E372,0),0),"")</f>
        <v/>
      </c>
      <c r="H372" s="78" t="s">
        <v>229</v>
      </c>
      <c r="I372" s="79" t="str">
        <f>IF('Beginner Adv 15M - Scoring'!B49&lt;&gt;"",IF('Beginner Adv 15M - Scoring'!AJ49&lt;&gt;"",'Beginner Adv 15M - Scoring'!AJ49,""),"")</f>
        <v/>
      </c>
      <c r="J372" s="79" t="str">
        <f>IF('Beginner Adv 15M - Scoring'!B49&lt;&gt;"",IF('Beginner Adv 15M - Scoring'!AK49&lt;&gt;"",'Beginner Adv 15M - Scoring'!AK49,""),"")</f>
        <v/>
      </c>
      <c r="K372" s="79" t="str">
        <f>IF('Beginner Adv 15M - Scoring'!B49&lt;&gt;"",IF('Beginner Adv 15M - Scoring'!AL49&lt;&gt;"",'Beginner Adv 15M - Scoring'!AL49,""),"")</f>
        <v/>
      </c>
      <c r="L372" s="80" t="str">
        <f>IF('Beginner Adv 15M - Scoring'!B49&lt;&gt;"",'Beginner Adv 15M - Scoring'!AU49,"")</f>
        <v/>
      </c>
      <c r="M372" s="81" t="str">
        <f>IF(L367&lt;&gt;"",IFERROR(IF(ISNUMBER(L367),L367,0),0)+IFERROR(IF(ISNUMBER(L368),L368,0),0)+IFERROR(IF(ISNUMBER(L369),L369,0),0)+IFERROR(IF(ISNUMBER(L370),L370,0),0)+IFERROR(IF(ISNUMBER(L371),L371,0),0)+IFERROR(IF(ISNUMBER(L372),L372,0),0),"")</f>
        <v/>
      </c>
    </row>
    <row r="373" spans="1:13" ht="3.75" customHeight="1" x14ac:dyDescent="0.35"/>
    <row r="374" spans="1:13" ht="24" customHeight="1" x14ac:dyDescent="0.35">
      <c r="A374" s="124" t="s">
        <v>230</v>
      </c>
      <c r="B374" s="124"/>
      <c r="C374" s="124"/>
      <c r="D374" s="124"/>
      <c r="E374" s="125" t="str">
        <f>IF('Beginner Adv 15M - Scoring'!B48&lt;&gt;"",'Beginner Adv 15M - Scoring'!AV48,"")</f>
        <v/>
      </c>
      <c r="F374" s="125"/>
      <c r="H374" s="124" t="s">
        <v>230</v>
      </c>
      <c r="I374" s="124"/>
      <c r="J374" s="124"/>
      <c r="K374" s="124"/>
      <c r="L374" s="125" t="str">
        <f>IF('Beginner Adv 15M - Scoring'!B49&lt;&gt;"",'Beginner Adv 15M - Scoring'!AV49,"")</f>
        <v/>
      </c>
      <c r="M374" s="125"/>
    </row>
    <row r="375" spans="1:13" ht="19.5" customHeight="1" x14ac:dyDescent="0.35">
      <c r="E375" s="125"/>
      <c r="F375" s="125"/>
      <c r="L375" s="125"/>
      <c r="M375" s="125"/>
    </row>
    <row r="376" spans="1:13" ht="3.75" customHeight="1" x14ac:dyDescent="0.35"/>
    <row r="377" spans="1:13" ht="18" customHeight="1" x14ac:dyDescent="0.35">
      <c r="A377" s="73" t="s">
        <v>126</v>
      </c>
      <c r="B377" s="82" t="str">
        <f>IF('Beginner Adv 15M - Scoring'!B48&lt;&gt;"",'Beginner Adv 15M - Scoring'!AW48,"")</f>
        <v/>
      </c>
      <c r="C377" s="73" t="s">
        <v>127</v>
      </c>
      <c r="D377" s="83" t="str">
        <f>IF('Beginner Adv 15M - Scoring'!B48&lt;&gt;"",'Beginner Adv 15M - Scoring'!AX48,"")</f>
        <v/>
      </c>
      <c r="E377" s="73" t="s">
        <v>128</v>
      </c>
      <c r="F377" s="83" t="str">
        <f>IF('Beginner Adv 15M - Scoring'!B48&lt;&gt;"",'Beginner Adv 15M - Scoring'!AY48,"")</f>
        <v/>
      </c>
      <c r="H377" s="73" t="s">
        <v>126</v>
      </c>
      <c r="I377" s="82" t="str">
        <f>IF('Beginner Adv 15M - Scoring'!B49&lt;&gt;"",'Beginner Adv 15M - Scoring'!AW49,"")</f>
        <v/>
      </c>
      <c r="J377" s="73" t="s">
        <v>127</v>
      </c>
      <c r="K377" s="83" t="str">
        <f>IF('Beginner Adv 15M - Scoring'!B49&lt;&gt;"",'Beginner Adv 15M - Scoring'!AX49,"")</f>
        <v/>
      </c>
      <c r="L377" s="73" t="s">
        <v>128</v>
      </c>
      <c r="M377" s="83" t="str">
        <f>IF('Beginner Adv 15M - Scoring'!B49&lt;&gt;"",'Beginner Adv 15M - Scoring'!AY49,"")</f>
        <v/>
      </c>
    </row>
    <row r="378" spans="1:13" ht="3.75" customHeight="1" x14ac:dyDescent="0.35"/>
    <row r="379" spans="1:13" ht="7.5" customHeight="1" x14ac:dyDescent="0.35">
      <c r="A379" s="126"/>
      <c r="B379" s="126"/>
      <c r="C379" s="126"/>
      <c r="D379" s="126"/>
      <c r="E379" s="126"/>
      <c r="F379" s="126"/>
      <c r="G379" s="126"/>
      <c r="H379" s="126"/>
      <c r="I379" s="126"/>
      <c r="J379" s="126"/>
      <c r="K379" s="126"/>
      <c r="L379" s="126"/>
      <c r="M379" s="126"/>
    </row>
    <row r="380" spans="1:13" ht="15.75" customHeight="1" x14ac:dyDescent="0.35">
      <c r="A380" s="73" t="s">
        <v>218</v>
      </c>
      <c r="B380" s="122" t="str">
        <f>IF('Beginner Adv 15M - Scoring'!B50&lt;&gt;"",'Beginner Adv 15M - Scoring'!B50,"")</f>
        <v/>
      </c>
      <c r="C380" s="122"/>
      <c r="D380" s="122"/>
      <c r="E380" s="73" t="s">
        <v>219</v>
      </c>
      <c r="F380" s="74" t="str">
        <f>IF('Beginner Adv 15M - Scoring'!B50&lt;&gt;"",'Beginner Adv 15M - Scoring'!BB50,"")</f>
        <v/>
      </c>
      <c r="H380" s="73" t="s">
        <v>218</v>
      </c>
      <c r="I380" s="122" t="str">
        <f>IF('Beginner Adv 15M - Scoring'!B51&lt;&gt;"",'Beginner Adv 15M - Scoring'!B51,"")</f>
        <v/>
      </c>
      <c r="J380" s="122"/>
      <c r="K380" s="122"/>
      <c r="L380" s="73" t="s">
        <v>219</v>
      </c>
      <c r="M380" s="74" t="str">
        <f>IF('Beginner Adv 15M - Scoring'!B51&lt;&gt;"",'Beginner Adv 15M - Scoring'!BB51,"")</f>
        <v/>
      </c>
    </row>
    <row r="381" spans="1:13" ht="15.75" customHeight="1" x14ac:dyDescent="0.35">
      <c r="A381" s="73" t="s">
        <v>220</v>
      </c>
      <c r="B381" s="123" t="str">
        <f>IF('Beginner Adv 15M - Scoring'!B50&lt;&gt;"",'Beginner Adv 15M - Scoring'!D50,"")</f>
        <v/>
      </c>
      <c r="C381" s="123"/>
      <c r="D381" s="123"/>
      <c r="E381" s="73" t="s">
        <v>8</v>
      </c>
      <c r="F381" s="75" t="str">
        <f>IF('Beginner Adv 15M - Scoring'!B50&lt;&gt;"",'Beginner Adv 15M - Scoring'!E50,"")</f>
        <v/>
      </c>
      <c r="H381" s="73" t="s">
        <v>220</v>
      </c>
      <c r="I381" s="123" t="str">
        <f>IF('Beginner Adv 15M - Scoring'!B51&lt;&gt;"",'Beginner Adv 15M - Scoring'!D51,"")</f>
        <v/>
      </c>
      <c r="J381" s="123"/>
      <c r="K381" s="123"/>
      <c r="L381" s="73" t="s">
        <v>8</v>
      </c>
      <c r="M381" s="75" t="str">
        <f>IF('Beginner Adv 15M - Scoring'!B51&lt;&gt;"",'Beginner Adv 15M - Scoring'!E51,"")</f>
        <v/>
      </c>
    </row>
    <row r="382" spans="1:13" ht="3.75" customHeight="1" x14ac:dyDescent="0.35"/>
    <row r="383" spans="1:13" ht="25.5" customHeight="1" x14ac:dyDescent="0.35">
      <c r="A383" s="76" t="s">
        <v>221</v>
      </c>
      <c r="B383" s="77" t="s">
        <v>222</v>
      </c>
      <c r="C383" s="77" t="s">
        <v>223</v>
      </c>
      <c r="D383" s="77" t="s">
        <v>224</v>
      </c>
      <c r="E383" s="76" t="s">
        <v>225</v>
      </c>
      <c r="F383" s="76" t="s">
        <v>226</v>
      </c>
      <c r="H383" s="76" t="s">
        <v>221</v>
      </c>
      <c r="I383" s="77" t="s">
        <v>222</v>
      </c>
      <c r="J383" s="77" t="s">
        <v>223</v>
      </c>
      <c r="K383" s="77" t="s">
        <v>224</v>
      </c>
      <c r="L383" s="76" t="s">
        <v>225</v>
      </c>
      <c r="M383" s="76" t="s">
        <v>226</v>
      </c>
    </row>
    <row r="384" spans="1:13" ht="19.5" customHeight="1" x14ac:dyDescent="0.35">
      <c r="A384" s="78" t="s">
        <v>222</v>
      </c>
      <c r="B384" s="79" t="str">
        <f>IF('Beginner Adv 15M - Scoring'!B50&lt;&gt;"",IF('Beginner Adv 15M - Scoring'!F50&lt;&gt;"",'Beginner Adv 15M - Scoring'!F50,""),"")</f>
        <v/>
      </c>
      <c r="C384" s="79" t="str">
        <f>IF('Beginner Adv 15M - Scoring'!B50&lt;&gt;"",IF('Beginner Adv 15M - Scoring'!G50&lt;&gt;"",'Beginner Adv 15M - Scoring'!G50,""),"")</f>
        <v/>
      </c>
      <c r="D384" s="79" t="str">
        <f>IF('Beginner Adv 15M - Scoring'!B50&lt;&gt;"",IF('Beginner Adv 15M - Scoring'!H50&lt;&gt;"",'Beginner Adv 15M - Scoring'!H50,""),"")</f>
        <v/>
      </c>
      <c r="E384" s="80" t="str">
        <f>IF('Beginner Adv 15M - Scoring'!B50&lt;&gt;"",'Beginner Adv 15M - Scoring'!AP50,"")</f>
        <v/>
      </c>
      <c r="F384" s="81" t="str">
        <f>IFERROR(IF(ISNUMBER(E384),E384,""),"")</f>
        <v/>
      </c>
      <c r="H384" s="78" t="s">
        <v>222</v>
      </c>
      <c r="I384" s="79" t="str">
        <f>IF('Beginner Adv 15M - Scoring'!B51&lt;&gt;"",IF('Beginner Adv 15M - Scoring'!F51&lt;&gt;"",'Beginner Adv 15M - Scoring'!F51,""),"")</f>
        <v/>
      </c>
      <c r="J384" s="79" t="str">
        <f>IF('Beginner Adv 15M - Scoring'!B51&lt;&gt;"",IF('Beginner Adv 15M - Scoring'!G51&lt;&gt;"",'Beginner Adv 15M - Scoring'!G51,""),"")</f>
        <v/>
      </c>
      <c r="K384" s="79" t="str">
        <f>IF('Beginner Adv 15M - Scoring'!B51&lt;&gt;"",IF('Beginner Adv 15M - Scoring'!H51&lt;&gt;"",'Beginner Adv 15M - Scoring'!H51,""),"")</f>
        <v/>
      </c>
      <c r="L384" s="80" t="str">
        <f>IF('Beginner Adv 15M - Scoring'!B51&lt;&gt;"",'Beginner Adv 15M - Scoring'!AP51,"")</f>
        <v/>
      </c>
      <c r="M384" s="81" t="str">
        <f>IFERROR(IF(ISNUMBER(L384),L384,""),"")</f>
        <v/>
      </c>
    </row>
    <row r="385" spans="1:13" ht="19.5" customHeight="1" x14ac:dyDescent="0.35">
      <c r="A385" s="78" t="s">
        <v>223</v>
      </c>
      <c r="B385" s="79" t="str">
        <f>IF('Beginner Adv 15M - Scoring'!B50&lt;&gt;"",IF('Beginner Adv 15M - Scoring'!L50&lt;&gt;"",'Beginner Adv 15M - Scoring'!L50,""),"")</f>
        <v/>
      </c>
      <c r="C385" s="79" t="str">
        <f>IF('Beginner Adv 15M - Scoring'!B50&lt;&gt;"",IF('Beginner Adv 15M - Scoring'!M50&lt;&gt;"",'Beginner Adv 15M - Scoring'!M50,""),"")</f>
        <v/>
      </c>
      <c r="D385" s="79" t="str">
        <f>IF('Beginner Adv 15M - Scoring'!B50&lt;&gt;"",IF('Beginner Adv 15M - Scoring'!N50&lt;&gt;"",'Beginner Adv 15M - Scoring'!N50,""),"")</f>
        <v/>
      </c>
      <c r="E385" s="80" t="str">
        <f>IF('Beginner Adv 15M - Scoring'!B50&lt;&gt;"",'Beginner Adv 15M - Scoring'!AQ50,"")</f>
        <v/>
      </c>
      <c r="F385" s="81" t="str">
        <f>IF(E384&lt;&gt;"",IFERROR(IF(ISNUMBER(E384),E384,0),0)+IFERROR(IF(ISNUMBER(E385),E385,0),0),"")</f>
        <v/>
      </c>
      <c r="H385" s="78" t="s">
        <v>223</v>
      </c>
      <c r="I385" s="79" t="str">
        <f>IF('Beginner Adv 15M - Scoring'!B51&lt;&gt;"",IF('Beginner Adv 15M - Scoring'!L51&lt;&gt;"",'Beginner Adv 15M - Scoring'!L51,""),"")</f>
        <v/>
      </c>
      <c r="J385" s="79" t="str">
        <f>IF('Beginner Adv 15M - Scoring'!B51&lt;&gt;"",IF('Beginner Adv 15M - Scoring'!M51&lt;&gt;"",'Beginner Adv 15M - Scoring'!M51,""),"")</f>
        <v/>
      </c>
      <c r="K385" s="79" t="str">
        <f>IF('Beginner Adv 15M - Scoring'!B51&lt;&gt;"",IF('Beginner Adv 15M - Scoring'!N51&lt;&gt;"",'Beginner Adv 15M - Scoring'!N51,""),"")</f>
        <v/>
      </c>
      <c r="L385" s="80" t="str">
        <f>IF('Beginner Adv 15M - Scoring'!B51&lt;&gt;"",'Beginner Adv 15M - Scoring'!AQ51,"")</f>
        <v/>
      </c>
      <c r="M385" s="81" t="str">
        <f>IF(L384&lt;&gt;"",IFERROR(IF(ISNUMBER(L384),L384,0),0)+IFERROR(IF(ISNUMBER(L385),L385,0),0),"")</f>
        <v/>
      </c>
    </row>
    <row r="386" spans="1:13" ht="19.5" customHeight="1" x14ac:dyDescent="0.35">
      <c r="A386" s="78" t="s">
        <v>224</v>
      </c>
      <c r="B386" s="79" t="str">
        <f>IF('Beginner Adv 15M - Scoring'!B50&lt;&gt;"",IF('Beginner Adv 15M - Scoring'!R50&lt;&gt;"",'Beginner Adv 15M - Scoring'!R50,""),"")</f>
        <v/>
      </c>
      <c r="C386" s="79" t="str">
        <f>IF('Beginner Adv 15M - Scoring'!B50&lt;&gt;"",IF('Beginner Adv 15M - Scoring'!S50&lt;&gt;"",'Beginner Adv 15M - Scoring'!S50,""),"")</f>
        <v/>
      </c>
      <c r="D386" s="79" t="str">
        <f>IF('Beginner Adv 15M - Scoring'!B50&lt;&gt;"",IF('Beginner Adv 15M - Scoring'!T50&lt;&gt;"",'Beginner Adv 15M - Scoring'!T50,""),"")</f>
        <v/>
      </c>
      <c r="E386" s="80" t="str">
        <f>IF('Beginner Adv 15M - Scoring'!B50&lt;&gt;"",'Beginner Adv 15M - Scoring'!AR50,"")</f>
        <v/>
      </c>
      <c r="F386" s="81" t="str">
        <f>IF(E384&lt;&gt;"",IFERROR(IF(ISNUMBER(E384),E384,0),0)+IFERROR(IF(ISNUMBER(E385),E385,0),0)+IFERROR(IF(ISNUMBER(E386),E386,0),0),"")</f>
        <v/>
      </c>
      <c r="H386" s="78" t="s">
        <v>224</v>
      </c>
      <c r="I386" s="79" t="str">
        <f>IF('Beginner Adv 15M - Scoring'!B51&lt;&gt;"",IF('Beginner Adv 15M - Scoring'!R51&lt;&gt;"",'Beginner Adv 15M - Scoring'!R51,""),"")</f>
        <v/>
      </c>
      <c r="J386" s="79" t="str">
        <f>IF('Beginner Adv 15M - Scoring'!B51&lt;&gt;"",IF('Beginner Adv 15M - Scoring'!S51&lt;&gt;"",'Beginner Adv 15M - Scoring'!S51,""),"")</f>
        <v/>
      </c>
      <c r="K386" s="79" t="str">
        <f>IF('Beginner Adv 15M - Scoring'!B51&lt;&gt;"",IF('Beginner Adv 15M - Scoring'!T51&lt;&gt;"",'Beginner Adv 15M - Scoring'!T51,""),"")</f>
        <v/>
      </c>
      <c r="L386" s="80" t="str">
        <f>IF('Beginner Adv 15M - Scoring'!B51&lt;&gt;"",'Beginner Adv 15M - Scoring'!AR51,"")</f>
        <v/>
      </c>
      <c r="M386" s="81" t="str">
        <f>IF(L384&lt;&gt;"",IFERROR(IF(ISNUMBER(L384),L384,0),0)+IFERROR(IF(ISNUMBER(L385),L385,0),0)+IFERROR(IF(ISNUMBER(L386),L386,0),0),"")</f>
        <v/>
      </c>
    </row>
    <row r="387" spans="1:13" ht="19.5" customHeight="1" x14ac:dyDescent="0.35">
      <c r="A387" s="78" t="s">
        <v>227</v>
      </c>
      <c r="B387" s="79" t="str">
        <f>IF('Beginner Adv 15M - Scoring'!B50&lt;&gt;"",IF('Beginner Adv 15M - Scoring'!X50&lt;&gt;"",'Beginner Adv 15M - Scoring'!X50,""),"")</f>
        <v/>
      </c>
      <c r="C387" s="79" t="str">
        <f>IF('Beginner Adv 15M - Scoring'!B50&lt;&gt;"",IF('Beginner Adv 15M - Scoring'!Y50&lt;&gt;"",'Beginner Adv 15M - Scoring'!Y50,""),"")</f>
        <v/>
      </c>
      <c r="D387" s="79" t="str">
        <f>IF('Beginner Adv 15M - Scoring'!B50&lt;&gt;"",IF('Beginner Adv 15M - Scoring'!Z50&lt;&gt;"",'Beginner Adv 15M - Scoring'!Z50,""),"")</f>
        <v/>
      </c>
      <c r="E387" s="80" t="str">
        <f>IF('Beginner Adv 15M - Scoring'!B50&lt;&gt;"",'Beginner Adv 15M - Scoring'!AS50,"")</f>
        <v/>
      </c>
      <c r="F387" s="81" t="str">
        <f>IF(E384&lt;&gt;"",IFERROR(IF(ISNUMBER(E384),E384,0),0)+IFERROR(IF(ISNUMBER(E385),E385,0),0)+IFERROR(IF(ISNUMBER(E386),E386,0),0)+IFERROR(IF(ISNUMBER(E387),E387,0),0),"")</f>
        <v/>
      </c>
      <c r="H387" s="78" t="s">
        <v>227</v>
      </c>
      <c r="I387" s="79" t="str">
        <f>IF('Beginner Adv 15M - Scoring'!B51&lt;&gt;"",IF('Beginner Adv 15M - Scoring'!X51&lt;&gt;"",'Beginner Adv 15M - Scoring'!X51,""),"")</f>
        <v/>
      </c>
      <c r="J387" s="79" t="str">
        <f>IF('Beginner Adv 15M - Scoring'!B51&lt;&gt;"",IF('Beginner Adv 15M - Scoring'!Y51&lt;&gt;"",'Beginner Adv 15M - Scoring'!Y51,""),"")</f>
        <v/>
      </c>
      <c r="K387" s="79" t="str">
        <f>IF('Beginner Adv 15M - Scoring'!B51&lt;&gt;"",IF('Beginner Adv 15M - Scoring'!Z51&lt;&gt;"",'Beginner Adv 15M - Scoring'!Z51,""),"")</f>
        <v/>
      </c>
      <c r="L387" s="80" t="str">
        <f>IF('Beginner Adv 15M - Scoring'!B51&lt;&gt;"",'Beginner Adv 15M - Scoring'!AS51,"")</f>
        <v/>
      </c>
      <c r="M387" s="81" t="str">
        <f>IF(L384&lt;&gt;"",IFERROR(IF(ISNUMBER(L384),L384,0),0)+IFERROR(IF(ISNUMBER(L385),L385,0),0)+IFERROR(IF(ISNUMBER(L386),L386,0),0)+IFERROR(IF(ISNUMBER(L387),L387,0),0),"")</f>
        <v/>
      </c>
    </row>
    <row r="388" spans="1:13" ht="19.5" customHeight="1" x14ac:dyDescent="0.35">
      <c r="A388" s="78" t="s">
        <v>228</v>
      </c>
      <c r="B388" s="79" t="str">
        <f>IF('Beginner Adv 15M - Scoring'!B50&lt;&gt;"",IF('Beginner Adv 15M - Scoring'!AD50&lt;&gt;"",'Beginner Adv 15M - Scoring'!AD50,""),"")</f>
        <v/>
      </c>
      <c r="C388" s="79" t="str">
        <f>IF('Beginner Adv 15M - Scoring'!B50&lt;&gt;"",IF('Beginner Adv 15M - Scoring'!AE50&lt;&gt;"",'Beginner Adv 15M - Scoring'!AE50,""),"")</f>
        <v/>
      </c>
      <c r="D388" s="79" t="str">
        <f>IF('Beginner Adv 15M - Scoring'!B50&lt;&gt;"",IF('Beginner Adv 15M - Scoring'!AF50&lt;&gt;"",'Beginner Adv 15M - Scoring'!AF50,""),"")</f>
        <v/>
      </c>
      <c r="E388" s="80" t="str">
        <f>IF('Beginner Adv 15M - Scoring'!B50&lt;&gt;"",'Beginner Adv 15M - Scoring'!AT50,"")</f>
        <v/>
      </c>
      <c r="F388" s="81" t="str">
        <f>IF(E384&lt;&gt;"",IFERROR(IF(ISNUMBER(E384),E384,0),0)+IFERROR(IF(ISNUMBER(E385),E385,0),0)+IFERROR(IF(ISNUMBER(E386),E386,0),0)+IFERROR(IF(ISNUMBER(E387),E387,0),0)+IFERROR(IF(ISNUMBER(E388),E388,0),0),"")</f>
        <v/>
      </c>
      <c r="H388" s="78" t="s">
        <v>228</v>
      </c>
      <c r="I388" s="79" t="str">
        <f>IF('Beginner Adv 15M - Scoring'!B51&lt;&gt;"",IF('Beginner Adv 15M - Scoring'!AD51&lt;&gt;"",'Beginner Adv 15M - Scoring'!AD51,""),"")</f>
        <v/>
      </c>
      <c r="J388" s="79" t="str">
        <f>IF('Beginner Adv 15M - Scoring'!B51&lt;&gt;"",IF('Beginner Adv 15M - Scoring'!AE51&lt;&gt;"",'Beginner Adv 15M - Scoring'!AE51,""),"")</f>
        <v/>
      </c>
      <c r="K388" s="79" t="str">
        <f>IF('Beginner Adv 15M - Scoring'!B51&lt;&gt;"",IF('Beginner Adv 15M - Scoring'!AF51&lt;&gt;"",'Beginner Adv 15M - Scoring'!AF51,""),"")</f>
        <v/>
      </c>
      <c r="L388" s="80" t="str">
        <f>IF('Beginner Adv 15M - Scoring'!B51&lt;&gt;"",'Beginner Adv 15M - Scoring'!AT51,"")</f>
        <v/>
      </c>
      <c r="M388" s="81" t="str">
        <f>IF(L384&lt;&gt;"",IFERROR(IF(ISNUMBER(L384),L384,0),0)+IFERROR(IF(ISNUMBER(L385),L385,0),0)+IFERROR(IF(ISNUMBER(L386),L386,0),0)+IFERROR(IF(ISNUMBER(L387),L387,0),0)+IFERROR(IF(ISNUMBER(L388),L388,0),0),"")</f>
        <v/>
      </c>
    </row>
    <row r="389" spans="1:13" ht="19.5" customHeight="1" x14ac:dyDescent="0.35">
      <c r="A389" s="78" t="s">
        <v>229</v>
      </c>
      <c r="B389" s="79" t="str">
        <f>IF('Beginner Adv 15M - Scoring'!B50&lt;&gt;"",IF('Beginner Adv 15M - Scoring'!AJ50&lt;&gt;"",'Beginner Adv 15M - Scoring'!AJ50,""),"")</f>
        <v/>
      </c>
      <c r="C389" s="79" t="str">
        <f>IF('Beginner Adv 15M - Scoring'!B50&lt;&gt;"",IF('Beginner Adv 15M - Scoring'!AK50&lt;&gt;"",'Beginner Adv 15M - Scoring'!AK50,""),"")</f>
        <v/>
      </c>
      <c r="D389" s="79" t="str">
        <f>IF('Beginner Adv 15M - Scoring'!B50&lt;&gt;"",IF('Beginner Adv 15M - Scoring'!AL50&lt;&gt;"",'Beginner Adv 15M - Scoring'!AL50,""),"")</f>
        <v/>
      </c>
      <c r="E389" s="80" t="str">
        <f>IF('Beginner Adv 15M - Scoring'!B50&lt;&gt;"",'Beginner Adv 15M - Scoring'!AU50,"")</f>
        <v/>
      </c>
      <c r="F389" s="81" t="str">
        <f>IF(E384&lt;&gt;"",IFERROR(IF(ISNUMBER(E384),E384,0),0)+IFERROR(IF(ISNUMBER(E385),E385,0),0)+IFERROR(IF(ISNUMBER(E386),E386,0),0)+IFERROR(IF(ISNUMBER(E387),E387,0),0)+IFERROR(IF(ISNUMBER(E388),E388,0),0)+IFERROR(IF(ISNUMBER(E389),E389,0),0),"")</f>
        <v/>
      </c>
      <c r="H389" s="78" t="s">
        <v>229</v>
      </c>
      <c r="I389" s="79" t="str">
        <f>IF('Beginner Adv 15M - Scoring'!B51&lt;&gt;"",IF('Beginner Adv 15M - Scoring'!AJ51&lt;&gt;"",'Beginner Adv 15M - Scoring'!AJ51,""),"")</f>
        <v/>
      </c>
      <c r="J389" s="79" t="str">
        <f>IF('Beginner Adv 15M - Scoring'!B51&lt;&gt;"",IF('Beginner Adv 15M - Scoring'!AK51&lt;&gt;"",'Beginner Adv 15M - Scoring'!AK51,""),"")</f>
        <v/>
      </c>
      <c r="K389" s="79" t="str">
        <f>IF('Beginner Adv 15M - Scoring'!B51&lt;&gt;"",IF('Beginner Adv 15M - Scoring'!AL51&lt;&gt;"",'Beginner Adv 15M - Scoring'!AL51,""),"")</f>
        <v/>
      </c>
      <c r="L389" s="80" t="str">
        <f>IF('Beginner Adv 15M - Scoring'!B51&lt;&gt;"",'Beginner Adv 15M - Scoring'!AU51,"")</f>
        <v/>
      </c>
      <c r="M389" s="81" t="str">
        <f>IF(L384&lt;&gt;"",IFERROR(IF(ISNUMBER(L384),L384,0),0)+IFERROR(IF(ISNUMBER(L385),L385,0),0)+IFERROR(IF(ISNUMBER(L386),L386,0),0)+IFERROR(IF(ISNUMBER(L387),L387,0),0)+IFERROR(IF(ISNUMBER(L388),L388,0),0)+IFERROR(IF(ISNUMBER(L389),L389,0),0),"")</f>
        <v/>
      </c>
    </row>
    <row r="390" spans="1:13" ht="3.75" customHeight="1" x14ac:dyDescent="0.35"/>
    <row r="391" spans="1:13" ht="24" customHeight="1" x14ac:dyDescent="0.35">
      <c r="A391" s="124" t="s">
        <v>230</v>
      </c>
      <c r="B391" s="124"/>
      <c r="C391" s="124"/>
      <c r="D391" s="124"/>
      <c r="E391" s="125" t="str">
        <f>IF('Beginner Adv 15M - Scoring'!B50&lt;&gt;"",'Beginner Adv 15M - Scoring'!AV50,"")</f>
        <v/>
      </c>
      <c r="F391" s="125"/>
      <c r="H391" s="124" t="s">
        <v>230</v>
      </c>
      <c r="I391" s="124"/>
      <c r="J391" s="124"/>
      <c r="K391" s="124"/>
      <c r="L391" s="125" t="str">
        <f>IF('Beginner Adv 15M - Scoring'!B51&lt;&gt;"",'Beginner Adv 15M - Scoring'!AV51,"")</f>
        <v/>
      </c>
      <c r="M391" s="125"/>
    </row>
    <row r="392" spans="1:13" ht="19.5" customHeight="1" x14ac:dyDescent="0.35">
      <c r="E392" s="125"/>
      <c r="F392" s="125"/>
      <c r="L392" s="125"/>
      <c r="M392" s="125"/>
    </row>
    <row r="393" spans="1:13" ht="3.75" customHeight="1" x14ac:dyDescent="0.35"/>
    <row r="394" spans="1:13" ht="18" customHeight="1" x14ac:dyDescent="0.35">
      <c r="A394" s="73" t="s">
        <v>126</v>
      </c>
      <c r="B394" s="82" t="str">
        <f>IF('Beginner Adv 15M - Scoring'!B50&lt;&gt;"",'Beginner Adv 15M - Scoring'!AW50,"")</f>
        <v/>
      </c>
      <c r="C394" s="73" t="s">
        <v>127</v>
      </c>
      <c r="D394" s="83" t="str">
        <f>IF('Beginner Adv 15M - Scoring'!B50&lt;&gt;"",'Beginner Adv 15M - Scoring'!AX50,"")</f>
        <v/>
      </c>
      <c r="E394" s="73" t="s">
        <v>128</v>
      </c>
      <c r="F394" s="83" t="str">
        <f>IF('Beginner Adv 15M - Scoring'!B50&lt;&gt;"",'Beginner Adv 15M - Scoring'!AY50,"")</f>
        <v/>
      </c>
      <c r="H394" s="73" t="s">
        <v>126</v>
      </c>
      <c r="I394" s="82" t="str">
        <f>IF('Beginner Adv 15M - Scoring'!B51&lt;&gt;"",'Beginner Adv 15M - Scoring'!AW51,"")</f>
        <v/>
      </c>
      <c r="J394" s="73" t="s">
        <v>127</v>
      </c>
      <c r="K394" s="83" t="str">
        <f>IF('Beginner Adv 15M - Scoring'!B51&lt;&gt;"",'Beginner Adv 15M - Scoring'!AX51,"")</f>
        <v/>
      </c>
      <c r="L394" s="73" t="s">
        <v>128</v>
      </c>
      <c r="M394" s="83" t="str">
        <f>IF('Beginner Adv 15M - Scoring'!B51&lt;&gt;"",'Beginner Adv 15M - Scoring'!AY51,"")</f>
        <v/>
      </c>
    </row>
    <row r="395" spans="1:13" ht="3.75" customHeight="1" x14ac:dyDescent="0.35"/>
    <row r="396" spans="1:13" ht="7.5" customHeight="1" x14ac:dyDescent="0.35">
      <c r="A396" s="126"/>
      <c r="B396" s="126"/>
      <c r="C396" s="126"/>
      <c r="D396" s="126"/>
      <c r="E396" s="126"/>
      <c r="F396" s="126"/>
      <c r="G396" s="126"/>
      <c r="H396" s="126"/>
      <c r="I396" s="126"/>
      <c r="J396" s="126"/>
      <c r="K396" s="126"/>
      <c r="L396" s="126"/>
      <c r="M396" s="126"/>
    </row>
    <row r="397" spans="1:13" ht="15.75" customHeight="1" x14ac:dyDescent="0.35">
      <c r="A397" s="73" t="s">
        <v>218</v>
      </c>
      <c r="B397" s="122" t="str">
        <f>IF('Beginner Adv 15M - Scoring'!B52&lt;&gt;"",'Beginner Adv 15M - Scoring'!B52,"")</f>
        <v/>
      </c>
      <c r="C397" s="122"/>
      <c r="D397" s="122"/>
      <c r="E397" s="73" t="s">
        <v>219</v>
      </c>
      <c r="F397" s="74" t="str">
        <f>IF('Beginner Adv 15M - Scoring'!B52&lt;&gt;"",'Beginner Adv 15M - Scoring'!BB52,"")</f>
        <v/>
      </c>
      <c r="H397" s="73" t="s">
        <v>218</v>
      </c>
      <c r="I397" s="122" t="str">
        <f>IF('Beginner Adv 15M - Scoring'!B53&lt;&gt;"",'Beginner Adv 15M - Scoring'!B53,"")</f>
        <v/>
      </c>
      <c r="J397" s="122"/>
      <c r="K397" s="122"/>
      <c r="L397" s="73" t="s">
        <v>219</v>
      </c>
      <c r="M397" s="74" t="str">
        <f>IF('Beginner Adv 15M - Scoring'!B53&lt;&gt;"",'Beginner Adv 15M - Scoring'!BB53,"")</f>
        <v/>
      </c>
    </row>
    <row r="398" spans="1:13" ht="15.75" customHeight="1" x14ac:dyDescent="0.35">
      <c r="A398" s="73" t="s">
        <v>220</v>
      </c>
      <c r="B398" s="123" t="str">
        <f>IF('Beginner Adv 15M - Scoring'!B52&lt;&gt;"",'Beginner Adv 15M - Scoring'!D52,"")</f>
        <v/>
      </c>
      <c r="C398" s="123"/>
      <c r="D398" s="123"/>
      <c r="E398" s="73" t="s">
        <v>8</v>
      </c>
      <c r="F398" s="75" t="str">
        <f>IF('Beginner Adv 15M - Scoring'!B52&lt;&gt;"",'Beginner Adv 15M - Scoring'!E52,"")</f>
        <v/>
      </c>
      <c r="H398" s="73" t="s">
        <v>220</v>
      </c>
      <c r="I398" s="123" t="str">
        <f>IF('Beginner Adv 15M - Scoring'!B53&lt;&gt;"",'Beginner Adv 15M - Scoring'!D53,"")</f>
        <v/>
      </c>
      <c r="J398" s="123"/>
      <c r="K398" s="123"/>
      <c r="L398" s="73" t="s">
        <v>8</v>
      </c>
      <c r="M398" s="75" t="str">
        <f>IF('Beginner Adv 15M - Scoring'!B53&lt;&gt;"",'Beginner Adv 15M - Scoring'!E53,"")</f>
        <v/>
      </c>
    </row>
    <row r="399" spans="1:13" ht="3.75" customHeight="1" x14ac:dyDescent="0.35"/>
    <row r="400" spans="1:13" ht="25.5" customHeight="1" x14ac:dyDescent="0.35">
      <c r="A400" s="76" t="s">
        <v>221</v>
      </c>
      <c r="B400" s="77" t="s">
        <v>222</v>
      </c>
      <c r="C400" s="77" t="s">
        <v>223</v>
      </c>
      <c r="D400" s="77" t="s">
        <v>224</v>
      </c>
      <c r="E400" s="76" t="s">
        <v>225</v>
      </c>
      <c r="F400" s="76" t="s">
        <v>226</v>
      </c>
      <c r="H400" s="76" t="s">
        <v>221</v>
      </c>
      <c r="I400" s="77" t="s">
        <v>222</v>
      </c>
      <c r="J400" s="77" t="s">
        <v>223</v>
      </c>
      <c r="K400" s="77" t="s">
        <v>224</v>
      </c>
      <c r="L400" s="76" t="s">
        <v>225</v>
      </c>
      <c r="M400" s="76" t="s">
        <v>226</v>
      </c>
    </row>
    <row r="401" spans="1:13" ht="19.5" customHeight="1" x14ac:dyDescent="0.35">
      <c r="A401" s="78" t="s">
        <v>222</v>
      </c>
      <c r="B401" s="79" t="str">
        <f>IF('Beginner Adv 15M - Scoring'!B52&lt;&gt;"",IF('Beginner Adv 15M - Scoring'!F52&lt;&gt;"",'Beginner Adv 15M - Scoring'!F52,""),"")</f>
        <v/>
      </c>
      <c r="C401" s="79" t="str">
        <f>IF('Beginner Adv 15M - Scoring'!B52&lt;&gt;"",IF('Beginner Adv 15M - Scoring'!G52&lt;&gt;"",'Beginner Adv 15M - Scoring'!G52,""),"")</f>
        <v/>
      </c>
      <c r="D401" s="79" t="str">
        <f>IF('Beginner Adv 15M - Scoring'!B52&lt;&gt;"",IF('Beginner Adv 15M - Scoring'!H52&lt;&gt;"",'Beginner Adv 15M - Scoring'!H52,""),"")</f>
        <v/>
      </c>
      <c r="E401" s="80" t="str">
        <f>IF('Beginner Adv 15M - Scoring'!B52&lt;&gt;"",'Beginner Adv 15M - Scoring'!AP52,"")</f>
        <v/>
      </c>
      <c r="F401" s="81" t="str">
        <f>IFERROR(IF(ISNUMBER(E401),E401,""),"")</f>
        <v/>
      </c>
      <c r="H401" s="78" t="s">
        <v>222</v>
      </c>
      <c r="I401" s="79" t="str">
        <f>IF('Beginner Adv 15M - Scoring'!B53&lt;&gt;"",IF('Beginner Adv 15M - Scoring'!F53&lt;&gt;"",'Beginner Adv 15M - Scoring'!F53,""),"")</f>
        <v/>
      </c>
      <c r="J401" s="79" t="str">
        <f>IF('Beginner Adv 15M - Scoring'!B53&lt;&gt;"",IF('Beginner Adv 15M - Scoring'!G53&lt;&gt;"",'Beginner Adv 15M - Scoring'!G53,""),"")</f>
        <v/>
      </c>
      <c r="K401" s="79" t="str">
        <f>IF('Beginner Adv 15M - Scoring'!B53&lt;&gt;"",IF('Beginner Adv 15M - Scoring'!H53&lt;&gt;"",'Beginner Adv 15M - Scoring'!H53,""),"")</f>
        <v/>
      </c>
      <c r="L401" s="80" t="str">
        <f>IF('Beginner Adv 15M - Scoring'!B53&lt;&gt;"",'Beginner Adv 15M - Scoring'!AP53,"")</f>
        <v/>
      </c>
      <c r="M401" s="81" t="str">
        <f>IFERROR(IF(ISNUMBER(L401),L401,""),"")</f>
        <v/>
      </c>
    </row>
    <row r="402" spans="1:13" ht="19.5" customHeight="1" x14ac:dyDescent="0.35">
      <c r="A402" s="78" t="s">
        <v>223</v>
      </c>
      <c r="B402" s="79" t="str">
        <f>IF('Beginner Adv 15M - Scoring'!B52&lt;&gt;"",IF('Beginner Adv 15M - Scoring'!L52&lt;&gt;"",'Beginner Adv 15M - Scoring'!L52,""),"")</f>
        <v/>
      </c>
      <c r="C402" s="79" t="str">
        <f>IF('Beginner Adv 15M - Scoring'!B52&lt;&gt;"",IF('Beginner Adv 15M - Scoring'!M52&lt;&gt;"",'Beginner Adv 15M - Scoring'!M52,""),"")</f>
        <v/>
      </c>
      <c r="D402" s="79" t="str">
        <f>IF('Beginner Adv 15M - Scoring'!B52&lt;&gt;"",IF('Beginner Adv 15M - Scoring'!N52&lt;&gt;"",'Beginner Adv 15M - Scoring'!N52,""),"")</f>
        <v/>
      </c>
      <c r="E402" s="80" t="str">
        <f>IF('Beginner Adv 15M - Scoring'!B52&lt;&gt;"",'Beginner Adv 15M - Scoring'!AQ52,"")</f>
        <v/>
      </c>
      <c r="F402" s="81" t="str">
        <f>IF(E401&lt;&gt;"",IFERROR(IF(ISNUMBER(E401),E401,0),0)+IFERROR(IF(ISNUMBER(E402),E402,0),0),"")</f>
        <v/>
      </c>
      <c r="H402" s="78" t="s">
        <v>223</v>
      </c>
      <c r="I402" s="79" t="str">
        <f>IF('Beginner Adv 15M - Scoring'!B53&lt;&gt;"",IF('Beginner Adv 15M - Scoring'!L53&lt;&gt;"",'Beginner Adv 15M - Scoring'!L53,""),"")</f>
        <v/>
      </c>
      <c r="J402" s="79" t="str">
        <f>IF('Beginner Adv 15M - Scoring'!B53&lt;&gt;"",IF('Beginner Adv 15M - Scoring'!M53&lt;&gt;"",'Beginner Adv 15M - Scoring'!M53,""),"")</f>
        <v/>
      </c>
      <c r="K402" s="79" t="str">
        <f>IF('Beginner Adv 15M - Scoring'!B53&lt;&gt;"",IF('Beginner Adv 15M - Scoring'!N53&lt;&gt;"",'Beginner Adv 15M - Scoring'!N53,""),"")</f>
        <v/>
      </c>
      <c r="L402" s="80" t="str">
        <f>IF('Beginner Adv 15M - Scoring'!B53&lt;&gt;"",'Beginner Adv 15M - Scoring'!AQ53,"")</f>
        <v/>
      </c>
      <c r="M402" s="81" t="str">
        <f>IF(L401&lt;&gt;"",IFERROR(IF(ISNUMBER(L401),L401,0),0)+IFERROR(IF(ISNUMBER(L402),L402,0),0),"")</f>
        <v/>
      </c>
    </row>
    <row r="403" spans="1:13" ht="19.5" customHeight="1" x14ac:dyDescent="0.35">
      <c r="A403" s="78" t="s">
        <v>224</v>
      </c>
      <c r="B403" s="79" t="str">
        <f>IF('Beginner Adv 15M - Scoring'!B52&lt;&gt;"",IF('Beginner Adv 15M - Scoring'!R52&lt;&gt;"",'Beginner Adv 15M - Scoring'!R52,""),"")</f>
        <v/>
      </c>
      <c r="C403" s="79" t="str">
        <f>IF('Beginner Adv 15M - Scoring'!B52&lt;&gt;"",IF('Beginner Adv 15M - Scoring'!S52&lt;&gt;"",'Beginner Adv 15M - Scoring'!S52,""),"")</f>
        <v/>
      </c>
      <c r="D403" s="79" t="str">
        <f>IF('Beginner Adv 15M - Scoring'!B52&lt;&gt;"",IF('Beginner Adv 15M - Scoring'!T52&lt;&gt;"",'Beginner Adv 15M - Scoring'!T52,""),"")</f>
        <v/>
      </c>
      <c r="E403" s="80" t="str">
        <f>IF('Beginner Adv 15M - Scoring'!B52&lt;&gt;"",'Beginner Adv 15M - Scoring'!AR52,"")</f>
        <v/>
      </c>
      <c r="F403" s="81" t="str">
        <f>IF(E401&lt;&gt;"",IFERROR(IF(ISNUMBER(E401),E401,0),0)+IFERROR(IF(ISNUMBER(E402),E402,0),0)+IFERROR(IF(ISNUMBER(E403),E403,0),0),"")</f>
        <v/>
      </c>
      <c r="H403" s="78" t="s">
        <v>224</v>
      </c>
      <c r="I403" s="79" t="str">
        <f>IF('Beginner Adv 15M - Scoring'!B53&lt;&gt;"",IF('Beginner Adv 15M - Scoring'!R53&lt;&gt;"",'Beginner Adv 15M - Scoring'!R53,""),"")</f>
        <v/>
      </c>
      <c r="J403" s="79" t="str">
        <f>IF('Beginner Adv 15M - Scoring'!B53&lt;&gt;"",IF('Beginner Adv 15M - Scoring'!S53&lt;&gt;"",'Beginner Adv 15M - Scoring'!S53,""),"")</f>
        <v/>
      </c>
      <c r="K403" s="79" t="str">
        <f>IF('Beginner Adv 15M - Scoring'!B53&lt;&gt;"",IF('Beginner Adv 15M - Scoring'!T53&lt;&gt;"",'Beginner Adv 15M - Scoring'!T53,""),"")</f>
        <v/>
      </c>
      <c r="L403" s="80" t="str">
        <f>IF('Beginner Adv 15M - Scoring'!B53&lt;&gt;"",'Beginner Adv 15M - Scoring'!AR53,"")</f>
        <v/>
      </c>
      <c r="M403" s="81" t="str">
        <f>IF(L401&lt;&gt;"",IFERROR(IF(ISNUMBER(L401),L401,0),0)+IFERROR(IF(ISNUMBER(L402),L402,0),0)+IFERROR(IF(ISNUMBER(L403),L403,0),0),"")</f>
        <v/>
      </c>
    </row>
    <row r="404" spans="1:13" ht="19.5" customHeight="1" x14ac:dyDescent="0.35">
      <c r="A404" s="78" t="s">
        <v>227</v>
      </c>
      <c r="B404" s="79" t="str">
        <f>IF('Beginner Adv 15M - Scoring'!B52&lt;&gt;"",IF('Beginner Adv 15M - Scoring'!X52&lt;&gt;"",'Beginner Adv 15M - Scoring'!X52,""),"")</f>
        <v/>
      </c>
      <c r="C404" s="79" t="str">
        <f>IF('Beginner Adv 15M - Scoring'!B52&lt;&gt;"",IF('Beginner Adv 15M - Scoring'!Y52&lt;&gt;"",'Beginner Adv 15M - Scoring'!Y52,""),"")</f>
        <v/>
      </c>
      <c r="D404" s="79" t="str">
        <f>IF('Beginner Adv 15M - Scoring'!B52&lt;&gt;"",IF('Beginner Adv 15M - Scoring'!Z52&lt;&gt;"",'Beginner Adv 15M - Scoring'!Z52,""),"")</f>
        <v/>
      </c>
      <c r="E404" s="80" t="str">
        <f>IF('Beginner Adv 15M - Scoring'!B52&lt;&gt;"",'Beginner Adv 15M - Scoring'!AS52,"")</f>
        <v/>
      </c>
      <c r="F404" s="81" t="str">
        <f>IF(E401&lt;&gt;"",IFERROR(IF(ISNUMBER(E401),E401,0),0)+IFERROR(IF(ISNUMBER(E402),E402,0),0)+IFERROR(IF(ISNUMBER(E403),E403,0),0)+IFERROR(IF(ISNUMBER(E404),E404,0),0),"")</f>
        <v/>
      </c>
      <c r="H404" s="78" t="s">
        <v>227</v>
      </c>
      <c r="I404" s="79" t="str">
        <f>IF('Beginner Adv 15M - Scoring'!B53&lt;&gt;"",IF('Beginner Adv 15M - Scoring'!X53&lt;&gt;"",'Beginner Adv 15M - Scoring'!X53,""),"")</f>
        <v/>
      </c>
      <c r="J404" s="79" t="str">
        <f>IF('Beginner Adv 15M - Scoring'!B53&lt;&gt;"",IF('Beginner Adv 15M - Scoring'!Y53&lt;&gt;"",'Beginner Adv 15M - Scoring'!Y53,""),"")</f>
        <v/>
      </c>
      <c r="K404" s="79" t="str">
        <f>IF('Beginner Adv 15M - Scoring'!B53&lt;&gt;"",IF('Beginner Adv 15M - Scoring'!Z53&lt;&gt;"",'Beginner Adv 15M - Scoring'!Z53,""),"")</f>
        <v/>
      </c>
      <c r="L404" s="80" t="str">
        <f>IF('Beginner Adv 15M - Scoring'!B53&lt;&gt;"",'Beginner Adv 15M - Scoring'!AS53,"")</f>
        <v/>
      </c>
      <c r="M404" s="81" t="str">
        <f>IF(L401&lt;&gt;"",IFERROR(IF(ISNUMBER(L401),L401,0),0)+IFERROR(IF(ISNUMBER(L402),L402,0),0)+IFERROR(IF(ISNUMBER(L403),L403,0),0)+IFERROR(IF(ISNUMBER(L404),L404,0),0),"")</f>
        <v/>
      </c>
    </row>
    <row r="405" spans="1:13" ht="19.5" customHeight="1" x14ac:dyDescent="0.35">
      <c r="A405" s="78" t="s">
        <v>228</v>
      </c>
      <c r="B405" s="79" t="str">
        <f>IF('Beginner Adv 15M - Scoring'!B52&lt;&gt;"",IF('Beginner Adv 15M - Scoring'!AD52&lt;&gt;"",'Beginner Adv 15M - Scoring'!AD52,""),"")</f>
        <v/>
      </c>
      <c r="C405" s="79" t="str">
        <f>IF('Beginner Adv 15M - Scoring'!B52&lt;&gt;"",IF('Beginner Adv 15M - Scoring'!AE52&lt;&gt;"",'Beginner Adv 15M - Scoring'!AE52,""),"")</f>
        <v/>
      </c>
      <c r="D405" s="79" t="str">
        <f>IF('Beginner Adv 15M - Scoring'!B52&lt;&gt;"",IF('Beginner Adv 15M - Scoring'!AF52&lt;&gt;"",'Beginner Adv 15M - Scoring'!AF52,""),"")</f>
        <v/>
      </c>
      <c r="E405" s="80" t="str">
        <f>IF('Beginner Adv 15M - Scoring'!B52&lt;&gt;"",'Beginner Adv 15M - Scoring'!AT52,"")</f>
        <v/>
      </c>
      <c r="F405" s="81" t="str">
        <f>IF(E401&lt;&gt;"",IFERROR(IF(ISNUMBER(E401),E401,0),0)+IFERROR(IF(ISNUMBER(E402),E402,0),0)+IFERROR(IF(ISNUMBER(E403),E403,0),0)+IFERROR(IF(ISNUMBER(E404),E404,0),0)+IFERROR(IF(ISNUMBER(E405),E405,0),0),"")</f>
        <v/>
      </c>
      <c r="H405" s="78" t="s">
        <v>228</v>
      </c>
      <c r="I405" s="79" t="str">
        <f>IF('Beginner Adv 15M - Scoring'!B53&lt;&gt;"",IF('Beginner Adv 15M - Scoring'!AD53&lt;&gt;"",'Beginner Adv 15M - Scoring'!AD53,""),"")</f>
        <v/>
      </c>
      <c r="J405" s="79" t="str">
        <f>IF('Beginner Adv 15M - Scoring'!B53&lt;&gt;"",IF('Beginner Adv 15M - Scoring'!AE53&lt;&gt;"",'Beginner Adv 15M - Scoring'!AE53,""),"")</f>
        <v/>
      </c>
      <c r="K405" s="79" t="str">
        <f>IF('Beginner Adv 15M - Scoring'!B53&lt;&gt;"",IF('Beginner Adv 15M - Scoring'!AF53&lt;&gt;"",'Beginner Adv 15M - Scoring'!AF53,""),"")</f>
        <v/>
      </c>
      <c r="L405" s="80" t="str">
        <f>IF('Beginner Adv 15M - Scoring'!B53&lt;&gt;"",'Beginner Adv 15M - Scoring'!AT53,"")</f>
        <v/>
      </c>
      <c r="M405" s="81" t="str">
        <f>IF(L401&lt;&gt;"",IFERROR(IF(ISNUMBER(L401),L401,0),0)+IFERROR(IF(ISNUMBER(L402),L402,0),0)+IFERROR(IF(ISNUMBER(L403),L403,0),0)+IFERROR(IF(ISNUMBER(L404),L404,0),0)+IFERROR(IF(ISNUMBER(L405),L405,0),0),"")</f>
        <v/>
      </c>
    </row>
    <row r="406" spans="1:13" ht="19.5" customHeight="1" x14ac:dyDescent="0.35">
      <c r="A406" s="78" t="s">
        <v>229</v>
      </c>
      <c r="B406" s="79" t="str">
        <f>IF('Beginner Adv 15M - Scoring'!B52&lt;&gt;"",IF('Beginner Adv 15M - Scoring'!AJ52&lt;&gt;"",'Beginner Adv 15M - Scoring'!AJ52,""),"")</f>
        <v/>
      </c>
      <c r="C406" s="79" t="str">
        <f>IF('Beginner Adv 15M - Scoring'!B52&lt;&gt;"",IF('Beginner Adv 15M - Scoring'!AK52&lt;&gt;"",'Beginner Adv 15M - Scoring'!AK52,""),"")</f>
        <v/>
      </c>
      <c r="D406" s="79" t="str">
        <f>IF('Beginner Adv 15M - Scoring'!B52&lt;&gt;"",IF('Beginner Adv 15M - Scoring'!AL52&lt;&gt;"",'Beginner Adv 15M - Scoring'!AL52,""),"")</f>
        <v/>
      </c>
      <c r="E406" s="80" t="str">
        <f>IF('Beginner Adv 15M - Scoring'!B52&lt;&gt;"",'Beginner Adv 15M - Scoring'!AU52,"")</f>
        <v/>
      </c>
      <c r="F406" s="81" t="str">
        <f>IF(E401&lt;&gt;"",IFERROR(IF(ISNUMBER(E401),E401,0),0)+IFERROR(IF(ISNUMBER(E402),E402,0),0)+IFERROR(IF(ISNUMBER(E403),E403,0),0)+IFERROR(IF(ISNUMBER(E404),E404,0),0)+IFERROR(IF(ISNUMBER(E405),E405,0),0)+IFERROR(IF(ISNUMBER(E406),E406,0),0),"")</f>
        <v/>
      </c>
      <c r="H406" s="78" t="s">
        <v>229</v>
      </c>
      <c r="I406" s="79" t="str">
        <f>IF('Beginner Adv 15M - Scoring'!B53&lt;&gt;"",IF('Beginner Adv 15M - Scoring'!AJ53&lt;&gt;"",'Beginner Adv 15M - Scoring'!AJ53,""),"")</f>
        <v/>
      </c>
      <c r="J406" s="79" t="str">
        <f>IF('Beginner Adv 15M - Scoring'!B53&lt;&gt;"",IF('Beginner Adv 15M - Scoring'!AK53&lt;&gt;"",'Beginner Adv 15M - Scoring'!AK53,""),"")</f>
        <v/>
      </c>
      <c r="K406" s="79" t="str">
        <f>IF('Beginner Adv 15M - Scoring'!B53&lt;&gt;"",IF('Beginner Adv 15M - Scoring'!AL53&lt;&gt;"",'Beginner Adv 15M - Scoring'!AL53,""),"")</f>
        <v/>
      </c>
      <c r="L406" s="80" t="str">
        <f>IF('Beginner Adv 15M - Scoring'!B53&lt;&gt;"",'Beginner Adv 15M - Scoring'!AU53,"")</f>
        <v/>
      </c>
      <c r="M406" s="81" t="str">
        <f>IF(L401&lt;&gt;"",IFERROR(IF(ISNUMBER(L401),L401,0),0)+IFERROR(IF(ISNUMBER(L402),L402,0),0)+IFERROR(IF(ISNUMBER(L403),L403,0),0)+IFERROR(IF(ISNUMBER(L404),L404,0),0)+IFERROR(IF(ISNUMBER(L405),L405,0),0)+IFERROR(IF(ISNUMBER(L406),L406,0),0),"")</f>
        <v/>
      </c>
    </row>
    <row r="407" spans="1:13" ht="3.75" customHeight="1" x14ac:dyDescent="0.35"/>
    <row r="408" spans="1:13" ht="24" customHeight="1" x14ac:dyDescent="0.35">
      <c r="A408" s="124" t="s">
        <v>230</v>
      </c>
      <c r="B408" s="124"/>
      <c r="C408" s="124"/>
      <c r="D408" s="124"/>
      <c r="E408" s="125" t="str">
        <f>IF('Beginner Adv 15M - Scoring'!B52&lt;&gt;"",'Beginner Adv 15M - Scoring'!AV52,"")</f>
        <v/>
      </c>
      <c r="F408" s="125"/>
      <c r="H408" s="124" t="s">
        <v>230</v>
      </c>
      <c r="I408" s="124"/>
      <c r="J408" s="124"/>
      <c r="K408" s="124"/>
      <c r="L408" s="125" t="str">
        <f>IF('Beginner Adv 15M - Scoring'!B53&lt;&gt;"",'Beginner Adv 15M - Scoring'!AV53,"")</f>
        <v/>
      </c>
      <c r="M408" s="125"/>
    </row>
    <row r="409" spans="1:13" ht="19.5" customHeight="1" x14ac:dyDescent="0.35">
      <c r="E409" s="125"/>
      <c r="F409" s="125"/>
      <c r="L409" s="125"/>
      <c r="M409" s="125"/>
    </row>
    <row r="410" spans="1:13" ht="3.75" customHeight="1" x14ac:dyDescent="0.35"/>
    <row r="411" spans="1:13" ht="18" customHeight="1" x14ac:dyDescent="0.35">
      <c r="A411" s="73" t="s">
        <v>126</v>
      </c>
      <c r="B411" s="82" t="str">
        <f>IF('Beginner Adv 15M - Scoring'!B52&lt;&gt;"",'Beginner Adv 15M - Scoring'!AW52,"")</f>
        <v/>
      </c>
      <c r="C411" s="73" t="s">
        <v>127</v>
      </c>
      <c r="D411" s="83" t="str">
        <f>IF('Beginner Adv 15M - Scoring'!B52&lt;&gt;"",'Beginner Adv 15M - Scoring'!AX52,"")</f>
        <v/>
      </c>
      <c r="E411" s="73" t="s">
        <v>128</v>
      </c>
      <c r="F411" s="83" t="str">
        <f>IF('Beginner Adv 15M - Scoring'!B52&lt;&gt;"",'Beginner Adv 15M - Scoring'!AY52,"")</f>
        <v/>
      </c>
      <c r="H411" s="73" t="s">
        <v>126</v>
      </c>
      <c r="I411" s="82" t="str">
        <f>IF('Beginner Adv 15M - Scoring'!B53&lt;&gt;"",'Beginner Adv 15M - Scoring'!AW53,"")</f>
        <v/>
      </c>
      <c r="J411" s="73" t="s">
        <v>127</v>
      </c>
      <c r="K411" s="83" t="str">
        <f>IF('Beginner Adv 15M - Scoring'!B53&lt;&gt;"",'Beginner Adv 15M - Scoring'!AX53,"")</f>
        <v/>
      </c>
      <c r="L411" s="73" t="s">
        <v>128</v>
      </c>
      <c r="M411" s="83" t="str">
        <f>IF('Beginner Adv 15M - Scoring'!B53&lt;&gt;"",'Beginner Adv 15M - Scoring'!AY53,"")</f>
        <v/>
      </c>
    </row>
    <row r="412" spans="1:13" ht="3.75" customHeight="1" x14ac:dyDescent="0.35"/>
    <row r="413" spans="1:13" ht="7.5" customHeight="1" x14ac:dyDescent="0.35">
      <c r="A413" s="126"/>
      <c r="B413" s="126"/>
      <c r="C413" s="126"/>
      <c r="D413" s="126"/>
      <c r="E413" s="126"/>
      <c r="F413" s="126"/>
      <c r="G413" s="126"/>
      <c r="H413" s="126"/>
      <c r="I413" s="126"/>
      <c r="J413" s="126"/>
      <c r="K413" s="126"/>
      <c r="L413" s="126"/>
      <c r="M413" s="126"/>
    </row>
    <row r="414" spans="1:13" ht="15.75" customHeight="1" x14ac:dyDescent="0.35">
      <c r="A414" s="73" t="s">
        <v>218</v>
      </c>
      <c r="B414" s="122" t="str">
        <f>IF('Beginner Adv 15M - Scoring'!B54&lt;&gt;"",'Beginner Adv 15M - Scoring'!B54,"")</f>
        <v/>
      </c>
      <c r="C414" s="122"/>
      <c r="D414" s="122"/>
      <c r="E414" s="73" t="s">
        <v>219</v>
      </c>
      <c r="F414" s="74" t="str">
        <f>IF('Beginner Adv 15M - Scoring'!B54&lt;&gt;"",'Beginner Adv 15M - Scoring'!BB54,"")</f>
        <v/>
      </c>
      <c r="H414" s="73" t="s">
        <v>218</v>
      </c>
      <c r="I414" s="122" t="str">
        <f>IF('Beginner Adv 15M - Scoring'!B55&lt;&gt;"",'Beginner Adv 15M - Scoring'!B55,"")</f>
        <v/>
      </c>
      <c r="J414" s="122"/>
      <c r="K414" s="122"/>
      <c r="L414" s="73" t="s">
        <v>219</v>
      </c>
      <c r="M414" s="74" t="str">
        <f>IF('Beginner Adv 15M - Scoring'!B55&lt;&gt;"",'Beginner Adv 15M - Scoring'!BB55,"")</f>
        <v/>
      </c>
    </row>
    <row r="415" spans="1:13" ht="15.75" customHeight="1" x14ac:dyDescent="0.35">
      <c r="A415" s="73" t="s">
        <v>220</v>
      </c>
      <c r="B415" s="123" t="str">
        <f>IF('Beginner Adv 15M - Scoring'!B54&lt;&gt;"",'Beginner Adv 15M - Scoring'!D54,"")</f>
        <v/>
      </c>
      <c r="C415" s="123"/>
      <c r="D415" s="123"/>
      <c r="E415" s="73" t="s">
        <v>8</v>
      </c>
      <c r="F415" s="75" t="str">
        <f>IF('Beginner Adv 15M - Scoring'!B54&lt;&gt;"",'Beginner Adv 15M - Scoring'!E54,"")</f>
        <v/>
      </c>
      <c r="H415" s="73" t="s">
        <v>220</v>
      </c>
      <c r="I415" s="123" t="str">
        <f>IF('Beginner Adv 15M - Scoring'!B55&lt;&gt;"",'Beginner Adv 15M - Scoring'!D55,"")</f>
        <v/>
      </c>
      <c r="J415" s="123"/>
      <c r="K415" s="123"/>
      <c r="L415" s="73" t="s">
        <v>8</v>
      </c>
      <c r="M415" s="75" t="str">
        <f>IF('Beginner Adv 15M - Scoring'!B55&lt;&gt;"",'Beginner Adv 15M - Scoring'!E55,"")</f>
        <v/>
      </c>
    </row>
    <row r="416" spans="1:13" ht="3.75" customHeight="1" x14ac:dyDescent="0.35"/>
    <row r="417" spans="1:13" ht="25.5" customHeight="1" x14ac:dyDescent="0.35">
      <c r="A417" s="76" t="s">
        <v>221</v>
      </c>
      <c r="B417" s="77" t="s">
        <v>222</v>
      </c>
      <c r="C417" s="77" t="s">
        <v>223</v>
      </c>
      <c r="D417" s="77" t="s">
        <v>224</v>
      </c>
      <c r="E417" s="76" t="s">
        <v>225</v>
      </c>
      <c r="F417" s="76" t="s">
        <v>226</v>
      </c>
      <c r="H417" s="76" t="s">
        <v>221</v>
      </c>
      <c r="I417" s="77" t="s">
        <v>222</v>
      </c>
      <c r="J417" s="77" t="s">
        <v>223</v>
      </c>
      <c r="K417" s="77" t="s">
        <v>224</v>
      </c>
      <c r="L417" s="76" t="s">
        <v>225</v>
      </c>
      <c r="M417" s="76" t="s">
        <v>226</v>
      </c>
    </row>
    <row r="418" spans="1:13" ht="19.5" customHeight="1" x14ac:dyDescent="0.35">
      <c r="A418" s="78" t="s">
        <v>222</v>
      </c>
      <c r="B418" s="79" t="str">
        <f>IF('Beginner Adv 15M - Scoring'!B54&lt;&gt;"",IF('Beginner Adv 15M - Scoring'!F54&lt;&gt;"",'Beginner Adv 15M - Scoring'!F54,""),"")</f>
        <v/>
      </c>
      <c r="C418" s="79" t="str">
        <f>IF('Beginner Adv 15M - Scoring'!B54&lt;&gt;"",IF('Beginner Adv 15M - Scoring'!G54&lt;&gt;"",'Beginner Adv 15M - Scoring'!G54,""),"")</f>
        <v/>
      </c>
      <c r="D418" s="79" t="str">
        <f>IF('Beginner Adv 15M - Scoring'!B54&lt;&gt;"",IF('Beginner Adv 15M - Scoring'!H54&lt;&gt;"",'Beginner Adv 15M - Scoring'!H54,""),"")</f>
        <v/>
      </c>
      <c r="E418" s="80" t="str">
        <f>IF('Beginner Adv 15M - Scoring'!B54&lt;&gt;"",'Beginner Adv 15M - Scoring'!AP54,"")</f>
        <v/>
      </c>
      <c r="F418" s="81" t="str">
        <f>IFERROR(IF(ISNUMBER(E418),E418,""),"")</f>
        <v/>
      </c>
      <c r="H418" s="78" t="s">
        <v>222</v>
      </c>
      <c r="I418" s="79" t="str">
        <f>IF('Beginner Adv 15M - Scoring'!B55&lt;&gt;"",IF('Beginner Adv 15M - Scoring'!F55&lt;&gt;"",'Beginner Adv 15M - Scoring'!F55,""),"")</f>
        <v/>
      </c>
      <c r="J418" s="79" t="str">
        <f>IF('Beginner Adv 15M - Scoring'!B55&lt;&gt;"",IF('Beginner Adv 15M - Scoring'!G55&lt;&gt;"",'Beginner Adv 15M - Scoring'!G55,""),"")</f>
        <v/>
      </c>
      <c r="K418" s="79" t="str">
        <f>IF('Beginner Adv 15M - Scoring'!B55&lt;&gt;"",IF('Beginner Adv 15M - Scoring'!H55&lt;&gt;"",'Beginner Adv 15M - Scoring'!H55,""),"")</f>
        <v/>
      </c>
      <c r="L418" s="80" t="str">
        <f>IF('Beginner Adv 15M - Scoring'!B55&lt;&gt;"",'Beginner Adv 15M - Scoring'!AP55,"")</f>
        <v/>
      </c>
      <c r="M418" s="81" t="str">
        <f>IFERROR(IF(ISNUMBER(L418),L418,""),"")</f>
        <v/>
      </c>
    </row>
    <row r="419" spans="1:13" ht="19.5" customHeight="1" x14ac:dyDescent="0.35">
      <c r="A419" s="78" t="s">
        <v>223</v>
      </c>
      <c r="B419" s="79" t="str">
        <f>IF('Beginner Adv 15M - Scoring'!B54&lt;&gt;"",IF('Beginner Adv 15M - Scoring'!L54&lt;&gt;"",'Beginner Adv 15M - Scoring'!L54,""),"")</f>
        <v/>
      </c>
      <c r="C419" s="79" t="str">
        <f>IF('Beginner Adv 15M - Scoring'!B54&lt;&gt;"",IF('Beginner Adv 15M - Scoring'!M54&lt;&gt;"",'Beginner Adv 15M - Scoring'!M54,""),"")</f>
        <v/>
      </c>
      <c r="D419" s="79" t="str">
        <f>IF('Beginner Adv 15M - Scoring'!B54&lt;&gt;"",IF('Beginner Adv 15M - Scoring'!N54&lt;&gt;"",'Beginner Adv 15M - Scoring'!N54,""),"")</f>
        <v/>
      </c>
      <c r="E419" s="80" t="str">
        <f>IF('Beginner Adv 15M - Scoring'!B54&lt;&gt;"",'Beginner Adv 15M - Scoring'!AQ54,"")</f>
        <v/>
      </c>
      <c r="F419" s="81" t="str">
        <f>IF(E418&lt;&gt;"",IFERROR(IF(ISNUMBER(E418),E418,0),0)+IFERROR(IF(ISNUMBER(E419),E419,0),0),"")</f>
        <v/>
      </c>
      <c r="H419" s="78" t="s">
        <v>223</v>
      </c>
      <c r="I419" s="79" t="str">
        <f>IF('Beginner Adv 15M - Scoring'!B55&lt;&gt;"",IF('Beginner Adv 15M - Scoring'!L55&lt;&gt;"",'Beginner Adv 15M - Scoring'!L55,""),"")</f>
        <v/>
      </c>
      <c r="J419" s="79" t="str">
        <f>IF('Beginner Adv 15M - Scoring'!B55&lt;&gt;"",IF('Beginner Adv 15M - Scoring'!M55&lt;&gt;"",'Beginner Adv 15M - Scoring'!M55,""),"")</f>
        <v/>
      </c>
      <c r="K419" s="79" t="str">
        <f>IF('Beginner Adv 15M - Scoring'!B55&lt;&gt;"",IF('Beginner Adv 15M - Scoring'!N55&lt;&gt;"",'Beginner Adv 15M - Scoring'!N55,""),"")</f>
        <v/>
      </c>
      <c r="L419" s="80" t="str">
        <f>IF('Beginner Adv 15M - Scoring'!B55&lt;&gt;"",'Beginner Adv 15M - Scoring'!AQ55,"")</f>
        <v/>
      </c>
      <c r="M419" s="81" t="str">
        <f>IF(L418&lt;&gt;"",IFERROR(IF(ISNUMBER(L418),L418,0),0)+IFERROR(IF(ISNUMBER(L419),L419,0),0),"")</f>
        <v/>
      </c>
    </row>
    <row r="420" spans="1:13" ht="19.5" customHeight="1" x14ac:dyDescent="0.35">
      <c r="A420" s="78" t="s">
        <v>224</v>
      </c>
      <c r="B420" s="79" t="str">
        <f>IF('Beginner Adv 15M - Scoring'!B54&lt;&gt;"",IF('Beginner Adv 15M - Scoring'!R54&lt;&gt;"",'Beginner Adv 15M - Scoring'!R54,""),"")</f>
        <v/>
      </c>
      <c r="C420" s="79" t="str">
        <f>IF('Beginner Adv 15M - Scoring'!B54&lt;&gt;"",IF('Beginner Adv 15M - Scoring'!S54&lt;&gt;"",'Beginner Adv 15M - Scoring'!S54,""),"")</f>
        <v/>
      </c>
      <c r="D420" s="79" t="str">
        <f>IF('Beginner Adv 15M - Scoring'!B54&lt;&gt;"",IF('Beginner Adv 15M - Scoring'!T54&lt;&gt;"",'Beginner Adv 15M - Scoring'!T54,""),"")</f>
        <v/>
      </c>
      <c r="E420" s="80" t="str">
        <f>IF('Beginner Adv 15M - Scoring'!B54&lt;&gt;"",'Beginner Adv 15M - Scoring'!AR54,"")</f>
        <v/>
      </c>
      <c r="F420" s="81" t="str">
        <f>IF(E418&lt;&gt;"",IFERROR(IF(ISNUMBER(E418),E418,0),0)+IFERROR(IF(ISNUMBER(E419),E419,0),0)+IFERROR(IF(ISNUMBER(E420),E420,0),0),"")</f>
        <v/>
      </c>
      <c r="H420" s="78" t="s">
        <v>224</v>
      </c>
      <c r="I420" s="79" t="str">
        <f>IF('Beginner Adv 15M - Scoring'!B55&lt;&gt;"",IF('Beginner Adv 15M - Scoring'!R55&lt;&gt;"",'Beginner Adv 15M - Scoring'!R55,""),"")</f>
        <v/>
      </c>
      <c r="J420" s="79" t="str">
        <f>IF('Beginner Adv 15M - Scoring'!B55&lt;&gt;"",IF('Beginner Adv 15M - Scoring'!S55&lt;&gt;"",'Beginner Adv 15M - Scoring'!S55,""),"")</f>
        <v/>
      </c>
      <c r="K420" s="79" t="str">
        <f>IF('Beginner Adv 15M - Scoring'!B55&lt;&gt;"",IF('Beginner Adv 15M - Scoring'!T55&lt;&gt;"",'Beginner Adv 15M - Scoring'!T55,""),"")</f>
        <v/>
      </c>
      <c r="L420" s="80" t="str">
        <f>IF('Beginner Adv 15M - Scoring'!B55&lt;&gt;"",'Beginner Adv 15M - Scoring'!AR55,"")</f>
        <v/>
      </c>
      <c r="M420" s="81" t="str">
        <f>IF(L418&lt;&gt;"",IFERROR(IF(ISNUMBER(L418),L418,0),0)+IFERROR(IF(ISNUMBER(L419),L419,0),0)+IFERROR(IF(ISNUMBER(L420),L420,0),0),"")</f>
        <v/>
      </c>
    </row>
    <row r="421" spans="1:13" ht="19.5" customHeight="1" x14ac:dyDescent="0.35">
      <c r="A421" s="78" t="s">
        <v>227</v>
      </c>
      <c r="B421" s="79" t="str">
        <f>IF('Beginner Adv 15M - Scoring'!B54&lt;&gt;"",IF('Beginner Adv 15M - Scoring'!X54&lt;&gt;"",'Beginner Adv 15M - Scoring'!X54,""),"")</f>
        <v/>
      </c>
      <c r="C421" s="79" t="str">
        <f>IF('Beginner Adv 15M - Scoring'!B54&lt;&gt;"",IF('Beginner Adv 15M - Scoring'!Y54&lt;&gt;"",'Beginner Adv 15M - Scoring'!Y54,""),"")</f>
        <v/>
      </c>
      <c r="D421" s="79" t="str">
        <f>IF('Beginner Adv 15M - Scoring'!B54&lt;&gt;"",IF('Beginner Adv 15M - Scoring'!Z54&lt;&gt;"",'Beginner Adv 15M - Scoring'!Z54,""),"")</f>
        <v/>
      </c>
      <c r="E421" s="80" t="str">
        <f>IF('Beginner Adv 15M - Scoring'!B54&lt;&gt;"",'Beginner Adv 15M - Scoring'!AS54,"")</f>
        <v/>
      </c>
      <c r="F421" s="81" t="str">
        <f>IF(E418&lt;&gt;"",IFERROR(IF(ISNUMBER(E418),E418,0),0)+IFERROR(IF(ISNUMBER(E419),E419,0),0)+IFERROR(IF(ISNUMBER(E420),E420,0),0)+IFERROR(IF(ISNUMBER(E421),E421,0),0),"")</f>
        <v/>
      </c>
      <c r="H421" s="78" t="s">
        <v>227</v>
      </c>
      <c r="I421" s="79" t="str">
        <f>IF('Beginner Adv 15M - Scoring'!B55&lt;&gt;"",IF('Beginner Adv 15M - Scoring'!X55&lt;&gt;"",'Beginner Adv 15M - Scoring'!X55,""),"")</f>
        <v/>
      </c>
      <c r="J421" s="79" t="str">
        <f>IF('Beginner Adv 15M - Scoring'!B55&lt;&gt;"",IF('Beginner Adv 15M - Scoring'!Y55&lt;&gt;"",'Beginner Adv 15M - Scoring'!Y55,""),"")</f>
        <v/>
      </c>
      <c r="K421" s="79" t="str">
        <f>IF('Beginner Adv 15M - Scoring'!B55&lt;&gt;"",IF('Beginner Adv 15M - Scoring'!Z55&lt;&gt;"",'Beginner Adv 15M - Scoring'!Z55,""),"")</f>
        <v/>
      </c>
      <c r="L421" s="80" t="str">
        <f>IF('Beginner Adv 15M - Scoring'!B55&lt;&gt;"",'Beginner Adv 15M - Scoring'!AS55,"")</f>
        <v/>
      </c>
      <c r="M421" s="81" t="str">
        <f>IF(L418&lt;&gt;"",IFERROR(IF(ISNUMBER(L418),L418,0),0)+IFERROR(IF(ISNUMBER(L419),L419,0),0)+IFERROR(IF(ISNUMBER(L420),L420,0),0)+IFERROR(IF(ISNUMBER(L421),L421,0),0),"")</f>
        <v/>
      </c>
    </row>
    <row r="422" spans="1:13" ht="19.5" customHeight="1" x14ac:dyDescent="0.35">
      <c r="A422" s="78" t="s">
        <v>228</v>
      </c>
      <c r="B422" s="79" t="str">
        <f>IF('Beginner Adv 15M - Scoring'!B54&lt;&gt;"",IF('Beginner Adv 15M - Scoring'!AD54&lt;&gt;"",'Beginner Adv 15M - Scoring'!AD54,""),"")</f>
        <v/>
      </c>
      <c r="C422" s="79" t="str">
        <f>IF('Beginner Adv 15M - Scoring'!B54&lt;&gt;"",IF('Beginner Adv 15M - Scoring'!AE54&lt;&gt;"",'Beginner Adv 15M - Scoring'!AE54,""),"")</f>
        <v/>
      </c>
      <c r="D422" s="79" t="str">
        <f>IF('Beginner Adv 15M - Scoring'!B54&lt;&gt;"",IF('Beginner Adv 15M - Scoring'!AF54&lt;&gt;"",'Beginner Adv 15M - Scoring'!AF54,""),"")</f>
        <v/>
      </c>
      <c r="E422" s="80" t="str">
        <f>IF('Beginner Adv 15M - Scoring'!B54&lt;&gt;"",'Beginner Adv 15M - Scoring'!AT54,"")</f>
        <v/>
      </c>
      <c r="F422" s="81" t="str">
        <f>IF(E418&lt;&gt;"",IFERROR(IF(ISNUMBER(E418),E418,0),0)+IFERROR(IF(ISNUMBER(E419),E419,0),0)+IFERROR(IF(ISNUMBER(E420),E420,0),0)+IFERROR(IF(ISNUMBER(E421),E421,0),0)+IFERROR(IF(ISNUMBER(E422),E422,0),0),"")</f>
        <v/>
      </c>
      <c r="H422" s="78" t="s">
        <v>228</v>
      </c>
      <c r="I422" s="79" t="str">
        <f>IF('Beginner Adv 15M - Scoring'!B55&lt;&gt;"",IF('Beginner Adv 15M - Scoring'!AD55&lt;&gt;"",'Beginner Adv 15M - Scoring'!AD55,""),"")</f>
        <v/>
      </c>
      <c r="J422" s="79" t="str">
        <f>IF('Beginner Adv 15M - Scoring'!B55&lt;&gt;"",IF('Beginner Adv 15M - Scoring'!AE55&lt;&gt;"",'Beginner Adv 15M - Scoring'!AE55,""),"")</f>
        <v/>
      </c>
      <c r="K422" s="79" t="str">
        <f>IF('Beginner Adv 15M - Scoring'!B55&lt;&gt;"",IF('Beginner Adv 15M - Scoring'!AF55&lt;&gt;"",'Beginner Adv 15M - Scoring'!AF55,""),"")</f>
        <v/>
      </c>
      <c r="L422" s="80" t="str">
        <f>IF('Beginner Adv 15M - Scoring'!B55&lt;&gt;"",'Beginner Adv 15M - Scoring'!AT55,"")</f>
        <v/>
      </c>
      <c r="M422" s="81" t="str">
        <f>IF(L418&lt;&gt;"",IFERROR(IF(ISNUMBER(L418),L418,0),0)+IFERROR(IF(ISNUMBER(L419),L419,0),0)+IFERROR(IF(ISNUMBER(L420),L420,0),0)+IFERROR(IF(ISNUMBER(L421),L421,0),0)+IFERROR(IF(ISNUMBER(L422),L422,0),0),"")</f>
        <v/>
      </c>
    </row>
    <row r="423" spans="1:13" ht="19.5" customHeight="1" x14ac:dyDescent="0.35">
      <c r="A423" s="78" t="s">
        <v>229</v>
      </c>
      <c r="B423" s="79" t="str">
        <f>IF('Beginner Adv 15M - Scoring'!B54&lt;&gt;"",IF('Beginner Adv 15M - Scoring'!AJ54&lt;&gt;"",'Beginner Adv 15M - Scoring'!AJ54,""),"")</f>
        <v/>
      </c>
      <c r="C423" s="79" t="str">
        <f>IF('Beginner Adv 15M - Scoring'!B54&lt;&gt;"",IF('Beginner Adv 15M - Scoring'!AK54&lt;&gt;"",'Beginner Adv 15M - Scoring'!AK54,""),"")</f>
        <v/>
      </c>
      <c r="D423" s="79" t="str">
        <f>IF('Beginner Adv 15M - Scoring'!B54&lt;&gt;"",IF('Beginner Adv 15M - Scoring'!AL54&lt;&gt;"",'Beginner Adv 15M - Scoring'!AL54,""),"")</f>
        <v/>
      </c>
      <c r="E423" s="80" t="str">
        <f>IF('Beginner Adv 15M - Scoring'!B54&lt;&gt;"",'Beginner Adv 15M - Scoring'!AU54,"")</f>
        <v/>
      </c>
      <c r="F423" s="81" t="str">
        <f>IF(E418&lt;&gt;"",IFERROR(IF(ISNUMBER(E418),E418,0),0)+IFERROR(IF(ISNUMBER(E419),E419,0),0)+IFERROR(IF(ISNUMBER(E420),E420,0),0)+IFERROR(IF(ISNUMBER(E421),E421,0),0)+IFERROR(IF(ISNUMBER(E422),E422,0),0)+IFERROR(IF(ISNUMBER(E423),E423,0),0),"")</f>
        <v/>
      </c>
      <c r="H423" s="78" t="s">
        <v>229</v>
      </c>
      <c r="I423" s="79" t="str">
        <f>IF('Beginner Adv 15M - Scoring'!B55&lt;&gt;"",IF('Beginner Adv 15M - Scoring'!AJ55&lt;&gt;"",'Beginner Adv 15M - Scoring'!AJ55,""),"")</f>
        <v/>
      </c>
      <c r="J423" s="79" t="str">
        <f>IF('Beginner Adv 15M - Scoring'!B55&lt;&gt;"",IF('Beginner Adv 15M - Scoring'!AK55&lt;&gt;"",'Beginner Adv 15M - Scoring'!AK55,""),"")</f>
        <v/>
      </c>
      <c r="K423" s="79" t="str">
        <f>IF('Beginner Adv 15M - Scoring'!B55&lt;&gt;"",IF('Beginner Adv 15M - Scoring'!AL55&lt;&gt;"",'Beginner Adv 15M - Scoring'!AL55,""),"")</f>
        <v/>
      </c>
      <c r="L423" s="80" t="str">
        <f>IF('Beginner Adv 15M - Scoring'!B55&lt;&gt;"",'Beginner Adv 15M - Scoring'!AU55,"")</f>
        <v/>
      </c>
      <c r="M423" s="81" t="str">
        <f>IF(L418&lt;&gt;"",IFERROR(IF(ISNUMBER(L418),L418,0),0)+IFERROR(IF(ISNUMBER(L419),L419,0),0)+IFERROR(IF(ISNUMBER(L420),L420,0),0)+IFERROR(IF(ISNUMBER(L421),L421,0),0)+IFERROR(IF(ISNUMBER(L422),L422,0),0)+IFERROR(IF(ISNUMBER(L423),L423,0),0),"")</f>
        <v/>
      </c>
    </row>
    <row r="424" spans="1:13" ht="3.75" customHeight="1" x14ac:dyDescent="0.35"/>
    <row r="425" spans="1:13" ht="24" customHeight="1" x14ac:dyDescent="0.35">
      <c r="A425" s="124" t="s">
        <v>230</v>
      </c>
      <c r="B425" s="124"/>
      <c r="C425" s="124"/>
      <c r="D425" s="124"/>
      <c r="E425" s="125" t="str">
        <f>IF('Beginner Adv 15M - Scoring'!B54&lt;&gt;"",'Beginner Adv 15M - Scoring'!AV54,"")</f>
        <v/>
      </c>
      <c r="F425" s="125"/>
      <c r="H425" s="124" t="s">
        <v>230</v>
      </c>
      <c r="I425" s="124"/>
      <c r="J425" s="124"/>
      <c r="K425" s="124"/>
      <c r="L425" s="125" t="str">
        <f>IF('Beginner Adv 15M - Scoring'!B55&lt;&gt;"",'Beginner Adv 15M - Scoring'!AV55,"")</f>
        <v/>
      </c>
      <c r="M425" s="125"/>
    </row>
    <row r="426" spans="1:13" ht="19.5" customHeight="1" x14ac:dyDescent="0.35">
      <c r="E426" s="125"/>
      <c r="F426" s="125"/>
      <c r="L426" s="125"/>
      <c r="M426" s="125"/>
    </row>
    <row r="427" spans="1:13" ht="3.75" customHeight="1" x14ac:dyDescent="0.35"/>
    <row r="428" spans="1:13" ht="18" customHeight="1" x14ac:dyDescent="0.35">
      <c r="A428" s="73" t="s">
        <v>126</v>
      </c>
      <c r="B428" s="82" t="str">
        <f>IF('Beginner Adv 15M - Scoring'!B54&lt;&gt;"",'Beginner Adv 15M - Scoring'!AW54,"")</f>
        <v/>
      </c>
      <c r="C428" s="73" t="s">
        <v>127</v>
      </c>
      <c r="D428" s="83" t="str">
        <f>IF('Beginner Adv 15M - Scoring'!B54&lt;&gt;"",'Beginner Adv 15M - Scoring'!AX54,"")</f>
        <v/>
      </c>
      <c r="E428" s="73" t="s">
        <v>128</v>
      </c>
      <c r="F428" s="83" t="str">
        <f>IF('Beginner Adv 15M - Scoring'!B54&lt;&gt;"",'Beginner Adv 15M - Scoring'!AY54,"")</f>
        <v/>
      </c>
      <c r="H428" s="73" t="s">
        <v>126</v>
      </c>
      <c r="I428" s="82" t="str">
        <f>IF('Beginner Adv 15M - Scoring'!B55&lt;&gt;"",'Beginner Adv 15M - Scoring'!AW55,"")</f>
        <v/>
      </c>
      <c r="J428" s="73" t="s">
        <v>127</v>
      </c>
      <c r="K428" s="83" t="str">
        <f>IF('Beginner Adv 15M - Scoring'!B55&lt;&gt;"",'Beginner Adv 15M - Scoring'!AX55,"")</f>
        <v/>
      </c>
      <c r="L428" s="73" t="s">
        <v>128</v>
      </c>
      <c r="M428" s="83" t="str">
        <f>IF('Beginner Adv 15M - Scoring'!B55&lt;&gt;"",'Beginner Adv 15M - Scoring'!AY55,"")</f>
        <v/>
      </c>
    </row>
    <row r="429" spans="1:13" ht="3.75" customHeight="1" x14ac:dyDescent="0.35"/>
    <row r="430" spans="1:13" ht="7.5" customHeight="1" x14ac:dyDescent="0.35">
      <c r="A430" s="126"/>
      <c r="B430" s="126"/>
      <c r="C430" s="126"/>
      <c r="D430" s="126"/>
      <c r="E430" s="126"/>
      <c r="F430" s="126"/>
      <c r="G430" s="126"/>
      <c r="H430" s="126"/>
      <c r="I430" s="126"/>
      <c r="J430" s="126"/>
      <c r="K430" s="126"/>
      <c r="L430" s="126"/>
      <c r="M430" s="126"/>
    </row>
    <row r="431" spans="1:13" ht="15.75" customHeight="1" x14ac:dyDescent="0.35">
      <c r="A431" s="73" t="s">
        <v>218</v>
      </c>
      <c r="B431" s="122" t="str">
        <f>IF('Beginner Adv 15M - Scoring'!B56&lt;&gt;"",'Beginner Adv 15M - Scoring'!B56,"")</f>
        <v/>
      </c>
      <c r="C431" s="122"/>
      <c r="D431" s="122"/>
      <c r="E431" s="73" t="s">
        <v>219</v>
      </c>
      <c r="F431" s="74" t="str">
        <f>IF('Beginner Adv 15M - Scoring'!B56&lt;&gt;"",'Beginner Adv 15M - Scoring'!BB56,"")</f>
        <v/>
      </c>
      <c r="H431" s="73" t="s">
        <v>218</v>
      </c>
      <c r="I431" s="122" t="str">
        <f>IF('Beginner Adv 15M - Scoring'!B57&lt;&gt;"",'Beginner Adv 15M - Scoring'!B57,"")</f>
        <v/>
      </c>
      <c r="J431" s="122"/>
      <c r="K431" s="122"/>
      <c r="L431" s="73" t="s">
        <v>219</v>
      </c>
      <c r="M431" s="74" t="str">
        <f>IF('Beginner Adv 15M - Scoring'!B57&lt;&gt;"",'Beginner Adv 15M - Scoring'!BB57,"")</f>
        <v/>
      </c>
    </row>
    <row r="432" spans="1:13" ht="15.75" customHeight="1" x14ac:dyDescent="0.35">
      <c r="A432" s="73" t="s">
        <v>220</v>
      </c>
      <c r="B432" s="123" t="str">
        <f>IF('Beginner Adv 15M - Scoring'!B56&lt;&gt;"",'Beginner Adv 15M - Scoring'!D56,"")</f>
        <v/>
      </c>
      <c r="C432" s="123"/>
      <c r="D432" s="123"/>
      <c r="E432" s="73" t="s">
        <v>8</v>
      </c>
      <c r="F432" s="75" t="str">
        <f>IF('Beginner Adv 15M - Scoring'!B56&lt;&gt;"",'Beginner Adv 15M - Scoring'!E56,"")</f>
        <v/>
      </c>
      <c r="H432" s="73" t="s">
        <v>220</v>
      </c>
      <c r="I432" s="123" t="str">
        <f>IF('Beginner Adv 15M - Scoring'!B57&lt;&gt;"",'Beginner Adv 15M - Scoring'!D57,"")</f>
        <v/>
      </c>
      <c r="J432" s="123"/>
      <c r="K432" s="123"/>
      <c r="L432" s="73" t="s">
        <v>8</v>
      </c>
      <c r="M432" s="75" t="str">
        <f>IF('Beginner Adv 15M - Scoring'!B57&lt;&gt;"",'Beginner Adv 15M - Scoring'!E57,"")</f>
        <v/>
      </c>
    </row>
    <row r="433" spans="1:13" ht="3.75" customHeight="1" x14ac:dyDescent="0.35"/>
    <row r="434" spans="1:13" ht="25.5" customHeight="1" x14ac:dyDescent="0.35">
      <c r="A434" s="76" t="s">
        <v>221</v>
      </c>
      <c r="B434" s="77" t="s">
        <v>222</v>
      </c>
      <c r="C434" s="77" t="s">
        <v>223</v>
      </c>
      <c r="D434" s="77" t="s">
        <v>224</v>
      </c>
      <c r="E434" s="76" t="s">
        <v>225</v>
      </c>
      <c r="F434" s="76" t="s">
        <v>226</v>
      </c>
      <c r="H434" s="76" t="s">
        <v>221</v>
      </c>
      <c r="I434" s="77" t="s">
        <v>222</v>
      </c>
      <c r="J434" s="77" t="s">
        <v>223</v>
      </c>
      <c r="K434" s="77" t="s">
        <v>224</v>
      </c>
      <c r="L434" s="76" t="s">
        <v>225</v>
      </c>
      <c r="M434" s="76" t="s">
        <v>226</v>
      </c>
    </row>
    <row r="435" spans="1:13" ht="19.5" customHeight="1" x14ac:dyDescent="0.35">
      <c r="A435" s="78" t="s">
        <v>222</v>
      </c>
      <c r="B435" s="79" t="str">
        <f>IF('Beginner Adv 15M - Scoring'!B56&lt;&gt;"",IF('Beginner Adv 15M - Scoring'!F56&lt;&gt;"",'Beginner Adv 15M - Scoring'!F56,""),"")</f>
        <v/>
      </c>
      <c r="C435" s="79" t="str">
        <f>IF('Beginner Adv 15M - Scoring'!B56&lt;&gt;"",IF('Beginner Adv 15M - Scoring'!G56&lt;&gt;"",'Beginner Adv 15M - Scoring'!G56,""),"")</f>
        <v/>
      </c>
      <c r="D435" s="79" t="str">
        <f>IF('Beginner Adv 15M - Scoring'!B56&lt;&gt;"",IF('Beginner Adv 15M - Scoring'!H56&lt;&gt;"",'Beginner Adv 15M - Scoring'!H56,""),"")</f>
        <v/>
      </c>
      <c r="E435" s="80" t="str">
        <f>IF('Beginner Adv 15M - Scoring'!B56&lt;&gt;"",'Beginner Adv 15M - Scoring'!AP56,"")</f>
        <v/>
      </c>
      <c r="F435" s="81" t="str">
        <f>IFERROR(IF(ISNUMBER(E435),E435,""),"")</f>
        <v/>
      </c>
      <c r="H435" s="78" t="s">
        <v>222</v>
      </c>
      <c r="I435" s="79" t="str">
        <f>IF('Beginner Adv 15M - Scoring'!B57&lt;&gt;"",IF('Beginner Adv 15M - Scoring'!F57&lt;&gt;"",'Beginner Adv 15M - Scoring'!F57,""),"")</f>
        <v/>
      </c>
      <c r="J435" s="79" t="str">
        <f>IF('Beginner Adv 15M - Scoring'!B57&lt;&gt;"",IF('Beginner Adv 15M - Scoring'!G57&lt;&gt;"",'Beginner Adv 15M - Scoring'!G57,""),"")</f>
        <v/>
      </c>
      <c r="K435" s="79" t="str">
        <f>IF('Beginner Adv 15M - Scoring'!B57&lt;&gt;"",IF('Beginner Adv 15M - Scoring'!H57&lt;&gt;"",'Beginner Adv 15M - Scoring'!H57,""),"")</f>
        <v/>
      </c>
      <c r="L435" s="80" t="str">
        <f>IF('Beginner Adv 15M - Scoring'!B57&lt;&gt;"",'Beginner Adv 15M - Scoring'!AP57,"")</f>
        <v/>
      </c>
      <c r="M435" s="81" t="str">
        <f>IFERROR(IF(ISNUMBER(L435),L435,""),"")</f>
        <v/>
      </c>
    </row>
    <row r="436" spans="1:13" ht="19.5" customHeight="1" x14ac:dyDescent="0.35">
      <c r="A436" s="78" t="s">
        <v>223</v>
      </c>
      <c r="B436" s="79" t="str">
        <f>IF('Beginner Adv 15M - Scoring'!B56&lt;&gt;"",IF('Beginner Adv 15M - Scoring'!L56&lt;&gt;"",'Beginner Adv 15M - Scoring'!L56,""),"")</f>
        <v/>
      </c>
      <c r="C436" s="79" t="str">
        <f>IF('Beginner Adv 15M - Scoring'!B56&lt;&gt;"",IF('Beginner Adv 15M - Scoring'!M56&lt;&gt;"",'Beginner Adv 15M - Scoring'!M56,""),"")</f>
        <v/>
      </c>
      <c r="D436" s="79" t="str">
        <f>IF('Beginner Adv 15M - Scoring'!B56&lt;&gt;"",IF('Beginner Adv 15M - Scoring'!N56&lt;&gt;"",'Beginner Adv 15M - Scoring'!N56,""),"")</f>
        <v/>
      </c>
      <c r="E436" s="80" t="str">
        <f>IF('Beginner Adv 15M - Scoring'!B56&lt;&gt;"",'Beginner Adv 15M - Scoring'!AQ56,"")</f>
        <v/>
      </c>
      <c r="F436" s="81" t="str">
        <f>IF(E435&lt;&gt;"",IFERROR(IF(ISNUMBER(E435),E435,0),0)+IFERROR(IF(ISNUMBER(E436),E436,0),0),"")</f>
        <v/>
      </c>
      <c r="H436" s="78" t="s">
        <v>223</v>
      </c>
      <c r="I436" s="79" t="str">
        <f>IF('Beginner Adv 15M - Scoring'!B57&lt;&gt;"",IF('Beginner Adv 15M - Scoring'!L57&lt;&gt;"",'Beginner Adv 15M - Scoring'!L57,""),"")</f>
        <v/>
      </c>
      <c r="J436" s="79" t="str">
        <f>IF('Beginner Adv 15M - Scoring'!B57&lt;&gt;"",IF('Beginner Adv 15M - Scoring'!M57&lt;&gt;"",'Beginner Adv 15M - Scoring'!M57,""),"")</f>
        <v/>
      </c>
      <c r="K436" s="79" t="str">
        <f>IF('Beginner Adv 15M - Scoring'!B57&lt;&gt;"",IF('Beginner Adv 15M - Scoring'!N57&lt;&gt;"",'Beginner Adv 15M - Scoring'!N57,""),"")</f>
        <v/>
      </c>
      <c r="L436" s="80" t="str">
        <f>IF('Beginner Adv 15M - Scoring'!B57&lt;&gt;"",'Beginner Adv 15M - Scoring'!AQ57,"")</f>
        <v/>
      </c>
      <c r="M436" s="81" t="str">
        <f>IF(L435&lt;&gt;"",IFERROR(IF(ISNUMBER(L435),L435,0),0)+IFERROR(IF(ISNUMBER(L436),L436,0),0),"")</f>
        <v/>
      </c>
    </row>
    <row r="437" spans="1:13" ht="19.5" customHeight="1" x14ac:dyDescent="0.35">
      <c r="A437" s="78" t="s">
        <v>224</v>
      </c>
      <c r="B437" s="79" t="str">
        <f>IF('Beginner Adv 15M - Scoring'!B56&lt;&gt;"",IF('Beginner Adv 15M - Scoring'!R56&lt;&gt;"",'Beginner Adv 15M - Scoring'!R56,""),"")</f>
        <v/>
      </c>
      <c r="C437" s="79" t="str">
        <f>IF('Beginner Adv 15M - Scoring'!B56&lt;&gt;"",IF('Beginner Adv 15M - Scoring'!S56&lt;&gt;"",'Beginner Adv 15M - Scoring'!S56,""),"")</f>
        <v/>
      </c>
      <c r="D437" s="79" t="str">
        <f>IF('Beginner Adv 15M - Scoring'!B56&lt;&gt;"",IF('Beginner Adv 15M - Scoring'!T56&lt;&gt;"",'Beginner Adv 15M - Scoring'!T56,""),"")</f>
        <v/>
      </c>
      <c r="E437" s="80" t="str">
        <f>IF('Beginner Adv 15M - Scoring'!B56&lt;&gt;"",'Beginner Adv 15M - Scoring'!AR56,"")</f>
        <v/>
      </c>
      <c r="F437" s="81" t="str">
        <f>IF(E435&lt;&gt;"",IFERROR(IF(ISNUMBER(E435),E435,0),0)+IFERROR(IF(ISNUMBER(E436),E436,0),0)+IFERROR(IF(ISNUMBER(E437),E437,0),0),"")</f>
        <v/>
      </c>
      <c r="H437" s="78" t="s">
        <v>224</v>
      </c>
      <c r="I437" s="79" t="str">
        <f>IF('Beginner Adv 15M - Scoring'!B57&lt;&gt;"",IF('Beginner Adv 15M - Scoring'!R57&lt;&gt;"",'Beginner Adv 15M - Scoring'!R57,""),"")</f>
        <v/>
      </c>
      <c r="J437" s="79" t="str">
        <f>IF('Beginner Adv 15M - Scoring'!B57&lt;&gt;"",IF('Beginner Adv 15M - Scoring'!S57&lt;&gt;"",'Beginner Adv 15M - Scoring'!S57,""),"")</f>
        <v/>
      </c>
      <c r="K437" s="79" t="str">
        <f>IF('Beginner Adv 15M - Scoring'!B57&lt;&gt;"",IF('Beginner Adv 15M - Scoring'!T57&lt;&gt;"",'Beginner Adv 15M - Scoring'!T57,""),"")</f>
        <v/>
      </c>
      <c r="L437" s="80" t="str">
        <f>IF('Beginner Adv 15M - Scoring'!B57&lt;&gt;"",'Beginner Adv 15M - Scoring'!AR57,"")</f>
        <v/>
      </c>
      <c r="M437" s="81" t="str">
        <f>IF(L435&lt;&gt;"",IFERROR(IF(ISNUMBER(L435),L435,0),0)+IFERROR(IF(ISNUMBER(L436),L436,0),0)+IFERROR(IF(ISNUMBER(L437),L437,0),0),"")</f>
        <v/>
      </c>
    </row>
    <row r="438" spans="1:13" ht="19.5" customHeight="1" x14ac:dyDescent="0.35">
      <c r="A438" s="78" t="s">
        <v>227</v>
      </c>
      <c r="B438" s="79" t="str">
        <f>IF('Beginner Adv 15M - Scoring'!B56&lt;&gt;"",IF('Beginner Adv 15M - Scoring'!X56&lt;&gt;"",'Beginner Adv 15M - Scoring'!X56,""),"")</f>
        <v/>
      </c>
      <c r="C438" s="79" t="str">
        <f>IF('Beginner Adv 15M - Scoring'!B56&lt;&gt;"",IF('Beginner Adv 15M - Scoring'!Y56&lt;&gt;"",'Beginner Adv 15M - Scoring'!Y56,""),"")</f>
        <v/>
      </c>
      <c r="D438" s="79" t="str">
        <f>IF('Beginner Adv 15M - Scoring'!B56&lt;&gt;"",IF('Beginner Adv 15M - Scoring'!Z56&lt;&gt;"",'Beginner Adv 15M - Scoring'!Z56,""),"")</f>
        <v/>
      </c>
      <c r="E438" s="80" t="str">
        <f>IF('Beginner Adv 15M - Scoring'!B56&lt;&gt;"",'Beginner Adv 15M - Scoring'!AS56,"")</f>
        <v/>
      </c>
      <c r="F438" s="81" t="str">
        <f>IF(E435&lt;&gt;"",IFERROR(IF(ISNUMBER(E435),E435,0),0)+IFERROR(IF(ISNUMBER(E436),E436,0),0)+IFERROR(IF(ISNUMBER(E437),E437,0),0)+IFERROR(IF(ISNUMBER(E438),E438,0),0),"")</f>
        <v/>
      </c>
      <c r="H438" s="78" t="s">
        <v>227</v>
      </c>
      <c r="I438" s="79" t="str">
        <f>IF('Beginner Adv 15M - Scoring'!B57&lt;&gt;"",IF('Beginner Adv 15M - Scoring'!X57&lt;&gt;"",'Beginner Adv 15M - Scoring'!X57,""),"")</f>
        <v/>
      </c>
      <c r="J438" s="79" t="str">
        <f>IF('Beginner Adv 15M - Scoring'!B57&lt;&gt;"",IF('Beginner Adv 15M - Scoring'!Y57&lt;&gt;"",'Beginner Adv 15M - Scoring'!Y57,""),"")</f>
        <v/>
      </c>
      <c r="K438" s="79" t="str">
        <f>IF('Beginner Adv 15M - Scoring'!B57&lt;&gt;"",IF('Beginner Adv 15M - Scoring'!Z57&lt;&gt;"",'Beginner Adv 15M - Scoring'!Z57,""),"")</f>
        <v/>
      </c>
      <c r="L438" s="80" t="str">
        <f>IF('Beginner Adv 15M - Scoring'!B57&lt;&gt;"",'Beginner Adv 15M - Scoring'!AS57,"")</f>
        <v/>
      </c>
      <c r="M438" s="81" t="str">
        <f>IF(L435&lt;&gt;"",IFERROR(IF(ISNUMBER(L435),L435,0),0)+IFERROR(IF(ISNUMBER(L436),L436,0),0)+IFERROR(IF(ISNUMBER(L437),L437,0),0)+IFERROR(IF(ISNUMBER(L438),L438,0),0),"")</f>
        <v/>
      </c>
    </row>
    <row r="439" spans="1:13" ht="19.5" customHeight="1" x14ac:dyDescent="0.35">
      <c r="A439" s="78" t="s">
        <v>228</v>
      </c>
      <c r="B439" s="79" t="str">
        <f>IF('Beginner Adv 15M - Scoring'!B56&lt;&gt;"",IF('Beginner Adv 15M - Scoring'!AD56&lt;&gt;"",'Beginner Adv 15M - Scoring'!AD56,""),"")</f>
        <v/>
      </c>
      <c r="C439" s="79" t="str">
        <f>IF('Beginner Adv 15M - Scoring'!B56&lt;&gt;"",IF('Beginner Adv 15M - Scoring'!AE56&lt;&gt;"",'Beginner Adv 15M - Scoring'!AE56,""),"")</f>
        <v/>
      </c>
      <c r="D439" s="79" t="str">
        <f>IF('Beginner Adv 15M - Scoring'!B56&lt;&gt;"",IF('Beginner Adv 15M - Scoring'!AF56&lt;&gt;"",'Beginner Adv 15M - Scoring'!AF56,""),"")</f>
        <v/>
      </c>
      <c r="E439" s="80" t="str">
        <f>IF('Beginner Adv 15M - Scoring'!B56&lt;&gt;"",'Beginner Adv 15M - Scoring'!AT56,"")</f>
        <v/>
      </c>
      <c r="F439" s="81" t="str">
        <f>IF(E435&lt;&gt;"",IFERROR(IF(ISNUMBER(E435),E435,0),0)+IFERROR(IF(ISNUMBER(E436),E436,0),0)+IFERROR(IF(ISNUMBER(E437),E437,0),0)+IFERROR(IF(ISNUMBER(E438),E438,0),0)+IFERROR(IF(ISNUMBER(E439),E439,0),0),"")</f>
        <v/>
      </c>
      <c r="H439" s="78" t="s">
        <v>228</v>
      </c>
      <c r="I439" s="79" t="str">
        <f>IF('Beginner Adv 15M - Scoring'!B57&lt;&gt;"",IF('Beginner Adv 15M - Scoring'!AD57&lt;&gt;"",'Beginner Adv 15M - Scoring'!AD57,""),"")</f>
        <v/>
      </c>
      <c r="J439" s="79" t="str">
        <f>IF('Beginner Adv 15M - Scoring'!B57&lt;&gt;"",IF('Beginner Adv 15M - Scoring'!AE57&lt;&gt;"",'Beginner Adv 15M - Scoring'!AE57,""),"")</f>
        <v/>
      </c>
      <c r="K439" s="79" t="str">
        <f>IF('Beginner Adv 15M - Scoring'!B57&lt;&gt;"",IF('Beginner Adv 15M - Scoring'!AF57&lt;&gt;"",'Beginner Adv 15M - Scoring'!AF57,""),"")</f>
        <v/>
      </c>
      <c r="L439" s="80" t="str">
        <f>IF('Beginner Adv 15M - Scoring'!B57&lt;&gt;"",'Beginner Adv 15M - Scoring'!AT57,"")</f>
        <v/>
      </c>
      <c r="M439" s="81" t="str">
        <f>IF(L435&lt;&gt;"",IFERROR(IF(ISNUMBER(L435),L435,0),0)+IFERROR(IF(ISNUMBER(L436),L436,0),0)+IFERROR(IF(ISNUMBER(L437),L437,0),0)+IFERROR(IF(ISNUMBER(L438),L438,0),0)+IFERROR(IF(ISNUMBER(L439),L439,0),0),"")</f>
        <v/>
      </c>
    </row>
    <row r="440" spans="1:13" ht="19.5" customHeight="1" x14ac:dyDescent="0.35">
      <c r="A440" s="78" t="s">
        <v>229</v>
      </c>
      <c r="B440" s="79" t="str">
        <f>IF('Beginner Adv 15M - Scoring'!B56&lt;&gt;"",IF('Beginner Adv 15M - Scoring'!AJ56&lt;&gt;"",'Beginner Adv 15M - Scoring'!AJ56,""),"")</f>
        <v/>
      </c>
      <c r="C440" s="79" t="str">
        <f>IF('Beginner Adv 15M - Scoring'!B56&lt;&gt;"",IF('Beginner Adv 15M - Scoring'!AK56&lt;&gt;"",'Beginner Adv 15M - Scoring'!AK56,""),"")</f>
        <v/>
      </c>
      <c r="D440" s="79" t="str">
        <f>IF('Beginner Adv 15M - Scoring'!B56&lt;&gt;"",IF('Beginner Adv 15M - Scoring'!AL56&lt;&gt;"",'Beginner Adv 15M - Scoring'!AL56,""),"")</f>
        <v/>
      </c>
      <c r="E440" s="80" t="str">
        <f>IF('Beginner Adv 15M - Scoring'!B56&lt;&gt;"",'Beginner Adv 15M - Scoring'!AU56,"")</f>
        <v/>
      </c>
      <c r="F440" s="81" t="str">
        <f>IF(E435&lt;&gt;"",IFERROR(IF(ISNUMBER(E435),E435,0),0)+IFERROR(IF(ISNUMBER(E436),E436,0),0)+IFERROR(IF(ISNUMBER(E437),E437,0),0)+IFERROR(IF(ISNUMBER(E438),E438,0),0)+IFERROR(IF(ISNUMBER(E439),E439,0),0)+IFERROR(IF(ISNUMBER(E440),E440,0),0),"")</f>
        <v/>
      </c>
      <c r="H440" s="78" t="s">
        <v>229</v>
      </c>
      <c r="I440" s="79" t="str">
        <f>IF('Beginner Adv 15M - Scoring'!B57&lt;&gt;"",IF('Beginner Adv 15M - Scoring'!AJ57&lt;&gt;"",'Beginner Adv 15M - Scoring'!AJ57,""),"")</f>
        <v/>
      </c>
      <c r="J440" s="79" t="str">
        <f>IF('Beginner Adv 15M - Scoring'!B57&lt;&gt;"",IF('Beginner Adv 15M - Scoring'!AK57&lt;&gt;"",'Beginner Adv 15M - Scoring'!AK57,""),"")</f>
        <v/>
      </c>
      <c r="K440" s="79" t="str">
        <f>IF('Beginner Adv 15M - Scoring'!B57&lt;&gt;"",IF('Beginner Adv 15M - Scoring'!AL57&lt;&gt;"",'Beginner Adv 15M - Scoring'!AL57,""),"")</f>
        <v/>
      </c>
      <c r="L440" s="80" t="str">
        <f>IF('Beginner Adv 15M - Scoring'!B57&lt;&gt;"",'Beginner Adv 15M - Scoring'!AU57,"")</f>
        <v/>
      </c>
      <c r="M440" s="81" t="str">
        <f>IF(L435&lt;&gt;"",IFERROR(IF(ISNUMBER(L435),L435,0),0)+IFERROR(IF(ISNUMBER(L436),L436,0),0)+IFERROR(IF(ISNUMBER(L437),L437,0),0)+IFERROR(IF(ISNUMBER(L438),L438,0),0)+IFERROR(IF(ISNUMBER(L439),L439,0),0)+IFERROR(IF(ISNUMBER(L440),L440,0),0),"")</f>
        <v/>
      </c>
    </row>
    <row r="441" spans="1:13" ht="3.75" customHeight="1" x14ac:dyDescent="0.35"/>
    <row r="442" spans="1:13" ht="24" customHeight="1" x14ac:dyDescent="0.35">
      <c r="A442" s="124" t="s">
        <v>230</v>
      </c>
      <c r="B442" s="124"/>
      <c r="C442" s="124"/>
      <c r="D442" s="124"/>
      <c r="E442" s="125" t="str">
        <f>IF('Beginner Adv 15M - Scoring'!B56&lt;&gt;"",'Beginner Adv 15M - Scoring'!AV56,"")</f>
        <v/>
      </c>
      <c r="F442" s="125"/>
      <c r="H442" s="124" t="s">
        <v>230</v>
      </c>
      <c r="I442" s="124"/>
      <c r="J442" s="124"/>
      <c r="K442" s="124"/>
      <c r="L442" s="125" t="str">
        <f>IF('Beginner Adv 15M - Scoring'!B57&lt;&gt;"",'Beginner Adv 15M - Scoring'!AV57,"")</f>
        <v/>
      </c>
      <c r="M442" s="125"/>
    </row>
    <row r="443" spans="1:13" ht="19.5" customHeight="1" x14ac:dyDescent="0.35">
      <c r="E443" s="125"/>
      <c r="F443" s="125"/>
      <c r="L443" s="125"/>
      <c r="M443" s="125"/>
    </row>
    <row r="444" spans="1:13" ht="3.75" customHeight="1" x14ac:dyDescent="0.35"/>
    <row r="445" spans="1:13" ht="18" customHeight="1" x14ac:dyDescent="0.35">
      <c r="A445" s="73" t="s">
        <v>126</v>
      </c>
      <c r="B445" s="82" t="str">
        <f>IF('Beginner Adv 15M - Scoring'!B56&lt;&gt;"",'Beginner Adv 15M - Scoring'!AW56,"")</f>
        <v/>
      </c>
      <c r="C445" s="73" t="s">
        <v>127</v>
      </c>
      <c r="D445" s="83" t="str">
        <f>IF('Beginner Adv 15M - Scoring'!B56&lt;&gt;"",'Beginner Adv 15M - Scoring'!AX56,"")</f>
        <v/>
      </c>
      <c r="E445" s="73" t="s">
        <v>128</v>
      </c>
      <c r="F445" s="83" t="str">
        <f>IF('Beginner Adv 15M - Scoring'!B56&lt;&gt;"",'Beginner Adv 15M - Scoring'!AY56,"")</f>
        <v/>
      </c>
      <c r="H445" s="73" t="s">
        <v>126</v>
      </c>
      <c r="I445" s="82" t="str">
        <f>IF('Beginner Adv 15M - Scoring'!B57&lt;&gt;"",'Beginner Adv 15M - Scoring'!AW57,"")</f>
        <v/>
      </c>
      <c r="J445" s="73" t="s">
        <v>127</v>
      </c>
      <c r="K445" s="83" t="str">
        <f>IF('Beginner Adv 15M - Scoring'!B57&lt;&gt;"",'Beginner Adv 15M - Scoring'!AX57,"")</f>
        <v/>
      </c>
      <c r="L445" s="73" t="s">
        <v>128</v>
      </c>
      <c r="M445" s="83" t="str">
        <f>IF('Beginner Adv 15M - Scoring'!B57&lt;&gt;"",'Beginner Adv 15M - Scoring'!AY57,"")</f>
        <v/>
      </c>
    </row>
    <row r="446" spans="1:13" ht="3.75" customHeight="1" x14ac:dyDescent="0.35"/>
    <row r="447" spans="1:13" ht="7.5" customHeight="1" x14ac:dyDescent="0.35">
      <c r="A447" s="126"/>
      <c r="B447" s="126"/>
      <c r="C447" s="126"/>
      <c r="D447" s="126"/>
      <c r="E447" s="126"/>
      <c r="F447" s="126"/>
      <c r="G447" s="126"/>
      <c r="H447" s="126"/>
      <c r="I447" s="126"/>
      <c r="J447" s="126"/>
      <c r="K447" s="126"/>
      <c r="L447" s="126"/>
      <c r="M447" s="126"/>
    </row>
    <row r="448" spans="1:13" ht="15.75" customHeight="1" x14ac:dyDescent="0.35">
      <c r="A448" s="73" t="s">
        <v>218</v>
      </c>
      <c r="B448" s="122" t="str">
        <f>IF('Beginner Adv 15M - Scoring'!B58&lt;&gt;"",'Beginner Adv 15M - Scoring'!B58,"")</f>
        <v/>
      </c>
      <c r="C448" s="122"/>
      <c r="D448" s="122"/>
      <c r="E448" s="73" t="s">
        <v>219</v>
      </c>
      <c r="F448" s="74" t="str">
        <f>IF('Beginner Adv 15M - Scoring'!B58&lt;&gt;"",'Beginner Adv 15M - Scoring'!BB58,"")</f>
        <v/>
      </c>
      <c r="H448" s="73" t="s">
        <v>218</v>
      </c>
      <c r="I448" s="122" t="str">
        <f>IF('Beginner Adv 15M - Scoring'!B59&lt;&gt;"",'Beginner Adv 15M - Scoring'!B59,"")</f>
        <v/>
      </c>
      <c r="J448" s="122"/>
      <c r="K448" s="122"/>
      <c r="L448" s="73" t="s">
        <v>219</v>
      </c>
      <c r="M448" s="74" t="str">
        <f>IF('Beginner Adv 15M - Scoring'!B59&lt;&gt;"",'Beginner Adv 15M - Scoring'!BB59,"")</f>
        <v/>
      </c>
    </row>
    <row r="449" spans="1:13" ht="15.75" customHeight="1" x14ac:dyDescent="0.35">
      <c r="A449" s="73" t="s">
        <v>220</v>
      </c>
      <c r="B449" s="123" t="str">
        <f>IF('Beginner Adv 15M - Scoring'!B58&lt;&gt;"",'Beginner Adv 15M - Scoring'!D58,"")</f>
        <v/>
      </c>
      <c r="C449" s="123"/>
      <c r="D449" s="123"/>
      <c r="E449" s="73" t="s">
        <v>8</v>
      </c>
      <c r="F449" s="75" t="str">
        <f>IF('Beginner Adv 15M - Scoring'!B58&lt;&gt;"",'Beginner Adv 15M - Scoring'!E58,"")</f>
        <v/>
      </c>
      <c r="H449" s="73" t="s">
        <v>220</v>
      </c>
      <c r="I449" s="123" t="str">
        <f>IF('Beginner Adv 15M - Scoring'!B59&lt;&gt;"",'Beginner Adv 15M - Scoring'!D59,"")</f>
        <v/>
      </c>
      <c r="J449" s="123"/>
      <c r="K449" s="123"/>
      <c r="L449" s="73" t="s">
        <v>8</v>
      </c>
      <c r="M449" s="75" t="str">
        <f>IF('Beginner Adv 15M - Scoring'!B59&lt;&gt;"",'Beginner Adv 15M - Scoring'!E59,"")</f>
        <v/>
      </c>
    </row>
    <row r="450" spans="1:13" ht="3.75" customHeight="1" x14ac:dyDescent="0.35"/>
    <row r="451" spans="1:13" ht="25.5" customHeight="1" x14ac:dyDescent="0.35">
      <c r="A451" s="76" t="s">
        <v>221</v>
      </c>
      <c r="B451" s="77" t="s">
        <v>222</v>
      </c>
      <c r="C451" s="77" t="s">
        <v>223</v>
      </c>
      <c r="D451" s="77" t="s">
        <v>224</v>
      </c>
      <c r="E451" s="76" t="s">
        <v>225</v>
      </c>
      <c r="F451" s="76" t="s">
        <v>226</v>
      </c>
      <c r="H451" s="76" t="s">
        <v>221</v>
      </c>
      <c r="I451" s="77" t="s">
        <v>222</v>
      </c>
      <c r="J451" s="77" t="s">
        <v>223</v>
      </c>
      <c r="K451" s="77" t="s">
        <v>224</v>
      </c>
      <c r="L451" s="76" t="s">
        <v>225</v>
      </c>
      <c r="M451" s="76" t="s">
        <v>226</v>
      </c>
    </row>
    <row r="452" spans="1:13" ht="19.5" customHeight="1" x14ac:dyDescent="0.35">
      <c r="A452" s="78" t="s">
        <v>222</v>
      </c>
      <c r="B452" s="79" t="str">
        <f>IF('Beginner Adv 15M - Scoring'!B58&lt;&gt;"",IF('Beginner Adv 15M - Scoring'!F58&lt;&gt;"",'Beginner Adv 15M - Scoring'!F58,""),"")</f>
        <v/>
      </c>
      <c r="C452" s="79" t="str">
        <f>IF('Beginner Adv 15M - Scoring'!B58&lt;&gt;"",IF('Beginner Adv 15M - Scoring'!G58&lt;&gt;"",'Beginner Adv 15M - Scoring'!G58,""),"")</f>
        <v/>
      </c>
      <c r="D452" s="79" t="str">
        <f>IF('Beginner Adv 15M - Scoring'!B58&lt;&gt;"",IF('Beginner Adv 15M - Scoring'!H58&lt;&gt;"",'Beginner Adv 15M - Scoring'!H58,""),"")</f>
        <v/>
      </c>
      <c r="E452" s="80" t="str">
        <f>IF('Beginner Adv 15M - Scoring'!B58&lt;&gt;"",'Beginner Adv 15M - Scoring'!AP58,"")</f>
        <v/>
      </c>
      <c r="F452" s="81" t="str">
        <f>IFERROR(IF(ISNUMBER(E452),E452,""),"")</f>
        <v/>
      </c>
      <c r="H452" s="78" t="s">
        <v>222</v>
      </c>
      <c r="I452" s="79" t="str">
        <f>IF('Beginner Adv 15M - Scoring'!B59&lt;&gt;"",IF('Beginner Adv 15M - Scoring'!F59&lt;&gt;"",'Beginner Adv 15M - Scoring'!F59,""),"")</f>
        <v/>
      </c>
      <c r="J452" s="79" t="str">
        <f>IF('Beginner Adv 15M - Scoring'!B59&lt;&gt;"",IF('Beginner Adv 15M - Scoring'!G59&lt;&gt;"",'Beginner Adv 15M - Scoring'!G59,""),"")</f>
        <v/>
      </c>
      <c r="K452" s="79" t="str">
        <f>IF('Beginner Adv 15M - Scoring'!B59&lt;&gt;"",IF('Beginner Adv 15M - Scoring'!H59&lt;&gt;"",'Beginner Adv 15M - Scoring'!H59,""),"")</f>
        <v/>
      </c>
      <c r="L452" s="80" t="str">
        <f>IF('Beginner Adv 15M - Scoring'!B59&lt;&gt;"",'Beginner Adv 15M - Scoring'!AP59,"")</f>
        <v/>
      </c>
      <c r="M452" s="81" t="str">
        <f>IFERROR(IF(ISNUMBER(L452),L452,""),"")</f>
        <v/>
      </c>
    </row>
    <row r="453" spans="1:13" ht="19.5" customHeight="1" x14ac:dyDescent="0.35">
      <c r="A453" s="78" t="s">
        <v>223</v>
      </c>
      <c r="B453" s="79" t="str">
        <f>IF('Beginner Adv 15M - Scoring'!B58&lt;&gt;"",IF('Beginner Adv 15M - Scoring'!L58&lt;&gt;"",'Beginner Adv 15M - Scoring'!L58,""),"")</f>
        <v/>
      </c>
      <c r="C453" s="79" t="str">
        <f>IF('Beginner Adv 15M - Scoring'!B58&lt;&gt;"",IF('Beginner Adv 15M - Scoring'!M58&lt;&gt;"",'Beginner Adv 15M - Scoring'!M58,""),"")</f>
        <v/>
      </c>
      <c r="D453" s="79" t="str">
        <f>IF('Beginner Adv 15M - Scoring'!B58&lt;&gt;"",IF('Beginner Adv 15M - Scoring'!N58&lt;&gt;"",'Beginner Adv 15M - Scoring'!N58,""),"")</f>
        <v/>
      </c>
      <c r="E453" s="80" t="str">
        <f>IF('Beginner Adv 15M - Scoring'!B58&lt;&gt;"",'Beginner Adv 15M - Scoring'!AQ58,"")</f>
        <v/>
      </c>
      <c r="F453" s="81" t="str">
        <f>IF(E452&lt;&gt;"",IFERROR(IF(ISNUMBER(E452),E452,0),0)+IFERROR(IF(ISNUMBER(E453),E453,0),0),"")</f>
        <v/>
      </c>
      <c r="H453" s="78" t="s">
        <v>223</v>
      </c>
      <c r="I453" s="79" t="str">
        <f>IF('Beginner Adv 15M - Scoring'!B59&lt;&gt;"",IF('Beginner Adv 15M - Scoring'!L59&lt;&gt;"",'Beginner Adv 15M - Scoring'!L59,""),"")</f>
        <v/>
      </c>
      <c r="J453" s="79" t="str">
        <f>IF('Beginner Adv 15M - Scoring'!B59&lt;&gt;"",IF('Beginner Adv 15M - Scoring'!M59&lt;&gt;"",'Beginner Adv 15M - Scoring'!M59,""),"")</f>
        <v/>
      </c>
      <c r="K453" s="79" t="str">
        <f>IF('Beginner Adv 15M - Scoring'!B59&lt;&gt;"",IF('Beginner Adv 15M - Scoring'!N59&lt;&gt;"",'Beginner Adv 15M - Scoring'!N59,""),"")</f>
        <v/>
      </c>
      <c r="L453" s="80" t="str">
        <f>IF('Beginner Adv 15M - Scoring'!B59&lt;&gt;"",'Beginner Adv 15M - Scoring'!AQ59,"")</f>
        <v/>
      </c>
      <c r="M453" s="81" t="str">
        <f>IF(L452&lt;&gt;"",IFERROR(IF(ISNUMBER(L452),L452,0),0)+IFERROR(IF(ISNUMBER(L453),L453,0),0),"")</f>
        <v/>
      </c>
    </row>
    <row r="454" spans="1:13" ht="19.5" customHeight="1" x14ac:dyDescent="0.35">
      <c r="A454" s="78" t="s">
        <v>224</v>
      </c>
      <c r="B454" s="79" t="str">
        <f>IF('Beginner Adv 15M - Scoring'!B58&lt;&gt;"",IF('Beginner Adv 15M - Scoring'!R58&lt;&gt;"",'Beginner Adv 15M - Scoring'!R58,""),"")</f>
        <v/>
      </c>
      <c r="C454" s="79" t="str">
        <f>IF('Beginner Adv 15M - Scoring'!B58&lt;&gt;"",IF('Beginner Adv 15M - Scoring'!S58&lt;&gt;"",'Beginner Adv 15M - Scoring'!S58,""),"")</f>
        <v/>
      </c>
      <c r="D454" s="79" t="str">
        <f>IF('Beginner Adv 15M - Scoring'!B58&lt;&gt;"",IF('Beginner Adv 15M - Scoring'!T58&lt;&gt;"",'Beginner Adv 15M - Scoring'!T58,""),"")</f>
        <v/>
      </c>
      <c r="E454" s="80" t="str">
        <f>IF('Beginner Adv 15M - Scoring'!B58&lt;&gt;"",'Beginner Adv 15M - Scoring'!AR58,"")</f>
        <v/>
      </c>
      <c r="F454" s="81" t="str">
        <f>IF(E452&lt;&gt;"",IFERROR(IF(ISNUMBER(E452),E452,0),0)+IFERROR(IF(ISNUMBER(E453),E453,0),0)+IFERROR(IF(ISNUMBER(E454),E454,0),0),"")</f>
        <v/>
      </c>
      <c r="H454" s="78" t="s">
        <v>224</v>
      </c>
      <c r="I454" s="79" t="str">
        <f>IF('Beginner Adv 15M - Scoring'!B59&lt;&gt;"",IF('Beginner Adv 15M - Scoring'!R59&lt;&gt;"",'Beginner Adv 15M - Scoring'!R59,""),"")</f>
        <v/>
      </c>
      <c r="J454" s="79" t="str">
        <f>IF('Beginner Adv 15M - Scoring'!B59&lt;&gt;"",IF('Beginner Adv 15M - Scoring'!S59&lt;&gt;"",'Beginner Adv 15M - Scoring'!S59,""),"")</f>
        <v/>
      </c>
      <c r="K454" s="79" t="str">
        <f>IF('Beginner Adv 15M - Scoring'!B59&lt;&gt;"",IF('Beginner Adv 15M - Scoring'!T59&lt;&gt;"",'Beginner Adv 15M - Scoring'!T59,""),"")</f>
        <v/>
      </c>
      <c r="L454" s="80" t="str">
        <f>IF('Beginner Adv 15M - Scoring'!B59&lt;&gt;"",'Beginner Adv 15M - Scoring'!AR59,"")</f>
        <v/>
      </c>
      <c r="M454" s="81" t="str">
        <f>IF(L452&lt;&gt;"",IFERROR(IF(ISNUMBER(L452),L452,0),0)+IFERROR(IF(ISNUMBER(L453),L453,0),0)+IFERROR(IF(ISNUMBER(L454),L454,0),0),"")</f>
        <v/>
      </c>
    </row>
    <row r="455" spans="1:13" ht="19.5" customHeight="1" x14ac:dyDescent="0.35">
      <c r="A455" s="78" t="s">
        <v>227</v>
      </c>
      <c r="B455" s="79" t="str">
        <f>IF('Beginner Adv 15M - Scoring'!B58&lt;&gt;"",IF('Beginner Adv 15M - Scoring'!X58&lt;&gt;"",'Beginner Adv 15M - Scoring'!X58,""),"")</f>
        <v/>
      </c>
      <c r="C455" s="79" t="str">
        <f>IF('Beginner Adv 15M - Scoring'!B58&lt;&gt;"",IF('Beginner Adv 15M - Scoring'!Y58&lt;&gt;"",'Beginner Adv 15M - Scoring'!Y58,""),"")</f>
        <v/>
      </c>
      <c r="D455" s="79" t="str">
        <f>IF('Beginner Adv 15M - Scoring'!B58&lt;&gt;"",IF('Beginner Adv 15M - Scoring'!Z58&lt;&gt;"",'Beginner Adv 15M - Scoring'!Z58,""),"")</f>
        <v/>
      </c>
      <c r="E455" s="80" t="str">
        <f>IF('Beginner Adv 15M - Scoring'!B58&lt;&gt;"",'Beginner Adv 15M - Scoring'!AS58,"")</f>
        <v/>
      </c>
      <c r="F455" s="81" t="str">
        <f>IF(E452&lt;&gt;"",IFERROR(IF(ISNUMBER(E452),E452,0),0)+IFERROR(IF(ISNUMBER(E453),E453,0),0)+IFERROR(IF(ISNUMBER(E454),E454,0),0)+IFERROR(IF(ISNUMBER(E455),E455,0),0),"")</f>
        <v/>
      </c>
      <c r="H455" s="78" t="s">
        <v>227</v>
      </c>
      <c r="I455" s="79" t="str">
        <f>IF('Beginner Adv 15M - Scoring'!B59&lt;&gt;"",IF('Beginner Adv 15M - Scoring'!X59&lt;&gt;"",'Beginner Adv 15M - Scoring'!X59,""),"")</f>
        <v/>
      </c>
      <c r="J455" s="79" t="str">
        <f>IF('Beginner Adv 15M - Scoring'!B59&lt;&gt;"",IF('Beginner Adv 15M - Scoring'!Y59&lt;&gt;"",'Beginner Adv 15M - Scoring'!Y59,""),"")</f>
        <v/>
      </c>
      <c r="K455" s="79" t="str">
        <f>IF('Beginner Adv 15M - Scoring'!B59&lt;&gt;"",IF('Beginner Adv 15M - Scoring'!Z59&lt;&gt;"",'Beginner Adv 15M - Scoring'!Z59,""),"")</f>
        <v/>
      </c>
      <c r="L455" s="80" t="str">
        <f>IF('Beginner Adv 15M - Scoring'!B59&lt;&gt;"",'Beginner Adv 15M - Scoring'!AS59,"")</f>
        <v/>
      </c>
      <c r="M455" s="81" t="str">
        <f>IF(L452&lt;&gt;"",IFERROR(IF(ISNUMBER(L452),L452,0),0)+IFERROR(IF(ISNUMBER(L453),L453,0),0)+IFERROR(IF(ISNUMBER(L454),L454,0),0)+IFERROR(IF(ISNUMBER(L455),L455,0),0),"")</f>
        <v/>
      </c>
    </row>
    <row r="456" spans="1:13" ht="19.5" customHeight="1" x14ac:dyDescent="0.35">
      <c r="A456" s="78" t="s">
        <v>228</v>
      </c>
      <c r="B456" s="79" t="str">
        <f>IF('Beginner Adv 15M - Scoring'!B58&lt;&gt;"",IF('Beginner Adv 15M - Scoring'!AD58&lt;&gt;"",'Beginner Adv 15M - Scoring'!AD58,""),"")</f>
        <v/>
      </c>
      <c r="C456" s="79" t="str">
        <f>IF('Beginner Adv 15M - Scoring'!B58&lt;&gt;"",IF('Beginner Adv 15M - Scoring'!AE58&lt;&gt;"",'Beginner Adv 15M - Scoring'!AE58,""),"")</f>
        <v/>
      </c>
      <c r="D456" s="79" t="str">
        <f>IF('Beginner Adv 15M - Scoring'!B58&lt;&gt;"",IF('Beginner Adv 15M - Scoring'!AF58&lt;&gt;"",'Beginner Adv 15M - Scoring'!AF58,""),"")</f>
        <v/>
      </c>
      <c r="E456" s="80" t="str">
        <f>IF('Beginner Adv 15M - Scoring'!B58&lt;&gt;"",'Beginner Adv 15M - Scoring'!AT58,"")</f>
        <v/>
      </c>
      <c r="F456" s="81" t="str">
        <f>IF(E452&lt;&gt;"",IFERROR(IF(ISNUMBER(E452),E452,0),0)+IFERROR(IF(ISNUMBER(E453),E453,0),0)+IFERROR(IF(ISNUMBER(E454),E454,0),0)+IFERROR(IF(ISNUMBER(E455),E455,0),0)+IFERROR(IF(ISNUMBER(E456),E456,0),0),"")</f>
        <v/>
      </c>
      <c r="H456" s="78" t="s">
        <v>228</v>
      </c>
      <c r="I456" s="79" t="str">
        <f>IF('Beginner Adv 15M - Scoring'!B59&lt;&gt;"",IF('Beginner Adv 15M - Scoring'!AD59&lt;&gt;"",'Beginner Adv 15M - Scoring'!AD59,""),"")</f>
        <v/>
      </c>
      <c r="J456" s="79" t="str">
        <f>IF('Beginner Adv 15M - Scoring'!B59&lt;&gt;"",IF('Beginner Adv 15M - Scoring'!AE59&lt;&gt;"",'Beginner Adv 15M - Scoring'!AE59,""),"")</f>
        <v/>
      </c>
      <c r="K456" s="79" t="str">
        <f>IF('Beginner Adv 15M - Scoring'!B59&lt;&gt;"",IF('Beginner Adv 15M - Scoring'!AF59&lt;&gt;"",'Beginner Adv 15M - Scoring'!AF59,""),"")</f>
        <v/>
      </c>
      <c r="L456" s="80" t="str">
        <f>IF('Beginner Adv 15M - Scoring'!B59&lt;&gt;"",'Beginner Adv 15M - Scoring'!AT59,"")</f>
        <v/>
      </c>
      <c r="M456" s="81" t="str">
        <f>IF(L452&lt;&gt;"",IFERROR(IF(ISNUMBER(L452),L452,0),0)+IFERROR(IF(ISNUMBER(L453),L453,0),0)+IFERROR(IF(ISNUMBER(L454),L454,0),0)+IFERROR(IF(ISNUMBER(L455),L455,0),0)+IFERROR(IF(ISNUMBER(L456),L456,0),0),"")</f>
        <v/>
      </c>
    </row>
    <row r="457" spans="1:13" ht="19.5" customHeight="1" x14ac:dyDescent="0.35">
      <c r="A457" s="78" t="s">
        <v>229</v>
      </c>
      <c r="B457" s="79" t="str">
        <f>IF('Beginner Adv 15M - Scoring'!B58&lt;&gt;"",IF('Beginner Adv 15M - Scoring'!AJ58&lt;&gt;"",'Beginner Adv 15M - Scoring'!AJ58,""),"")</f>
        <v/>
      </c>
      <c r="C457" s="79" t="str">
        <f>IF('Beginner Adv 15M - Scoring'!B58&lt;&gt;"",IF('Beginner Adv 15M - Scoring'!AK58&lt;&gt;"",'Beginner Adv 15M - Scoring'!AK58,""),"")</f>
        <v/>
      </c>
      <c r="D457" s="79" t="str">
        <f>IF('Beginner Adv 15M - Scoring'!B58&lt;&gt;"",IF('Beginner Adv 15M - Scoring'!AL58&lt;&gt;"",'Beginner Adv 15M - Scoring'!AL58,""),"")</f>
        <v/>
      </c>
      <c r="E457" s="80" t="str">
        <f>IF('Beginner Adv 15M - Scoring'!B58&lt;&gt;"",'Beginner Adv 15M - Scoring'!AU58,"")</f>
        <v/>
      </c>
      <c r="F457" s="81" t="str">
        <f>IF(E452&lt;&gt;"",IFERROR(IF(ISNUMBER(E452),E452,0),0)+IFERROR(IF(ISNUMBER(E453),E453,0),0)+IFERROR(IF(ISNUMBER(E454),E454,0),0)+IFERROR(IF(ISNUMBER(E455),E455,0),0)+IFERROR(IF(ISNUMBER(E456),E456,0),0)+IFERROR(IF(ISNUMBER(E457),E457,0),0),"")</f>
        <v/>
      </c>
      <c r="H457" s="78" t="s">
        <v>229</v>
      </c>
      <c r="I457" s="79" t="str">
        <f>IF('Beginner Adv 15M - Scoring'!B59&lt;&gt;"",IF('Beginner Adv 15M - Scoring'!AJ59&lt;&gt;"",'Beginner Adv 15M - Scoring'!AJ59,""),"")</f>
        <v/>
      </c>
      <c r="J457" s="79" t="str">
        <f>IF('Beginner Adv 15M - Scoring'!B59&lt;&gt;"",IF('Beginner Adv 15M - Scoring'!AK59&lt;&gt;"",'Beginner Adv 15M - Scoring'!AK59,""),"")</f>
        <v/>
      </c>
      <c r="K457" s="79" t="str">
        <f>IF('Beginner Adv 15M - Scoring'!B59&lt;&gt;"",IF('Beginner Adv 15M - Scoring'!AL59&lt;&gt;"",'Beginner Adv 15M - Scoring'!AL59,""),"")</f>
        <v/>
      </c>
      <c r="L457" s="80" t="str">
        <f>IF('Beginner Adv 15M - Scoring'!B59&lt;&gt;"",'Beginner Adv 15M - Scoring'!AU59,"")</f>
        <v/>
      </c>
      <c r="M457" s="81" t="str">
        <f>IF(L452&lt;&gt;"",IFERROR(IF(ISNUMBER(L452),L452,0),0)+IFERROR(IF(ISNUMBER(L453),L453,0),0)+IFERROR(IF(ISNUMBER(L454),L454,0),0)+IFERROR(IF(ISNUMBER(L455),L455,0),0)+IFERROR(IF(ISNUMBER(L456),L456,0),0)+IFERROR(IF(ISNUMBER(L457),L457,0),0),"")</f>
        <v/>
      </c>
    </row>
    <row r="458" spans="1:13" ht="3.75" customHeight="1" x14ac:dyDescent="0.35"/>
    <row r="459" spans="1:13" ht="24" customHeight="1" x14ac:dyDescent="0.35">
      <c r="A459" s="124" t="s">
        <v>230</v>
      </c>
      <c r="B459" s="124"/>
      <c r="C459" s="124"/>
      <c r="D459" s="124"/>
      <c r="E459" s="125" t="str">
        <f>IF('Beginner Adv 15M - Scoring'!B58&lt;&gt;"",'Beginner Adv 15M - Scoring'!AV58,"")</f>
        <v/>
      </c>
      <c r="F459" s="125"/>
      <c r="H459" s="124" t="s">
        <v>230</v>
      </c>
      <c r="I459" s="124"/>
      <c r="J459" s="124"/>
      <c r="K459" s="124"/>
      <c r="L459" s="125" t="str">
        <f>IF('Beginner Adv 15M - Scoring'!B59&lt;&gt;"",'Beginner Adv 15M - Scoring'!AV59,"")</f>
        <v/>
      </c>
      <c r="M459" s="125"/>
    </row>
    <row r="460" spans="1:13" ht="19.5" customHeight="1" x14ac:dyDescent="0.35">
      <c r="E460" s="125"/>
      <c r="F460" s="125"/>
      <c r="L460" s="125"/>
      <c r="M460" s="125"/>
    </row>
    <row r="461" spans="1:13" ht="3.75" customHeight="1" x14ac:dyDescent="0.35"/>
    <row r="462" spans="1:13" ht="18" customHeight="1" x14ac:dyDescent="0.35">
      <c r="A462" s="73" t="s">
        <v>126</v>
      </c>
      <c r="B462" s="82" t="str">
        <f>IF('Beginner Adv 15M - Scoring'!B58&lt;&gt;"",'Beginner Adv 15M - Scoring'!AW58,"")</f>
        <v/>
      </c>
      <c r="C462" s="73" t="s">
        <v>127</v>
      </c>
      <c r="D462" s="83" t="str">
        <f>IF('Beginner Adv 15M - Scoring'!B58&lt;&gt;"",'Beginner Adv 15M - Scoring'!AX58,"")</f>
        <v/>
      </c>
      <c r="E462" s="73" t="s">
        <v>128</v>
      </c>
      <c r="F462" s="83" t="str">
        <f>IF('Beginner Adv 15M - Scoring'!B58&lt;&gt;"",'Beginner Adv 15M - Scoring'!AY58,"")</f>
        <v/>
      </c>
      <c r="H462" s="73" t="s">
        <v>126</v>
      </c>
      <c r="I462" s="82" t="str">
        <f>IF('Beginner Adv 15M - Scoring'!B59&lt;&gt;"",'Beginner Adv 15M - Scoring'!AW59,"")</f>
        <v/>
      </c>
      <c r="J462" s="73" t="s">
        <v>127</v>
      </c>
      <c r="K462" s="83" t="str">
        <f>IF('Beginner Adv 15M - Scoring'!B59&lt;&gt;"",'Beginner Adv 15M - Scoring'!AX59,"")</f>
        <v/>
      </c>
      <c r="L462" s="73" t="s">
        <v>128</v>
      </c>
      <c r="M462" s="83" t="str">
        <f>IF('Beginner Adv 15M - Scoring'!B59&lt;&gt;"",'Beginner Adv 15M - Scoring'!AY59,"")</f>
        <v/>
      </c>
    </row>
    <row r="463" spans="1:13" ht="3.75" customHeight="1" x14ac:dyDescent="0.35"/>
    <row r="464" spans="1:13" ht="7.5" customHeight="1" x14ac:dyDescent="0.35">
      <c r="A464" s="126"/>
      <c r="B464" s="126"/>
      <c r="C464" s="126"/>
      <c r="D464" s="126"/>
      <c r="E464" s="126"/>
      <c r="F464" s="126"/>
      <c r="G464" s="126"/>
      <c r="H464" s="126"/>
      <c r="I464" s="126"/>
      <c r="J464" s="126"/>
      <c r="K464" s="126"/>
      <c r="L464" s="126"/>
      <c r="M464" s="126"/>
    </row>
    <row r="465" spans="1:13" ht="15.75" customHeight="1" x14ac:dyDescent="0.35">
      <c r="A465" s="73" t="s">
        <v>218</v>
      </c>
      <c r="B465" s="122" t="str">
        <f>IF('Beginner Adv 15M - Scoring'!B60&lt;&gt;"",'Beginner Adv 15M - Scoring'!B60,"")</f>
        <v/>
      </c>
      <c r="C465" s="122"/>
      <c r="D465" s="122"/>
      <c r="E465" s="73" t="s">
        <v>219</v>
      </c>
      <c r="F465" s="74" t="str">
        <f>IF('Beginner Adv 15M - Scoring'!B60&lt;&gt;"",'Beginner Adv 15M - Scoring'!BB60,"")</f>
        <v/>
      </c>
      <c r="H465" s="73" t="s">
        <v>218</v>
      </c>
      <c r="I465" s="122" t="str">
        <f>IF('Beginner Adv 15M - Scoring'!B61&lt;&gt;"",'Beginner Adv 15M - Scoring'!B61,"")</f>
        <v/>
      </c>
      <c r="J465" s="122"/>
      <c r="K465" s="122"/>
      <c r="L465" s="73" t="s">
        <v>219</v>
      </c>
      <c r="M465" s="74" t="str">
        <f>IF('Beginner Adv 15M - Scoring'!B61&lt;&gt;"",'Beginner Adv 15M - Scoring'!BB61,"")</f>
        <v/>
      </c>
    </row>
    <row r="466" spans="1:13" ht="15.75" customHeight="1" x14ac:dyDescent="0.35">
      <c r="A466" s="73" t="s">
        <v>220</v>
      </c>
      <c r="B466" s="123" t="str">
        <f>IF('Beginner Adv 15M - Scoring'!B60&lt;&gt;"",'Beginner Adv 15M - Scoring'!D60,"")</f>
        <v/>
      </c>
      <c r="C466" s="123"/>
      <c r="D466" s="123"/>
      <c r="E466" s="73" t="s">
        <v>8</v>
      </c>
      <c r="F466" s="75" t="str">
        <f>IF('Beginner Adv 15M - Scoring'!B60&lt;&gt;"",'Beginner Adv 15M - Scoring'!E60,"")</f>
        <v/>
      </c>
      <c r="H466" s="73" t="s">
        <v>220</v>
      </c>
      <c r="I466" s="123" t="str">
        <f>IF('Beginner Adv 15M - Scoring'!B61&lt;&gt;"",'Beginner Adv 15M - Scoring'!D61,"")</f>
        <v/>
      </c>
      <c r="J466" s="123"/>
      <c r="K466" s="123"/>
      <c r="L466" s="73" t="s">
        <v>8</v>
      </c>
      <c r="M466" s="75" t="str">
        <f>IF('Beginner Adv 15M - Scoring'!B61&lt;&gt;"",'Beginner Adv 15M - Scoring'!E61,"")</f>
        <v/>
      </c>
    </row>
    <row r="467" spans="1:13" ht="3.75" customHeight="1" x14ac:dyDescent="0.35"/>
    <row r="468" spans="1:13" ht="25.5" customHeight="1" x14ac:dyDescent="0.35">
      <c r="A468" s="76" t="s">
        <v>221</v>
      </c>
      <c r="B468" s="77" t="s">
        <v>222</v>
      </c>
      <c r="C468" s="77" t="s">
        <v>223</v>
      </c>
      <c r="D468" s="77" t="s">
        <v>224</v>
      </c>
      <c r="E468" s="76" t="s">
        <v>225</v>
      </c>
      <c r="F468" s="76" t="s">
        <v>226</v>
      </c>
      <c r="H468" s="76" t="s">
        <v>221</v>
      </c>
      <c r="I468" s="77" t="s">
        <v>222</v>
      </c>
      <c r="J468" s="77" t="s">
        <v>223</v>
      </c>
      <c r="K468" s="77" t="s">
        <v>224</v>
      </c>
      <c r="L468" s="76" t="s">
        <v>225</v>
      </c>
      <c r="M468" s="76" t="s">
        <v>226</v>
      </c>
    </row>
    <row r="469" spans="1:13" ht="19.5" customHeight="1" x14ac:dyDescent="0.35">
      <c r="A469" s="78" t="s">
        <v>222</v>
      </c>
      <c r="B469" s="79" t="str">
        <f>IF('Beginner Adv 15M - Scoring'!B60&lt;&gt;"",IF('Beginner Adv 15M - Scoring'!F60&lt;&gt;"",'Beginner Adv 15M - Scoring'!F60,""),"")</f>
        <v/>
      </c>
      <c r="C469" s="79" t="str">
        <f>IF('Beginner Adv 15M - Scoring'!B60&lt;&gt;"",IF('Beginner Adv 15M - Scoring'!G60&lt;&gt;"",'Beginner Adv 15M - Scoring'!G60,""),"")</f>
        <v/>
      </c>
      <c r="D469" s="79" t="str">
        <f>IF('Beginner Adv 15M - Scoring'!B60&lt;&gt;"",IF('Beginner Adv 15M - Scoring'!H60&lt;&gt;"",'Beginner Adv 15M - Scoring'!H60,""),"")</f>
        <v/>
      </c>
      <c r="E469" s="80" t="str">
        <f>IF('Beginner Adv 15M - Scoring'!B60&lt;&gt;"",'Beginner Adv 15M - Scoring'!AP60,"")</f>
        <v/>
      </c>
      <c r="F469" s="81" t="str">
        <f>IFERROR(IF(ISNUMBER(E469),E469,""),"")</f>
        <v/>
      </c>
      <c r="H469" s="78" t="s">
        <v>222</v>
      </c>
      <c r="I469" s="79" t="str">
        <f>IF('Beginner Adv 15M - Scoring'!B61&lt;&gt;"",IF('Beginner Adv 15M - Scoring'!F61&lt;&gt;"",'Beginner Adv 15M - Scoring'!F61,""),"")</f>
        <v/>
      </c>
      <c r="J469" s="79" t="str">
        <f>IF('Beginner Adv 15M - Scoring'!B61&lt;&gt;"",IF('Beginner Adv 15M - Scoring'!G61&lt;&gt;"",'Beginner Adv 15M - Scoring'!G61,""),"")</f>
        <v/>
      </c>
      <c r="K469" s="79" t="str">
        <f>IF('Beginner Adv 15M - Scoring'!B61&lt;&gt;"",IF('Beginner Adv 15M - Scoring'!H61&lt;&gt;"",'Beginner Adv 15M - Scoring'!H61,""),"")</f>
        <v/>
      </c>
      <c r="L469" s="80" t="str">
        <f>IF('Beginner Adv 15M - Scoring'!B61&lt;&gt;"",'Beginner Adv 15M - Scoring'!AP61,"")</f>
        <v/>
      </c>
      <c r="M469" s="81" t="str">
        <f>IFERROR(IF(ISNUMBER(L469),L469,""),"")</f>
        <v/>
      </c>
    </row>
    <row r="470" spans="1:13" ht="19.5" customHeight="1" x14ac:dyDescent="0.35">
      <c r="A470" s="78" t="s">
        <v>223</v>
      </c>
      <c r="B470" s="79" t="str">
        <f>IF('Beginner Adv 15M - Scoring'!B60&lt;&gt;"",IF('Beginner Adv 15M - Scoring'!L60&lt;&gt;"",'Beginner Adv 15M - Scoring'!L60,""),"")</f>
        <v/>
      </c>
      <c r="C470" s="79" t="str">
        <f>IF('Beginner Adv 15M - Scoring'!B60&lt;&gt;"",IF('Beginner Adv 15M - Scoring'!M60&lt;&gt;"",'Beginner Adv 15M - Scoring'!M60,""),"")</f>
        <v/>
      </c>
      <c r="D470" s="79" t="str">
        <f>IF('Beginner Adv 15M - Scoring'!B60&lt;&gt;"",IF('Beginner Adv 15M - Scoring'!N60&lt;&gt;"",'Beginner Adv 15M - Scoring'!N60,""),"")</f>
        <v/>
      </c>
      <c r="E470" s="80" t="str">
        <f>IF('Beginner Adv 15M - Scoring'!B60&lt;&gt;"",'Beginner Adv 15M - Scoring'!AQ60,"")</f>
        <v/>
      </c>
      <c r="F470" s="81" t="str">
        <f>IF(E469&lt;&gt;"",IFERROR(IF(ISNUMBER(E469),E469,0),0)+IFERROR(IF(ISNUMBER(E470),E470,0),0),"")</f>
        <v/>
      </c>
      <c r="H470" s="78" t="s">
        <v>223</v>
      </c>
      <c r="I470" s="79" t="str">
        <f>IF('Beginner Adv 15M - Scoring'!B61&lt;&gt;"",IF('Beginner Adv 15M - Scoring'!L61&lt;&gt;"",'Beginner Adv 15M - Scoring'!L61,""),"")</f>
        <v/>
      </c>
      <c r="J470" s="79" t="str">
        <f>IF('Beginner Adv 15M - Scoring'!B61&lt;&gt;"",IF('Beginner Adv 15M - Scoring'!M61&lt;&gt;"",'Beginner Adv 15M - Scoring'!M61,""),"")</f>
        <v/>
      </c>
      <c r="K470" s="79" t="str">
        <f>IF('Beginner Adv 15M - Scoring'!B61&lt;&gt;"",IF('Beginner Adv 15M - Scoring'!N61&lt;&gt;"",'Beginner Adv 15M - Scoring'!N61,""),"")</f>
        <v/>
      </c>
      <c r="L470" s="80" t="str">
        <f>IF('Beginner Adv 15M - Scoring'!B61&lt;&gt;"",'Beginner Adv 15M - Scoring'!AQ61,"")</f>
        <v/>
      </c>
      <c r="M470" s="81" t="str">
        <f>IF(L469&lt;&gt;"",IFERROR(IF(ISNUMBER(L469),L469,0),0)+IFERROR(IF(ISNUMBER(L470),L470,0),0),"")</f>
        <v/>
      </c>
    </row>
    <row r="471" spans="1:13" ht="19.5" customHeight="1" x14ac:dyDescent="0.35">
      <c r="A471" s="78" t="s">
        <v>224</v>
      </c>
      <c r="B471" s="79" t="str">
        <f>IF('Beginner Adv 15M - Scoring'!B60&lt;&gt;"",IF('Beginner Adv 15M - Scoring'!R60&lt;&gt;"",'Beginner Adv 15M - Scoring'!R60,""),"")</f>
        <v/>
      </c>
      <c r="C471" s="79" t="str">
        <f>IF('Beginner Adv 15M - Scoring'!B60&lt;&gt;"",IF('Beginner Adv 15M - Scoring'!S60&lt;&gt;"",'Beginner Adv 15M - Scoring'!S60,""),"")</f>
        <v/>
      </c>
      <c r="D471" s="79" t="str">
        <f>IF('Beginner Adv 15M - Scoring'!B60&lt;&gt;"",IF('Beginner Adv 15M - Scoring'!T60&lt;&gt;"",'Beginner Adv 15M - Scoring'!T60,""),"")</f>
        <v/>
      </c>
      <c r="E471" s="80" t="str">
        <f>IF('Beginner Adv 15M - Scoring'!B60&lt;&gt;"",'Beginner Adv 15M - Scoring'!AR60,"")</f>
        <v/>
      </c>
      <c r="F471" s="81" t="str">
        <f>IF(E469&lt;&gt;"",IFERROR(IF(ISNUMBER(E469),E469,0),0)+IFERROR(IF(ISNUMBER(E470),E470,0),0)+IFERROR(IF(ISNUMBER(E471),E471,0),0),"")</f>
        <v/>
      </c>
      <c r="H471" s="78" t="s">
        <v>224</v>
      </c>
      <c r="I471" s="79" t="str">
        <f>IF('Beginner Adv 15M - Scoring'!B61&lt;&gt;"",IF('Beginner Adv 15M - Scoring'!R61&lt;&gt;"",'Beginner Adv 15M - Scoring'!R61,""),"")</f>
        <v/>
      </c>
      <c r="J471" s="79" t="str">
        <f>IF('Beginner Adv 15M - Scoring'!B61&lt;&gt;"",IF('Beginner Adv 15M - Scoring'!S61&lt;&gt;"",'Beginner Adv 15M - Scoring'!S61,""),"")</f>
        <v/>
      </c>
      <c r="K471" s="79" t="str">
        <f>IF('Beginner Adv 15M - Scoring'!B61&lt;&gt;"",IF('Beginner Adv 15M - Scoring'!T61&lt;&gt;"",'Beginner Adv 15M - Scoring'!T61,""),"")</f>
        <v/>
      </c>
      <c r="L471" s="80" t="str">
        <f>IF('Beginner Adv 15M - Scoring'!B61&lt;&gt;"",'Beginner Adv 15M - Scoring'!AR61,"")</f>
        <v/>
      </c>
      <c r="M471" s="81" t="str">
        <f>IF(L469&lt;&gt;"",IFERROR(IF(ISNUMBER(L469),L469,0),0)+IFERROR(IF(ISNUMBER(L470),L470,0),0)+IFERROR(IF(ISNUMBER(L471),L471,0),0),"")</f>
        <v/>
      </c>
    </row>
    <row r="472" spans="1:13" ht="19.5" customHeight="1" x14ac:dyDescent="0.35">
      <c r="A472" s="78" t="s">
        <v>227</v>
      </c>
      <c r="B472" s="79" t="str">
        <f>IF('Beginner Adv 15M - Scoring'!B60&lt;&gt;"",IF('Beginner Adv 15M - Scoring'!X60&lt;&gt;"",'Beginner Adv 15M - Scoring'!X60,""),"")</f>
        <v/>
      </c>
      <c r="C472" s="79" t="str">
        <f>IF('Beginner Adv 15M - Scoring'!B60&lt;&gt;"",IF('Beginner Adv 15M - Scoring'!Y60&lt;&gt;"",'Beginner Adv 15M - Scoring'!Y60,""),"")</f>
        <v/>
      </c>
      <c r="D472" s="79" t="str">
        <f>IF('Beginner Adv 15M - Scoring'!B60&lt;&gt;"",IF('Beginner Adv 15M - Scoring'!Z60&lt;&gt;"",'Beginner Adv 15M - Scoring'!Z60,""),"")</f>
        <v/>
      </c>
      <c r="E472" s="80" t="str">
        <f>IF('Beginner Adv 15M - Scoring'!B60&lt;&gt;"",'Beginner Adv 15M - Scoring'!AS60,"")</f>
        <v/>
      </c>
      <c r="F472" s="81" t="str">
        <f>IF(E469&lt;&gt;"",IFERROR(IF(ISNUMBER(E469),E469,0),0)+IFERROR(IF(ISNUMBER(E470),E470,0),0)+IFERROR(IF(ISNUMBER(E471),E471,0),0)+IFERROR(IF(ISNUMBER(E472),E472,0),0),"")</f>
        <v/>
      </c>
      <c r="H472" s="78" t="s">
        <v>227</v>
      </c>
      <c r="I472" s="79" t="str">
        <f>IF('Beginner Adv 15M - Scoring'!B61&lt;&gt;"",IF('Beginner Adv 15M - Scoring'!X61&lt;&gt;"",'Beginner Adv 15M - Scoring'!X61,""),"")</f>
        <v/>
      </c>
      <c r="J472" s="79" t="str">
        <f>IF('Beginner Adv 15M - Scoring'!B61&lt;&gt;"",IF('Beginner Adv 15M - Scoring'!Y61&lt;&gt;"",'Beginner Adv 15M - Scoring'!Y61,""),"")</f>
        <v/>
      </c>
      <c r="K472" s="79" t="str">
        <f>IF('Beginner Adv 15M - Scoring'!B61&lt;&gt;"",IF('Beginner Adv 15M - Scoring'!Z61&lt;&gt;"",'Beginner Adv 15M - Scoring'!Z61,""),"")</f>
        <v/>
      </c>
      <c r="L472" s="80" t="str">
        <f>IF('Beginner Adv 15M - Scoring'!B61&lt;&gt;"",'Beginner Adv 15M - Scoring'!AS61,"")</f>
        <v/>
      </c>
      <c r="M472" s="81" t="str">
        <f>IF(L469&lt;&gt;"",IFERROR(IF(ISNUMBER(L469),L469,0),0)+IFERROR(IF(ISNUMBER(L470),L470,0),0)+IFERROR(IF(ISNUMBER(L471),L471,0),0)+IFERROR(IF(ISNUMBER(L472),L472,0),0),"")</f>
        <v/>
      </c>
    </row>
    <row r="473" spans="1:13" ht="19.5" customHeight="1" x14ac:dyDescent="0.35">
      <c r="A473" s="78" t="s">
        <v>228</v>
      </c>
      <c r="B473" s="79" t="str">
        <f>IF('Beginner Adv 15M - Scoring'!B60&lt;&gt;"",IF('Beginner Adv 15M - Scoring'!AD60&lt;&gt;"",'Beginner Adv 15M - Scoring'!AD60,""),"")</f>
        <v/>
      </c>
      <c r="C473" s="79" t="str">
        <f>IF('Beginner Adv 15M - Scoring'!B60&lt;&gt;"",IF('Beginner Adv 15M - Scoring'!AE60&lt;&gt;"",'Beginner Adv 15M - Scoring'!AE60,""),"")</f>
        <v/>
      </c>
      <c r="D473" s="79" t="str">
        <f>IF('Beginner Adv 15M - Scoring'!B60&lt;&gt;"",IF('Beginner Adv 15M - Scoring'!AF60&lt;&gt;"",'Beginner Adv 15M - Scoring'!AF60,""),"")</f>
        <v/>
      </c>
      <c r="E473" s="80" t="str">
        <f>IF('Beginner Adv 15M - Scoring'!B60&lt;&gt;"",'Beginner Adv 15M - Scoring'!AT60,"")</f>
        <v/>
      </c>
      <c r="F473" s="81" t="str">
        <f>IF(E469&lt;&gt;"",IFERROR(IF(ISNUMBER(E469),E469,0),0)+IFERROR(IF(ISNUMBER(E470),E470,0),0)+IFERROR(IF(ISNUMBER(E471),E471,0),0)+IFERROR(IF(ISNUMBER(E472),E472,0),0)+IFERROR(IF(ISNUMBER(E473),E473,0),0),"")</f>
        <v/>
      </c>
      <c r="H473" s="78" t="s">
        <v>228</v>
      </c>
      <c r="I473" s="79" t="str">
        <f>IF('Beginner Adv 15M - Scoring'!B61&lt;&gt;"",IF('Beginner Adv 15M - Scoring'!AD61&lt;&gt;"",'Beginner Adv 15M - Scoring'!AD61,""),"")</f>
        <v/>
      </c>
      <c r="J473" s="79" t="str">
        <f>IF('Beginner Adv 15M - Scoring'!B61&lt;&gt;"",IF('Beginner Adv 15M - Scoring'!AE61&lt;&gt;"",'Beginner Adv 15M - Scoring'!AE61,""),"")</f>
        <v/>
      </c>
      <c r="K473" s="79" t="str">
        <f>IF('Beginner Adv 15M - Scoring'!B61&lt;&gt;"",IF('Beginner Adv 15M - Scoring'!AF61&lt;&gt;"",'Beginner Adv 15M - Scoring'!AF61,""),"")</f>
        <v/>
      </c>
      <c r="L473" s="80" t="str">
        <f>IF('Beginner Adv 15M - Scoring'!B61&lt;&gt;"",'Beginner Adv 15M - Scoring'!AT61,"")</f>
        <v/>
      </c>
      <c r="M473" s="81" t="str">
        <f>IF(L469&lt;&gt;"",IFERROR(IF(ISNUMBER(L469),L469,0),0)+IFERROR(IF(ISNUMBER(L470),L470,0),0)+IFERROR(IF(ISNUMBER(L471),L471,0),0)+IFERROR(IF(ISNUMBER(L472),L472,0),0)+IFERROR(IF(ISNUMBER(L473),L473,0),0),"")</f>
        <v/>
      </c>
    </row>
    <row r="474" spans="1:13" ht="19.5" customHeight="1" x14ac:dyDescent="0.35">
      <c r="A474" s="78" t="s">
        <v>229</v>
      </c>
      <c r="B474" s="79" t="str">
        <f>IF('Beginner Adv 15M - Scoring'!B60&lt;&gt;"",IF('Beginner Adv 15M - Scoring'!AJ60&lt;&gt;"",'Beginner Adv 15M - Scoring'!AJ60,""),"")</f>
        <v/>
      </c>
      <c r="C474" s="79" t="str">
        <f>IF('Beginner Adv 15M - Scoring'!B60&lt;&gt;"",IF('Beginner Adv 15M - Scoring'!AK60&lt;&gt;"",'Beginner Adv 15M - Scoring'!AK60,""),"")</f>
        <v/>
      </c>
      <c r="D474" s="79" t="str">
        <f>IF('Beginner Adv 15M - Scoring'!B60&lt;&gt;"",IF('Beginner Adv 15M - Scoring'!AL60&lt;&gt;"",'Beginner Adv 15M - Scoring'!AL60,""),"")</f>
        <v/>
      </c>
      <c r="E474" s="80" t="str">
        <f>IF('Beginner Adv 15M - Scoring'!B60&lt;&gt;"",'Beginner Adv 15M - Scoring'!AU60,"")</f>
        <v/>
      </c>
      <c r="F474" s="81" t="str">
        <f>IF(E469&lt;&gt;"",IFERROR(IF(ISNUMBER(E469),E469,0),0)+IFERROR(IF(ISNUMBER(E470),E470,0),0)+IFERROR(IF(ISNUMBER(E471),E471,0),0)+IFERROR(IF(ISNUMBER(E472),E472,0),0)+IFERROR(IF(ISNUMBER(E473),E473,0),0)+IFERROR(IF(ISNUMBER(E474),E474,0),0),"")</f>
        <v/>
      </c>
      <c r="H474" s="78" t="s">
        <v>229</v>
      </c>
      <c r="I474" s="79" t="str">
        <f>IF('Beginner Adv 15M - Scoring'!B61&lt;&gt;"",IF('Beginner Adv 15M - Scoring'!AJ61&lt;&gt;"",'Beginner Adv 15M - Scoring'!AJ61,""),"")</f>
        <v/>
      </c>
      <c r="J474" s="79" t="str">
        <f>IF('Beginner Adv 15M - Scoring'!B61&lt;&gt;"",IF('Beginner Adv 15M - Scoring'!AK61&lt;&gt;"",'Beginner Adv 15M - Scoring'!AK61,""),"")</f>
        <v/>
      </c>
      <c r="K474" s="79" t="str">
        <f>IF('Beginner Adv 15M - Scoring'!B61&lt;&gt;"",IF('Beginner Adv 15M - Scoring'!AL61&lt;&gt;"",'Beginner Adv 15M - Scoring'!AL61,""),"")</f>
        <v/>
      </c>
      <c r="L474" s="80" t="str">
        <f>IF('Beginner Adv 15M - Scoring'!B61&lt;&gt;"",'Beginner Adv 15M - Scoring'!AU61,"")</f>
        <v/>
      </c>
      <c r="M474" s="81" t="str">
        <f>IF(L469&lt;&gt;"",IFERROR(IF(ISNUMBER(L469),L469,0),0)+IFERROR(IF(ISNUMBER(L470),L470,0),0)+IFERROR(IF(ISNUMBER(L471),L471,0),0)+IFERROR(IF(ISNUMBER(L472),L472,0),0)+IFERROR(IF(ISNUMBER(L473),L473,0),0)+IFERROR(IF(ISNUMBER(L474),L474,0),0),"")</f>
        <v/>
      </c>
    </row>
    <row r="475" spans="1:13" ht="3.75" customHeight="1" x14ac:dyDescent="0.35"/>
    <row r="476" spans="1:13" ht="24" customHeight="1" x14ac:dyDescent="0.35">
      <c r="A476" s="124" t="s">
        <v>230</v>
      </c>
      <c r="B476" s="124"/>
      <c r="C476" s="124"/>
      <c r="D476" s="124"/>
      <c r="E476" s="125" t="str">
        <f>IF('Beginner Adv 15M - Scoring'!B60&lt;&gt;"",'Beginner Adv 15M - Scoring'!AV60,"")</f>
        <v/>
      </c>
      <c r="F476" s="125"/>
      <c r="H476" s="124" t="s">
        <v>230</v>
      </c>
      <c r="I476" s="124"/>
      <c r="J476" s="124"/>
      <c r="K476" s="124"/>
      <c r="L476" s="125" t="str">
        <f>IF('Beginner Adv 15M - Scoring'!B61&lt;&gt;"",'Beginner Adv 15M - Scoring'!AV61,"")</f>
        <v/>
      </c>
      <c r="M476" s="125"/>
    </row>
    <row r="477" spans="1:13" ht="19.5" customHeight="1" x14ac:dyDescent="0.35">
      <c r="E477" s="125"/>
      <c r="F477" s="125"/>
      <c r="L477" s="125"/>
      <c r="M477" s="125"/>
    </row>
    <row r="478" spans="1:13" ht="3.75" customHeight="1" x14ac:dyDescent="0.35"/>
    <row r="479" spans="1:13" ht="18" customHeight="1" x14ac:dyDescent="0.35">
      <c r="A479" s="73" t="s">
        <v>126</v>
      </c>
      <c r="B479" s="82" t="str">
        <f>IF('Beginner Adv 15M - Scoring'!B60&lt;&gt;"",'Beginner Adv 15M - Scoring'!AW60,"")</f>
        <v/>
      </c>
      <c r="C479" s="73" t="s">
        <v>127</v>
      </c>
      <c r="D479" s="83" t="str">
        <f>IF('Beginner Adv 15M - Scoring'!B60&lt;&gt;"",'Beginner Adv 15M - Scoring'!AX60,"")</f>
        <v/>
      </c>
      <c r="E479" s="73" t="s">
        <v>128</v>
      </c>
      <c r="F479" s="83" t="str">
        <f>IF('Beginner Adv 15M - Scoring'!B60&lt;&gt;"",'Beginner Adv 15M - Scoring'!AY60,"")</f>
        <v/>
      </c>
      <c r="H479" s="73" t="s">
        <v>126</v>
      </c>
      <c r="I479" s="82" t="str">
        <f>IF('Beginner Adv 15M - Scoring'!B61&lt;&gt;"",'Beginner Adv 15M - Scoring'!AW61,"")</f>
        <v/>
      </c>
      <c r="J479" s="73" t="s">
        <v>127</v>
      </c>
      <c r="K479" s="83" t="str">
        <f>IF('Beginner Adv 15M - Scoring'!B61&lt;&gt;"",'Beginner Adv 15M - Scoring'!AX61,"")</f>
        <v/>
      </c>
      <c r="L479" s="73" t="s">
        <v>128</v>
      </c>
      <c r="M479" s="83" t="str">
        <f>IF('Beginner Adv 15M - Scoring'!B61&lt;&gt;"",'Beginner Adv 15M - Scoring'!AY61,"")</f>
        <v/>
      </c>
    </row>
    <row r="480" spans="1:13" ht="3.75" customHeight="1" x14ac:dyDescent="0.35"/>
    <row r="481" spans="1:13" ht="7.5" customHeight="1" x14ac:dyDescent="0.35">
      <c r="A481" s="126"/>
      <c r="B481" s="126"/>
      <c r="C481" s="126"/>
      <c r="D481" s="126"/>
      <c r="E481" s="126"/>
      <c r="F481" s="126"/>
      <c r="G481" s="126"/>
      <c r="H481" s="126"/>
      <c r="I481" s="126"/>
      <c r="J481" s="126"/>
      <c r="K481" s="126"/>
      <c r="L481" s="126"/>
      <c r="M481" s="126"/>
    </row>
    <row r="482" spans="1:13" ht="15.75" customHeight="1" x14ac:dyDescent="0.35">
      <c r="A482" s="73" t="s">
        <v>218</v>
      </c>
      <c r="B482" s="122" t="str">
        <f>IF('Beginner Adv 15M - Scoring'!B62&lt;&gt;"",'Beginner Adv 15M - Scoring'!B62,"")</f>
        <v/>
      </c>
      <c r="C482" s="122"/>
      <c r="D482" s="122"/>
      <c r="E482" s="73" t="s">
        <v>219</v>
      </c>
      <c r="F482" s="74" t="str">
        <f>IF('Beginner Adv 15M - Scoring'!B62&lt;&gt;"",'Beginner Adv 15M - Scoring'!BB62,"")</f>
        <v/>
      </c>
      <c r="H482" s="73" t="s">
        <v>218</v>
      </c>
      <c r="I482" s="122" t="str">
        <f>IF('Beginner Adv 15M - Scoring'!B63&lt;&gt;"",'Beginner Adv 15M - Scoring'!B63,"")</f>
        <v/>
      </c>
      <c r="J482" s="122"/>
      <c r="K482" s="122"/>
      <c r="L482" s="73" t="s">
        <v>219</v>
      </c>
      <c r="M482" s="74" t="str">
        <f>IF('Beginner Adv 15M - Scoring'!B63&lt;&gt;"",'Beginner Adv 15M - Scoring'!BB63,"")</f>
        <v/>
      </c>
    </row>
    <row r="483" spans="1:13" ht="15.75" customHeight="1" x14ac:dyDescent="0.35">
      <c r="A483" s="73" t="s">
        <v>220</v>
      </c>
      <c r="B483" s="123" t="str">
        <f>IF('Beginner Adv 15M - Scoring'!B62&lt;&gt;"",'Beginner Adv 15M - Scoring'!D62,"")</f>
        <v/>
      </c>
      <c r="C483" s="123"/>
      <c r="D483" s="123"/>
      <c r="E483" s="73" t="s">
        <v>8</v>
      </c>
      <c r="F483" s="75" t="str">
        <f>IF('Beginner Adv 15M - Scoring'!B62&lt;&gt;"",'Beginner Adv 15M - Scoring'!E62,"")</f>
        <v/>
      </c>
      <c r="H483" s="73" t="s">
        <v>220</v>
      </c>
      <c r="I483" s="123" t="str">
        <f>IF('Beginner Adv 15M - Scoring'!B63&lt;&gt;"",'Beginner Adv 15M - Scoring'!D63,"")</f>
        <v/>
      </c>
      <c r="J483" s="123"/>
      <c r="K483" s="123"/>
      <c r="L483" s="73" t="s">
        <v>8</v>
      </c>
      <c r="M483" s="75" t="str">
        <f>IF('Beginner Adv 15M - Scoring'!B63&lt;&gt;"",'Beginner Adv 15M - Scoring'!E63,"")</f>
        <v/>
      </c>
    </row>
    <row r="484" spans="1:13" ht="3.75" customHeight="1" x14ac:dyDescent="0.35"/>
    <row r="485" spans="1:13" ht="25.5" customHeight="1" x14ac:dyDescent="0.35">
      <c r="A485" s="76" t="s">
        <v>221</v>
      </c>
      <c r="B485" s="77" t="s">
        <v>222</v>
      </c>
      <c r="C485" s="77" t="s">
        <v>223</v>
      </c>
      <c r="D485" s="77" t="s">
        <v>224</v>
      </c>
      <c r="E485" s="76" t="s">
        <v>225</v>
      </c>
      <c r="F485" s="76" t="s">
        <v>226</v>
      </c>
      <c r="H485" s="76" t="s">
        <v>221</v>
      </c>
      <c r="I485" s="77" t="s">
        <v>222</v>
      </c>
      <c r="J485" s="77" t="s">
        <v>223</v>
      </c>
      <c r="K485" s="77" t="s">
        <v>224</v>
      </c>
      <c r="L485" s="76" t="s">
        <v>225</v>
      </c>
      <c r="M485" s="76" t="s">
        <v>226</v>
      </c>
    </row>
    <row r="486" spans="1:13" ht="19.5" customHeight="1" x14ac:dyDescent="0.35">
      <c r="A486" s="78" t="s">
        <v>222</v>
      </c>
      <c r="B486" s="79" t="str">
        <f>IF('Beginner Adv 15M - Scoring'!B62&lt;&gt;"",IF('Beginner Adv 15M - Scoring'!F62&lt;&gt;"",'Beginner Adv 15M - Scoring'!F62,""),"")</f>
        <v/>
      </c>
      <c r="C486" s="79" t="str">
        <f>IF('Beginner Adv 15M - Scoring'!B62&lt;&gt;"",IF('Beginner Adv 15M - Scoring'!G62&lt;&gt;"",'Beginner Adv 15M - Scoring'!G62,""),"")</f>
        <v/>
      </c>
      <c r="D486" s="79" t="str">
        <f>IF('Beginner Adv 15M - Scoring'!B62&lt;&gt;"",IF('Beginner Adv 15M - Scoring'!H62&lt;&gt;"",'Beginner Adv 15M - Scoring'!H62,""),"")</f>
        <v/>
      </c>
      <c r="E486" s="80" t="str">
        <f>IF('Beginner Adv 15M - Scoring'!B62&lt;&gt;"",'Beginner Adv 15M - Scoring'!AP62,"")</f>
        <v/>
      </c>
      <c r="F486" s="81" t="str">
        <f>IFERROR(IF(ISNUMBER(E486),E486,""),"")</f>
        <v/>
      </c>
      <c r="H486" s="78" t="s">
        <v>222</v>
      </c>
      <c r="I486" s="79" t="str">
        <f>IF('Beginner Adv 15M - Scoring'!B63&lt;&gt;"",IF('Beginner Adv 15M - Scoring'!F63&lt;&gt;"",'Beginner Adv 15M - Scoring'!F63,""),"")</f>
        <v/>
      </c>
      <c r="J486" s="79" t="str">
        <f>IF('Beginner Adv 15M - Scoring'!B63&lt;&gt;"",IF('Beginner Adv 15M - Scoring'!G63&lt;&gt;"",'Beginner Adv 15M - Scoring'!G63,""),"")</f>
        <v/>
      </c>
      <c r="K486" s="79" t="str">
        <f>IF('Beginner Adv 15M - Scoring'!B63&lt;&gt;"",IF('Beginner Adv 15M - Scoring'!H63&lt;&gt;"",'Beginner Adv 15M - Scoring'!H63,""),"")</f>
        <v/>
      </c>
      <c r="L486" s="80" t="str">
        <f>IF('Beginner Adv 15M - Scoring'!B63&lt;&gt;"",'Beginner Adv 15M - Scoring'!AP63,"")</f>
        <v/>
      </c>
      <c r="M486" s="81" t="str">
        <f>IFERROR(IF(ISNUMBER(L486),L486,""),"")</f>
        <v/>
      </c>
    </row>
    <row r="487" spans="1:13" ht="19.5" customHeight="1" x14ac:dyDescent="0.35">
      <c r="A487" s="78" t="s">
        <v>223</v>
      </c>
      <c r="B487" s="79" t="str">
        <f>IF('Beginner Adv 15M - Scoring'!B62&lt;&gt;"",IF('Beginner Adv 15M - Scoring'!L62&lt;&gt;"",'Beginner Adv 15M - Scoring'!L62,""),"")</f>
        <v/>
      </c>
      <c r="C487" s="79" t="str">
        <f>IF('Beginner Adv 15M - Scoring'!B62&lt;&gt;"",IF('Beginner Adv 15M - Scoring'!M62&lt;&gt;"",'Beginner Adv 15M - Scoring'!M62,""),"")</f>
        <v/>
      </c>
      <c r="D487" s="79" t="str">
        <f>IF('Beginner Adv 15M - Scoring'!B62&lt;&gt;"",IF('Beginner Adv 15M - Scoring'!N62&lt;&gt;"",'Beginner Adv 15M - Scoring'!N62,""),"")</f>
        <v/>
      </c>
      <c r="E487" s="80" t="str">
        <f>IF('Beginner Adv 15M - Scoring'!B62&lt;&gt;"",'Beginner Adv 15M - Scoring'!AQ62,"")</f>
        <v/>
      </c>
      <c r="F487" s="81" t="str">
        <f>IF(E486&lt;&gt;"",IFERROR(IF(ISNUMBER(E486),E486,0),0)+IFERROR(IF(ISNUMBER(E487),E487,0),0),"")</f>
        <v/>
      </c>
      <c r="H487" s="78" t="s">
        <v>223</v>
      </c>
      <c r="I487" s="79" t="str">
        <f>IF('Beginner Adv 15M - Scoring'!B63&lt;&gt;"",IF('Beginner Adv 15M - Scoring'!L63&lt;&gt;"",'Beginner Adv 15M - Scoring'!L63,""),"")</f>
        <v/>
      </c>
      <c r="J487" s="79" t="str">
        <f>IF('Beginner Adv 15M - Scoring'!B63&lt;&gt;"",IF('Beginner Adv 15M - Scoring'!M63&lt;&gt;"",'Beginner Adv 15M - Scoring'!M63,""),"")</f>
        <v/>
      </c>
      <c r="K487" s="79" t="str">
        <f>IF('Beginner Adv 15M - Scoring'!B63&lt;&gt;"",IF('Beginner Adv 15M - Scoring'!N63&lt;&gt;"",'Beginner Adv 15M - Scoring'!N63,""),"")</f>
        <v/>
      </c>
      <c r="L487" s="80" t="str">
        <f>IF('Beginner Adv 15M - Scoring'!B63&lt;&gt;"",'Beginner Adv 15M - Scoring'!AQ63,"")</f>
        <v/>
      </c>
      <c r="M487" s="81" t="str">
        <f>IF(L486&lt;&gt;"",IFERROR(IF(ISNUMBER(L486),L486,0),0)+IFERROR(IF(ISNUMBER(L487),L487,0),0),"")</f>
        <v/>
      </c>
    </row>
    <row r="488" spans="1:13" ht="19.5" customHeight="1" x14ac:dyDescent="0.35">
      <c r="A488" s="78" t="s">
        <v>224</v>
      </c>
      <c r="B488" s="79" t="str">
        <f>IF('Beginner Adv 15M - Scoring'!B62&lt;&gt;"",IF('Beginner Adv 15M - Scoring'!R62&lt;&gt;"",'Beginner Adv 15M - Scoring'!R62,""),"")</f>
        <v/>
      </c>
      <c r="C488" s="79" t="str">
        <f>IF('Beginner Adv 15M - Scoring'!B62&lt;&gt;"",IF('Beginner Adv 15M - Scoring'!S62&lt;&gt;"",'Beginner Adv 15M - Scoring'!S62,""),"")</f>
        <v/>
      </c>
      <c r="D488" s="79" t="str">
        <f>IF('Beginner Adv 15M - Scoring'!B62&lt;&gt;"",IF('Beginner Adv 15M - Scoring'!T62&lt;&gt;"",'Beginner Adv 15M - Scoring'!T62,""),"")</f>
        <v/>
      </c>
      <c r="E488" s="80" t="str">
        <f>IF('Beginner Adv 15M - Scoring'!B62&lt;&gt;"",'Beginner Adv 15M - Scoring'!AR62,"")</f>
        <v/>
      </c>
      <c r="F488" s="81" t="str">
        <f>IF(E486&lt;&gt;"",IFERROR(IF(ISNUMBER(E486),E486,0),0)+IFERROR(IF(ISNUMBER(E487),E487,0),0)+IFERROR(IF(ISNUMBER(E488),E488,0),0),"")</f>
        <v/>
      </c>
      <c r="H488" s="78" t="s">
        <v>224</v>
      </c>
      <c r="I488" s="79" t="str">
        <f>IF('Beginner Adv 15M - Scoring'!B63&lt;&gt;"",IF('Beginner Adv 15M - Scoring'!R63&lt;&gt;"",'Beginner Adv 15M - Scoring'!R63,""),"")</f>
        <v/>
      </c>
      <c r="J488" s="79" t="str">
        <f>IF('Beginner Adv 15M - Scoring'!B63&lt;&gt;"",IF('Beginner Adv 15M - Scoring'!S63&lt;&gt;"",'Beginner Adv 15M - Scoring'!S63,""),"")</f>
        <v/>
      </c>
      <c r="K488" s="79" t="str">
        <f>IF('Beginner Adv 15M - Scoring'!B63&lt;&gt;"",IF('Beginner Adv 15M - Scoring'!T63&lt;&gt;"",'Beginner Adv 15M - Scoring'!T63,""),"")</f>
        <v/>
      </c>
      <c r="L488" s="80" t="str">
        <f>IF('Beginner Adv 15M - Scoring'!B63&lt;&gt;"",'Beginner Adv 15M - Scoring'!AR63,"")</f>
        <v/>
      </c>
      <c r="M488" s="81" t="str">
        <f>IF(L486&lt;&gt;"",IFERROR(IF(ISNUMBER(L486),L486,0),0)+IFERROR(IF(ISNUMBER(L487),L487,0),0)+IFERROR(IF(ISNUMBER(L488),L488,0),0),"")</f>
        <v/>
      </c>
    </row>
    <row r="489" spans="1:13" ht="19.5" customHeight="1" x14ac:dyDescent="0.35">
      <c r="A489" s="78" t="s">
        <v>227</v>
      </c>
      <c r="B489" s="79" t="str">
        <f>IF('Beginner Adv 15M - Scoring'!B62&lt;&gt;"",IF('Beginner Adv 15M - Scoring'!X62&lt;&gt;"",'Beginner Adv 15M - Scoring'!X62,""),"")</f>
        <v/>
      </c>
      <c r="C489" s="79" t="str">
        <f>IF('Beginner Adv 15M - Scoring'!B62&lt;&gt;"",IF('Beginner Adv 15M - Scoring'!Y62&lt;&gt;"",'Beginner Adv 15M - Scoring'!Y62,""),"")</f>
        <v/>
      </c>
      <c r="D489" s="79" t="str">
        <f>IF('Beginner Adv 15M - Scoring'!B62&lt;&gt;"",IF('Beginner Adv 15M - Scoring'!Z62&lt;&gt;"",'Beginner Adv 15M - Scoring'!Z62,""),"")</f>
        <v/>
      </c>
      <c r="E489" s="80" t="str">
        <f>IF('Beginner Adv 15M - Scoring'!B62&lt;&gt;"",'Beginner Adv 15M - Scoring'!AS62,"")</f>
        <v/>
      </c>
      <c r="F489" s="81" t="str">
        <f>IF(E486&lt;&gt;"",IFERROR(IF(ISNUMBER(E486),E486,0),0)+IFERROR(IF(ISNUMBER(E487),E487,0),0)+IFERROR(IF(ISNUMBER(E488),E488,0),0)+IFERROR(IF(ISNUMBER(E489),E489,0),0),"")</f>
        <v/>
      </c>
      <c r="H489" s="78" t="s">
        <v>227</v>
      </c>
      <c r="I489" s="79" t="str">
        <f>IF('Beginner Adv 15M - Scoring'!B63&lt;&gt;"",IF('Beginner Adv 15M - Scoring'!X63&lt;&gt;"",'Beginner Adv 15M - Scoring'!X63,""),"")</f>
        <v/>
      </c>
      <c r="J489" s="79" t="str">
        <f>IF('Beginner Adv 15M - Scoring'!B63&lt;&gt;"",IF('Beginner Adv 15M - Scoring'!Y63&lt;&gt;"",'Beginner Adv 15M - Scoring'!Y63,""),"")</f>
        <v/>
      </c>
      <c r="K489" s="79" t="str">
        <f>IF('Beginner Adv 15M - Scoring'!B63&lt;&gt;"",IF('Beginner Adv 15M - Scoring'!Z63&lt;&gt;"",'Beginner Adv 15M - Scoring'!Z63,""),"")</f>
        <v/>
      </c>
      <c r="L489" s="80" t="str">
        <f>IF('Beginner Adv 15M - Scoring'!B63&lt;&gt;"",'Beginner Adv 15M - Scoring'!AS63,"")</f>
        <v/>
      </c>
      <c r="M489" s="81" t="str">
        <f>IF(L486&lt;&gt;"",IFERROR(IF(ISNUMBER(L486),L486,0),0)+IFERROR(IF(ISNUMBER(L487),L487,0),0)+IFERROR(IF(ISNUMBER(L488),L488,0),0)+IFERROR(IF(ISNUMBER(L489),L489,0),0),"")</f>
        <v/>
      </c>
    </row>
    <row r="490" spans="1:13" ht="19.5" customHeight="1" x14ac:dyDescent="0.35">
      <c r="A490" s="78" t="s">
        <v>228</v>
      </c>
      <c r="B490" s="79" t="str">
        <f>IF('Beginner Adv 15M - Scoring'!B62&lt;&gt;"",IF('Beginner Adv 15M - Scoring'!AD62&lt;&gt;"",'Beginner Adv 15M - Scoring'!AD62,""),"")</f>
        <v/>
      </c>
      <c r="C490" s="79" t="str">
        <f>IF('Beginner Adv 15M - Scoring'!B62&lt;&gt;"",IF('Beginner Adv 15M - Scoring'!AE62&lt;&gt;"",'Beginner Adv 15M - Scoring'!AE62,""),"")</f>
        <v/>
      </c>
      <c r="D490" s="79" t="str">
        <f>IF('Beginner Adv 15M - Scoring'!B62&lt;&gt;"",IF('Beginner Adv 15M - Scoring'!AF62&lt;&gt;"",'Beginner Adv 15M - Scoring'!AF62,""),"")</f>
        <v/>
      </c>
      <c r="E490" s="80" t="str">
        <f>IF('Beginner Adv 15M - Scoring'!B62&lt;&gt;"",'Beginner Adv 15M - Scoring'!AT62,"")</f>
        <v/>
      </c>
      <c r="F490" s="81" t="str">
        <f>IF(E486&lt;&gt;"",IFERROR(IF(ISNUMBER(E486),E486,0),0)+IFERROR(IF(ISNUMBER(E487),E487,0),0)+IFERROR(IF(ISNUMBER(E488),E488,0),0)+IFERROR(IF(ISNUMBER(E489),E489,0),0)+IFERROR(IF(ISNUMBER(E490),E490,0),0),"")</f>
        <v/>
      </c>
      <c r="H490" s="78" t="s">
        <v>228</v>
      </c>
      <c r="I490" s="79" t="str">
        <f>IF('Beginner Adv 15M - Scoring'!B63&lt;&gt;"",IF('Beginner Adv 15M - Scoring'!AD63&lt;&gt;"",'Beginner Adv 15M - Scoring'!AD63,""),"")</f>
        <v/>
      </c>
      <c r="J490" s="79" t="str">
        <f>IF('Beginner Adv 15M - Scoring'!B63&lt;&gt;"",IF('Beginner Adv 15M - Scoring'!AE63&lt;&gt;"",'Beginner Adv 15M - Scoring'!AE63,""),"")</f>
        <v/>
      </c>
      <c r="K490" s="79" t="str">
        <f>IF('Beginner Adv 15M - Scoring'!B63&lt;&gt;"",IF('Beginner Adv 15M - Scoring'!AF63&lt;&gt;"",'Beginner Adv 15M - Scoring'!AF63,""),"")</f>
        <v/>
      </c>
      <c r="L490" s="80" t="str">
        <f>IF('Beginner Adv 15M - Scoring'!B63&lt;&gt;"",'Beginner Adv 15M - Scoring'!AT63,"")</f>
        <v/>
      </c>
      <c r="M490" s="81" t="str">
        <f>IF(L486&lt;&gt;"",IFERROR(IF(ISNUMBER(L486),L486,0),0)+IFERROR(IF(ISNUMBER(L487),L487,0),0)+IFERROR(IF(ISNUMBER(L488),L488,0),0)+IFERROR(IF(ISNUMBER(L489),L489,0),0)+IFERROR(IF(ISNUMBER(L490),L490,0),0),"")</f>
        <v/>
      </c>
    </row>
    <row r="491" spans="1:13" ht="19.5" customHeight="1" x14ac:dyDescent="0.35">
      <c r="A491" s="78" t="s">
        <v>229</v>
      </c>
      <c r="B491" s="79" t="str">
        <f>IF('Beginner Adv 15M - Scoring'!B62&lt;&gt;"",IF('Beginner Adv 15M - Scoring'!AJ62&lt;&gt;"",'Beginner Adv 15M - Scoring'!AJ62,""),"")</f>
        <v/>
      </c>
      <c r="C491" s="79" t="str">
        <f>IF('Beginner Adv 15M - Scoring'!B62&lt;&gt;"",IF('Beginner Adv 15M - Scoring'!AK62&lt;&gt;"",'Beginner Adv 15M - Scoring'!AK62,""),"")</f>
        <v/>
      </c>
      <c r="D491" s="79" t="str">
        <f>IF('Beginner Adv 15M - Scoring'!B62&lt;&gt;"",IF('Beginner Adv 15M - Scoring'!AL62&lt;&gt;"",'Beginner Adv 15M - Scoring'!AL62,""),"")</f>
        <v/>
      </c>
      <c r="E491" s="80" t="str">
        <f>IF('Beginner Adv 15M - Scoring'!B62&lt;&gt;"",'Beginner Adv 15M - Scoring'!AU62,"")</f>
        <v/>
      </c>
      <c r="F491" s="81" t="str">
        <f>IF(E486&lt;&gt;"",IFERROR(IF(ISNUMBER(E486),E486,0),0)+IFERROR(IF(ISNUMBER(E487),E487,0),0)+IFERROR(IF(ISNUMBER(E488),E488,0),0)+IFERROR(IF(ISNUMBER(E489),E489,0),0)+IFERROR(IF(ISNUMBER(E490),E490,0),0)+IFERROR(IF(ISNUMBER(E491),E491,0),0),"")</f>
        <v/>
      </c>
      <c r="H491" s="78" t="s">
        <v>229</v>
      </c>
      <c r="I491" s="79" t="str">
        <f>IF('Beginner Adv 15M - Scoring'!B63&lt;&gt;"",IF('Beginner Adv 15M - Scoring'!AJ63&lt;&gt;"",'Beginner Adv 15M - Scoring'!AJ63,""),"")</f>
        <v/>
      </c>
      <c r="J491" s="79" t="str">
        <f>IF('Beginner Adv 15M - Scoring'!B63&lt;&gt;"",IF('Beginner Adv 15M - Scoring'!AK63&lt;&gt;"",'Beginner Adv 15M - Scoring'!AK63,""),"")</f>
        <v/>
      </c>
      <c r="K491" s="79" t="str">
        <f>IF('Beginner Adv 15M - Scoring'!B63&lt;&gt;"",IF('Beginner Adv 15M - Scoring'!AL63&lt;&gt;"",'Beginner Adv 15M - Scoring'!AL63,""),"")</f>
        <v/>
      </c>
      <c r="L491" s="80" t="str">
        <f>IF('Beginner Adv 15M - Scoring'!B63&lt;&gt;"",'Beginner Adv 15M - Scoring'!AU63,"")</f>
        <v/>
      </c>
      <c r="M491" s="81" t="str">
        <f>IF(L486&lt;&gt;"",IFERROR(IF(ISNUMBER(L486),L486,0),0)+IFERROR(IF(ISNUMBER(L487),L487,0),0)+IFERROR(IF(ISNUMBER(L488),L488,0),0)+IFERROR(IF(ISNUMBER(L489),L489,0),0)+IFERROR(IF(ISNUMBER(L490),L490,0),0)+IFERROR(IF(ISNUMBER(L491),L491,0),0),"")</f>
        <v/>
      </c>
    </row>
    <row r="492" spans="1:13" ht="3.75" customHeight="1" x14ac:dyDescent="0.35"/>
    <row r="493" spans="1:13" ht="24" customHeight="1" x14ac:dyDescent="0.35">
      <c r="A493" s="124" t="s">
        <v>230</v>
      </c>
      <c r="B493" s="124"/>
      <c r="C493" s="124"/>
      <c r="D493" s="124"/>
      <c r="E493" s="125" t="str">
        <f>IF('Beginner Adv 15M - Scoring'!B62&lt;&gt;"",'Beginner Adv 15M - Scoring'!AV62,"")</f>
        <v/>
      </c>
      <c r="F493" s="125"/>
      <c r="H493" s="124" t="s">
        <v>230</v>
      </c>
      <c r="I493" s="124"/>
      <c r="J493" s="124"/>
      <c r="K493" s="124"/>
      <c r="L493" s="125" t="str">
        <f>IF('Beginner Adv 15M - Scoring'!B63&lt;&gt;"",'Beginner Adv 15M - Scoring'!AV63,"")</f>
        <v/>
      </c>
      <c r="M493" s="125"/>
    </row>
    <row r="494" spans="1:13" ht="19.5" customHeight="1" x14ac:dyDescent="0.35">
      <c r="E494" s="125"/>
      <c r="F494" s="125"/>
      <c r="L494" s="125"/>
      <c r="M494" s="125"/>
    </row>
    <row r="495" spans="1:13" ht="3.75" customHeight="1" x14ac:dyDescent="0.35"/>
    <row r="496" spans="1:13" ht="18" customHeight="1" x14ac:dyDescent="0.35">
      <c r="A496" s="73" t="s">
        <v>126</v>
      </c>
      <c r="B496" s="82" t="str">
        <f>IF('Beginner Adv 15M - Scoring'!B62&lt;&gt;"",'Beginner Adv 15M - Scoring'!AW62,"")</f>
        <v/>
      </c>
      <c r="C496" s="73" t="s">
        <v>127</v>
      </c>
      <c r="D496" s="83" t="str">
        <f>IF('Beginner Adv 15M - Scoring'!B62&lt;&gt;"",'Beginner Adv 15M - Scoring'!AX62,"")</f>
        <v/>
      </c>
      <c r="E496" s="73" t="s">
        <v>128</v>
      </c>
      <c r="F496" s="83" t="str">
        <f>IF('Beginner Adv 15M - Scoring'!B62&lt;&gt;"",'Beginner Adv 15M - Scoring'!AY62,"")</f>
        <v/>
      </c>
      <c r="H496" s="73" t="s">
        <v>126</v>
      </c>
      <c r="I496" s="82" t="str">
        <f>IF('Beginner Adv 15M - Scoring'!B63&lt;&gt;"",'Beginner Adv 15M - Scoring'!AW63,"")</f>
        <v/>
      </c>
      <c r="J496" s="73" t="s">
        <v>127</v>
      </c>
      <c r="K496" s="83" t="str">
        <f>IF('Beginner Adv 15M - Scoring'!B63&lt;&gt;"",'Beginner Adv 15M - Scoring'!AX63,"")</f>
        <v/>
      </c>
      <c r="L496" s="73" t="s">
        <v>128</v>
      </c>
      <c r="M496" s="83" t="str">
        <f>IF('Beginner Adv 15M - Scoring'!B63&lt;&gt;"",'Beginner Adv 15M - Scoring'!AY63,"")</f>
        <v/>
      </c>
    </row>
    <row r="497" spans="1:13" ht="3.75" customHeight="1" x14ac:dyDescent="0.35"/>
    <row r="498" spans="1:13" ht="7.5" customHeight="1" x14ac:dyDescent="0.35">
      <c r="A498" s="126"/>
      <c r="B498" s="126"/>
      <c r="C498" s="126"/>
      <c r="D498" s="126"/>
      <c r="E498" s="126"/>
      <c r="F498" s="126"/>
      <c r="G498" s="126"/>
      <c r="H498" s="126"/>
      <c r="I498" s="126"/>
      <c r="J498" s="126"/>
      <c r="K498" s="126"/>
      <c r="L498" s="126"/>
      <c r="M498" s="126"/>
    </row>
    <row r="499" spans="1:13" ht="15.75" customHeight="1" x14ac:dyDescent="0.35">
      <c r="A499" s="73" t="s">
        <v>218</v>
      </c>
      <c r="B499" s="122" t="str">
        <f>IF('Beginner Adv 15M - Scoring'!B64&lt;&gt;"",'Beginner Adv 15M - Scoring'!B64,"")</f>
        <v/>
      </c>
      <c r="C499" s="122"/>
      <c r="D499" s="122"/>
      <c r="E499" s="73" t="s">
        <v>219</v>
      </c>
      <c r="F499" s="74" t="str">
        <f>IF('Beginner Adv 15M - Scoring'!B64&lt;&gt;"",'Beginner Adv 15M - Scoring'!BB64,"")</f>
        <v/>
      </c>
      <c r="H499" s="73" t="s">
        <v>218</v>
      </c>
      <c r="I499" s="122" t="str">
        <f>IF('Beginner Adv 15M - Scoring'!B65&lt;&gt;"",'Beginner Adv 15M - Scoring'!B65,"")</f>
        <v/>
      </c>
      <c r="J499" s="122"/>
      <c r="K499" s="122"/>
      <c r="L499" s="73" t="s">
        <v>219</v>
      </c>
      <c r="M499" s="74" t="str">
        <f>IF('Beginner Adv 15M - Scoring'!B65&lt;&gt;"",'Beginner Adv 15M - Scoring'!BB65,"")</f>
        <v/>
      </c>
    </row>
    <row r="500" spans="1:13" ht="15.75" customHeight="1" x14ac:dyDescent="0.35">
      <c r="A500" s="73" t="s">
        <v>220</v>
      </c>
      <c r="B500" s="123" t="str">
        <f>IF('Beginner Adv 15M - Scoring'!B64&lt;&gt;"",'Beginner Adv 15M - Scoring'!D64,"")</f>
        <v/>
      </c>
      <c r="C500" s="123"/>
      <c r="D500" s="123"/>
      <c r="E500" s="73" t="s">
        <v>8</v>
      </c>
      <c r="F500" s="75" t="str">
        <f>IF('Beginner Adv 15M - Scoring'!B64&lt;&gt;"",'Beginner Adv 15M - Scoring'!E64,"")</f>
        <v/>
      </c>
      <c r="H500" s="73" t="s">
        <v>220</v>
      </c>
      <c r="I500" s="123" t="str">
        <f>IF('Beginner Adv 15M - Scoring'!B65&lt;&gt;"",'Beginner Adv 15M - Scoring'!D65,"")</f>
        <v/>
      </c>
      <c r="J500" s="123"/>
      <c r="K500" s="123"/>
      <c r="L500" s="73" t="s">
        <v>8</v>
      </c>
      <c r="M500" s="75" t="str">
        <f>IF('Beginner Adv 15M - Scoring'!B65&lt;&gt;"",'Beginner Adv 15M - Scoring'!E65,"")</f>
        <v/>
      </c>
    </row>
    <row r="501" spans="1:13" ht="3.75" customHeight="1" x14ac:dyDescent="0.35"/>
    <row r="502" spans="1:13" ht="25.5" customHeight="1" x14ac:dyDescent="0.35">
      <c r="A502" s="76" t="s">
        <v>221</v>
      </c>
      <c r="B502" s="77" t="s">
        <v>222</v>
      </c>
      <c r="C502" s="77" t="s">
        <v>223</v>
      </c>
      <c r="D502" s="77" t="s">
        <v>224</v>
      </c>
      <c r="E502" s="76" t="s">
        <v>225</v>
      </c>
      <c r="F502" s="76" t="s">
        <v>226</v>
      </c>
      <c r="H502" s="76" t="s">
        <v>221</v>
      </c>
      <c r="I502" s="77" t="s">
        <v>222</v>
      </c>
      <c r="J502" s="77" t="s">
        <v>223</v>
      </c>
      <c r="K502" s="77" t="s">
        <v>224</v>
      </c>
      <c r="L502" s="76" t="s">
        <v>225</v>
      </c>
      <c r="M502" s="76" t="s">
        <v>226</v>
      </c>
    </row>
    <row r="503" spans="1:13" ht="19.5" customHeight="1" x14ac:dyDescent="0.35">
      <c r="A503" s="78" t="s">
        <v>222</v>
      </c>
      <c r="B503" s="79" t="str">
        <f>IF('Beginner Adv 15M - Scoring'!B64&lt;&gt;"",IF('Beginner Adv 15M - Scoring'!F64&lt;&gt;"",'Beginner Adv 15M - Scoring'!F64,""),"")</f>
        <v/>
      </c>
      <c r="C503" s="79" t="str">
        <f>IF('Beginner Adv 15M - Scoring'!B64&lt;&gt;"",IF('Beginner Adv 15M - Scoring'!G64&lt;&gt;"",'Beginner Adv 15M - Scoring'!G64,""),"")</f>
        <v/>
      </c>
      <c r="D503" s="79" t="str">
        <f>IF('Beginner Adv 15M - Scoring'!B64&lt;&gt;"",IF('Beginner Adv 15M - Scoring'!H64&lt;&gt;"",'Beginner Adv 15M - Scoring'!H64,""),"")</f>
        <v/>
      </c>
      <c r="E503" s="80" t="str">
        <f>IF('Beginner Adv 15M - Scoring'!B64&lt;&gt;"",'Beginner Adv 15M - Scoring'!AP64,"")</f>
        <v/>
      </c>
      <c r="F503" s="81" t="str">
        <f>IFERROR(IF(ISNUMBER(E503),E503,""),"")</f>
        <v/>
      </c>
      <c r="H503" s="78" t="s">
        <v>222</v>
      </c>
      <c r="I503" s="79" t="str">
        <f>IF('Beginner Adv 15M - Scoring'!B65&lt;&gt;"",IF('Beginner Adv 15M - Scoring'!F65&lt;&gt;"",'Beginner Adv 15M - Scoring'!F65,""),"")</f>
        <v/>
      </c>
      <c r="J503" s="79" t="str">
        <f>IF('Beginner Adv 15M - Scoring'!B65&lt;&gt;"",IF('Beginner Adv 15M - Scoring'!G65&lt;&gt;"",'Beginner Adv 15M - Scoring'!G65,""),"")</f>
        <v/>
      </c>
      <c r="K503" s="79" t="str">
        <f>IF('Beginner Adv 15M - Scoring'!B65&lt;&gt;"",IF('Beginner Adv 15M - Scoring'!H65&lt;&gt;"",'Beginner Adv 15M - Scoring'!H65,""),"")</f>
        <v/>
      </c>
      <c r="L503" s="80" t="str">
        <f>IF('Beginner Adv 15M - Scoring'!B65&lt;&gt;"",'Beginner Adv 15M - Scoring'!AP65,"")</f>
        <v/>
      </c>
      <c r="M503" s="81" t="str">
        <f>IFERROR(IF(ISNUMBER(L503),L503,""),"")</f>
        <v/>
      </c>
    </row>
    <row r="504" spans="1:13" ht="19.5" customHeight="1" x14ac:dyDescent="0.35">
      <c r="A504" s="78" t="s">
        <v>223</v>
      </c>
      <c r="B504" s="79" t="str">
        <f>IF('Beginner Adv 15M - Scoring'!B64&lt;&gt;"",IF('Beginner Adv 15M - Scoring'!L64&lt;&gt;"",'Beginner Adv 15M - Scoring'!L64,""),"")</f>
        <v/>
      </c>
      <c r="C504" s="79" t="str">
        <f>IF('Beginner Adv 15M - Scoring'!B64&lt;&gt;"",IF('Beginner Adv 15M - Scoring'!M64&lt;&gt;"",'Beginner Adv 15M - Scoring'!M64,""),"")</f>
        <v/>
      </c>
      <c r="D504" s="79" t="str">
        <f>IF('Beginner Adv 15M - Scoring'!B64&lt;&gt;"",IF('Beginner Adv 15M - Scoring'!N64&lt;&gt;"",'Beginner Adv 15M - Scoring'!N64,""),"")</f>
        <v/>
      </c>
      <c r="E504" s="80" t="str">
        <f>IF('Beginner Adv 15M - Scoring'!B64&lt;&gt;"",'Beginner Adv 15M - Scoring'!AQ64,"")</f>
        <v/>
      </c>
      <c r="F504" s="81" t="str">
        <f>IF(E503&lt;&gt;"",IFERROR(IF(ISNUMBER(E503),E503,0),0)+IFERROR(IF(ISNUMBER(E504),E504,0),0),"")</f>
        <v/>
      </c>
      <c r="H504" s="78" t="s">
        <v>223</v>
      </c>
      <c r="I504" s="79" t="str">
        <f>IF('Beginner Adv 15M - Scoring'!B65&lt;&gt;"",IF('Beginner Adv 15M - Scoring'!L65&lt;&gt;"",'Beginner Adv 15M - Scoring'!L65,""),"")</f>
        <v/>
      </c>
      <c r="J504" s="79" t="str">
        <f>IF('Beginner Adv 15M - Scoring'!B65&lt;&gt;"",IF('Beginner Adv 15M - Scoring'!M65&lt;&gt;"",'Beginner Adv 15M - Scoring'!M65,""),"")</f>
        <v/>
      </c>
      <c r="K504" s="79" t="str">
        <f>IF('Beginner Adv 15M - Scoring'!B65&lt;&gt;"",IF('Beginner Adv 15M - Scoring'!N65&lt;&gt;"",'Beginner Adv 15M - Scoring'!N65,""),"")</f>
        <v/>
      </c>
      <c r="L504" s="80" t="str">
        <f>IF('Beginner Adv 15M - Scoring'!B65&lt;&gt;"",'Beginner Adv 15M - Scoring'!AQ65,"")</f>
        <v/>
      </c>
      <c r="M504" s="81" t="str">
        <f>IF(L503&lt;&gt;"",IFERROR(IF(ISNUMBER(L503),L503,0),0)+IFERROR(IF(ISNUMBER(L504),L504,0),0),"")</f>
        <v/>
      </c>
    </row>
    <row r="505" spans="1:13" ht="19.5" customHeight="1" x14ac:dyDescent="0.35">
      <c r="A505" s="78" t="s">
        <v>224</v>
      </c>
      <c r="B505" s="79" t="str">
        <f>IF('Beginner Adv 15M - Scoring'!B64&lt;&gt;"",IF('Beginner Adv 15M - Scoring'!R64&lt;&gt;"",'Beginner Adv 15M - Scoring'!R64,""),"")</f>
        <v/>
      </c>
      <c r="C505" s="79" t="str">
        <f>IF('Beginner Adv 15M - Scoring'!B64&lt;&gt;"",IF('Beginner Adv 15M - Scoring'!S64&lt;&gt;"",'Beginner Adv 15M - Scoring'!S64,""),"")</f>
        <v/>
      </c>
      <c r="D505" s="79" t="str">
        <f>IF('Beginner Adv 15M - Scoring'!B64&lt;&gt;"",IF('Beginner Adv 15M - Scoring'!T64&lt;&gt;"",'Beginner Adv 15M - Scoring'!T64,""),"")</f>
        <v/>
      </c>
      <c r="E505" s="80" t="str">
        <f>IF('Beginner Adv 15M - Scoring'!B64&lt;&gt;"",'Beginner Adv 15M - Scoring'!AR64,"")</f>
        <v/>
      </c>
      <c r="F505" s="81" t="str">
        <f>IF(E503&lt;&gt;"",IFERROR(IF(ISNUMBER(E503),E503,0),0)+IFERROR(IF(ISNUMBER(E504),E504,0),0)+IFERROR(IF(ISNUMBER(E505),E505,0),0),"")</f>
        <v/>
      </c>
      <c r="H505" s="78" t="s">
        <v>224</v>
      </c>
      <c r="I505" s="79" t="str">
        <f>IF('Beginner Adv 15M - Scoring'!B65&lt;&gt;"",IF('Beginner Adv 15M - Scoring'!R65&lt;&gt;"",'Beginner Adv 15M - Scoring'!R65,""),"")</f>
        <v/>
      </c>
      <c r="J505" s="79" t="str">
        <f>IF('Beginner Adv 15M - Scoring'!B65&lt;&gt;"",IF('Beginner Adv 15M - Scoring'!S65&lt;&gt;"",'Beginner Adv 15M - Scoring'!S65,""),"")</f>
        <v/>
      </c>
      <c r="K505" s="79" t="str">
        <f>IF('Beginner Adv 15M - Scoring'!B65&lt;&gt;"",IF('Beginner Adv 15M - Scoring'!T65&lt;&gt;"",'Beginner Adv 15M - Scoring'!T65,""),"")</f>
        <v/>
      </c>
      <c r="L505" s="80" t="str">
        <f>IF('Beginner Adv 15M - Scoring'!B65&lt;&gt;"",'Beginner Adv 15M - Scoring'!AR65,"")</f>
        <v/>
      </c>
      <c r="M505" s="81" t="str">
        <f>IF(L503&lt;&gt;"",IFERROR(IF(ISNUMBER(L503),L503,0),0)+IFERROR(IF(ISNUMBER(L504),L504,0),0)+IFERROR(IF(ISNUMBER(L505),L505,0),0),"")</f>
        <v/>
      </c>
    </row>
    <row r="506" spans="1:13" ht="19.5" customHeight="1" x14ac:dyDescent="0.35">
      <c r="A506" s="78" t="s">
        <v>227</v>
      </c>
      <c r="B506" s="79" t="str">
        <f>IF('Beginner Adv 15M - Scoring'!B64&lt;&gt;"",IF('Beginner Adv 15M - Scoring'!X64&lt;&gt;"",'Beginner Adv 15M - Scoring'!X64,""),"")</f>
        <v/>
      </c>
      <c r="C506" s="79" t="str">
        <f>IF('Beginner Adv 15M - Scoring'!B64&lt;&gt;"",IF('Beginner Adv 15M - Scoring'!Y64&lt;&gt;"",'Beginner Adv 15M - Scoring'!Y64,""),"")</f>
        <v/>
      </c>
      <c r="D506" s="79" t="str">
        <f>IF('Beginner Adv 15M - Scoring'!B64&lt;&gt;"",IF('Beginner Adv 15M - Scoring'!Z64&lt;&gt;"",'Beginner Adv 15M - Scoring'!Z64,""),"")</f>
        <v/>
      </c>
      <c r="E506" s="80" t="str">
        <f>IF('Beginner Adv 15M - Scoring'!B64&lt;&gt;"",'Beginner Adv 15M - Scoring'!AS64,"")</f>
        <v/>
      </c>
      <c r="F506" s="81" t="str">
        <f>IF(E503&lt;&gt;"",IFERROR(IF(ISNUMBER(E503),E503,0),0)+IFERROR(IF(ISNUMBER(E504),E504,0),0)+IFERROR(IF(ISNUMBER(E505),E505,0),0)+IFERROR(IF(ISNUMBER(E506),E506,0),0),"")</f>
        <v/>
      </c>
      <c r="H506" s="78" t="s">
        <v>227</v>
      </c>
      <c r="I506" s="79" t="str">
        <f>IF('Beginner Adv 15M - Scoring'!B65&lt;&gt;"",IF('Beginner Adv 15M - Scoring'!X65&lt;&gt;"",'Beginner Adv 15M - Scoring'!X65,""),"")</f>
        <v/>
      </c>
      <c r="J506" s="79" t="str">
        <f>IF('Beginner Adv 15M - Scoring'!B65&lt;&gt;"",IF('Beginner Adv 15M - Scoring'!Y65&lt;&gt;"",'Beginner Adv 15M - Scoring'!Y65,""),"")</f>
        <v/>
      </c>
      <c r="K506" s="79" t="str">
        <f>IF('Beginner Adv 15M - Scoring'!B65&lt;&gt;"",IF('Beginner Adv 15M - Scoring'!Z65&lt;&gt;"",'Beginner Adv 15M - Scoring'!Z65,""),"")</f>
        <v/>
      </c>
      <c r="L506" s="80" t="str">
        <f>IF('Beginner Adv 15M - Scoring'!B65&lt;&gt;"",'Beginner Adv 15M - Scoring'!AS65,"")</f>
        <v/>
      </c>
      <c r="M506" s="81" t="str">
        <f>IF(L503&lt;&gt;"",IFERROR(IF(ISNUMBER(L503),L503,0),0)+IFERROR(IF(ISNUMBER(L504),L504,0),0)+IFERROR(IF(ISNUMBER(L505),L505,0),0)+IFERROR(IF(ISNUMBER(L506),L506,0),0),"")</f>
        <v/>
      </c>
    </row>
    <row r="507" spans="1:13" ht="19.5" customHeight="1" x14ac:dyDescent="0.35">
      <c r="A507" s="78" t="s">
        <v>228</v>
      </c>
      <c r="B507" s="79" t="str">
        <f>IF('Beginner Adv 15M - Scoring'!B64&lt;&gt;"",IF('Beginner Adv 15M - Scoring'!AD64&lt;&gt;"",'Beginner Adv 15M - Scoring'!AD64,""),"")</f>
        <v/>
      </c>
      <c r="C507" s="79" t="str">
        <f>IF('Beginner Adv 15M - Scoring'!B64&lt;&gt;"",IF('Beginner Adv 15M - Scoring'!AE64&lt;&gt;"",'Beginner Adv 15M - Scoring'!AE64,""),"")</f>
        <v/>
      </c>
      <c r="D507" s="79" t="str">
        <f>IF('Beginner Adv 15M - Scoring'!B64&lt;&gt;"",IF('Beginner Adv 15M - Scoring'!AF64&lt;&gt;"",'Beginner Adv 15M - Scoring'!AF64,""),"")</f>
        <v/>
      </c>
      <c r="E507" s="80" t="str">
        <f>IF('Beginner Adv 15M - Scoring'!B64&lt;&gt;"",'Beginner Adv 15M - Scoring'!AT64,"")</f>
        <v/>
      </c>
      <c r="F507" s="81" t="str">
        <f>IF(E503&lt;&gt;"",IFERROR(IF(ISNUMBER(E503),E503,0),0)+IFERROR(IF(ISNUMBER(E504),E504,0),0)+IFERROR(IF(ISNUMBER(E505),E505,0),0)+IFERROR(IF(ISNUMBER(E506),E506,0),0)+IFERROR(IF(ISNUMBER(E507),E507,0),0),"")</f>
        <v/>
      </c>
      <c r="H507" s="78" t="s">
        <v>228</v>
      </c>
      <c r="I507" s="79" t="str">
        <f>IF('Beginner Adv 15M - Scoring'!B65&lt;&gt;"",IF('Beginner Adv 15M - Scoring'!AD65&lt;&gt;"",'Beginner Adv 15M - Scoring'!AD65,""),"")</f>
        <v/>
      </c>
      <c r="J507" s="79" t="str">
        <f>IF('Beginner Adv 15M - Scoring'!B65&lt;&gt;"",IF('Beginner Adv 15M - Scoring'!AE65&lt;&gt;"",'Beginner Adv 15M - Scoring'!AE65,""),"")</f>
        <v/>
      </c>
      <c r="K507" s="79" t="str">
        <f>IF('Beginner Adv 15M - Scoring'!B65&lt;&gt;"",IF('Beginner Adv 15M - Scoring'!AF65&lt;&gt;"",'Beginner Adv 15M - Scoring'!AF65,""),"")</f>
        <v/>
      </c>
      <c r="L507" s="80" t="str">
        <f>IF('Beginner Adv 15M - Scoring'!B65&lt;&gt;"",'Beginner Adv 15M - Scoring'!AT65,"")</f>
        <v/>
      </c>
      <c r="M507" s="81" t="str">
        <f>IF(L503&lt;&gt;"",IFERROR(IF(ISNUMBER(L503),L503,0),0)+IFERROR(IF(ISNUMBER(L504),L504,0),0)+IFERROR(IF(ISNUMBER(L505),L505,0),0)+IFERROR(IF(ISNUMBER(L506),L506,0),0)+IFERROR(IF(ISNUMBER(L507),L507,0),0),"")</f>
        <v/>
      </c>
    </row>
    <row r="508" spans="1:13" ht="19.5" customHeight="1" x14ac:dyDescent="0.35">
      <c r="A508" s="78" t="s">
        <v>229</v>
      </c>
      <c r="B508" s="79" t="str">
        <f>IF('Beginner Adv 15M - Scoring'!B64&lt;&gt;"",IF('Beginner Adv 15M - Scoring'!AJ64&lt;&gt;"",'Beginner Adv 15M - Scoring'!AJ64,""),"")</f>
        <v/>
      </c>
      <c r="C508" s="79" t="str">
        <f>IF('Beginner Adv 15M - Scoring'!B64&lt;&gt;"",IF('Beginner Adv 15M - Scoring'!AK64&lt;&gt;"",'Beginner Adv 15M - Scoring'!AK64,""),"")</f>
        <v/>
      </c>
      <c r="D508" s="79" t="str">
        <f>IF('Beginner Adv 15M - Scoring'!B64&lt;&gt;"",IF('Beginner Adv 15M - Scoring'!AL64&lt;&gt;"",'Beginner Adv 15M - Scoring'!AL64,""),"")</f>
        <v/>
      </c>
      <c r="E508" s="80" t="str">
        <f>IF('Beginner Adv 15M - Scoring'!B64&lt;&gt;"",'Beginner Adv 15M - Scoring'!AU64,"")</f>
        <v/>
      </c>
      <c r="F508" s="81" t="str">
        <f>IF(E503&lt;&gt;"",IFERROR(IF(ISNUMBER(E503),E503,0),0)+IFERROR(IF(ISNUMBER(E504),E504,0),0)+IFERROR(IF(ISNUMBER(E505),E505,0),0)+IFERROR(IF(ISNUMBER(E506),E506,0),0)+IFERROR(IF(ISNUMBER(E507),E507,0),0)+IFERROR(IF(ISNUMBER(E508),E508,0),0),"")</f>
        <v/>
      </c>
      <c r="H508" s="78" t="s">
        <v>229</v>
      </c>
      <c r="I508" s="79" t="str">
        <f>IF('Beginner Adv 15M - Scoring'!B65&lt;&gt;"",IF('Beginner Adv 15M - Scoring'!AJ65&lt;&gt;"",'Beginner Adv 15M - Scoring'!AJ65,""),"")</f>
        <v/>
      </c>
      <c r="J508" s="79" t="str">
        <f>IF('Beginner Adv 15M - Scoring'!B65&lt;&gt;"",IF('Beginner Adv 15M - Scoring'!AK65&lt;&gt;"",'Beginner Adv 15M - Scoring'!AK65,""),"")</f>
        <v/>
      </c>
      <c r="K508" s="79" t="str">
        <f>IF('Beginner Adv 15M - Scoring'!B65&lt;&gt;"",IF('Beginner Adv 15M - Scoring'!AL65&lt;&gt;"",'Beginner Adv 15M - Scoring'!AL65,""),"")</f>
        <v/>
      </c>
      <c r="L508" s="80" t="str">
        <f>IF('Beginner Adv 15M - Scoring'!B65&lt;&gt;"",'Beginner Adv 15M - Scoring'!AU65,"")</f>
        <v/>
      </c>
      <c r="M508" s="81" t="str">
        <f>IF(L503&lt;&gt;"",IFERROR(IF(ISNUMBER(L503),L503,0),0)+IFERROR(IF(ISNUMBER(L504),L504,0),0)+IFERROR(IF(ISNUMBER(L505),L505,0),0)+IFERROR(IF(ISNUMBER(L506),L506,0),0)+IFERROR(IF(ISNUMBER(L507),L507,0),0)+IFERROR(IF(ISNUMBER(L508),L508,0),0),"")</f>
        <v/>
      </c>
    </row>
    <row r="509" spans="1:13" ht="3.75" customHeight="1" x14ac:dyDescent="0.35"/>
    <row r="510" spans="1:13" ht="24" customHeight="1" x14ac:dyDescent="0.35">
      <c r="A510" s="124" t="s">
        <v>230</v>
      </c>
      <c r="B510" s="124"/>
      <c r="C510" s="124"/>
      <c r="D510" s="124"/>
      <c r="E510" s="125" t="str">
        <f>IF('Beginner Adv 15M - Scoring'!B64&lt;&gt;"",'Beginner Adv 15M - Scoring'!AV64,"")</f>
        <v/>
      </c>
      <c r="F510" s="125"/>
      <c r="H510" s="124" t="s">
        <v>230</v>
      </c>
      <c r="I510" s="124"/>
      <c r="J510" s="124"/>
      <c r="K510" s="124"/>
      <c r="L510" s="125" t="str">
        <f>IF('Beginner Adv 15M - Scoring'!B65&lt;&gt;"",'Beginner Adv 15M - Scoring'!AV65,"")</f>
        <v/>
      </c>
      <c r="M510" s="125"/>
    </row>
    <row r="511" spans="1:13" ht="19.5" customHeight="1" x14ac:dyDescent="0.35">
      <c r="E511" s="125"/>
      <c r="F511" s="125"/>
      <c r="L511" s="125"/>
      <c r="M511" s="125"/>
    </row>
    <row r="512" spans="1:13" ht="3.75" customHeight="1" x14ac:dyDescent="0.35"/>
    <row r="513" spans="1:13" ht="18" customHeight="1" x14ac:dyDescent="0.35">
      <c r="A513" s="73" t="s">
        <v>126</v>
      </c>
      <c r="B513" s="82" t="str">
        <f>IF('Beginner Adv 15M - Scoring'!B64&lt;&gt;"",'Beginner Adv 15M - Scoring'!AW64,"")</f>
        <v/>
      </c>
      <c r="C513" s="73" t="s">
        <v>127</v>
      </c>
      <c r="D513" s="83" t="str">
        <f>IF('Beginner Adv 15M - Scoring'!B64&lt;&gt;"",'Beginner Adv 15M - Scoring'!AX64,"")</f>
        <v/>
      </c>
      <c r="E513" s="73" t="s">
        <v>128</v>
      </c>
      <c r="F513" s="83" t="str">
        <f>IF('Beginner Adv 15M - Scoring'!B64&lt;&gt;"",'Beginner Adv 15M - Scoring'!AY64,"")</f>
        <v/>
      </c>
      <c r="H513" s="73" t="s">
        <v>126</v>
      </c>
      <c r="I513" s="82" t="str">
        <f>IF('Beginner Adv 15M - Scoring'!B65&lt;&gt;"",'Beginner Adv 15M - Scoring'!AW65,"")</f>
        <v/>
      </c>
      <c r="J513" s="73" t="s">
        <v>127</v>
      </c>
      <c r="K513" s="83" t="str">
        <f>IF('Beginner Adv 15M - Scoring'!B65&lt;&gt;"",'Beginner Adv 15M - Scoring'!AX65,"")</f>
        <v/>
      </c>
      <c r="L513" s="73" t="s">
        <v>128</v>
      </c>
      <c r="M513" s="83" t="str">
        <f>IF('Beginner Adv 15M - Scoring'!B65&lt;&gt;"",'Beginner Adv 15M - Scoring'!AY65,"")</f>
        <v/>
      </c>
    </row>
    <row r="514" spans="1:13" ht="3.75" customHeight="1" x14ac:dyDescent="0.35"/>
    <row r="515" spans="1:13" ht="7.5" customHeight="1" x14ac:dyDescent="0.35">
      <c r="A515" s="126"/>
      <c r="B515" s="126"/>
      <c r="C515" s="126"/>
      <c r="D515" s="126"/>
      <c r="E515" s="126"/>
      <c r="F515" s="126"/>
      <c r="G515" s="126"/>
      <c r="H515" s="126"/>
      <c r="I515" s="126"/>
      <c r="J515" s="126"/>
      <c r="K515" s="126"/>
      <c r="L515" s="126"/>
      <c r="M515" s="126"/>
    </row>
    <row r="516" spans="1:13" ht="15.75" customHeight="1" x14ac:dyDescent="0.35">
      <c r="A516" s="73" t="s">
        <v>218</v>
      </c>
      <c r="B516" s="122" t="str">
        <f>IF('Beginner Adv 15M - Scoring'!B66&lt;&gt;"",'Beginner Adv 15M - Scoring'!B66,"")</f>
        <v/>
      </c>
      <c r="C516" s="122"/>
      <c r="D516" s="122"/>
      <c r="E516" s="73" t="s">
        <v>219</v>
      </c>
      <c r="F516" s="74" t="str">
        <f>IF('Beginner Adv 15M - Scoring'!B66&lt;&gt;"",'Beginner Adv 15M - Scoring'!BB66,"")</f>
        <v/>
      </c>
      <c r="H516" s="73" t="s">
        <v>218</v>
      </c>
      <c r="I516" s="122" t="str">
        <f>IF('Beginner Adv 15M - Scoring'!B67&lt;&gt;"",'Beginner Adv 15M - Scoring'!B67,"")</f>
        <v/>
      </c>
      <c r="J516" s="122"/>
      <c r="K516" s="122"/>
      <c r="L516" s="73" t="s">
        <v>219</v>
      </c>
      <c r="M516" s="74" t="str">
        <f>IF('Beginner Adv 15M - Scoring'!B67&lt;&gt;"",'Beginner Adv 15M - Scoring'!BB67,"")</f>
        <v/>
      </c>
    </row>
    <row r="517" spans="1:13" ht="15.75" customHeight="1" x14ac:dyDescent="0.35">
      <c r="A517" s="73" t="s">
        <v>220</v>
      </c>
      <c r="B517" s="123" t="str">
        <f>IF('Beginner Adv 15M - Scoring'!B66&lt;&gt;"",'Beginner Adv 15M - Scoring'!D66,"")</f>
        <v/>
      </c>
      <c r="C517" s="123"/>
      <c r="D517" s="123"/>
      <c r="E517" s="73" t="s">
        <v>8</v>
      </c>
      <c r="F517" s="75" t="str">
        <f>IF('Beginner Adv 15M - Scoring'!B66&lt;&gt;"",'Beginner Adv 15M - Scoring'!E66,"")</f>
        <v/>
      </c>
      <c r="H517" s="73" t="s">
        <v>220</v>
      </c>
      <c r="I517" s="123" t="str">
        <f>IF('Beginner Adv 15M - Scoring'!B67&lt;&gt;"",'Beginner Adv 15M - Scoring'!D67,"")</f>
        <v/>
      </c>
      <c r="J517" s="123"/>
      <c r="K517" s="123"/>
      <c r="L517" s="73" t="s">
        <v>8</v>
      </c>
      <c r="M517" s="75" t="str">
        <f>IF('Beginner Adv 15M - Scoring'!B67&lt;&gt;"",'Beginner Adv 15M - Scoring'!E67,"")</f>
        <v/>
      </c>
    </row>
    <row r="518" spans="1:13" ht="3.75" customHeight="1" x14ac:dyDescent="0.35"/>
    <row r="519" spans="1:13" ht="25.5" customHeight="1" x14ac:dyDescent="0.35">
      <c r="A519" s="76" t="s">
        <v>221</v>
      </c>
      <c r="B519" s="77" t="s">
        <v>222</v>
      </c>
      <c r="C519" s="77" t="s">
        <v>223</v>
      </c>
      <c r="D519" s="77" t="s">
        <v>224</v>
      </c>
      <c r="E519" s="76" t="s">
        <v>225</v>
      </c>
      <c r="F519" s="76" t="s">
        <v>226</v>
      </c>
      <c r="H519" s="76" t="s">
        <v>221</v>
      </c>
      <c r="I519" s="77" t="s">
        <v>222</v>
      </c>
      <c r="J519" s="77" t="s">
        <v>223</v>
      </c>
      <c r="K519" s="77" t="s">
        <v>224</v>
      </c>
      <c r="L519" s="76" t="s">
        <v>225</v>
      </c>
      <c r="M519" s="76" t="s">
        <v>226</v>
      </c>
    </row>
    <row r="520" spans="1:13" ht="19.5" customHeight="1" x14ac:dyDescent="0.35">
      <c r="A520" s="78" t="s">
        <v>222</v>
      </c>
      <c r="B520" s="79" t="str">
        <f>IF('Beginner Adv 15M - Scoring'!B66&lt;&gt;"",IF('Beginner Adv 15M - Scoring'!F66&lt;&gt;"",'Beginner Adv 15M - Scoring'!F66,""),"")</f>
        <v/>
      </c>
      <c r="C520" s="79" t="str">
        <f>IF('Beginner Adv 15M - Scoring'!B66&lt;&gt;"",IF('Beginner Adv 15M - Scoring'!G66&lt;&gt;"",'Beginner Adv 15M - Scoring'!G66,""),"")</f>
        <v/>
      </c>
      <c r="D520" s="79" t="str">
        <f>IF('Beginner Adv 15M - Scoring'!B66&lt;&gt;"",IF('Beginner Adv 15M - Scoring'!H66&lt;&gt;"",'Beginner Adv 15M - Scoring'!H66,""),"")</f>
        <v/>
      </c>
      <c r="E520" s="80" t="str">
        <f>IF('Beginner Adv 15M - Scoring'!B66&lt;&gt;"",'Beginner Adv 15M - Scoring'!AP66,"")</f>
        <v/>
      </c>
      <c r="F520" s="81" t="str">
        <f>IFERROR(IF(ISNUMBER(E520),E520,""),"")</f>
        <v/>
      </c>
      <c r="H520" s="78" t="s">
        <v>222</v>
      </c>
      <c r="I520" s="79" t="str">
        <f>IF('Beginner Adv 15M - Scoring'!B67&lt;&gt;"",IF('Beginner Adv 15M - Scoring'!F67&lt;&gt;"",'Beginner Adv 15M - Scoring'!F67,""),"")</f>
        <v/>
      </c>
      <c r="J520" s="79" t="str">
        <f>IF('Beginner Adv 15M - Scoring'!B67&lt;&gt;"",IF('Beginner Adv 15M - Scoring'!G67&lt;&gt;"",'Beginner Adv 15M - Scoring'!G67,""),"")</f>
        <v/>
      </c>
      <c r="K520" s="79" t="str">
        <f>IF('Beginner Adv 15M - Scoring'!B67&lt;&gt;"",IF('Beginner Adv 15M - Scoring'!H67&lt;&gt;"",'Beginner Adv 15M - Scoring'!H67,""),"")</f>
        <v/>
      </c>
      <c r="L520" s="80" t="str">
        <f>IF('Beginner Adv 15M - Scoring'!B67&lt;&gt;"",'Beginner Adv 15M - Scoring'!AP67,"")</f>
        <v/>
      </c>
      <c r="M520" s="81" t="str">
        <f>IFERROR(IF(ISNUMBER(L520),L520,""),"")</f>
        <v/>
      </c>
    </row>
    <row r="521" spans="1:13" ht="19.5" customHeight="1" x14ac:dyDescent="0.35">
      <c r="A521" s="78" t="s">
        <v>223</v>
      </c>
      <c r="B521" s="79" t="str">
        <f>IF('Beginner Adv 15M - Scoring'!B66&lt;&gt;"",IF('Beginner Adv 15M - Scoring'!L66&lt;&gt;"",'Beginner Adv 15M - Scoring'!L66,""),"")</f>
        <v/>
      </c>
      <c r="C521" s="79" t="str">
        <f>IF('Beginner Adv 15M - Scoring'!B66&lt;&gt;"",IF('Beginner Adv 15M - Scoring'!M66&lt;&gt;"",'Beginner Adv 15M - Scoring'!M66,""),"")</f>
        <v/>
      </c>
      <c r="D521" s="79" t="str">
        <f>IF('Beginner Adv 15M - Scoring'!B66&lt;&gt;"",IF('Beginner Adv 15M - Scoring'!N66&lt;&gt;"",'Beginner Adv 15M - Scoring'!N66,""),"")</f>
        <v/>
      </c>
      <c r="E521" s="80" t="str">
        <f>IF('Beginner Adv 15M - Scoring'!B66&lt;&gt;"",'Beginner Adv 15M - Scoring'!AQ66,"")</f>
        <v/>
      </c>
      <c r="F521" s="81" t="str">
        <f>IF(E520&lt;&gt;"",IFERROR(IF(ISNUMBER(E520),E520,0),0)+IFERROR(IF(ISNUMBER(E521),E521,0),0),"")</f>
        <v/>
      </c>
      <c r="H521" s="78" t="s">
        <v>223</v>
      </c>
      <c r="I521" s="79" t="str">
        <f>IF('Beginner Adv 15M - Scoring'!B67&lt;&gt;"",IF('Beginner Adv 15M - Scoring'!L67&lt;&gt;"",'Beginner Adv 15M - Scoring'!L67,""),"")</f>
        <v/>
      </c>
      <c r="J521" s="79" t="str">
        <f>IF('Beginner Adv 15M - Scoring'!B67&lt;&gt;"",IF('Beginner Adv 15M - Scoring'!M67&lt;&gt;"",'Beginner Adv 15M - Scoring'!M67,""),"")</f>
        <v/>
      </c>
      <c r="K521" s="79" t="str">
        <f>IF('Beginner Adv 15M - Scoring'!B67&lt;&gt;"",IF('Beginner Adv 15M - Scoring'!N67&lt;&gt;"",'Beginner Adv 15M - Scoring'!N67,""),"")</f>
        <v/>
      </c>
      <c r="L521" s="80" t="str">
        <f>IF('Beginner Adv 15M - Scoring'!B67&lt;&gt;"",'Beginner Adv 15M - Scoring'!AQ67,"")</f>
        <v/>
      </c>
      <c r="M521" s="81" t="str">
        <f>IF(L520&lt;&gt;"",IFERROR(IF(ISNUMBER(L520),L520,0),0)+IFERROR(IF(ISNUMBER(L521),L521,0),0),"")</f>
        <v/>
      </c>
    </row>
    <row r="522" spans="1:13" ht="19.5" customHeight="1" x14ac:dyDescent="0.35">
      <c r="A522" s="78" t="s">
        <v>224</v>
      </c>
      <c r="B522" s="79" t="str">
        <f>IF('Beginner Adv 15M - Scoring'!B66&lt;&gt;"",IF('Beginner Adv 15M - Scoring'!R66&lt;&gt;"",'Beginner Adv 15M - Scoring'!R66,""),"")</f>
        <v/>
      </c>
      <c r="C522" s="79" t="str">
        <f>IF('Beginner Adv 15M - Scoring'!B66&lt;&gt;"",IF('Beginner Adv 15M - Scoring'!S66&lt;&gt;"",'Beginner Adv 15M - Scoring'!S66,""),"")</f>
        <v/>
      </c>
      <c r="D522" s="79" t="str">
        <f>IF('Beginner Adv 15M - Scoring'!B66&lt;&gt;"",IF('Beginner Adv 15M - Scoring'!T66&lt;&gt;"",'Beginner Adv 15M - Scoring'!T66,""),"")</f>
        <v/>
      </c>
      <c r="E522" s="80" t="str">
        <f>IF('Beginner Adv 15M - Scoring'!B66&lt;&gt;"",'Beginner Adv 15M - Scoring'!AR66,"")</f>
        <v/>
      </c>
      <c r="F522" s="81" t="str">
        <f>IF(E520&lt;&gt;"",IFERROR(IF(ISNUMBER(E520),E520,0),0)+IFERROR(IF(ISNUMBER(E521),E521,0),0)+IFERROR(IF(ISNUMBER(E522),E522,0),0),"")</f>
        <v/>
      </c>
      <c r="H522" s="78" t="s">
        <v>224</v>
      </c>
      <c r="I522" s="79" t="str">
        <f>IF('Beginner Adv 15M - Scoring'!B67&lt;&gt;"",IF('Beginner Adv 15M - Scoring'!R67&lt;&gt;"",'Beginner Adv 15M - Scoring'!R67,""),"")</f>
        <v/>
      </c>
      <c r="J522" s="79" t="str">
        <f>IF('Beginner Adv 15M - Scoring'!B67&lt;&gt;"",IF('Beginner Adv 15M - Scoring'!S67&lt;&gt;"",'Beginner Adv 15M - Scoring'!S67,""),"")</f>
        <v/>
      </c>
      <c r="K522" s="79" t="str">
        <f>IF('Beginner Adv 15M - Scoring'!B67&lt;&gt;"",IF('Beginner Adv 15M - Scoring'!T67&lt;&gt;"",'Beginner Adv 15M - Scoring'!T67,""),"")</f>
        <v/>
      </c>
      <c r="L522" s="80" t="str">
        <f>IF('Beginner Adv 15M - Scoring'!B67&lt;&gt;"",'Beginner Adv 15M - Scoring'!AR67,"")</f>
        <v/>
      </c>
      <c r="M522" s="81" t="str">
        <f>IF(L520&lt;&gt;"",IFERROR(IF(ISNUMBER(L520),L520,0),0)+IFERROR(IF(ISNUMBER(L521),L521,0),0)+IFERROR(IF(ISNUMBER(L522),L522,0),0),"")</f>
        <v/>
      </c>
    </row>
    <row r="523" spans="1:13" ht="19.5" customHeight="1" x14ac:dyDescent="0.35">
      <c r="A523" s="78" t="s">
        <v>227</v>
      </c>
      <c r="B523" s="79" t="str">
        <f>IF('Beginner Adv 15M - Scoring'!B66&lt;&gt;"",IF('Beginner Adv 15M - Scoring'!X66&lt;&gt;"",'Beginner Adv 15M - Scoring'!X66,""),"")</f>
        <v/>
      </c>
      <c r="C523" s="79" t="str">
        <f>IF('Beginner Adv 15M - Scoring'!B66&lt;&gt;"",IF('Beginner Adv 15M - Scoring'!Y66&lt;&gt;"",'Beginner Adv 15M - Scoring'!Y66,""),"")</f>
        <v/>
      </c>
      <c r="D523" s="79" t="str">
        <f>IF('Beginner Adv 15M - Scoring'!B66&lt;&gt;"",IF('Beginner Adv 15M - Scoring'!Z66&lt;&gt;"",'Beginner Adv 15M - Scoring'!Z66,""),"")</f>
        <v/>
      </c>
      <c r="E523" s="80" t="str">
        <f>IF('Beginner Adv 15M - Scoring'!B66&lt;&gt;"",'Beginner Adv 15M - Scoring'!AS66,"")</f>
        <v/>
      </c>
      <c r="F523" s="81" t="str">
        <f>IF(E520&lt;&gt;"",IFERROR(IF(ISNUMBER(E520),E520,0),0)+IFERROR(IF(ISNUMBER(E521),E521,0),0)+IFERROR(IF(ISNUMBER(E522),E522,0),0)+IFERROR(IF(ISNUMBER(E523),E523,0),0),"")</f>
        <v/>
      </c>
      <c r="H523" s="78" t="s">
        <v>227</v>
      </c>
      <c r="I523" s="79" t="str">
        <f>IF('Beginner Adv 15M - Scoring'!B67&lt;&gt;"",IF('Beginner Adv 15M - Scoring'!X67&lt;&gt;"",'Beginner Adv 15M - Scoring'!X67,""),"")</f>
        <v/>
      </c>
      <c r="J523" s="79" t="str">
        <f>IF('Beginner Adv 15M - Scoring'!B67&lt;&gt;"",IF('Beginner Adv 15M - Scoring'!Y67&lt;&gt;"",'Beginner Adv 15M - Scoring'!Y67,""),"")</f>
        <v/>
      </c>
      <c r="K523" s="79" t="str">
        <f>IF('Beginner Adv 15M - Scoring'!B67&lt;&gt;"",IF('Beginner Adv 15M - Scoring'!Z67&lt;&gt;"",'Beginner Adv 15M - Scoring'!Z67,""),"")</f>
        <v/>
      </c>
      <c r="L523" s="80" t="str">
        <f>IF('Beginner Adv 15M - Scoring'!B67&lt;&gt;"",'Beginner Adv 15M - Scoring'!AS67,"")</f>
        <v/>
      </c>
      <c r="M523" s="81" t="str">
        <f>IF(L520&lt;&gt;"",IFERROR(IF(ISNUMBER(L520),L520,0),0)+IFERROR(IF(ISNUMBER(L521),L521,0),0)+IFERROR(IF(ISNUMBER(L522),L522,0),0)+IFERROR(IF(ISNUMBER(L523),L523,0),0),"")</f>
        <v/>
      </c>
    </row>
    <row r="524" spans="1:13" ht="19.5" customHeight="1" x14ac:dyDescent="0.35">
      <c r="A524" s="78" t="s">
        <v>228</v>
      </c>
      <c r="B524" s="79" t="str">
        <f>IF('Beginner Adv 15M - Scoring'!B66&lt;&gt;"",IF('Beginner Adv 15M - Scoring'!AD66&lt;&gt;"",'Beginner Adv 15M - Scoring'!AD66,""),"")</f>
        <v/>
      </c>
      <c r="C524" s="79" t="str">
        <f>IF('Beginner Adv 15M - Scoring'!B66&lt;&gt;"",IF('Beginner Adv 15M - Scoring'!AE66&lt;&gt;"",'Beginner Adv 15M - Scoring'!AE66,""),"")</f>
        <v/>
      </c>
      <c r="D524" s="79" t="str">
        <f>IF('Beginner Adv 15M - Scoring'!B66&lt;&gt;"",IF('Beginner Adv 15M - Scoring'!AF66&lt;&gt;"",'Beginner Adv 15M - Scoring'!AF66,""),"")</f>
        <v/>
      </c>
      <c r="E524" s="80" t="str">
        <f>IF('Beginner Adv 15M - Scoring'!B66&lt;&gt;"",'Beginner Adv 15M - Scoring'!AT66,"")</f>
        <v/>
      </c>
      <c r="F524" s="81" t="str">
        <f>IF(E520&lt;&gt;"",IFERROR(IF(ISNUMBER(E520),E520,0),0)+IFERROR(IF(ISNUMBER(E521),E521,0),0)+IFERROR(IF(ISNUMBER(E522),E522,0),0)+IFERROR(IF(ISNUMBER(E523),E523,0),0)+IFERROR(IF(ISNUMBER(E524),E524,0),0),"")</f>
        <v/>
      </c>
      <c r="H524" s="78" t="s">
        <v>228</v>
      </c>
      <c r="I524" s="79" t="str">
        <f>IF('Beginner Adv 15M - Scoring'!B67&lt;&gt;"",IF('Beginner Adv 15M - Scoring'!AD67&lt;&gt;"",'Beginner Adv 15M - Scoring'!AD67,""),"")</f>
        <v/>
      </c>
      <c r="J524" s="79" t="str">
        <f>IF('Beginner Adv 15M - Scoring'!B67&lt;&gt;"",IF('Beginner Adv 15M - Scoring'!AE67&lt;&gt;"",'Beginner Adv 15M - Scoring'!AE67,""),"")</f>
        <v/>
      </c>
      <c r="K524" s="79" t="str">
        <f>IF('Beginner Adv 15M - Scoring'!B67&lt;&gt;"",IF('Beginner Adv 15M - Scoring'!AF67&lt;&gt;"",'Beginner Adv 15M - Scoring'!AF67,""),"")</f>
        <v/>
      </c>
      <c r="L524" s="80" t="str">
        <f>IF('Beginner Adv 15M - Scoring'!B67&lt;&gt;"",'Beginner Adv 15M - Scoring'!AT67,"")</f>
        <v/>
      </c>
      <c r="M524" s="81" t="str">
        <f>IF(L520&lt;&gt;"",IFERROR(IF(ISNUMBER(L520),L520,0),0)+IFERROR(IF(ISNUMBER(L521),L521,0),0)+IFERROR(IF(ISNUMBER(L522),L522,0),0)+IFERROR(IF(ISNUMBER(L523),L523,0),0)+IFERROR(IF(ISNUMBER(L524),L524,0),0),"")</f>
        <v/>
      </c>
    </row>
    <row r="525" spans="1:13" ht="19.5" customHeight="1" x14ac:dyDescent="0.35">
      <c r="A525" s="78" t="s">
        <v>229</v>
      </c>
      <c r="B525" s="79" t="str">
        <f>IF('Beginner Adv 15M - Scoring'!B66&lt;&gt;"",IF('Beginner Adv 15M - Scoring'!AJ66&lt;&gt;"",'Beginner Adv 15M - Scoring'!AJ66,""),"")</f>
        <v/>
      </c>
      <c r="C525" s="79" t="str">
        <f>IF('Beginner Adv 15M - Scoring'!B66&lt;&gt;"",IF('Beginner Adv 15M - Scoring'!AK66&lt;&gt;"",'Beginner Adv 15M - Scoring'!AK66,""),"")</f>
        <v/>
      </c>
      <c r="D525" s="79" t="str">
        <f>IF('Beginner Adv 15M - Scoring'!B66&lt;&gt;"",IF('Beginner Adv 15M - Scoring'!AL66&lt;&gt;"",'Beginner Adv 15M - Scoring'!AL66,""),"")</f>
        <v/>
      </c>
      <c r="E525" s="80" t="str">
        <f>IF('Beginner Adv 15M - Scoring'!B66&lt;&gt;"",'Beginner Adv 15M - Scoring'!AU66,"")</f>
        <v/>
      </c>
      <c r="F525" s="81" t="str">
        <f>IF(E520&lt;&gt;"",IFERROR(IF(ISNUMBER(E520),E520,0),0)+IFERROR(IF(ISNUMBER(E521),E521,0),0)+IFERROR(IF(ISNUMBER(E522),E522,0),0)+IFERROR(IF(ISNUMBER(E523),E523,0),0)+IFERROR(IF(ISNUMBER(E524),E524,0),0)+IFERROR(IF(ISNUMBER(E525),E525,0),0),"")</f>
        <v/>
      </c>
      <c r="H525" s="78" t="s">
        <v>229</v>
      </c>
      <c r="I525" s="79" t="str">
        <f>IF('Beginner Adv 15M - Scoring'!B67&lt;&gt;"",IF('Beginner Adv 15M - Scoring'!AJ67&lt;&gt;"",'Beginner Adv 15M - Scoring'!AJ67,""),"")</f>
        <v/>
      </c>
      <c r="J525" s="79" t="str">
        <f>IF('Beginner Adv 15M - Scoring'!B67&lt;&gt;"",IF('Beginner Adv 15M - Scoring'!AK67&lt;&gt;"",'Beginner Adv 15M - Scoring'!AK67,""),"")</f>
        <v/>
      </c>
      <c r="K525" s="79" t="str">
        <f>IF('Beginner Adv 15M - Scoring'!B67&lt;&gt;"",IF('Beginner Adv 15M - Scoring'!AL67&lt;&gt;"",'Beginner Adv 15M - Scoring'!AL67,""),"")</f>
        <v/>
      </c>
      <c r="L525" s="80" t="str">
        <f>IF('Beginner Adv 15M - Scoring'!B67&lt;&gt;"",'Beginner Adv 15M - Scoring'!AU67,"")</f>
        <v/>
      </c>
      <c r="M525" s="81" t="str">
        <f>IF(L520&lt;&gt;"",IFERROR(IF(ISNUMBER(L520),L520,0),0)+IFERROR(IF(ISNUMBER(L521),L521,0),0)+IFERROR(IF(ISNUMBER(L522),L522,0),0)+IFERROR(IF(ISNUMBER(L523),L523,0),0)+IFERROR(IF(ISNUMBER(L524),L524,0),0)+IFERROR(IF(ISNUMBER(L525),L525,0),0),"")</f>
        <v/>
      </c>
    </row>
    <row r="526" spans="1:13" ht="3.75" customHeight="1" x14ac:dyDescent="0.35"/>
    <row r="527" spans="1:13" ht="24" customHeight="1" x14ac:dyDescent="0.35">
      <c r="A527" s="124" t="s">
        <v>230</v>
      </c>
      <c r="B527" s="124"/>
      <c r="C527" s="124"/>
      <c r="D527" s="124"/>
      <c r="E527" s="125" t="str">
        <f>IF('Beginner Adv 15M - Scoring'!B66&lt;&gt;"",'Beginner Adv 15M - Scoring'!AV66,"")</f>
        <v/>
      </c>
      <c r="F527" s="125"/>
      <c r="H527" s="124" t="s">
        <v>230</v>
      </c>
      <c r="I527" s="124"/>
      <c r="J527" s="124"/>
      <c r="K527" s="124"/>
      <c r="L527" s="125" t="str">
        <f>IF('Beginner Adv 15M - Scoring'!B67&lt;&gt;"",'Beginner Adv 15M - Scoring'!AV67,"")</f>
        <v/>
      </c>
      <c r="M527" s="125"/>
    </row>
    <row r="528" spans="1:13" ht="19.5" customHeight="1" x14ac:dyDescent="0.35">
      <c r="E528" s="125"/>
      <c r="F528" s="125"/>
      <c r="L528" s="125"/>
      <c r="M528" s="125"/>
    </row>
    <row r="529" spans="1:13" ht="3.75" customHeight="1" x14ac:dyDescent="0.35"/>
    <row r="530" spans="1:13" ht="18" customHeight="1" x14ac:dyDescent="0.35">
      <c r="A530" s="73" t="s">
        <v>126</v>
      </c>
      <c r="B530" s="82" t="str">
        <f>IF('Beginner Adv 15M - Scoring'!B66&lt;&gt;"",'Beginner Adv 15M - Scoring'!AW66,"")</f>
        <v/>
      </c>
      <c r="C530" s="73" t="s">
        <v>127</v>
      </c>
      <c r="D530" s="83" t="str">
        <f>IF('Beginner Adv 15M - Scoring'!B66&lt;&gt;"",'Beginner Adv 15M - Scoring'!AX66,"")</f>
        <v/>
      </c>
      <c r="E530" s="73" t="s">
        <v>128</v>
      </c>
      <c r="F530" s="83" t="str">
        <f>IF('Beginner Adv 15M - Scoring'!B66&lt;&gt;"",'Beginner Adv 15M - Scoring'!AY66,"")</f>
        <v/>
      </c>
      <c r="H530" s="73" t="s">
        <v>126</v>
      </c>
      <c r="I530" s="82" t="str">
        <f>IF('Beginner Adv 15M - Scoring'!B67&lt;&gt;"",'Beginner Adv 15M - Scoring'!AW67,"")</f>
        <v/>
      </c>
      <c r="J530" s="73" t="s">
        <v>127</v>
      </c>
      <c r="K530" s="83" t="str">
        <f>IF('Beginner Adv 15M - Scoring'!B67&lt;&gt;"",'Beginner Adv 15M - Scoring'!AX67,"")</f>
        <v/>
      </c>
      <c r="L530" s="73" t="s">
        <v>128</v>
      </c>
      <c r="M530" s="83" t="str">
        <f>IF('Beginner Adv 15M - Scoring'!B67&lt;&gt;"",'Beginner Adv 15M - Scoring'!AY67,"")</f>
        <v/>
      </c>
    </row>
    <row r="531" spans="1:13" ht="3.75" customHeight="1" x14ac:dyDescent="0.35"/>
    <row r="532" spans="1:13" ht="7.5" customHeight="1" x14ac:dyDescent="0.35">
      <c r="A532" s="126"/>
      <c r="B532" s="126"/>
      <c r="C532" s="126"/>
      <c r="D532" s="126"/>
      <c r="E532" s="126"/>
      <c r="F532" s="126"/>
      <c r="G532" s="126"/>
      <c r="H532" s="126"/>
      <c r="I532" s="126"/>
      <c r="J532" s="126"/>
      <c r="K532" s="126"/>
      <c r="L532" s="126"/>
      <c r="M532" s="126"/>
    </row>
    <row r="533" spans="1:13" ht="15.75" customHeight="1" x14ac:dyDescent="0.35">
      <c r="A533" s="73" t="s">
        <v>218</v>
      </c>
      <c r="B533" s="122" t="str">
        <f>IF('Beginner Adv 15M - Scoring'!B68&lt;&gt;"",'Beginner Adv 15M - Scoring'!B68,"")</f>
        <v/>
      </c>
      <c r="C533" s="122"/>
      <c r="D533" s="122"/>
      <c r="E533" s="73" t="s">
        <v>219</v>
      </c>
      <c r="F533" s="74" t="str">
        <f>IF('Beginner Adv 15M - Scoring'!B68&lt;&gt;"",'Beginner Adv 15M - Scoring'!BB68,"")</f>
        <v/>
      </c>
      <c r="H533" s="73" t="s">
        <v>218</v>
      </c>
      <c r="I533" s="122" t="str">
        <f>IF('Beginner Adv 15M - Scoring'!B69&lt;&gt;"",'Beginner Adv 15M - Scoring'!B69,"")</f>
        <v/>
      </c>
      <c r="J533" s="122"/>
      <c r="K533" s="122"/>
      <c r="L533" s="73" t="s">
        <v>219</v>
      </c>
      <c r="M533" s="74" t="str">
        <f>IF('Beginner Adv 15M - Scoring'!B69&lt;&gt;"",'Beginner Adv 15M - Scoring'!BB69,"")</f>
        <v/>
      </c>
    </row>
    <row r="534" spans="1:13" ht="15.75" customHeight="1" x14ac:dyDescent="0.35">
      <c r="A534" s="73" t="s">
        <v>220</v>
      </c>
      <c r="B534" s="123" t="str">
        <f>IF('Beginner Adv 15M - Scoring'!B68&lt;&gt;"",'Beginner Adv 15M - Scoring'!D68,"")</f>
        <v/>
      </c>
      <c r="C534" s="123"/>
      <c r="D534" s="123"/>
      <c r="E534" s="73" t="s">
        <v>8</v>
      </c>
      <c r="F534" s="75" t="str">
        <f>IF('Beginner Adv 15M - Scoring'!B68&lt;&gt;"",'Beginner Adv 15M - Scoring'!E68,"")</f>
        <v/>
      </c>
      <c r="H534" s="73" t="s">
        <v>220</v>
      </c>
      <c r="I534" s="123" t="str">
        <f>IF('Beginner Adv 15M - Scoring'!B69&lt;&gt;"",'Beginner Adv 15M - Scoring'!D69,"")</f>
        <v/>
      </c>
      <c r="J534" s="123"/>
      <c r="K534" s="123"/>
      <c r="L534" s="73" t="s">
        <v>8</v>
      </c>
      <c r="M534" s="75" t="str">
        <f>IF('Beginner Adv 15M - Scoring'!B69&lt;&gt;"",'Beginner Adv 15M - Scoring'!E69,"")</f>
        <v/>
      </c>
    </row>
    <row r="535" spans="1:13" ht="3.75" customHeight="1" x14ac:dyDescent="0.35"/>
    <row r="536" spans="1:13" ht="25.5" customHeight="1" x14ac:dyDescent="0.35">
      <c r="A536" s="76" t="s">
        <v>221</v>
      </c>
      <c r="B536" s="77" t="s">
        <v>222</v>
      </c>
      <c r="C536" s="77" t="s">
        <v>223</v>
      </c>
      <c r="D536" s="77" t="s">
        <v>224</v>
      </c>
      <c r="E536" s="76" t="s">
        <v>225</v>
      </c>
      <c r="F536" s="76" t="s">
        <v>226</v>
      </c>
      <c r="H536" s="76" t="s">
        <v>221</v>
      </c>
      <c r="I536" s="77" t="s">
        <v>222</v>
      </c>
      <c r="J536" s="77" t="s">
        <v>223</v>
      </c>
      <c r="K536" s="77" t="s">
        <v>224</v>
      </c>
      <c r="L536" s="76" t="s">
        <v>225</v>
      </c>
      <c r="M536" s="76" t="s">
        <v>226</v>
      </c>
    </row>
    <row r="537" spans="1:13" ht="19.5" customHeight="1" x14ac:dyDescent="0.35">
      <c r="A537" s="78" t="s">
        <v>222</v>
      </c>
      <c r="B537" s="79" t="str">
        <f>IF('Beginner Adv 15M - Scoring'!B68&lt;&gt;"",IF('Beginner Adv 15M - Scoring'!F68&lt;&gt;"",'Beginner Adv 15M - Scoring'!F68,""),"")</f>
        <v/>
      </c>
      <c r="C537" s="79" t="str">
        <f>IF('Beginner Adv 15M - Scoring'!B68&lt;&gt;"",IF('Beginner Adv 15M - Scoring'!G68&lt;&gt;"",'Beginner Adv 15M - Scoring'!G68,""),"")</f>
        <v/>
      </c>
      <c r="D537" s="79" t="str">
        <f>IF('Beginner Adv 15M - Scoring'!B68&lt;&gt;"",IF('Beginner Adv 15M - Scoring'!H68&lt;&gt;"",'Beginner Adv 15M - Scoring'!H68,""),"")</f>
        <v/>
      </c>
      <c r="E537" s="80" t="str">
        <f>IF('Beginner Adv 15M - Scoring'!B68&lt;&gt;"",'Beginner Adv 15M - Scoring'!AP68,"")</f>
        <v/>
      </c>
      <c r="F537" s="81" t="str">
        <f>IFERROR(IF(ISNUMBER(E537),E537,""),"")</f>
        <v/>
      </c>
      <c r="H537" s="78" t="s">
        <v>222</v>
      </c>
      <c r="I537" s="79" t="str">
        <f>IF('Beginner Adv 15M - Scoring'!B69&lt;&gt;"",IF('Beginner Adv 15M - Scoring'!F69&lt;&gt;"",'Beginner Adv 15M - Scoring'!F69,""),"")</f>
        <v/>
      </c>
      <c r="J537" s="79" t="str">
        <f>IF('Beginner Adv 15M - Scoring'!B69&lt;&gt;"",IF('Beginner Adv 15M - Scoring'!G69&lt;&gt;"",'Beginner Adv 15M - Scoring'!G69,""),"")</f>
        <v/>
      </c>
      <c r="K537" s="79" t="str">
        <f>IF('Beginner Adv 15M - Scoring'!B69&lt;&gt;"",IF('Beginner Adv 15M - Scoring'!H69&lt;&gt;"",'Beginner Adv 15M - Scoring'!H69,""),"")</f>
        <v/>
      </c>
      <c r="L537" s="80" t="str">
        <f>IF('Beginner Adv 15M - Scoring'!B69&lt;&gt;"",'Beginner Adv 15M - Scoring'!AP69,"")</f>
        <v/>
      </c>
      <c r="M537" s="81" t="str">
        <f>IFERROR(IF(ISNUMBER(L537),L537,""),"")</f>
        <v/>
      </c>
    </row>
    <row r="538" spans="1:13" ht="19.5" customHeight="1" x14ac:dyDescent="0.35">
      <c r="A538" s="78" t="s">
        <v>223</v>
      </c>
      <c r="B538" s="79" t="str">
        <f>IF('Beginner Adv 15M - Scoring'!B68&lt;&gt;"",IF('Beginner Adv 15M - Scoring'!L68&lt;&gt;"",'Beginner Adv 15M - Scoring'!L68,""),"")</f>
        <v/>
      </c>
      <c r="C538" s="79" t="str">
        <f>IF('Beginner Adv 15M - Scoring'!B68&lt;&gt;"",IF('Beginner Adv 15M - Scoring'!M68&lt;&gt;"",'Beginner Adv 15M - Scoring'!M68,""),"")</f>
        <v/>
      </c>
      <c r="D538" s="79" t="str">
        <f>IF('Beginner Adv 15M - Scoring'!B68&lt;&gt;"",IF('Beginner Adv 15M - Scoring'!N68&lt;&gt;"",'Beginner Adv 15M - Scoring'!N68,""),"")</f>
        <v/>
      </c>
      <c r="E538" s="80" t="str">
        <f>IF('Beginner Adv 15M - Scoring'!B68&lt;&gt;"",'Beginner Adv 15M - Scoring'!AQ68,"")</f>
        <v/>
      </c>
      <c r="F538" s="81" t="str">
        <f>IF(E537&lt;&gt;"",IFERROR(IF(ISNUMBER(E537),E537,0),0)+IFERROR(IF(ISNUMBER(E538),E538,0),0),"")</f>
        <v/>
      </c>
      <c r="H538" s="78" t="s">
        <v>223</v>
      </c>
      <c r="I538" s="79" t="str">
        <f>IF('Beginner Adv 15M - Scoring'!B69&lt;&gt;"",IF('Beginner Adv 15M - Scoring'!L69&lt;&gt;"",'Beginner Adv 15M - Scoring'!L69,""),"")</f>
        <v/>
      </c>
      <c r="J538" s="79" t="str">
        <f>IF('Beginner Adv 15M - Scoring'!B69&lt;&gt;"",IF('Beginner Adv 15M - Scoring'!M69&lt;&gt;"",'Beginner Adv 15M - Scoring'!M69,""),"")</f>
        <v/>
      </c>
      <c r="K538" s="79" t="str">
        <f>IF('Beginner Adv 15M - Scoring'!B69&lt;&gt;"",IF('Beginner Adv 15M - Scoring'!N69&lt;&gt;"",'Beginner Adv 15M - Scoring'!N69,""),"")</f>
        <v/>
      </c>
      <c r="L538" s="80" t="str">
        <f>IF('Beginner Adv 15M - Scoring'!B69&lt;&gt;"",'Beginner Adv 15M - Scoring'!AQ69,"")</f>
        <v/>
      </c>
      <c r="M538" s="81" t="str">
        <f>IF(L537&lt;&gt;"",IFERROR(IF(ISNUMBER(L537),L537,0),0)+IFERROR(IF(ISNUMBER(L538),L538,0),0),"")</f>
        <v/>
      </c>
    </row>
    <row r="539" spans="1:13" ht="19.5" customHeight="1" x14ac:dyDescent="0.35">
      <c r="A539" s="78" t="s">
        <v>224</v>
      </c>
      <c r="B539" s="79" t="str">
        <f>IF('Beginner Adv 15M - Scoring'!B68&lt;&gt;"",IF('Beginner Adv 15M - Scoring'!R68&lt;&gt;"",'Beginner Adv 15M - Scoring'!R68,""),"")</f>
        <v/>
      </c>
      <c r="C539" s="79" t="str">
        <f>IF('Beginner Adv 15M - Scoring'!B68&lt;&gt;"",IF('Beginner Adv 15M - Scoring'!S68&lt;&gt;"",'Beginner Adv 15M - Scoring'!S68,""),"")</f>
        <v/>
      </c>
      <c r="D539" s="79" t="str">
        <f>IF('Beginner Adv 15M - Scoring'!B68&lt;&gt;"",IF('Beginner Adv 15M - Scoring'!T68&lt;&gt;"",'Beginner Adv 15M - Scoring'!T68,""),"")</f>
        <v/>
      </c>
      <c r="E539" s="80" t="str">
        <f>IF('Beginner Adv 15M - Scoring'!B68&lt;&gt;"",'Beginner Adv 15M - Scoring'!AR68,"")</f>
        <v/>
      </c>
      <c r="F539" s="81" t="str">
        <f>IF(E537&lt;&gt;"",IFERROR(IF(ISNUMBER(E537),E537,0),0)+IFERROR(IF(ISNUMBER(E538),E538,0),0)+IFERROR(IF(ISNUMBER(E539),E539,0),0),"")</f>
        <v/>
      </c>
      <c r="H539" s="78" t="s">
        <v>224</v>
      </c>
      <c r="I539" s="79" t="str">
        <f>IF('Beginner Adv 15M - Scoring'!B69&lt;&gt;"",IF('Beginner Adv 15M - Scoring'!R69&lt;&gt;"",'Beginner Adv 15M - Scoring'!R69,""),"")</f>
        <v/>
      </c>
      <c r="J539" s="79" t="str">
        <f>IF('Beginner Adv 15M - Scoring'!B69&lt;&gt;"",IF('Beginner Adv 15M - Scoring'!S69&lt;&gt;"",'Beginner Adv 15M - Scoring'!S69,""),"")</f>
        <v/>
      </c>
      <c r="K539" s="79" t="str">
        <f>IF('Beginner Adv 15M - Scoring'!B69&lt;&gt;"",IF('Beginner Adv 15M - Scoring'!T69&lt;&gt;"",'Beginner Adv 15M - Scoring'!T69,""),"")</f>
        <v/>
      </c>
      <c r="L539" s="80" t="str">
        <f>IF('Beginner Adv 15M - Scoring'!B69&lt;&gt;"",'Beginner Adv 15M - Scoring'!AR69,"")</f>
        <v/>
      </c>
      <c r="M539" s="81" t="str">
        <f>IF(L537&lt;&gt;"",IFERROR(IF(ISNUMBER(L537),L537,0),0)+IFERROR(IF(ISNUMBER(L538),L538,0),0)+IFERROR(IF(ISNUMBER(L539),L539,0),0),"")</f>
        <v/>
      </c>
    </row>
    <row r="540" spans="1:13" ht="19.5" customHeight="1" x14ac:dyDescent="0.35">
      <c r="A540" s="78" t="s">
        <v>227</v>
      </c>
      <c r="B540" s="79" t="str">
        <f>IF('Beginner Adv 15M - Scoring'!B68&lt;&gt;"",IF('Beginner Adv 15M - Scoring'!X68&lt;&gt;"",'Beginner Adv 15M - Scoring'!X68,""),"")</f>
        <v/>
      </c>
      <c r="C540" s="79" t="str">
        <f>IF('Beginner Adv 15M - Scoring'!B68&lt;&gt;"",IF('Beginner Adv 15M - Scoring'!Y68&lt;&gt;"",'Beginner Adv 15M - Scoring'!Y68,""),"")</f>
        <v/>
      </c>
      <c r="D540" s="79" t="str">
        <f>IF('Beginner Adv 15M - Scoring'!B68&lt;&gt;"",IF('Beginner Adv 15M - Scoring'!Z68&lt;&gt;"",'Beginner Adv 15M - Scoring'!Z68,""),"")</f>
        <v/>
      </c>
      <c r="E540" s="80" t="str">
        <f>IF('Beginner Adv 15M - Scoring'!B68&lt;&gt;"",'Beginner Adv 15M - Scoring'!AS68,"")</f>
        <v/>
      </c>
      <c r="F540" s="81" t="str">
        <f>IF(E537&lt;&gt;"",IFERROR(IF(ISNUMBER(E537),E537,0),0)+IFERROR(IF(ISNUMBER(E538),E538,0),0)+IFERROR(IF(ISNUMBER(E539),E539,0),0)+IFERROR(IF(ISNUMBER(E540),E540,0),0),"")</f>
        <v/>
      </c>
      <c r="H540" s="78" t="s">
        <v>227</v>
      </c>
      <c r="I540" s="79" t="str">
        <f>IF('Beginner Adv 15M - Scoring'!B69&lt;&gt;"",IF('Beginner Adv 15M - Scoring'!X69&lt;&gt;"",'Beginner Adv 15M - Scoring'!X69,""),"")</f>
        <v/>
      </c>
      <c r="J540" s="79" t="str">
        <f>IF('Beginner Adv 15M - Scoring'!B69&lt;&gt;"",IF('Beginner Adv 15M - Scoring'!Y69&lt;&gt;"",'Beginner Adv 15M - Scoring'!Y69,""),"")</f>
        <v/>
      </c>
      <c r="K540" s="79" t="str">
        <f>IF('Beginner Adv 15M - Scoring'!B69&lt;&gt;"",IF('Beginner Adv 15M - Scoring'!Z69&lt;&gt;"",'Beginner Adv 15M - Scoring'!Z69,""),"")</f>
        <v/>
      </c>
      <c r="L540" s="80" t="str">
        <f>IF('Beginner Adv 15M - Scoring'!B69&lt;&gt;"",'Beginner Adv 15M - Scoring'!AS69,"")</f>
        <v/>
      </c>
      <c r="M540" s="81" t="str">
        <f>IF(L537&lt;&gt;"",IFERROR(IF(ISNUMBER(L537),L537,0),0)+IFERROR(IF(ISNUMBER(L538),L538,0),0)+IFERROR(IF(ISNUMBER(L539),L539,0),0)+IFERROR(IF(ISNUMBER(L540),L540,0),0),"")</f>
        <v/>
      </c>
    </row>
    <row r="541" spans="1:13" ht="19.5" customHeight="1" x14ac:dyDescent="0.35">
      <c r="A541" s="78" t="s">
        <v>228</v>
      </c>
      <c r="B541" s="79" t="str">
        <f>IF('Beginner Adv 15M - Scoring'!B68&lt;&gt;"",IF('Beginner Adv 15M - Scoring'!AD68&lt;&gt;"",'Beginner Adv 15M - Scoring'!AD68,""),"")</f>
        <v/>
      </c>
      <c r="C541" s="79" t="str">
        <f>IF('Beginner Adv 15M - Scoring'!B68&lt;&gt;"",IF('Beginner Adv 15M - Scoring'!AE68&lt;&gt;"",'Beginner Adv 15M - Scoring'!AE68,""),"")</f>
        <v/>
      </c>
      <c r="D541" s="79" t="str">
        <f>IF('Beginner Adv 15M - Scoring'!B68&lt;&gt;"",IF('Beginner Adv 15M - Scoring'!AF68&lt;&gt;"",'Beginner Adv 15M - Scoring'!AF68,""),"")</f>
        <v/>
      </c>
      <c r="E541" s="80" t="str">
        <f>IF('Beginner Adv 15M - Scoring'!B68&lt;&gt;"",'Beginner Adv 15M - Scoring'!AT68,"")</f>
        <v/>
      </c>
      <c r="F541" s="81" t="str">
        <f>IF(E537&lt;&gt;"",IFERROR(IF(ISNUMBER(E537),E537,0),0)+IFERROR(IF(ISNUMBER(E538),E538,0),0)+IFERROR(IF(ISNUMBER(E539),E539,0),0)+IFERROR(IF(ISNUMBER(E540),E540,0),0)+IFERROR(IF(ISNUMBER(E541),E541,0),0),"")</f>
        <v/>
      </c>
      <c r="H541" s="78" t="s">
        <v>228</v>
      </c>
      <c r="I541" s="79" t="str">
        <f>IF('Beginner Adv 15M - Scoring'!B69&lt;&gt;"",IF('Beginner Adv 15M - Scoring'!AD69&lt;&gt;"",'Beginner Adv 15M - Scoring'!AD69,""),"")</f>
        <v/>
      </c>
      <c r="J541" s="79" t="str">
        <f>IF('Beginner Adv 15M - Scoring'!B69&lt;&gt;"",IF('Beginner Adv 15M - Scoring'!AE69&lt;&gt;"",'Beginner Adv 15M - Scoring'!AE69,""),"")</f>
        <v/>
      </c>
      <c r="K541" s="79" t="str">
        <f>IF('Beginner Adv 15M - Scoring'!B69&lt;&gt;"",IF('Beginner Adv 15M - Scoring'!AF69&lt;&gt;"",'Beginner Adv 15M - Scoring'!AF69,""),"")</f>
        <v/>
      </c>
      <c r="L541" s="80" t="str">
        <f>IF('Beginner Adv 15M - Scoring'!B69&lt;&gt;"",'Beginner Adv 15M - Scoring'!AT69,"")</f>
        <v/>
      </c>
      <c r="M541" s="81" t="str">
        <f>IF(L537&lt;&gt;"",IFERROR(IF(ISNUMBER(L537),L537,0),0)+IFERROR(IF(ISNUMBER(L538),L538,0),0)+IFERROR(IF(ISNUMBER(L539),L539,0),0)+IFERROR(IF(ISNUMBER(L540),L540,0),0)+IFERROR(IF(ISNUMBER(L541),L541,0),0),"")</f>
        <v/>
      </c>
    </row>
    <row r="542" spans="1:13" ht="19.5" customHeight="1" x14ac:dyDescent="0.35">
      <c r="A542" s="78" t="s">
        <v>229</v>
      </c>
      <c r="B542" s="79" t="str">
        <f>IF('Beginner Adv 15M - Scoring'!B68&lt;&gt;"",IF('Beginner Adv 15M - Scoring'!AJ68&lt;&gt;"",'Beginner Adv 15M - Scoring'!AJ68,""),"")</f>
        <v/>
      </c>
      <c r="C542" s="79" t="str">
        <f>IF('Beginner Adv 15M - Scoring'!B68&lt;&gt;"",IF('Beginner Adv 15M - Scoring'!AK68&lt;&gt;"",'Beginner Adv 15M - Scoring'!AK68,""),"")</f>
        <v/>
      </c>
      <c r="D542" s="79" t="str">
        <f>IF('Beginner Adv 15M - Scoring'!B68&lt;&gt;"",IF('Beginner Adv 15M - Scoring'!AL68&lt;&gt;"",'Beginner Adv 15M - Scoring'!AL68,""),"")</f>
        <v/>
      </c>
      <c r="E542" s="80" t="str">
        <f>IF('Beginner Adv 15M - Scoring'!B68&lt;&gt;"",'Beginner Adv 15M - Scoring'!AU68,"")</f>
        <v/>
      </c>
      <c r="F542" s="81" t="str">
        <f>IF(E537&lt;&gt;"",IFERROR(IF(ISNUMBER(E537),E537,0),0)+IFERROR(IF(ISNUMBER(E538),E538,0),0)+IFERROR(IF(ISNUMBER(E539),E539,0),0)+IFERROR(IF(ISNUMBER(E540),E540,0),0)+IFERROR(IF(ISNUMBER(E541),E541,0),0)+IFERROR(IF(ISNUMBER(E542),E542,0),0),"")</f>
        <v/>
      </c>
      <c r="H542" s="78" t="s">
        <v>229</v>
      </c>
      <c r="I542" s="79" t="str">
        <f>IF('Beginner Adv 15M - Scoring'!B69&lt;&gt;"",IF('Beginner Adv 15M - Scoring'!AJ69&lt;&gt;"",'Beginner Adv 15M - Scoring'!AJ69,""),"")</f>
        <v/>
      </c>
      <c r="J542" s="79" t="str">
        <f>IF('Beginner Adv 15M - Scoring'!B69&lt;&gt;"",IF('Beginner Adv 15M - Scoring'!AK69&lt;&gt;"",'Beginner Adv 15M - Scoring'!AK69,""),"")</f>
        <v/>
      </c>
      <c r="K542" s="79" t="str">
        <f>IF('Beginner Adv 15M - Scoring'!B69&lt;&gt;"",IF('Beginner Adv 15M - Scoring'!AL69&lt;&gt;"",'Beginner Adv 15M - Scoring'!AL69,""),"")</f>
        <v/>
      </c>
      <c r="L542" s="80" t="str">
        <f>IF('Beginner Adv 15M - Scoring'!B69&lt;&gt;"",'Beginner Adv 15M - Scoring'!AU69,"")</f>
        <v/>
      </c>
      <c r="M542" s="81" t="str">
        <f>IF(L537&lt;&gt;"",IFERROR(IF(ISNUMBER(L537),L537,0),0)+IFERROR(IF(ISNUMBER(L538),L538,0),0)+IFERROR(IF(ISNUMBER(L539),L539,0),0)+IFERROR(IF(ISNUMBER(L540),L540,0),0)+IFERROR(IF(ISNUMBER(L541),L541,0),0)+IFERROR(IF(ISNUMBER(L542),L542,0),0),"")</f>
        <v/>
      </c>
    </row>
    <row r="543" spans="1:13" ht="3.75" customHeight="1" x14ac:dyDescent="0.35"/>
    <row r="544" spans="1:13" ht="24" customHeight="1" x14ac:dyDescent="0.35">
      <c r="A544" s="124" t="s">
        <v>230</v>
      </c>
      <c r="B544" s="124"/>
      <c r="C544" s="124"/>
      <c r="D544" s="124"/>
      <c r="E544" s="125" t="str">
        <f>IF('Beginner Adv 15M - Scoring'!B68&lt;&gt;"",'Beginner Adv 15M - Scoring'!AV68,"")</f>
        <v/>
      </c>
      <c r="F544" s="125"/>
      <c r="H544" s="124" t="s">
        <v>230</v>
      </c>
      <c r="I544" s="124"/>
      <c r="J544" s="124"/>
      <c r="K544" s="124"/>
      <c r="L544" s="125" t="str">
        <f>IF('Beginner Adv 15M - Scoring'!B69&lt;&gt;"",'Beginner Adv 15M - Scoring'!AV69,"")</f>
        <v/>
      </c>
      <c r="M544" s="125"/>
    </row>
    <row r="545" spans="1:13" ht="19.5" customHeight="1" x14ac:dyDescent="0.35">
      <c r="E545" s="125"/>
      <c r="F545" s="125"/>
      <c r="L545" s="125"/>
      <c r="M545" s="125"/>
    </row>
    <row r="546" spans="1:13" ht="3.75" customHeight="1" x14ac:dyDescent="0.35"/>
    <row r="547" spans="1:13" ht="18" customHeight="1" x14ac:dyDescent="0.35">
      <c r="A547" s="73" t="s">
        <v>126</v>
      </c>
      <c r="B547" s="82" t="str">
        <f>IF('Beginner Adv 15M - Scoring'!B68&lt;&gt;"",'Beginner Adv 15M - Scoring'!AW68,"")</f>
        <v/>
      </c>
      <c r="C547" s="73" t="s">
        <v>127</v>
      </c>
      <c r="D547" s="83" t="str">
        <f>IF('Beginner Adv 15M - Scoring'!B68&lt;&gt;"",'Beginner Adv 15M - Scoring'!AX68,"")</f>
        <v/>
      </c>
      <c r="E547" s="73" t="s">
        <v>128</v>
      </c>
      <c r="F547" s="83" t="str">
        <f>IF('Beginner Adv 15M - Scoring'!B68&lt;&gt;"",'Beginner Adv 15M - Scoring'!AY68,"")</f>
        <v/>
      </c>
      <c r="H547" s="73" t="s">
        <v>126</v>
      </c>
      <c r="I547" s="82" t="str">
        <f>IF('Beginner Adv 15M - Scoring'!B69&lt;&gt;"",'Beginner Adv 15M - Scoring'!AW69,"")</f>
        <v/>
      </c>
      <c r="J547" s="73" t="s">
        <v>127</v>
      </c>
      <c r="K547" s="83" t="str">
        <f>IF('Beginner Adv 15M - Scoring'!B69&lt;&gt;"",'Beginner Adv 15M - Scoring'!AX69,"")</f>
        <v/>
      </c>
      <c r="L547" s="73" t="s">
        <v>128</v>
      </c>
      <c r="M547" s="83" t="str">
        <f>IF('Beginner Adv 15M - Scoring'!B69&lt;&gt;"",'Beginner Adv 15M - Scoring'!AY69,"")</f>
        <v/>
      </c>
    </row>
    <row r="548" spans="1:13" ht="3.75" customHeight="1" x14ac:dyDescent="0.35"/>
    <row r="549" spans="1:13" ht="7.5" customHeight="1" x14ac:dyDescent="0.35">
      <c r="A549" s="126"/>
      <c r="B549" s="126"/>
      <c r="C549" s="126"/>
      <c r="D549" s="126"/>
      <c r="E549" s="126"/>
      <c r="F549" s="126"/>
      <c r="G549" s="126"/>
      <c r="H549" s="126"/>
      <c r="I549" s="126"/>
      <c r="J549" s="126"/>
      <c r="K549" s="126"/>
      <c r="L549" s="126"/>
      <c r="M549" s="126"/>
    </row>
  </sheetData>
  <mergeCells count="291">
    <mergeCell ref="A549:M549"/>
    <mergeCell ref="A532:M532"/>
    <mergeCell ref="B533:D533"/>
    <mergeCell ref="I533:K533"/>
    <mergeCell ref="B534:D534"/>
    <mergeCell ref="I534:K534"/>
    <mergeCell ref="A544:D544"/>
    <mergeCell ref="E544:F545"/>
    <mergeCell ref="H544:K544"/>
    <mergeCell ref="L544:M545"/>
    <mergeCell ref="A515:M515"/>
    <mergeCell ref="B516:D516"/>
    <mergeCell ref="I516:K516"/>
    <mergeCell ref="B517:D517"/>
    <mergeCell ref="I517:K517"/>
    <mergeCell ref="A527:D527"/>
    <mergeCell ref="E527:F528"/>
    <mergeCell ref="H527:K527"/>
    <mergeCell ref="L527:M528"/>
    <mergeCell ref="A498:M498"/>
    <mergeCell ref="B499:D499"/>
    <mergeCell ref="I499:K499"/>
    <mergeCell ref="B500:D500"/>
    <mergeCell ref="I500:K500"/>
    <mergeCell ref="A510:D510"/>
    <mergeCell ref="E510:F511"/>
    <mergeCell ref="H510:K510"/>
    <mergeCell ref="L510:M511"/>
    <mergeCell ref="A481:M481"/>
    <mergeCell ref="B482:D482"/>
    <mergeCell ref="I482:K482"/>
    <mergeCell ref="B483:D483"/>
    <mergeCell ref="I483:K483"/>
    <mergeCell ref="A493:D493"/>
    <mergeCell ref="E493:F494"/>
    <mergeCell ref="H493:K493"/>
    <mergeCell ref="L493:M494"/>
    <mergeCell ref="A464:M464"/>
    <mergeCell ref="B465:D465"/>
    <mergeCell ref="I465:K465"/>
    <mergeCell ref="B466:D466"/>
    <mergeCell ref="I466:K466"/>
    <mergeCell ref="A476:D476"/>
    <mergeCell ref="E476:F477"/>
    <mergeCell ref="H476:K476"/>
    <mergeCell ref="L476:M477"/>
    <mergeCell ref="A447:M447"/>
    <mergeCell ref="B448:D448"/>
    <mergeCell ref="I448:K448"/>
    <mergeCell ref="B449:D449"/>
    <mergeCell ref="I449:K449"/>
    <mergeCell ref="A459:D459"/>
    <mergeCell ref="E459:F460"/>
    <mergeCell ref="H459:K459"/>
    <mergeCell ref="L459:M460"/>
    <mergeCell ref="A430:M430"/>
    <mergeCell ref="B431:D431"/>
    <mergeCell ref="I431:K431"/>
    <mergeCell ref="B432:D432"/>
    <mergeCell ref="I432:K432"/>
    <mergeCell ref="A442:D442"/>
    <mergeCell ref="E442:F443"/>
    <mergeCell ref="H442:K442"/>
    <mergeCell ref="L442:M443"/>
    <mergeCell ref="A413:M413"/>
    <mergeCell ref="B414:D414"/>
    <mergeCell ref="I414:K414"/>
    <mergeCell ref="B415:D415"/>
    <mergeCell ref="I415:K415"/>
    <mergeCell ref="A425:D425"/>
    <mergeCell ref="E425:F426"/>
    <mergeCell ref="H425:K425"/>
    <mergeCell ref="L425:M426"/>
    <mergeCell ref="A396:M396"/>
    <mergeCell ref="B397:D397"/>
    <mergeCell ref="I397:K397"/>
    <mergeCell ref="B398:D398"/>
    <mergeCell ref="I398:K398"/>
    <mergeCell ref="A408:D408"/>
    <mergeCell ref="E408:F409"/>
    <mergeCell ref="H408:K408"/>
    <mergeCell ref="L408:M409"/>
    <mergeCell ref="A379:M379"/>
    <mergeCell ref="B380:D380"/>
    <mergeCell ref="I380:K380"/>
    <mergeCell ref="B381:D381"/>
    <mergeCell ref="I381:K381"/>
    <mergeCell ref="A391:D391"/>
    <mergeCell ref="E391:F392"/>
    <mergeCell ref="H391:K391"/>
    <mergeCell ref="L391:M392"/>
    <mergeCell ref="A362:M362"/>
    <mergeCell ref="B363:D363"/>
    <mergeCell ref="I363:K363"/>
    <mergeCell ref="B364:D364"/>
    <mergeCell ref="I364:K364"/>
    <mergeCell ref="A374:D374"/>
    <mergeCell ref="E374:F375"/>
    <mergeCell ref="H374:K374"/>
    <mergeCell ref="L374:M375"/>
    <mergeCell ref="A345:M345"/>
    <mergeCell ref="B346:D346"/>
    <mergeCell ref="I346:K346"/>
    <mergeCell ref="B347:D347"/>
    <mergeCell ref="I347:K347"/>
    <mergeCell ref="A357:D357"/>
    <mergeCell ref="E357:F358"/>
    <mergeCell ref="H357:K357"/>
    <mergeCell ref="L357:M358"/>
    <mergeCell ref="A328:M328"/>
    <mergeCell ref="B329:D329"/>
    <mergeCell ref="I329:K329"/>
    <mergeCell ref="B330:D330"/>
    <mergeCell ref="I330:K330"/>
    <mergeCell ref="A340:D340"/>
    <mergeCell ref="E340:F341"/>
    <mergeCell ref="H340:K340"/>
    <mergeCell ref="L340:M341"/>
    <mergeCell ref="A311:M311"/>
    <mergeCell ref="B312:D312"/>
    <mergeCell ref="I312:K312"/>
    <mergeCell ref="B313:D313"/>
    <mergeCell ref="I313:K313"/>
    <mergeCell ref="A323:D323"/>
    <mergeCell ref="E323:F324"/>
    <mergeCell ref="H323:K323"/>
    <mergeCell ref="L323:M324"/>
    <mergeCell ref="A294:M294"/>
    <mergeCell ref="B295:D295"/>
    <mergeCell ref="I295:K295"/>
    <mergeCell ref="B296:D296"/>
    <mergeCell ref="I296:K296"/>
    <mergeCell ref="A306:D306"/>
    <mergeCell ref="E306:F307"/>
    <mergeCell ref="H306:K306"/>
    <mergeCell ref="L306:M307"/>
    <mergeCell ref="A277:M277"/>
    <mergeCell ref="B278:D278"/>
    <mergeCell ref="I278:K278"/>
    <mergeCell ref="B279:D279"/>
    <mergeCell ref="I279:K279"/>
    <mergeCell ref="A289:D289"/>
    <mergeCell ref="E289:F290"/>
    <mergeCell ref="H289:K289"/>
    <mergeCell ref="L289:M290"/>
    <mergeCell ref="A260:M260"/>
    <mergeCell ref="B261:D261"/>
    <mergeCell ref="I261:K261"/>
    <mergeCell ref="B262:D262"/>
    <mergeCell ref="I262:K262"/>
    <mergeCell ref="A272:D272"/>
    <mergeCell ref="E272:F273"/>
    <mergeCell ref="H272:K272"/>
    <mergeCell ref="L272:M273"/>
    <mergeCell ref="A243:M243"/>
    <mergeCell ref="B244:D244"/>
    <mergeCell ref="I244:K244"/>
    <mergeCell ref="B245:D245"/>
    <mergeCell ref="I245:K245"/>
    <mergeCell ref="A255:D255"/>
    <mergeCell ref="E255:F256"/>
    <mergeCell ref="H255:K255"/>
    <mergeCell ref="L255:M256"/>
    <mergeCell ref="A226:M226"/>
    <mergeCell ref="B227:D227"/>
    <mergeCell ref="I227:K227"/>
    <mergeCell ref="B228:D228"/>
    <mergeCell ref="I228:K228"/>
    <mergeCell ref="A238:D238"/>
    <mergeCell ref="E238:F239"/>
    <mergeCell ref="H238:K238"/>
    <mergeCell ref="L238:M239"/>
    <mergeCell ref="A209:M209"/>
    <mergeCell ref="B210:D210"/>
    <mergeCell ref="I210:K210"/>
    <mergeCell ref="B211:D211"/>
    <mergeCell ref="I211:K211"/>
    <mergeCell ref="A221:D221"/>
    <mergeCell ref="E221:F222"/>
    <mergeCell ref="H221:K221"/>
    <mergeCell ref="L221:M222"/>
    <mergeCell ref="A192:M192"/>
    <mergeCell ref="B193:D193"/>
    <mergeCell ref="I193:K193"/>
    <mergeCell ref="B194:D194"/>
    <mergeCell ref="I194:K194"/>
    <mergeCell ref="A204:D204"/>
    <mergeCell ref="E204:F205"/>
    <mergeCell ref="H204:K204"/>
    <mergeCell ref="L204:M205"/>
    <mergeCell ref="A175:M175"/>
    <mergeCell ref="B176:D176"/>
    <mergeCell ref="I176:K176"/>
    <mergeCell ref="B177:D177"/>
    <mergeCell ref="I177:K177"/>
    <mergeCell ref="A187:D187"/>
    <mergeCell ref="E187:F188"/>
    <mergeCell ref="H187:K187"/>
    <mergeCell ref="L187:M188"/>
    <mergeCell ref="A158:M158"/>
    <mergeCell ref="B159:D159"/>
    <mergeCell ref="I159:K159"/>
    <mergeCell ref="B160:D160"/>
    <mergeCell ref="I160:K160"/>
    <mergeCell ref="A170:D170"/>
    <mergeCell ref="E170:F171"/>
    <mergeCell ref="H170:K170"/>
    <mergeCell ref="L170:M171"/>
    <mergeCell ref="A141:M141"/>
    <mergeCell ref="B142:D142"/>
    <mergeCell ref="I142:K142"/>
    <mergeCell ref="B143:D143"/>
    <mergeCell ref="I143:K143"/>
    <mergeCell ref="A153:D153"/>
    <mergeCell ref="E153:F154"/>
    <mergeCell ref="H153:K153"/>
    <mergeCell ref="L153:M154"/>
    <mergeCell ref="A124:M124"/>
    <mergeCell ref="B125:D125"/>
    <mergeCell ref="I125:K125"/>
    <mergeCell ref="B126:D126"/>
    <mergeCell ref="I126:K126"/>
    <mergeCell ref="A136:D136"/>
    <mergeCell ref="E136:F137"/>
    <mergeCell ref="H136:K136"/>
    <mergeCell ref="L136:M137"/>
    <mergeCell ref="A107:M107"/>
    <mergeCell ref="B108:D108"/>
    <mergeCell ref="I108:K108"/>
    <mergeCell ref="B109:D109"/>
    <mergeCell ref="I109:K109"/>
    <mergeCell ref="A119:D119"/>
    <mergeCell ref="E119:F120"/>
    <mergeCell ref="H119:K119"/>
    <mergeCell ref="L119:M120"/>
    <mergeCell ref="A90:M90"/>
    <mergeCell ref="B91:D91"/>
    <mergeCell ref="I91:K91"/>
    <mergeCell ref="B92:D92"/>
    <mergeCell ref="I92:K92"/>
    <mergeCell ref="A102:D102"/>
    <mergeCell ref="E102:F103"/>
    <mergeCell ref="H102:K102"/>
    <mergeCell ref="L102:M103"/>
    <mergeCell ref="A73:M73"/>
    <mergeCell ref="B74:D74"/>
    <mergeCell ref="I74:K74"/>
    <mergeCell ref="B75:D75"/>
    <mergeCell ref="I75:K75"/>
    <mergeCell ref="A85:D85"/>
    <mergeCell ref="E85:F86"/>
    <mergeCell ref="H85:K85"/>
    <mergeCell ref="L85:M86"/>
    <mergeCell ref="A56:M56"/>
    <mergeCell ref="B57:D57"/>
    <mergeCell ref="I57:K57"/>
    <mergeCell ref="B58:D58"/>
    <mergeCell ref="I58:K58"/>
    <mergeCell ref="A68:D68"/>
    <mergeCell ref="E68:F69"/>
    <mergeCell ref="H68:K68"/>
    <mergeCell ref="L68:M69"/>
    <mergeCell ref="A39:M39"/>
    <mergeCell ref="B40:D40"/>
    <mergeCell ref="I40:K40"/>
    <mergeCell ref="B41:D41"/>
    <mergeCell ref="I41:K41"/>
    <mergeCell ref="A51:D51"/>
    <mergeCell ref="E51:F52"/>
    <mergeCell ref="H51:K51"/>
    <mergeCell ref="L51:M52"/>
    <mergeCell ref="A22:M22"/>
    <mergeCell ref="B23:D23"/>
    <mergeCell ref="I23:K23"/>
    <mergeCell ref="B24:D24"/>
    <mergeCell ref="I24:K24"/>
    <mergeCell ref="A34:D34"/>
    <mergeCell ref="E34:F35"/>
    <mergeCell ref="H34:K34"/>
    <mergeCell ref="L34:M35"/>
    <mergeCell ref="A1:M1"/>
    <mergeCell ref="A2:M2"/>
    <mergeCell ref="A4:M4"/>
    <mergeCell ref="B6:D6"/>
    <mergeCell ref="I6:K6"/>
    <mergeCell ref="B7:D7"/>
    <mergeCell ref="I7:K7"/>
    <mergeCell ref="A17:D17"/>
    <mergeCell ref="E17:F18"/>
    <mergeCell ref="H17:K17"/>
    <mergeCell ref="L17:M18"/>
  </mergeCells>
  <printOptions horizontalCentered="1"/>
  <pageMargins left="0.75" right="0.75" top="1" bottom="1" header="0.511811023622047" footer="0.511811023622047"/>
  <pageSetup paperSize="9" fitToHeight="0" orientation="landscape" horizontalDpi="300" verticalDpi="300"/>
  <rowBreaks count="31" manualBreakCount="31">
    <brk id="1" max="16383" man="1"/>
    <brk id="2" max="16383" man="1"/>
    <brk id="3" max="16383" man="1"/>
    <brk id="4" max="16383" man="1"/>
    <brk id="5" max="16383" man="1"/>
    <brk id="6" max="16383" man="1"/>
    <brk id="7" max="16383" man="1"/>
    <brk id="8" max="16383" man="1"/>
    <brk id="9" max="16383" man="1"/>
    <brk id="10" max="16383" man="1"/>
    <brk id="11" max="16383" man="1"/>
    <brk id="12" max="16383" man="1"/>
    <brk id="13" max="16383" man="1"/>
    <brk id="14" max="16383" man="1"/>
    <brk id="15" max="16383" man="1"/>
    <brk id="16" max="16383" man="1"/>
    <brk id="17" max="16383" man="1"/>
    <brk id="18" max="16383" man="1"/>
    <brk id="19" max="16383" man="1"/>
    <brk id="20" max="16383" man="1"/>
    <brk id="21" max="16383" man="1"/>
    <brk id="22" max="16383" man="1"/>
    <brk id="23" max="16383" man="1"/>
    <brk id="24" max="16383" man="1"/>
    <brk id="25" max="16383" man="1"/>
    <brk id="26" max="16383" man="1"/>
    <brk id="27" max="16383" man="1"/>
    <brk id="28" max="16383" man="1"/>
    <brk id="29" max="16383" man="1"/>
    <brk id="30" max="16383" man="1"/>
    <brk id="31"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62828"/>
    <pageSetUpPr fitToPage="1"/>
  </sheetPr>
  <dimension ref="A1:Q272"/>
  <sheetViews>
    <sheetView showGridLines="0" zoomScaleNormal="100" workbookViewId="0"/>
  </sheetViews>
  <sheetFormatPr defaultColWidth="8.6328125" defaultRowHeight="14.5" x14ac:dyDescent="0.35"/>
  <cols>
    <col min="1" max="1" width="9" customWidth="1"/>
    <col min="2" max="7" width="7" customWidth="1"/>
    <col min="8" max="8" width="8" customWidth="1"/>
    <col min="9" max="9" width="9" customWidth="1"/>
    <col min="10" max="10" width="8" customWidth="1"/>
    <col min="11" max="16" width="7" customWidth="1"/>
    <col min="17" max="17" width="9" customWidth="1"/>
  </cols>
  <sheetData>
    <row r="1" spans="1:17" ht="7.5" customHeight="1" x14ac:dyDescent="0.35"/>
    <row r="2" spans="1:17" ht="19.5" customHeight="1" x14ac:dyDescent="0.35">
      <c r="A2" s="127" t="s">
        <v>231</v>
      </c>
      <c r="B2" s="127"/>
      <c r="C2" s="127"/>
      <c r="D2" s="127"/>
      <c r="E2" s="127"/>
      <c r="F2" s="127"/>
      <c r="G2" s="127"/>
      <c r="H2" s="127"/>
      <c r="I2" s="127"/>
      <c r="J2" s="127"/>
      <c r="K2" s="127"/>
      <c r="L2" s="127"/>
      <c r="M2" s="127"/>
      <c r="N2" s="127"/>
      <c r="O2" s="127"/>
      <c r="P2" s="127"/>
      <c r="Q2" s="127"/>
    </row>
    <row r="3" spans="1:17" ht="4.5" customHeight="1" x14ac:dyDescent="0.35"/>
    <row r="4" spans="1:17" ht="21.75" customHeight="1" x14ac:dyDescent="0.35">
      <c r="A4" s="84" t="s">
        <v>232</v>
      </c>
      <c r="B4" s="128" t="str">
        <f>IFERROR(IF('Beginner Adv 15M - Bracket'!B6="","TBD",'Beginner Adv 15M - Bracket'!B6),"TBD")</f>
        <v>Sheena Marie Monico</v>
      </c>
      <c r="C4" s="128"/>
      <c r="D4" s="128"/>
      <c r="E4" s="128"/>
      <c r="F4" s="128"/>
      <c r="G4" s="128"/>
      <c r="H4" s="128"/>
      <c r="I4" s="84" t="s">
        <v>233</v>
      </c>
      <c r="J4" s="128" t="str">
        <f>IFERROR(IF('Beginner Adv 15M - Bracket'!B8="","TBD",'Beginner Adv 15M - Bracket'!B8),"TBD")</f>
        <v>TBD</v>
      </c>
      <c r="K4" s="128"/>
      <c r="L4" s="128"/>
      <c r="M4" s="128"/>
      <c r="N4" s="128"/>
      <c r="O4" s="128"/>
      <c r="P4" s="128"/>
      <c r="Q4" s="84" t="s">
        <v>232</v>
      </c>
    </row>
    <row r="5" spans="1:17" ht="13.5" customHeight="1" x14ac:dyDescent="0.35">
      <c r="A5" s="85" t="s">
        <v>234</v>
      </c>
      <c r="B5" s="129" t="str">
        <f>IFERROR('Beginner Adv 15M - Bracket'!A6,"")</f>
        <v>#1</v>
      </c>
      <c r="C5" s="129"/>
      <c r="D5" s="129"/>
      <c r="E5" s="129"/>
      <c r="F5" s="129"/>
      <c r="G5" s="129"/>
      <c r="H5" s="129"/>
      <c r="I5" s="86"/>
      <c r="J5" s="129" t="str">
        <f>IFERROR('Beginner Adv 15M - Bracket'!A8,"")</f>
        <v>BYE</v>
      </c>
      <c r="K5" s="129"/>
      <c r="L5" s="129"/>
      <c r="M5" s="129"/>
      <c r="N5" s="129"/>
      <c r="O5" s="129"/>
      <c r="P5" s="129"/>
      <c r="Q5" s="85" t="s">
        <v>234</v>
      </c>
    </row>
    <row r="6" spans="1:17" ht="19.5" customHeight="1" x14ac:dyDescent="0.35">
      <c r="A6" s="87" t="s">
        <v>235</v>
      </c>
      <c r="B6" s="88" t="s">
        <v>83</v>
      </c>
      <c r="C6" s="88" t="s">
        <v>84</v>
      </c>
      <c r="D6" s="88" t="s">
        <v>85</v>
      </c>
      <c r="E6" s="88" t="s">
        <v>86</v>
      </c>
      <c r="F6" s="88" t="s">
        <v>87</v>
      </c>
      <c r="G6" s="88" t="s">
        <v>88</v>
      </c>
      <c r="H6" s="24" t="s">
        <v>236</v>
      </c>
      <c r="I6" s="89"/>
      <c r="J6" s="24" t="s">
        <v>236</v>
      </c>
      <c r="K6" s="88" t="s">
        <v>88</v>
      </c>
      <c r="L6" s="88" t="s">
        <v>87</v>
      </c>
      <c r="M6" s="88" t="s">
        <v>86</v>
      </c>
      <c r="N6" s="88" t="s">
        <v>85</v>
      </c>
      <c r="O6" s="88" t="s">
        <v>84</v>
      </c>
      <c r="P6" s="88" t="s">
        <v>83</v>
      </c>
      <c r="Q6" s="87" t="s">
        <v>235</v>
      </c>
    </row>
    <row r="7" spans="1:17" ht="21.75" customHeight="1" x14ac:dyDescent="0.35">
      <c r="A7" s="84" t="s">
        <v>222</v>
      </c>
      <c r="B7" s="90" t="str">
        <f>IFERROR(IF('Beginner Adv 15M - Bracket'!H6="","",'Beginner Adv 15M - Bracket'!H6),"")</f>
        <v/>
      </c>
      <c r="C7" s="90" t="str">
        <f>IFERROR(IF('Beginner Adv 15M - Bracket'!I6="","",'Beginner Adv 15M - Bracket'!I6),"")</f>
        <v/>
      </c>
      <c r="D7" s="90" t="str">
        <f>IFERROR(IF('Beginner Adv 15M - Bracket'!J6="","",'Beginner Adv 15M - Bracket'!J6),"")</f>
        <v/>
      </c>
      <c r="E7" s="90" t="str">
        <f>IFERROR(IF('Beginner Adv 15M - Bracket'!K6="","",'Beginner Adv 15M - Bracket'!K6),"")</f>
        <v/>
      </c>
      <c r="F7" s="90" t="str">
        <f>IFERROR(IF('Beginner Adv 15M - Bracket'!L6="","",'Beginner Adv 15M - Bracket'!L6),"")</f>
        <v/>
      </c>
      <c r="G7" s="90" t="str">
        <f>IFERROR(IF('Beginner Adv 15M - Bracket'!M6="","",'Beginner Adv 15M - Bracket'!M6),"")</f>
        <v/>
      </c>
      <c r="H7" s="32">
        <f>IFERROR(IF(ISNUMBER('Beginner Adv 15M - Bracket'!N6),'Beginner Adv 15M - Bracket'!N6,0),0)</f>
        <v>0</v>
      </c>
      <c r="I7" s="91" t="str">
        <f>IF(AND(ISNUMBER('Beginner Adv 15M - Bracket'!N6),ISNUMBER('Beginner Adv 15M - Bracket'!N8)),IF('Beginner Adv 15M - Bracket'!N6&gt;'Beginner Adv 15M - Bracket'!N8,"2-0",IF('Beginner Adv 15M - Bracket'!N6='Beginner Adv 15M - Bracket'!N8,"1-1","0-2")),"—")</f>
        <v>—</v>
      </c>
      <c r="J7" s="32">
        <f>IFERROR(IF(ISNUMBER('Beginner Adv 15M - Bracket'!N8),'Beginner Adv 15M - Bracket'!N8,0),0)</f>
        <v>0</v>
      </c>
      <c r="K7" s="90" t="str">
        <f>IFERROR(IF('Beginner Adv 15M - Bracket'!M8="","",'Beginner Adv 15M - Bracket'!M8),"")</f>
        <v/>
      </c>
      <c r="L7" s="90" t="str">
        <f>IFERROR(IF('Beginner Adv 15M - Bracket'!L8="","",'Beginner Adv 15M - Bracket'!L8),"")</f>
        <v/>
      </c>
      <c r="M7" s="90" t="str">
        <f>IFERROR(IF('Beginner Adv 15M - Bracket'!K8="","",'Beginner Adv 15M - Bracket'!K8),"")</f>
        <v/>
      </c>
      <c r="N7" s="90" t="str">
        <f>IFERROR(IF('Beginner Adv 15M - Bracket'!J8="","",'Beginner Adv 15M - Bracket'!J8),"")</f>
        <v/>
      </c>
      <c r="O7" s="90" t="str">
        <f>IFERROR(IF('Beginner Adv 15M - Bracket'!I8="","",'Beginner Adv 15M - Bracket'!I8),"")</f>
        <v/>
      </c>
      <c r="P7" s="90" t="str">
        <f>IFERROR(IF('Beginner Adv 15M - Bracket'!H8="","",'Beginner Adv 15M - Bracket'!H8),"")</f>
        <v/>
      </c>
      <c r="Q7" s="84" t="s">
        <v>222</v>
      </c>
    </row>
    <row r="8" spans="1:17" ht="21.75" customHeight="1" x14ac:dyDescent="0.35">
      <c r="A8" s="84" t="s">
        <v>223</v>
      </c>
      <c r="B8" s="90" t="str">
        <f>IFERROR(IF('Beginner Adv 15M - Bracket'!O6="","",'Beginner Adv 15M - Bracket'!O6),"")</f>
        <v/>
      </c>
      <c r="C8" s="90" t="str">
        <f>IFERROR(IF('Beginner Adv 15M - Bracket'!P6="","",'Beginner Adv 15M - Bracket'!P6),"")</f>
        <v/>
      </c>
      <c r="D8" s="90" t="str">
        <f>IFERROR(IF('Beginner Adv 15M - Bracket'!Q6="","",'Beginner Adv 15M - Bracket'!Q6),"")</f>
        <v/>
      </c>
      <c r="E8" s="90" t="str">
        <f>IFERROR(IF('Beginner Adv 15M - Bracket'!R6="","",'Beginner Adv 15M - Bracket'!R6),"")</f>
        <v/>
      </c>
      <c r="F8" s="90" t="str">
        <f>IFERROR(IF('Beginner Adv 15M - Bracket'!S6="","",'Beginner Adv 15M - Bracket'!S6),"")</f>
        <v/>
      </c>
      <c r="G8" s="90" t="str">
        <f>IFERROR(IF('Beginner Adv 15M - Bracket'!T6="","",'Beginner Adv 15M - Bracket'!T6),"")</f>
        <v/>
      </c>
      <c r="H8" s="32">
        <f>IFERROR(IF(ISNUMBER('Beginner Adv 15M - Bracket'!U6),'Beginner Adv 15M - Bracket'!U6,0),0)</f>
        <v>0</v>
      </c>
      <c r="I8" s="91" t="str">
        <f>IF(AND(ISNUMBER('Beginner Adv 15M - Bracket'!U6),ISNUMBER('Beginner Adv 15M - Bracket'!U8)),IF('Beginner Adv 15M - Bracket'!U6&gt;'Beginner Adv 15M - Bracket'!U8,"2-0",IF('Beginner Adv 15M - Bracket'!U6='Beginner Adv 15M - Bracket'!U8,"1-1","0-2")),"—")</f>
        <v>—</v>
      </c>
      <c r="J8" s="32">
        <f>IFERROR(IF(ISNUMBER('Beginner Adv 15M - Bracket'!U8),'Beginner Adv 15M - Bracket'!U8,0),0)</f>
        <v>0</v>
      </c>
      <c r="K8" s="90" t="str">
        <f>IFERROR(IF('Beginner Adv 15M - Bracket'!T8="","",'Beginner Adv 15M - Bracket'!T8),"")</f>
        <v/>
      </c>
      <c r="L8" s="90" t="str">
        <f>IFERROR(IF('Beginner Adv 15M - Bracket'!S8="","",'Beginner Adv 15M - Bracket'!S8),"")</f>
        <v/>
      </c>
      <c r="M8" s="90" t="str">
        <f>IFERROR(IF('Beginner Adv 15M - Bracket'!R8="","",'Beginner Adv 15M - Bracket'!R8),"")</f>
        <v/>
      </c>
      <c r="N8" s="90" t="str">
        <f>IFERROR(IF('Beginner Adv 15M - Bracket'!Q8="","",'Beginner Adv 15M - Bracket'!Q8),"")</f>
        <v/>
      </c>
      <c r="O8" s="90" t="str">
        <f>IFERROR(IF('Beginner Adv 15M - Bracket'!P8="","",'Beginner Adv 15M - Bracket'!P8),"")</f>
        <v/>
      </c>
      <c r="P8" s="90" t="str">
        <f>IFERROR(IF('Beginner Adv 15M - Bracket'!O8="","",'Beginner Adv 15M - Bracket'!O8),"")</f>
        <v/>
      </c>
      <c r="Q8" s="84" t="s">
        <v>223</v>
      </c>
    </row>
    <row r="9" spans="1:17" ht="21.75" customHeight="1" x14ac:dyDescent="0.35">
      <c r="A9" s="84" t="s">
        <v>224</v>
      </c>
      <c r="B9" s="90" t="str">
        <f>IFERROR(IF('Beginner Adv 15M - Bracket'!V6="","",'Beginner Adv 15M - Bracket'!V6),"")</f>
        <v/>
      </c>
      <c r="C9" s="90" t="str">
        <f>IFERROR(IF('Beginner Adv 15M - Bracket'!W6="","",'Beginner Adv 15M - Bracket'!W6),"")</f>
        <v/>
      </c>
      <c r="D9" s="90" t="str">
        <f>IFERROR(IF('Beginner Adv 15M - Bracket'!X6="","",'Beginner Adv 15M - Bracket'!X6),"")</f>
        <v/>
      </c>
      <c r="E9" s="90" t="str">
        <f>IFERROR(IF('Beginner Adv 15M - Bracket'!Y6="","",'Beginner Adv 15M - Bracket'!Y6),"")</f>
        <v/>
      </c>
      <c r="F9" s="90" t="str">
        <f>IFERROR(IF('Beginner Adv 15M - Bracket'!Z6="","",'Beginner Adv 15M - Bracket'!Z6),"")</f>
        <v/>
      </c>
      <c r="G9" s="90" t="str">
        <f>IFERROR(IF('Beginner Adv 15M - Bracket'!AA6="","",'Beginner Adv 15M - Bracket'!AA6),"")</f>
        <v/>
      </c>
      <c r="H9" s="32">
        <f>IFERROR(IF(ISNUMBER('Beginner Adv 15M - Bracket'!AB6),'Beginner Adv 15M - Bracket'!AB6,0),0)</f>
        <v>0</v>
      </c>
      <c r="I9" s="91" t="str">
        <f>IF(AND(ISNUMBER('Beginner Adv 15M - Bracket'!AB6),ISNUMBER('Beginner Adv 15M - Bracket'!AB8)),IF('Beginner Adv 15M - Bracket'!AB6&gt;'Beginner Adv 15M - Bracket'!AB8,"2-0",IF('Beginner Adv 15M - Bracket'!AB6='Beginner Adv 15M - Bracket'!AB8,"1-1","0-2")),"—")</f>
        <v>—</v>
      </c>
      <c r="J9" s="32">
        <f>IFERROR(IF(ISNUMBER('Beginner Adv 15M - Bracket'!AB8),'Beginner Adv 15M - Bracket'!AB8,0),0)</f>
        <v>0</v>
      </c>
      <c r="K9" s="90" t="str">
        <f>IFERROR(IF('Beginner Adv 15M - Bracket'!AA8="","",'Beginner Adv 15M - Bracket'!AA8),"")</f>
        <v/>
      </c>
      <c r="L9" s="90" t="str">
        <f>IFERROR(IF('Beginner Adv 15M - Bracket'!Z8="","",'Beginner Adv 15M - Bracket'!Z8),"")</f>
        <v/>
      </c>
      <c r="M9" s="90" t="str">
        <f>IFERROR(IF('Beginner Adv 15M - Bracket'!Y8="","",'Beginner Adv 15M - Bracket'!Y8),"")</f>
        <v/>
      </c>
      <c r="N9" s="90" t="str">
        <f>IFERROR(IF('Beginner Adv 15M - Bracket'!X8="","",'Beginner Adv 15M - Bracket'!X8),"")</f>
        <v/>
      </c>
      <c r="O9" s="90" t="str">
        <f>IFERROR(IF('Beginner Adv 15M - Bracket'!W8="","",'Beginner Adv 15M - Bracket'!W8),"")</f>
        <v/>
      </c>
      <c r="P9" s="90" t="str">
        <f>IFERROR(IF('Beginner Adv 15M - Bracket'!V8="","",'Beginner Adv 15M - Bracket'!V8),"")</f>
        <v/>
      </c>
      <c r="Q9" s="84" t="s">
        <v>224</v>
      </c>
    </row>
    <row r="10" spans="1:17" ht="21.75" customHeight="1" x14ac:dyDescent="0.35">
      <c r="A10" s="84" t="s">
        <v>227</v>
      </c>
      <c r="B10" s="90" t="str">
        <f>IFERROR(IF('Beginner Adv 15M - Bracket'!AC6="","",'Beginner Adv 15M - Bracket'!AC6),"")</f>
        <v/>
      </c>
      <c r="C10" s="90" t="str">
        <f>IFERROR(IF('Beginner Adv 15M - Bracket'!AD6="","",'Beginner Adv 15M - Bracket'!AD6),"")</f>
        <v/>
      </c>
      <c r="D10" s="90" t="str">
        <f>IFERROR(IF('Beginner Adv 15M - Bracket'!AE6="","",'Beginner Adv 15M - Bracket'!AE6),"")</f>
        <v/>
      </c>
      <c r="E10" s="90" t="str">
        <f>IFERROR(IF('Beginner Adv 15M - Bracket'!AF6="","",'Beginner Adv 15M - Bracket'!AF6),"")</f>
        <v/>
      </c>
      <c r="F10" s="90" t="str">
        <f>IFERROR(IF('Beginner Adv 15M - Bracket'!AG6="","",'Beginner Adv 15M - Bracket'!AG6),"")</f>
        <v/>
      </c>
      <c r="G10" s="90" t="str">
        <f>IFERROR(IF('Beginner Adv 15M - Bracket'!AH6="","",'Beginner Adv 15M - Bracket'!AH6),"")</f>
        <v/>
      </c>
      <c r="H10" s="32">
        <f>IFERROR(IF(ISNUMBER('Beginner Adv 15M - Bracket'!AI6),'Beginner Adv 15M - Bracket'!AI6,0),0)</f>
        <v>0</v>
      </c>
      <c r="I10" s="91" t="str">
        <f>IF(AND(ISNUMBER('Beginner Adv 15M - Bracket'!AI6),ISNUMBER('Beginner Adv 15M - Bracket'!AI8)),IF('Beginner Adv 15M - Bracket'!AI6&gt;'Beginner Adv 15M - Bracket'!AI8,"2-0",IF('Beginner Adv 15M - Bracket'!AI6='Beginner Adv 15M - Bracket'!AI8,"1-1","0-2")),"—")</f>
        <v>—</v>
      </c>
      <c r="J10" s="32">
        <f>IFERROR(IF(ISNUMBER('Beginner Adv 15M - Bracket'!AI8),'Beginner Adv 15M - Bracket'!AI8,0),0)</f>
        <v>0</v>
      </c>
      <c r="K10" s="90" t="str">
        <f>IFERROR(IF('Beginner Adv 15M - Bracket'!AH8="","",'Beginner Adv 15M - Bracket'!AH8),"")</f>
        <v/>
      </c>
      <c r="L10" s="90" t="str">
        <f>IFERROR(IF('Beginner Adv 15M - Bracket'!AG8="","",'Beginner Adv 15M - Bracket'!AG8),"")</f>
        <v/>
      </c>
      <c r="M10" s="90" t="str">
        <f>IFERROR(IF('Beginner Adv 15M - Bracket'!AF8="","",'Beginner Adv 15M - Bracket'!AF8),"")</f>
        <v/>
      </c>
      <c r="N10" s="90" t="str">
        <f>IFERROR(IF('Beginner Adv 15M - Bracket'!AE8="","",'Beginner Adv 15M - Bracket'!AE8),"")</f>
        <v/>
      </c>
      <c r="O10" s="90" t="str">
        <f>IFERROR(IF('Beginner Adv 15M - Bracket'!AD8="","",'Beginner Adv 15M - Bracket'!AD8),"")</f>
        <v/>
      </c>
      <c r="P10" s="90" t="str">
        <f>IFERROR(IF('Beginner Adv 15M - Bracket'!AC8="","",'Beginner Adv 15M - Bracket'!AC8),"")</f>
        <v/>
      </c>
      <c r="Q10" s="84" t="s">
        <v>227</v>
      </c>
    </row>
    <row r="11" spans="1:17" ht="21.75" customHeight="1" x14ac:dyDescent="0.35">
      <c r="A11" s="84" t="s">
        <v>228</v>
      </c>
      <c r="B11" s="90" t="str">
        <f>IFERROR(IF('Beginner Adv 15M - Bracket'!AJ6="","",'Beginner Adv 15M - Bracket'!AJ6),"")</f>
        <v/>
      </c>
      <c r="C11" s="90" t="str">
        <f>IFERROR(IF('Beginner Adv 15M - Bracket'!AK6="","",'Beginner Adv 15M - Bracket'!AK6),"")</f>
        <v/>
      </c>
      <c r="D11" s="90" t="str">
        <f>IFERROR(IF('Beginner Adv 15M - Bracket'!AL6="","",'Beginner Adv 15M - Bracket'!AL6),"")</f>
        <v/>
      </c>
      <c r="E11" s="90" t="str">
        <f>IFERROR(IF('Beginner Adv 15M - Bracket'!AM6="","",'Beginner Adv 15M - Bracket'!AM6),"")</f>
        <v/>
      </c>
      <c r="F11" s="90" t="str">
        <f>IFERROR(IF('Beginner Adv 15M - Bracket'!AN6="","",'Beginner Adv 15M - Bracket'!AN6),"")</f>
        <v/>
      </c>
      <c r="G11" s="90" t="str">
        <f>IFERROR(IF('Beginner Adv 15M - Bracket'!AO6="","",'Beginner Adv 15M - Bracket'!AO6),"")</f>
        <v/>
      </c>
      <c r="H11" s="32">
        <f>IFERROR(IF(ISNUMBER('Beginner Adv 15M - Bracket'!AP6),'Beginner Adv 15M - Bracket'!AP6,0),0)</f>
        <v>0</v>
      </c>
      <c r="I11" s="91" t="str">
        <f>IF(AND(ISNUMBER('Beginner Adv 15M - Bracket'!AP6),ISNUMBER('Beginner Adv 15M - Bracket'!AP8)),IF('Beginner Adv 15M - Bracket'!AP6&gt;'Beginner Adv 15M - Bracket'!AP8,"2-0",IF('Beginner Adv 15M - Bracket'!AP6='Beginner Adv 15M - Bracket'!AP8,"1-1","0-2")),"—")</f>
        <v>—</v>
      </c>
      <c r="J11" s="32">
        <f>IFERROR(IF(ISNUMBER('Beginner Adv 15M - Bracket'!AP8),'Beginner Adv 15M - Bracket'!AP8,0),0)</f>
        <v>0</v>
      </c>
      <c r="K11" s="90" t="str">
        <f>IFERROR(IF('Beginner Adv 15M - Bracket'!AO8="","",'Beginner Adv 15M - Bracket'!AO8),"")</f>
        <v/>
      </c>
      <c r="L11" s="90" t="str">
        <f>IFERROR(IF('Beginner Adv 15M - Bracket'!AN8="","",'Beginner Adv 15M - Bracket'!AN8),"")</f>
        <v/>
      </c>
      <c r="M11" s="90" t="str">
        <f>IFERROR(IF('Beginner Adv 15M - Bracket'!AM8="","",'Beginner Adv 15M - Bracket'!AM8),"")</f>
        <v/>
      </c>
      <c r="N11" s="90" t="str">
        <f>IFERROR(IF('Beginner Adv 15M - Bracket'!AL8="","",'Beginner Adv 15M - Bracket'!AL8),"")</f>
        <v/>
      </c>
      <c r="O11" s="90" t="str">
        <f>IFERROR(IF('Beginner Adv 15M - Bracket'!AK8="","",'Beginner Adv 15M - Bracket'!AK8),"")</f>
        <v/>
      </c>
      <c r="P11" s="90" t="str">
        <f>IFERROR(IF('Beginner Adv 15M - Bracket'!AJ8="","",'Beginner Adv 15M - Bracket'!AJ8),"")</f>
        <v/>
      </c>
      <c r="Q11" s="84" t="s">
        <v>228</v>
      </c>
    </row>
    <row r="12" spans="1:17" ht="21.75" customHeight="1" x14ac:dyDescent="0.35">
      <c r="A12" s="92" t="s">
        <v>237</v>
      </c>
      <c r="B12" s="93" t="str">
        <f>IFERROR(IF('Beginner Adv 15M - Bracket'!AQ6="","",'Beginner Adv 15M - Bracket'!AQ6),"")</f>
        <v/>
      </c>
      <c r="C12" s="93" t="str">
        <f>IFERROR(IF('Beginner Adv 15M - Bracket'!AR6="","",'Beginner Adv 15M - Bracket'!AR6),"")</f>
        <v/>
      </c>
      <c r="D12" s="93" t="str">
        <f>IFERROR(IF('Beginner Adv 15M - Bracket'!AS6="","",'Beginner Adv 15M - Bracket'!AS6),"")</f>
        <v/>
      </c>
      <c r="E12" s="93" t="str">
        <f>IFERROR(IF('Beginner Adv 15M - Bracket'!AT6="","",'Beginner Adv 15M - Bracket'!AT6),"")</f>
        <v/>
      </c>
      <c r="F12" s="93" t="str">
        <f>IFERROR(IF('Beginner Adv 15M - Bracket'!AU6="","",'Beginner Adv 15M - Bracket'!AU6),"")</f>
        <v/>
      </c>
      <c r="G12" s="93" t="str">
        <f>IFERROR(IF('Beginner Adv 15M - Bracket'!AV6="","",'Beginner Adv 15M - Bracket'!AV6),"")</f>
        <v/>
      </c>
      <c r="H12" s="32">
        <f>IFERROR(IF(ISNUMBER('Beginner Adv 15M - Bracket'!AW6),'Beginner Adv 15M - Bracket'!AW6,0),0)</f>
        <v>0</v>
      </c>
      <c r="I12" s="91" t="str">
        <f>IF(AND(ISNUMBER('Beginner Adv 15M - Bracket'!AW6),ISNUMBER('Beginner Adv 15M - Bracket'!AW8)),IF('Beginner Adv 15M - Bracket'!AW6&gt;'Beginner Adv 15M - Bracket'!AW8,"2-0",IF('Beginner Adv 15M - Bracket'!AW6='Beginner Adv 15M - Bracket'!AW8,"1-1","0-2")),"—")</f>
        <v>—</v>
      </c>
      <c r="J12" s="32">
        <f>IFERROR(IF(ISNUMBER('Beginner Adv 15M - Bracket'!AW8),'Beginner Adv 15M - Bracket'!AW8,0),0)</f>
        <v>0</v>
      </c>
      <c r="K12" s="93" t="str">
        <f>IFERROR(IF('Beginner Adv 15M - Bracket'!AV8="","",'Beginner Adv 15M - Bracket'!AV8),"")</f>
        <v/>
      </c>
      <c r="L12" s="93" t="str">
        <f>IFERROR(IF('Beginner Adv 15M - Bracket'!AU8="","",'Beginner Adv 15M - Bracket'!AU8),"")</f>
        <v/>
      </c>
      <c r="M12" s="93" t="str">
        <f>IFERROR(IF('Beginner Adv 15M - Bracket'!AT8="","",'Beginner Adv 15M - Bracket'!AT8),"")</f>
        <v/>
      </c>
      <c r="N12" s="93" t="str">
        <f>IFERROR(IF('Beginner Adv 15M - Bracket'!AS8="","",'Beginner Adv 15M - Bracket'!AS8),"")</f>
        <v/>
      </c>
      <c r="O12" s="93" t="str">
        <f>IFERROR(IF('Beginner Adv 15M - Bracket'!AR8="","",'Beginner Adv 15M - Bracket'!AR8),"")</f>
        <v/>
      </c>
      <c r="P12" s="93" t="str">
        <f>IFERROR(IF('Beginner Adv 15M - Bracket'!AQ8="","",'Beginner Adv 15M - Bracket'!AQ8),"")</f>
        <v/>
      </c>
      <c r="Q12" s="92" t="s">
        <v>237</v>
      </c>
    </row>
    <row r="13" spans="1:17" ht="4.5" customHeight="1" x14ac:dyDescent="0.35"/>
    <row r="14" spans="1:17" ht="31.5" customHeight="1" x14ac:dyDescent="0.35">
      <c r="A14" s="130">
        <f>IFERROR(IF(ISNUMBER('Beginner Adv 15M - Bracket'!AX6),'Beginner Adv 15M - Bracket'!AX6,0),0)</f>
        <v>0</v>
      </c>
      <c r="B14" s="130"/>
      <c r="C14" s="130"/>
      <c r="D14" s="130"/>
      <c r="E14" s="130"/>
      <c r="F14" s="130"/>
      <c r="G14" s="130"/>
      <c r="H14" s="94" t="str">
        <f>IFERROR('Beginner Adv 15M - Bracket'!BA6,"")</f>
        <v>&gt;&gt; Advance</v>
      </c>
      <c r="I14" s="86"/>
      <c r="J14" s="94" t="str">
        <f>IFERROR('Beginner Adv 15M - Bracket'!BA8,"")</f>
        <v>BYE</v>
      </c>
      <c r="K14" s="130">
        <f>IFERROR(IF(ISNUMBER('Beginner Adv 15M - Bracket'!AX8),'Beginner Adv 15M - Bracket'!AX8,0),0)</f>
        <v>0</v>
      </c>
      <c r="L14" s="130"/>
      <c r="M14" s="130"/>
      <c r="N14" s="130"/>
      <c r="O14" s="130"/>
      <c r="P14" s="130"/>
      <c r="Q14" s="130"/>
    </row>
    <row r="15" spans="1:17" ht="21.75" customHeight="1" x14ac:dyDescent="0.35">
      <c r="A15" s="130"/>
      <c r="B15" s="130"/>
      <c r="C15" s="130"/>
      <c r="D15" s="130"/>
      <c r="E15" s="130"/>
      <c r="F15" s="130"/>
      <c r="G15" s="130"/>
      <c r="K15" s="130"/>
      <c r="L15" s="130"/>
      <c r="M15" s="130"/>
      <c r="N15" s="130"/>
      <c r="O15" s="130"/>
      <c r="P15" s="130"/>
      <c r="Q15" s="130"/>
    </row>
    <row r="16" spans="1:17" ht="4.5" customHeight="1" x14ac:dyDescent="0.35"/>
    <row r="17" spans="1:17" ht="12" customHeight="1" x14ac:dyDescent="0.35">
      <c r="A17" s="126"/>
      <c r="B17" s="126"/>
      <c r="C17" s="126"/>
      <c r="D17" s="126"/>
      <c r="E17" s="126"/>
      <c r="F17" s="126"/>
      <c r="G17" s="126"/>
      <c r="H17" s="126"/>
      <c r="I17" s="126"/>
      <c r="J17" s="126"/>
      <c r="K17" s="126"/>
      <c r="L17" s="126"/>
      <c r="M17" s="126"/>
      <c r="N17" s="126"/>
      <c r="O17" s="126"/>
      <c r="P17" s="126"/>
      <c r="Q17" s="126"/>
    </row>
    <row r="18" spans="1:17" ht="7.5" customHeight="1" x14ac:dyDescent="0.35"/>
    <row r="19" spans="1:17" ht="19.5" customHeight="1" x14ac:dyDescent="0.35">
      <c r="A19" s="127" t="s">
        <v>238</v>
      </c>
      <c r="B19" s="127"/>
      <c r="C19" s="127"/>
      <c r="D19" s="127"/>
      <c r="E19" s="127"/>
      <c r="F19" s="127"/>
      <c r="G19" s="127"/>
      <c r="H19" s="127"/>
      <c r="I19" s="127"/>
      <c r="J19" s="127"/>
      <c r="K19" s="127"/>
      <c r="L19" s="127"/>
      <c r="M19" s="127"/>
      <c r="N19" s="127"/>
      <c r="O19" s="127"/>
      <c r="P19" s="127"/>
      <c r="Q19" s="127"/>
    </row>
    <row r="20" spans="1:17" ht="4.5" customHeight="1" x14ac:dyDescent="0.35"/>
    <row r="21" spans="1:17" ht="21.75" customHeight="1" x14ac:dyDescent="0.35">
      <c r="A21" s="84" t="s">
        <v>232</v>
      </c>
      <c r="B21" s="128" t="str">
        <f>IFERROR(IF('Beginner Adv 15M - Bracket'!B11="","TBD",'Beginner Adv 15M - Bracket'!B11),"TBD")</f>
        <v>TBD</v>
      </c>
      <c r="C21" s="128"/>
      <c r="D21" s="128"/>
      <c r="E21" s="128"/>
      <c r="F21" s="128"/>
      <c r="G21" s="128"/>
      <c r="H21" s="128"/>
      <c r="I21" s="84" t="s">
        <v>233</v>
      </c>
      <c r="J21" s="128" t="str">
        <f>IFERROR(IF('Beginner Adv 15M - Bracket'!B13="","TBD",'Beginner Adv 15M - Bracket'!B13),"TBD")</f>
        <v>TBD</v>
      </c>
      <c r="K21" s="128"/>
      <c r="L21" s="128"/>
      <c r="M21" s="128"/>
      <c r="N21" s="128"/>
      <c r="O21" s="128"/>
      <c r="P21" s="128"/>
      <c r="Q21" s="84" t="s">
        <v>232</v>
      </c>
    </row>
    <row r="22" spans="1:17" ht="13.5" customHeight="1" x14ac:dyDescent="0.35">
      <c r="A22" s="85" t="s">
        <v>234</v>
      </c>
      <c r="B22" s="129" t="str">
        <f>IFERROR('Beginner Adv 15M - Bracket'!A11,"")</f>
        <v>BYE</v>
      </c>
      <c r="C22" s="129"/>
      <c r="D22" s="129"/>
      <c r="E22" s="129"/>
      <c r="F22" s="129"/>
      <c r="G22" s="129"/>
      <c r="H22" s="129"/>
      <c r="I22" s="86"/>
      <c r="J22" s="129" t="str">
        <f>IFERROR('Beginner Adv 15M - Bracket'!A13,"")</f>
        <v>BYE</v>
      </c>
      <c r="K22" s="129"/>
      <c r="L22" s="129"/>
      <c r="M22" s="129"/>
      <c r="N22" s="129"/>
      <c r="O22" s="129"/>
      <c r="P22" s="129"/>
      <c r="Q22" s="85" t="s">
        <v>234</v>
      </c>
    </row>
    <row r="23" spans="1:17" ht="19.5" customHeight="1" x14ac:dyDescent="0.35">
      <c r="A23" s="87" t="s">
        <v>235</v>
      </c>
      <c r="B23" s="88" t="s">
        <v>83</v>
      </c>
      <c r="C23" s="88" t="s">
        <v>84</v>
      </c>
      <c r="D23" s="88" t="s">
        <v>85</v>
      </c>
      <c r="E23" s="88" t="s">
        <v>86</v>
      </c>
      <c r="F23" s="88" t="s">
        <v>87</v>
      </c>
      <c r="G23" s="88" t="s">
        <v>88</v>
      </c>
      <c r="H23" s="24" t="s">
        <v>236</v>
      </c>
      <c r="I23" s="89"/>
      <c r="J23" s="24" t="s">
        <v>236</v>
      </c>
      <c r="K23" s="88" t="s">
        <v>88</v>
      </c>
      <c r="L23" s="88" t="s">
        <v>87</v>
      </c>
      <c r="M23" s="88" t="s">
        <v>86</v>
      </c>
      <c r="N23" s="88" t="s">
        <v>85</v>
      </c>
      <c r="O23" s="88" t="s">
        <v>84</v>
      </c>
      <c r="P23" s="88" t="s">
        <v>83</v>
      </c>
      <c r="Q23" s="87" t="s">
        <v>235</v>
      </c>
    </row>
    <row r="24" spans="1:17" ht="21.75" customHeight="1" x14ac:dyDescent="0.35">
      <c r="A24" s="84" t="s">
        <v>222</v>
      </c>
      <c r="B24" s="90" t="str">
        <f>IFERROR(IF('Beginner Adv 15M - Bracket'!H11="","",'Beginner Adv 15M - Bracket'!H11),"")</f>
        <v/>
      </c>
      <c r="C24" s="90" t="str">
        <f>IFERROR(IF('Beginner Adv 15M - Bracket'!I11="","",'Beginner Adv 15M - Bracket'!I11),"")</f>
        <v/>
      </c>
      <c r="D24" s="90" t="str">
        <f>IFERROR(IF('Beginner Adv 15M - Bracket'!J11="","",'Beginner Adv 15M - Bracket'!J11),"")</f>
        <v/>
      </c>
      <c r="E24" s="90" t="str">
        <f>IFERROR(IF('Beginner Adv 15M - Bracket'!K11="","",'Beginner Adv 15M - Bracket'!K11),"")</f>
        <v/>
      </c>
      <c r="F24" s="90" t="str">
        <f>IFERROR(IF('Beginner Adv 15M - Bracket'!L11="","",'Beginner Adv 15M - Bracket'!L11),"")</f>
        <v/>
      </c>
      <c r="G24" s="90" t="str">
        <f>IFERROR(IF('Beginner Adv 15M - Bracket'!M11="","",'Beginner Adv 15M - Bracket'!M11),"")</f>
        <v/>
      </c>
      <c r="H24" s="32">
        <f>IFERROR(IF(ISNUMBER('Beginner Adv 15M - Bracket'!N11),'Beginner Adv 15M - Bracket'!N11,0),0)</f>
        <v>0</v>
      </c>
      <c r="I24" s="91" t="str">
        <f>IF(AND(ISNUMBER('Beginner Adv 15M - Bracket'!N11),ISNUMBER('Beginner Adv 15M - Bracket'!N13)),IF('Beginner Adv 15M - Bracket'!N11&gt;'Beginner Adv 15M - Bracket'!N13,"2-0",IF('Beginner Adv 15M - Bracket'!N11='Beginner Adv 15M - Bracket'!N13,"1-1","0-2")),"—")</f>
        <v>—</v>
      </c>
      <c r="J24" s="32">
        <f>IFERROR(IF(ISNUMBER('Beginner Adv 15M - Bracket'!N13),'Beginner Adv 15M - Bracket'!N13,0),0)</f>
        <v>0</v>
      </c>
      <c r="K24" s="90" t="str">
        <f>IFERROR(IF('Beginner Adv 15M - Bracket'!M13="","",'Beginner Adv 15M - Bracket'!M13),"")</f>
        <v/>
      </c>
      <c r="L24" s="90" t="str">
        <f>IFERROR(IF('Beginner Adv 15M - Bracket'!L13="","",'Beginner Adv 15M - Bracket'!L13),"")</f>
        <v/>
      </c>
      <c r="M24" s="90" t="str">
        <f>IFERROR(IF('Beginner Adv 15M - Bracket'!K13="","",'Beginner Adv 15M - Bracket'!K13),"")</f>
        <v/>
      </c>
      <c r="N24" s="90" t="str">
        <f>IFERROR(IF('Beginner Adv 15M - Bracket'!J13="","",'Beginner Adv 15M - Bracket'!J13),"")</f>
        <v/>
      </c>
      <c r="O24" s="90" t="str">
        <f>IFERROR(IF('Beginner Adv 15M - Bracket'!I13="","",'Beginner Adv 15M - Bracket'!I13),"")</f>
        <v/>
      </c>
      <c r="P24" s="90" t="str">
        <f>IFERROR(IF('Beginner Adv 15M - Bracket'!H13="","",'Beginner Adv 15M - Bracket'!H13),"")</f>
        <v/>
      </c>
      <c r="Q24" s="84" t="s">
        <v>222</v>
      </c>
    </row>
    <row r="25" spans="1:17" ht="21.75" customHeight="1" x14ac:dyDescent="0.35">
      <c r="A25" s="84" t="s">
        <v>223</v>
      </c>
      <c r="B25" s="90" t="str">
        <f>IFERROR(IF('Beginner Adv 15M - Bracket'!O11="","",'Beginner Adv 15M - Bracket'!O11),"")</f>
        <v/>
      </c>
      <c r="C25" s="90" t="str">
        <f>IFERROR(IF('Beginner Adv 15M - Bracket'!P11="","",'Beginner Adv 15M - Bracket'!P11),"")</f>
        <v/>
      </c>
      <c r="D25" s="90" t="str">
        <f>IFERROR(IF('Beginner Adv 15M - Bracket'!Q11="","",'Beginner Adv 15M - Bracket'!Q11),"")</f>
        <v/>
      </c>
      <c r="E25" s="90" t="str">
        <f>IFERROR(IF('Beginner Adv 15M - Bracket'!R11="","",'Beginner Adv 15M - Bracket'!R11),"")</f>
        <v/>
      </c>
      <c r="F25" s="90" t="str">
        <f>IFERROR(IF('Beginner Adv 15M - Bracket'!S11="","",'Beginner Adv 15M - Bracket'!S11),"")</f>
        <v/>
      </c>
      <c r="G25" s="90" t="str">
        <f>IFERROR(IF('Beginner Adv 15M - Bracket'!T11="","",'Beginner Adv 15M - Bracket'!T11),"")</f>
        <v/>
      </c>
      <c r="H25" s="32">
        <f>IFERROR(IF(ISNUMBER('Beginner Adv 15M - Bracket'!U11),'Beginner Adv 15M - Bracket'!U11,0),0)</f>
        <v>0</v>
      </c>
      <c r="I25" s="91" t="str">
        <f>IF(AND(ISNUMBER('Beginner Adv 15M - Bracket'!U11),ISNUMBER('Beginner Adv 15M - Bracket'!U13)),IF('Beginner Adv 15M - Bracket'!U11&gt;'Beginner Adv 15M - Bracket'!U13,"2-0",IF('Beginner Adv 15M - Bracket'!U11='Beginner Adv 15M - Bracket'!U13,"1-1","0-2")),"—")</f>
        <v>—</v>
      </c>
      <c r="J25" s="32">
        <f>IFERROR(IF(ISNUMBER('Beginner Adv 15M - Bracket'!U13),'Beginner Adv 15M - Bracket'!U13,0),0)</f>
        <v>0</v>
      </c>
      <c r="K25" s="90" t="str">
        <f>IFERROR(IF('Beginner Adv 15M - Bracket'!T13="","",'Beginner Adv 15M - Bracket'!T13),"")</f>
        <v/>
      </c>
      <c r="L25" s="90" t="str">
        <f>IFERROR(IF('Beginner Adv 15M - Bracket'!S13="","",'Beginner Adv 15M - Bracket'!S13),"")</f>
        <v/>
      </c>
      <c r="M25" s="90" t="str">
        <f>IFERROR(IF('Beginner Adv 15M - Bracket'!R13="","",'Beginner Adv 15M - Bracket'!R13),"")</f>
        <v/>
      </c>
      <c r="N25" s="90" t="str">
        <f>IFERROR(IF('Beginner Adv 15M - Bracket'!Q13="","",'Beginner Adv 15M - Bracket'!Q13),"")</f>
        <v/>
      </c>
      <c r="O25" s="90" t="str">
        <f>IFERROR(IF('Beginner Adv 15M - Bracket'!P13="","",'Beginner Adv 15M - Bracket'!P13),"")</f>
        <v/>
      </c>
      <c r="P25" s="90" t="str">
        <f>IFERROR(IF('Beginner Adv 15M - Bracket'!O13="","",'Beginner Adv 15M - Bracket'!O13),"")</f>
        <v/>
      </c>
      <c r="Q25" s="84" t="s">
        <v>223</v>
      </c>
    </row>
    <row r="26" spans="1:17" ht="21.75" customHeight="1" x14ac:dyDescent="0.35">
      <c r="A26" s="84" t="s">
        <v>224</v>
      </c>
      <c r="B26" s="90" t="str">
        <f>IFERROR(IF('Beginner Adv 15M - Bracket'!V11="","",'Beginner Adv 15M - Bracket'!V11),"")</f>
        <v/>
      </c>
      <c r="C26" s="90" t="str">
        <f>IFERROR(IF('Beginner Adv 15M - Bracket'!W11="","",'Beginner Adv 15M - Bracket'!W11),"")</f>
        <v/>
      </c>
      <c r="D26" s="90" t="str">
        <f>IFERROR(IF('Beginner Adv 15M - Bracket'!X11="","",'Beginner Adv 15M - Bracket'!X11),"")</f>
        <v/>
      </c>
      <c r="E26" s="90" t="str">
        <f>IFERROR(IF('Beginner Adv 15M - Bracket'!Y11="","",'Beginner Adv 15M - Bracket'!Y11),"")</f>
        <v/>
      </c>
      <c r="F26" s="90" t="str">
        <f>IFERROR(IF('Beginner Adv 15M - Bracket'!Z11="","",'Beginner Adv 15M - Bracket'!Z11),"")</f>
        <v/>
      </c>
      <c r="G26" s="90" t="str">
        <f>IFERROR(IF('Beginner Adv 15M - Bracket'!AA11="","",'Beginner Adv 15M - Bracket'!AA11),"")</f>
        <v/>
      </c>
      <c r="H26" s="32">
        <f>IFERROR(IF(ISNUMBER('Beginner Adv 15M - Bracket'!AB11),'Beginner Adv 15M - Bracket'!AB11,0),0)</f>
        <v>0</v>
      </c>
      <c r="I26" s="91" t="str">
        <f>IF(AND(ISNUMBER('Beginner Adv 15M - Bracket'!AB11),ISNUMBER('Beginner Adv 15M - Bracket'!AB13)),IF('Beginner Adv 15M - Bracket'!AB11&gt;'Beginner Adv 15M - Bracket'!AB13,"2-0",IF('Beginner Adv 15M - Bracket'!AB11='Beginner Adv 15M - Bracket'!AB13,"1-1","0-2")),"—")</f>
        <v>—</v>
      </c>
      <c r="J26" s="32">
        <f>IFERROR(IF(ISNUMBER('Beginner Adv 15M - Bracket'!AB13),'Beginner Adv 15M - Bracket'!AB13,0),0)</f>
        <v>0</v>
      </c>
      <c r="K26" s="90" t="str">
        <f>IFERROR(IF('Beginner Adv 15M - Bracket'!AA13="","",'Beginner Adv 15M - Bracket'!AA13),"")</f>
        <v/>
      </c>
      <c r="L26" s="90" t="str">
        <f>IFERROR(IF('Beginner Adv 15M - Bracket'!Z13="","",'Beginner Adv 15M - Bracket'!Z13),"")</f>
        <v/>
      </c>
      <c r="M26" s="90" t="str">
        <f>IFERROR(IF('Beginner Adv 15M - Bracket'!Y13="","",'Beginner Adv 15M - Bracket'!Y13),"")</f>
        <v/>
      </c>
      <c r="N26" s="90" t="str">
        <f>IFERROR(IF('Beginner Adv 15M - Bracket'!X13="","",'Beginner Adv 15M - Bracket'!X13),"")</f>
        <v/>
      </c>
      <c r="O26" s="90" t="str">
        <f>IFERROR(IF('Beginner Adv 15M - Bracket'!W13="","",'Beginner Adv 15M - Bracket'!W13),"")</f>
        <v/>
      </c>
      <c r="P26" s="90" t="str">
        <f>IFERROR(IF('Beginner Adv 15M - Bracket'!V13="","",'Beginner Adv 15M - Bracket'!V13),"")</f>
        <v/>
      </c>
      <c r="Q26" s="84" t="s">
        <v>224</v>
      </c>
    </row>
    <row r="27" spans="1:17" ht="21.75" customHeight="1" x14ac:dyDescent="0.35">
      <c r="A27" s="84" t="s">
        <v>227</v>
      </c>
      <c r="B27" s="90" t="str">
        <f>IFERROR(IF('Beginner Adv 15M - Bracket'!AC11="","",'Beginner Adv 15M - Bracket'!AC11),"")</f>
        <v/>
      </c>
      <c r="C27" s="90" t="str">
        <f>IFERROR(IF('Beginner Adv 15M - Bracket'!AD11="","",'Beginner Adv 15M - Bracket'!AD11),"")</f>
        <v/>
      </c>
      <c r="D27" s="90" t="str">
        <f>IFERROR(IF('Beginner Adv 15M - Bracket'!AE11="","",'Beginner Adv 15M - Bracket'!AE11),"")</f>
        <v/>
      </c>
      <c r="E27" s="90" t="str">
        <f>IFERROR(IF('Beginner Adv 15M - Bracket'!AF11="","",'Beginner Adv 15M - Bracket'!AF11),"")</f>
        <v/>
      </c>
      <c r="F27" s="90" t="str">
        <f>IFERROR(IF('Beginner Adv 15M - Bracket'!AG11="","",'Beginner Adv 15M - Bracket'!AG11),"")</f>
        <v/>
      </c>
      <c r="G27" s="90" t="str">
        <f>IFERROR(IF('Beginner Adv 15M - Bracket'!AH11="","",'Beginner Adv 15M - Bracket'!AH11),"")</f>
        <v/>
      </c>
      <c r="H27" s="32">
        <f>IFERROR(IF(ISNUMBER('Beginner Adv 15M - Bracket'!AI11),'Beginner Adv 15M - Bracket'!AI11,0),0)</f>
        <v>0</v>
      </c>
      <c r="I27" s="91" t="str">
        <f>IF(AND(ISNUMBER('Beginner Adv 15M - Bracket'!AI11),ISNUMBER('Beginner Adv 15M - Bracket'!AI13)),IF('Beginner Adv 15M - Bracket'!AI11&gt;'Beginner Adv 15M - Bracket'!AI13,"2-0",IF('Beginner Adv 15M - Bracket'!AI11='Beginner Adv 15M - Bracket'!AI13,"1-1","0-2")),"—")</f>
        <v>—</v>
      </c>
      <c r="J27" s="32">
        <f>IFERROR(IF(ISNUMBER('Beginner Adv 15M - Bracket'!AI13),'Beginner Adv 15M - Bracket'!AI13,0),0)</f>
        <v>0</v>
      </c>
      <c r="K27" s="90" t="str">
        <f>IFERROR(IF('Beginner Adv 15M - Bracket'!AH13="","",'Beginner Adv 15M - Bracket'!AH13),"")</f>
        <v/>
      </c>
      <c r="L27" s="90" t="str">
        <f>IFERROR(IF('Beginner Adv 15M - Bracket'!AG13="","",'Beginner Adv 15M - Bracket'!AG13),"")</f>
        <v/>
      </c>
      <c r="M27" s="90" t="str">
        <f>IFERROR(IF('Beginner Adv 15M - Bracket'!AF13="","",'Beginner Adv 15M - Bracket'!AF13),"")</f>
        <v/>
      </c>
      <c r="N27" s="90" t="str">
        <f>IFERROR(IF('Beginner Adv 15M - Bracket'!AE13="","",'Beginner Adv 15M - Bracket'!AE13),"")</f>
        <v/>
      </c>
      <c r="O27" s="90" t="str">
        <f>IFERROR(IF('Beginner Adv 15M - Bracket'!AD13="","",'Beginner Adv 15M - Bracket'!AD13),"")</f>
        <v/>
      </c>
      <c r="P27" s="90" t="str">
        <f>IFERROR(IF('Beginner Adv 15M - Bracket'!AC13="","",'Beginner Adv 15M - Bracket'!AC13),"")</f>
        <v/>
      </c>
      <c r="Q27" s="84" t="s">
        <v>227</v>
      </c>
    </row>
    <row r="28" spans="1:17" ht="21.75" customHeight="1" x14ac:dyDescent="0.35">
      <c r="A28" s="84" t="s">
        <v>228</v>
      </c>
      <c r="B28" s="90" t="str">
        <f>IFERROR(IF('Beginner Adv 15M - Bracket'!AJ11="","",'Beginner Adv 15M - Bracket'!AJ11),"")</f>
        <v/>
      </c>
      <c r="C28" s="90" t="str">
        <f>IFERROR(IF('Beginner Adv 15M - Bracket'!AK11="","",'Beginner Adv 15M - Bracket'!AK11),"")</f>
        <v/>
      </c>
      <c r="D28" s="90" t="str">
        <f>IFERROR(IF('Beginner Adv 15M - Bracket'!AL11="","",'Beginner Adv 15M - Bracket'!AL11),"")</f>
        <v/>
      </c>
      <c r="E28" s="90" t="str">
        <f>IFERROR(IF('Beginner Adv 15M - Bracket'!AM11="","",'Beginner Adv 15M - Bracket'!AM11),"")</f>
        <v/>
      </c>
      <c r="F28" s="90" t="str">
        <f>IFERROR(IF('Beginner Adv 15M - Bracket'!AN11="","",'Beginner Adv 15M - Bracket'!AN11),"")</f>
        <v/>
      </c>
      <c r="G28" s="90" t="str">
        <f>IFERROR(IF('Beginner Adv 15M - Bracket'!AO11="","",'Beginner Adv 15M - Bracket'!AO11),"")</f>
        <v/>
      </c>
      <c r="H28" s="32">
        <f>IFERROR(IF(ISNUMBER('Beginner Adv 15M - Bracket'!AP11),'Beginner Adv 15M - Bracket'!AP11,0),0)</f>
        <v>0</v>
      </c>
      <c r="I28" s="91" t="str">
        <f>IF(AND(ISNUMBER('Beginner Adv 15M - Bracket'!AP11),ISNUMBER('Beginner Adv 15M - Bracket'!AP13)),IF('Beginner Adv 15M - Bracket'!AP11&gt;'Beginner Adv 15M - Bracket'!AP13,"2-0",IF('Beginner Adv 15M - Bracket'!AP11='Beginner Adv 15M - Bracket'!AP13,"1-1","0-2")),"—")</f>
        <v>—</v>
      </c>
      <c r="J28" s="32">
        <f>IFERROR(IF(ISNUMBER('Beginner Adv 15M - Bracket'!AP13),'Beginner Adv 15M - Bracket'!AP13,0),0)</f>
        <v>0</v>
      </c>
      <c r="K28" s="90" t="str">
        <f>IFERROR(IF('Beginner Adv 15M - Bracket'!AO13="","",'Beginner Adv 15M - Bracket'!AO13),"")</f>
        <v/>
      </c>
      <c r="L28" s="90" t="str">
        <f>IFERROR(IF('Beginner Adv 15M - Bracket'!AN13="","",'Beginner Adv 15M - Bracket'!AN13),"")</f>
        <v/>
      </c>
      <c r="M28" s="90" t="str">
        <f>IFERROR(IF('Beginner Adv 15M - Bracket'!AM13="","",'Beginner Adv 15M - Bracket'!AM13),"")</f>
        <v/>
      </c>
      <c r="N28" s="90" t="str">
        <f>IFERROR(IF('Beginner Adv 15M - Bracket'!AL13="","",'Beginner Adv 15M - Bracket'!AL13),"")</f>
        <v/>
      </c>
      <c r="O28" s="90" t="str">
        <f>IFERROR(IF('Beginner Adv 15M - Bracket'!AK13="","",'Beginner Adv 15M - Bracket'!AK13),"")</f>
        <v/>
      </c>
      <c r="P28" s="90" t="str">
        <f>IFERROR(IF('Beginner Adv 15M - Bracket'!AJ13="","",'Beginner Adv 15M - Bracket'!AJ13),"")</f>
        <v/>
      </c>
      <c r="Q28" s="84" t="s">
        <v>228</v>
      </c>
    </row>
    <row r="29" spans="1:17" ht="21.75" customHeight="1" x14ac:dyDescent="0.35">
      <c r="A29" s="92" t="s">
        <v>237</v>
      </c>
      <c r="B29" s="93" t="str">
        <f>IFERROR(IF('Beginner Adv 15M - Bracket'!AQ11="","",'Beginner Adv 15M - Bracket'!AQ11),"")</f>
        <v/>
      </c>
      <c r="C29" s="93" t="str">
        <f>IFERROR(IF('Beginner Adv 15M - Bracket'!AR11="","",'Beginner Adv 15M - Bracket'!AR11),"")</f>
        <v/>
      </c>
      <c r="D29" s="93" t="str">
        <f>IFERROR(IF('Beginner Adv 15M - Bracket'!AS11="","",'Beginner Adv 15M - Bracket'!AS11),"")</f>
        <v/>
      </c>
      <c r="E29" s="93" t="str">
        <f>IFERROR(IF('Beginner Adv 15M - Bracket'!AT11="","",'Beginner Adv 15M - Bracket'!AT11),"")</f>
        <v/>
      </c>
      <c r="F29" s="93" t="str">
        <f>IFERROR(IF('Beginner Adv 15M - Bracket'!AU11="","",'Beginner Adv 15M - Bracket'!AU11),"")</f>
        <v/>
      </c>
      <c r="G29" s="93" t="str">
        <f>IFERROR(IF('Beginner Adv 15M - Bracket'!AV11="","",'Beginner Adv 15M - Bracket'!AV11),"")</f>
        <v/>
      </c>
      <c r="H29" s="32">
        <f>IFERROR(IF(ISNUMBER('Beginner Adv 15M - Bracket'!AW11),'Beginner Adv 15M - Bracket'!AW11,0),0)</f>
        <v>0</v>
      </c>
      <c r="I29" s="91" t="str">
        <f>IF(AND(ISNUMBER('Beginner Adv 15M - Bracket'!AW11),ISNUMBER('Beginner Adv 15M - Bracket'!AW13)),IF('Beginner Adv 15M - Bracket'!AW11&gt;'Beginner Adv 15M - Bracket'!AW13,"2-0",IF('Beginner Adv 15M - Bracket'!AW11='Beginner Adv 15M - Bracket'!AW13,"1-1","0-2")),"—")</f>
        <v>—</v>
      </c>
      <c r="J29" s="32">
        <f>IFERROR(IF(ISNUMBER('Beginner Adv 15M - Bracket'!AW13),'Beginner Adv 15M - Bracket'!AW13,0),0)</f>
        <v>0</v>
      </c>
      <c r="K29" s="93" t="str">
        <f>IFERROR(IF('Beginner Adv 15M - Bracket'!AV13="","",'Beginner Adv 15M - Bracket'!AV13),"")</f>
        <v/>
      </c>
      <c r="L29" s="93" t="str">
        <f>IFERROR(IF('Beginner Adv 15M - Bracket'!AU13="","",'Beginner Adv 15M - Bracket'!AU13),"")</f>
        <v/>
      </c>
      <c r="M29" s="93" t="str">
        <f>IFERROR(IF('Beginner Adv 15M - Bracket'!AT13="","",'Beginner Adv 15M - Bracket'!AT13),"")</f>
        <v/>
      </c>
      <c r="N29" s="93" t="str">
        <f>IFERROR(IF('Beginner Adv 15M - Bracket'!AS13="","",'Beginner Adv 15M - Bracket'!AS13),"")</f>
        <v/>
      </c>
      <c r="O29" s="93" t="str">
        <f>IFERROR(IF('Beginner Adv 15M - Bracket'!AR13="","",'Beginner Adv 15M - Bracket'!AR13),"")</f>
        <v/>
      </c>
      <c r="P29" s="93" t="str">
        <f>IFERROR(IF('Beginner Adv 15M - Bracket'!AQ13="","",'Beginner Adv 15M - Bracket'!AQ13),"")</f>
        <v/>
      </c>
      <c r="Q29" s="92" t="s">
        <v>237</v>
      </c>
    </row>
    <row r="30" spans="1:17" ht="4.5" customHeight="1" x14ac:dyDescent="0.35"/>
    <row r="31" spans="1:17" ht="31.5" customHeight="1" x14ac:dyDescent="0.35">
      <c r="A31" s="130">
        <f>IFERROR(IF(ISNUMBER('Beginner Adv 15M - Bracket'!AX11),'Beginner Adv 15M - Bracket'!AX11,0),0)</f>
        <v>0</v>
      </c>
      <c r="B31" s="130"/>
      <c r="C31" s="130"/>
      <c r="D31" s="130"/>
      <c r="E31" s="130"/>
      <c r="F31" s="130"/>
      <c r="G31" s="130"/>
      <c r="H31" s="94" t="str">
        <f>IFERROR('Beginner Adv 15M - Bracket'!BA11,"")</f>
        <v>&gt;&gt; Advance</v>
      </c>
      <c r="I31" s="86"/>
      <c r="J31" s="94" t="str">
        <f>IFERROR('Beginner Adv 15M - Bracket'!BA13,"")</f>
        <v>&gt;&gt; Advance</v>
      </c>
      <c r="K31" s="130">
        <f>IFERROR(IF(ISNUMBER('Beginner Adv 15M - Bracket'!AX13),'Beginner Adv 15M - Bracket'!AX13,0),0)</f>
        <v>0</v>
      </c>
      <c r="L31" s="130"/>
      <c r="M31" s="130"/>
      <c r="N31" s="130"/>
      <c r="O31" s="130"/>
      <c r="P31" s="130"/>
      <c r="Q31" s="130"/>
    </row>
    <row r="32" spans="1:17" ht="21.75" customHeight="1" x14ac:dyDescent="0.35">
      <c r="A32" s="130"/>
      <c r="B32" s="130"/>
      <c r="C32" s="130"/>
      <c r="D32" s="130"/>
      <c r="E32" s="130"/>
      <c r="F32" s="130"/>
      <c r="G32" s="130"/>
      <c r="K32" s="130"/>
      <c r="L32" s="130"/>
      <c r="M32" s="130"/>
      <c r="N32" s="130"/>
      <c r="O32" s="130"/>
      <c r="P32" s="130"/>
      <c r="Q32" s="130"/>
    </row>
    <row r="33" spans="1:17" ht="4.5" customHeight="1" x14ac:dyDescent="0.35"/>
    <row r="34" spans="1:17" ht="12" customHeight="1" x14ac:dyDescent="0.35">
      <c r="A34" s="126"/>
      <c r="B34" s="126"/>
      <c r="C34" s="126"/>
      <c r="D34" s="126"/>
      <c r="E34" s="126"/>
      <c r="F34" s="126"/>
      <c r="G34" s="126"/>
      <c r="H34" s="126"/>
      <c r="I34" s="126"/>
      <c r="J34" s="126"/>
      <c r="K34" s="126"/>
      <c r="L34" s="126"/>
      <c r="M34" s="126"/>
      <c r="N34" s="126"/>
      <c r="O34" s="126"/>
      <c r="P34" s="126"/>
      <c r="Q34" s="126"/>
    </row>
    <row r="35" spans="1:17" ht="7.5" customHeight="1" x14ac:dyDescent="0.35"/>
    <row r="36" spans="1:17" ht="19.5" customHeight="1" x14ac:dyDescent="0.35">
      <c r="A36" s="127" t="s">
        <v>239</v>
      </c>
      <c r="B36" s="127"/>
      <c r="C36" s="127"/>
      <c r="D36" s="127"/>
      <c r="E36" s="127"/>
      <c r="F36" s="127"/>
      <c r="G36" s="127"/>
      <c r="H36" s="127"/>
      <c r="I36" s="127"/>
      <c r="J36" s="127"/>
      <c r="K36" s="127"/>
      <c r="L36" s="127"/>
      <c r="M36" s="127"/>
      <c r="N36" s="127"/>
      <c r="O36" s="127"/>
      <c r="P36" s="127"/>
      <c r="Q36" s="127"/>
    </row>
    <row r="37" spans="1:17" ht="4.5" customHeight="1" x14ac:dyDescent="0.35"/>
    <row r="38" spans="1:17" ht="21.75" customHeight="1" x14ac:dyDescent="0.35">
      <c r="A38" s="84" t="s">
        <v>232</v>
      </c>
      <c r="B38" s="128" t="str">
        <f>IFERROR(IF('Beginner Adv 15M - Bracket'!B16="","TBD",'Beginner Adv 15M - Bracket'!B16),"TBD")</f>
        <v>TBD</v>
      </c>
      <c r="C38" s="128"/>
      <c r="D38" s="128"/>
      <c r="E38" s="128"/>
      <c r="F38" s="128"/>
      <c r="G38" s="128"/>
      <c r="H38" s="128"/>
      <c r="I38" s="84" t="s">
        <v>233</v>
      </c>
      <c r="J38" s="128" t="str">
        <f>IFERROR(IF('Beginner Adv 15M - Bracket'!B18="","TBD",'Beginner Adv 15M - Bracket'!B18),"TBD")</f>
        <v>TBD</v>
      </c>
      <c r="K38" s="128"/>
      <c r="L38" s="128"/>
      <c r="M38" s="128"/>
      <c r="N38" s="128"/>
      <c r="O38" s="128"/>
      <c r="P38" s="128"/>
      <c r="Q38" s="84" t="s">
        <v>232</v>
      </c>
    </row>
    <row r="39" spans="1:17" ht="13.5" customHeight="1" x14ac:dyDescent="0.35">
      <c r="A39" s="85" t="s">
        <v>234</v>
      </c>
      <c r="B39" s="129" t="str">
        <f>IFERROR('Beginner Adv 15M - Bracket'!A16,"")</f>
        <v>BYE</v>
      </c>
      <c r="C39" s="129"/>
      <c r="D39" s="129"/>
      <c r="E39" s="129"/>
      <c r="F39" s="129"/>
      <c r="G39" s="129"/>
      <c r="H39" s="129"/>
      <c r="I39" s="86"/>
      <c r="J39" s="129" t="str">
        <f>IFERROR('Beginner Adv 15M - Bracket'!A18,"")</f>
        <v>BYE</v>
      </c>
      <c r="K39" s="129"/>
      <c r="L39" s="129"/>
      <c r="M39" s="129"/>
      <c r="N39" s="129"/>
      <c r="O39" s="129"/>
      <c r="P39" s="129"/>
      <c r="Q39" s="85" t="s">
        <v>234</v>
      </c>
    </row>
    <row r="40" spans="1:17" ht="19.5" customHeight="1" x14ac:dyDescent="0.35">
      <c r="A40" s="87" t="s">
        <v>235</v>
      </c>
      <c r="B40" s="88" t="s">
        <v>83</v>
      </c>
      <c r="C40" s="88" t="s">
        <v>84</v>
      </c>
      <c r="D40" s="88" t="s">
        <v>85</v>
      </c>
      <c r="E40" s="88" t="s">
        <v>86</v>
      </c>
      <c r="F40" s="88" t="s">
        <v>87</v>
      </c>
      <c r="G40" s="88" t="s">
        <v>88</v>
      </c>
      <c r="H40" s="24" t="s">
        <v>236</v>
      </c>
      <c r="I40" s="89"/>
      <c r="J40" s="24" t="s">
        <v>236</v>
      </c>
      <c r="K40" s="88" t="s">
        <v>88</v>
      </c>
      <c r="L40" s="88" t="s">
        <v>87</v>
      </c>
      <c r="M40" s="88" t="s">
        <v>86</v>
      </c>
      <c r="N40" s="88" t="s">
        <v>85</v>
      </c>
      <c r="O40" s="88" t="s">
        <v>84</v>
      </c>
      <c r="P40" s="88" t="s">
        <v>83</v>
      </c>
      <c r="Q40" s="87" t="s">
        <v>235</v>
      </c>
    </row>
    <row r="41" spans="1:17" ht="21.75" customHeight="1" x14ac:dyDescent="0.35">
      <c r="A41" s="84" t="s">
        <v>222</v>
      </c>
      <c r="B41" s="90" t="str">
        <f>IFERROR(IF('Beginner Adv 15M - Bracket'!H16="","",'Beginner Adv 15M - Bracket'!H16),"")</f>
        <v/>
      </c>
      <c r="C41" s="90" t="str">
        <f>IFERROR(IF('Beginner Adv 15M - Bracket'!I16="","",'Beginner Adv 15M - Bracket'!I16),"")</f>
        <v/>
      </c>
      <c r="D41" s="90" t="str">
        <f>IFERROR(IF('Beginner Adv 15M - Bracket'!J16="","",'Beginner Adv 15M - Bracket'!J16),"")</f>
        <v/>
      </c>
      <c r="E41" s="90" t="str">
        <f>IFERROR(IF('Beginner Adv 15M - Bracket'!K16="","",'Beginner Adv 15M - Bracket'!K16),"")</f>
        <v/>
      </c>
      <c r="F41" s="90" t="str">
        <f>IFERROR(IF('Beginner Adv 15M - Bracket'!L16="","",'Beginner Adv 15M - Bracket'!L16),"")</f>
        <v/>
      </c>
      <c r="G41" s="90" t="str">
        <f>IFERROR(IF('Beginner Adv 15M - Bracket'!M16="","",'Beginner Adv 15M - Bracket'!M16),"")</f>
        <v/>
      </c>
      <c r="H41" s="32">
        <f>IFERROR(IF(ISNUMBER('Beginner Adv 15M - Bracket'!N16),'Beginner Adv 15M - Bracket'!N16,0),0)</f>
        <v>0</v>
      </c>
      <c r="I41" s="91" t="str">
        <f>IF(AND(ISNUMBER('Beginner Adv 15M - Bracket'!N16),ISNUMBER('Beginner Adv 15M - Bracket'!N18)),IF('Beginner Adv 15M - Bracket'!N16&gt;'Beginner Adv 15M - Bracket'!N18,"2-0",IF('Beginner Adv 15M - Bracket'!N16='Beginner Adv 15M - Bracket'!N18,"1-1","0-2")),"—")</f>
        <v>—</v>
      </c>
      <c r="J41" s="32">
        <f>IFERROR(IF(ISNUMBER('Beginner Adv 15M - Bracket'!N18),'Beginner Adv 15M - Bracket'!N18,0),0)</f>
        <v>0</v>
      </c>
      <c r="K41" s="90" t="str">
        <f>IFERROR(IF('Beginner Adv 15M - Bracket'!M18="","",'Beginner Adv 15M - Bracket'!M18),"")</f>
        <v/>
      </c>
      <c r="L41" s="90" t="str">
        <f>IFERROR(IF('Beginner Adv 15M - Bracket'!L18="","",'Beginner Adv 15M - Bracket'!L18),"")</f>
        <v/>
      </c>
      <c r="M41" s="90" t="str">
        <f>IFERROR(IF('Beginner Adv 15M - Bracket'!K18="","",'Beginner Adv 15M - Bracket'!K18),"")</f>
        <v/>
      </c>
      <c r="N41" s="90" t="str">
        <f>IFERROR(IF('Beginner Adv 15M - Bracket'!J18="","",'Beginner Adv 15M - Bracket'!J18),"")</f>
        <v/>
      </c>
      <c r="O41" s="90" t="str">
        <f>IFERROR(IF('Beginner Adv 15M - Bracket'!I18="","",'Beginner Adv 15M - Bracket'!I18),"")</f>
        <v/>
      </c>
      <c r="P41" s="90" t="str">
        <f>IFERROR(IF('Beginner Adv 15M - Bracket'!H18="","",'Beginner Adv 15M - Bracket'!H18),"")</f>
        <v/>
      </c>
      <c r="Q41" s="84" t="s">
        <v>222</v>
      </c>
    </row>
    <row r="42" spans="1:17" ht="21.75" customHeight="1" x14ac:dyDescent="0.35">
      <c r="A42" s="84" t="s">
        <v>223</v>
      </c>
      <c r="B42" s="90" t="str">
        <f>IFERROR(IF('Beginner Adv 15M - Bracket'!O16="","",'Beginner Adv 15M - Bracket'!O16),"")</f>
        <v/>
      </c>
      <c r="C42" s="90" t="str">
        <f>IFERROR(IF('Beginner Adv 15M - Bracket'!P16="","",'Beginner Adv 15M - Bracket'!P16),"")</f>
        <v/>
      </c>
      <c r="D42" s="90" t="str">
        <f>IFERROR(IF('Beginner Adv 15M - Bracket'!Q16="","",'Beginner Adv 15M - Bracket'!Q16),"")</f>
        <v/>
      </c>
      <c r="E42" s="90" t="str">
        <f>IFERROR(IF('Beginner Adv 15M - Bracket'!R16="","",'Beginner Adv 15M - Bracket'!R16),"")</f>
        <v/>
      </c>
      <c r="F42" s="90" t="str">
        <f>IFERROR(IF('Beginner Adv 15M - Bracket'!S16="","",'Beginner Adv 15M - Bracket'!S16),"")</f>
        <v/>
      </c>
      <c r="G42" s="90" t="str">
        <f>IFERROR(IF('Beginner Adv 15M - Bracket'!T16="","",'Beginner Adv 15M - Bracket'!T16),"")</f>
        <v/>
      </c>
      <c r="H42" s="32">
        <f>IFERROR(IF(ISNUMBER('Beginner Adv 15M - Bracket'!U16),'Beginner Adv 15M - Bracket'!U16,0),0)</f>
        <v>0</v>
      </c>
      <c r="I42" s="91" t="str">
        <f>IF(AND(ISNUMBER('Beginner Adv 15M - Bracket'!U16),ISNUMBER('Beginner Adv 15M - Bracket'!U18)),IF('Beginner Adv 15M - Bracket'!U16&gt;'Beginner Adv 15M - Bracket'!U18,"2-0",IF('Beginner Adv 15M - Bracket'!U16='Beginner Adv 15M - Bracket'!U18,"1-1","0-2")),"—")</f>
        <v>—</v>
      </c>
      <c r="J42" s="32">
        <f>IFERROR(IF(ISNUMBER('Beginner Adv 15M - Bracket'!U18),'Beginner Adv 15M - Bracket'!U18,0),0)</f>
        <v>0</v>
      </c>
      <c r="K42" s="90" t="str">
        <f>IFERROR(IF('Beginner Adv 15M - Bracket'!T18="","",'Beginner Adv 15M - Bracket'!T18),"")</f>
        <v/>
      </c>
      <c r="L42" s="90" t="str">
        <f>IFERROR(IF('Beginner Adv 15M - Bracket'!S18="","",'Beginner Adv 15M - Bracket'!S18),"")</f>
        <v/>
      </c>
      <c r="M42" s="90" t="str">
        <f>IFERROR(IF('Beginner Adv 15M - Bracket'!R18="","",'Beginner Adv 15M - Bracket'!R18),"")</f>
        <v/>
      </c>
      <c r="N42" s="90" t="str">
        <f>IFERROR(IF('Beginner Adv 15M - Bracket'!Q18="","",'Beginner Adv 15M - Bracket'!Q18),"")</f>
        <v/>
      </c>
      <c r="O42" s="90" t="str">
        <f>IFERROR(IF('Beginner Adv 15M - Bracket'!P18="","",'Beginner Adv 15M - Bracket'!P18),"")</f>
        <v/>
      </c>
      <c r="P42" s="90" t="str">
        <f>IFERROR(IF('Beginner Adv 15M - Bracket'!O18="","",'Beginner Adv 15M - Bracket'!O18),"")</f>
        <v/>
      </c>
      <c r="Q42" s="84" t="s">
        <v>223</v>
      </c>
    </row>
    <row r="43" spans="1:17" ht="21.75" customHeight="1" x14ac:dyDescent="0.35">
      <c r="A43" s="84" t="s">
        <v>224</v>
      </c>
      <c r="B43" s="90" t="str">
        <f>IFERROR(IF('Beginner Adv 15M - Bracket'!V16="","",'Beginner Adv 15M - Bracket'!V16),"")</f>
        <v/>
      </c>
      <c r="C43" s="90" t="str">
        <f>IFERROR(IF('Beginner Adv 15M - Bracket'!W16="","",'Beginner Adv 15M - Bracket'!W16),"")</f>
        <v/>
      </c>
      <c r="D43" s="90" t="str">
        <f>IFERROR(IF('Beginner Adv 15M - Bracket'!X16="","",'Beginner Adv 15M - Bracket'!X16),"")</f>
        <v/>
      </c>
      <c r="E43" s="90" t="str">
        <f>IFERROR(IF('Beginner Adv 15M - Bracket'!Y16="","",'Beginner Adv 15M - Bracket'!Y16),"")</f>
        <v/>
      </c>
      <c r="F43" s="90" t="str">
        <f>IFERROR(IF('Beginner Adv 15M - Bracket'!Z16="","",'Beginner Adv 15M - Bracket'!Z16),"")</f>
        <v/>
      </c>
      <c r="G43" s="90" t="str">
        <f>IFERROR(IF('Beginner Adv 15M - Bracket'!AA16="","",'Beginner Adv 15M - Bracket'!AA16),"")</f>
        <v/>
      </c>
      <c r="H43" s="32">
        <f>IFERROR(IF(ISNUMBER('Beginner Adv 15M - Bracket'!AB16),'Beginner Adv 15M - Bracket'!AB16,0),0)</f>
        <v>0</v>
      </c>
      <c r="I43" s="91" t="str">
        <f>IF(AND(ISNUMBER('Beginner Adv 15M - Bracket'!AB16),ISNUMBER('Beginner Adv 15M - Bracket'!AB18)),IF('Beginner Adv 15M - Bracket'!AB16&gt;'Beginner Adv 15M - Bracket'!AB18,"2-0",IF('Beginner Adv 15M - Bracket'!AB16='Beginner Adv 15M - Bracket'!AB18,"1-1","0-2")),"—")</f>
        <v>—</v>
      </c>
      <c r="J43" s="32">
        <f>IFERROR(IF(ISNUMBER('Beginner Adv 15M - Bracket'!AB18),'Beginner Adv 15M - Bracket'!AB18,0),0)</f>
        <v>0</v>
      </c>
      <c r="K43" s="90" t="str">
        <f>IFERROR(IF('Beginner Adv 15M - Bracket'!AA18="","",'Beginner Adv 15M - Bracket'!AA18),"")</f>
        <v/>
      </c>
      <c r="L43" s="90" t="str">
        <f>IFERROR(IF('Beginner Adv 15M - Bracket'!Z18="","",'Beginner Adv 15M - Bracket'!Z18),"")</f>
        <v/>
      </c>
      <c r="M43" s="90" t="str">
        <f>IFERROR(IF('Beginner Adv 15M - Bracket'!Y18="","",'Beginner Adv 15M - Bracket'!Y18),"")</f>
        <v/>
      </c>
      <c r="N43" s="90" t="str">
        <f>IFERROR(IF('Beginner Adv 15M - Bracket'!X18="","",'Beginner Adv 15M - Bracket'!X18),"")</f>
        <v/>
      </c>
      <c r="O43" s="90" t="str">
        <f>IFERROR(IF('Beginner Adv 15M - Bracket'!W18="","",'Beginner Adv 15M - Bracket'!W18),"")</f>
        <v/>
      </c>
      <c r="P43" s="90" t="str">
        <f>IFERROR(IF('Beginner Adv 15M - Bracket'!V18="","",'Beginner Adv 15M - Bracket'!V18),"")</f>
        <v/>
      </c>
      <c r="Q43" s="84" t="s">
        <v>224</v>
      </c>
    </row>
    <row r="44" spans="1:17" ht="21.75" customHeight="1" x14ac:dyDescent="0.35">
      <c r="A44" s="84" t="s">
        <v>227</v>
      </c>
      <c r="B44" s="90" t="str">
        <f>IFERROR(IF('Beginner Adv 15M - Bracket'!AC16="","",'Beginner Adv 15M - Bracket'!AC16),"")</f>
        <v/>
      </c>
      <c r="C44" s="90" t="str">
        <f>IFERROR(IF('Beginner Adv 15M - Bracket'!AD16="","",'Beginner Adv 15M - Bracket'!AD16),"")</f>
        <v/>
      </c>
      <c r="D44" s="90" t="str">
        <f>IFERROR(IF('Beginner Adv 15M - Bracket'!AE16="","",'Beginner Adv 15M - Bracket'!AE16),"")</f>
        <v/>
      </c>
      <c r="E44" s="90" t="str">
        <f>IFERROR(IF('Beginner Adv 15M - Bracket'!AF16="","",'Beginner Adv 15M - Bracket'!AF16),"")</f>
        <v/>
      </c>
      <c r="F44" s="90" t="str">
        <f>IFERROR(IF('Beginner Adv 15M - Bracket'!AG16="","",'Beginner Adv 15M - Bracket'!AG16),"")</f>
        <v/>
      </c>
      <c r="G44" s="90" t="str">
        <f>IFERROR(IF('Beginner Adv 15M - Bracket'!AH16="","",'Beginner Adv 15M - Bracket'!AH16),"")</f>
        <v/>
      </c>
      <c r="H44" s="32">
        <f>IFERROR(IF(ISNUMBER('Beginner Adv 15M - Bracket'!AI16),'Beginner Adv 15M - Bracket'!AI16,0),0)</f>
        <v>0</v>
      </c>
      <c r="I44" s="91" t="str">
        <f>IF(AND(ISNUMBER('Beginner Adv 15M - Bracket'!AI16),ISNUMBER('Beginner Adv 15M - Bracket'!AI18)),IF('Beginner Adv 15M - Bracket'!AI16&gt;'Beginner Adv 15M - Bracket'!AI18,"2-0",IF('Beginner Adv 15M - Bracket'!AI16='Beginner Adv 15M - Bracket'!AI18,"1-1","0-2")),"—")</f>
        <v>—</v>
      </c>
      <c r="J44" s="32">
        <f>IFERROR(IF(ISNUMBER('Beginner Adv 15M - Bracket'!AI18),'Beginner Adv 15M - Bracket'!AI18,0),0)</f>
        <v>0</v>
      </c>
      <c r="K44" s="90" t="str">
        <f>IFERROR(IF('Beginner Adv 15M - Bracket'!AH18="","",'Beginner Adv 15M - Bracket'!AH18),"")</f>
        <v/>
      </c>
      <c r="L44" s="90" t="str">
        <f>IFERROR(IF('Beginner Adv 15M - Bracket'!AG18="","",'Beginner Adv 15M - Bracket'!AG18),"")</f>
        <v/>
      </c>
      <c r="M44" s="90" t="str">
        <f>IFERROR(IF('Beginner Adv 15M - Bracket'!AF18="","",'Beginner Adv 15M - Bracket'!AF18),"")</f>
        <v/>
      </c>
      <c r="N44" s="90" t="str">
        <f>IFERROR(IF('Beginner Adv 15M - Bracket'!AE18="","",'Beginner Adv 15M - Bracket'!AE18),"")</f>
        <v/>
      </c>
      <c r="O44" s="90" t="str">
        <f>IFERROR(IF('Beginner Adv 15M - Bracket'!AD18="","",'Beginner Adv 15M - Bracket'!AD18),"")</f>
        <v/>
      </c>
      <c r="P44" s="90" t="str">
        <f>IFERROR(IF('Beginner Adv 15M - Bracket'!AC18="","",'Beginner Adv 15M - Bracket'!AC18),"")</f>
        <v/>
      </c>
      <c r="Q44" s="84" t="s">
        <v>227</v>
      </c>
    </row>
    <row r="45" spans="1:17" ht="21.75" customHeight="1" x14ac:dyDescent="0.35">
      <c r="A45" s="84" t="s">
        <v>228</v>
      </c>
      <c r="B45" s="90" t="str">
        <f>IFERROR(IF('Beginner Adv 15M - Bracket'!AJ16="","",'Beginner Adv 15M - Bracket'!AJ16),"")</f>
        <v/>
      </c>
      <c r="C45" s="90" t="str">
        <f>IFERROR(IF('Beginner Adv 15M - Bracket'!AK16="","",'Beginner Adv 15M - Bracket'!AK16),"")</f>
        <v/>
      </c>
      <c r="D45" s="90" t="str">
        <f>IFERROR(IF('Beginner Adv 15M - Bracket'!AL16="","",'Beginner Adv 15M - Bracket'!AL16),"")</f>
        <v/>
      </c>
      <c r="E45" s="90" t="str">
        <f>IFERROR(IF('Beginner Adv 15M - Bracket'!AM16="","",'Beginner Adv 15M - Bracket'!AM16),"")</f>
        <v/>
      </c>
      <c r="F45" s="90" t="str">
        <f>IFERROR(IF('Beginner Adv 15M - Bracket'!AN16="","",'Beginner Adv 15M - Bracket'!AN16),"")</f>
        <v/>
      </c>
      <c r="G45" s="90" t="str">
        <f>IFERROR(IF('Beginner Adv 15M - Bracket'!AO16="","",'Beginner Adv 15M - Bracket'!AO16),"")</f>
        <v/>
      </c>
      <c r="H45" s="32">
        <f>IFERROR(IF(ISNUMBER('Beginner Adv 15M - Bracket'!AP16),'Beginner Adv 15M - Bracket'!AP16,0),0)</f>
        <v>0</v>
      </c>
      <c r="I45" s="91" t="str">
        <f>IF(AND(ISNUMBER('Beginner Adv 15M - Bracket'!AP16),ISNUMBER('Beginner Adv 15M - Bracket'!AP18)),IF('Beginner Adv 15M - Bracket'!AP16&gt;'Beginner Adv 15M - Bracket'!AP18,"2-0",IF('Beginner Adv 15M - Bracket'!AP16='Beginner Adv 15M - Bracket'!AP18,"1-1","0-2")),"—")</f>
        <v>—</v>
      </c>
      <c r="J45" s="32">
        <f>IFERROR(IF(ISNUMBER('Beginner Adv 15M - Bracket'!AP18),'Beginner Adv 15M - Bracket'!AP18,0),0)</f>
        <v>0</v>
      </c>
      <c r="K45" s="90" t="str">
        <f>IFERROR(IF('Beginner Adv 15M - Bracket'!AO18="","",'Beginner Adv 15M - Bracket'!AO18),"")</f>
        <v/>
      </c>
      <c r="L45" s="90" t="str">
        <f>IFERROR(IF('Beginner Adv 15M - Bracket'!AN18="","",'Beginner Adv 15M - Bracket'!AN18),"")</f>
        <v/>
      </c>
      <c r="M45" s="90" t="str">
        <f>IFERROR(IF('Beginner Adv 15M - Bracket'!AM18="","",'Beginner Adv 15M - Bracket'!AM18),"")</f>
        <v/>
      </c>
      <c r="N45" s="90" t="str">
        <f>IFERROR(IF('Beginner Adv 15M - Bracket'!AL18="","",'Beginner Adv 15M - Bracket'!AL18),"")</f>
        <v/>
      </c>
      <c r="O45" s="90" t="str">
        <f>IFERROR(IF('Beginner Adv 15M - Bracket'!AK18="","",'Beginner Adv 15M - Bracket'!AK18),"")</f>
        <v/>
      </c>
      <c r="P45" s="90" t="str">
        <f>IFERROR(IF('Beginner Adv 15M - Bracket'!AJ18="","",'Beginner Adv 15M - Bracket'!AJ18),"")</f>
        <v/>
      </c>
      <c r="Q45" s="84" t="s">
        <v>228</v>
      </c>
    </row>
    <row r="46" spans="1:17" ht="21.75" customHeight="1" x14ac:dyDescent="0.35">
      <c r="A46" s="92" t="s">
        <v>237</v>
      </c>
      <c r="B46" s="93" t="str">
        <f>IFERROR(IF('Beginner Adv 15M - Bracket'!AQ16="","",'Beginner Adv 15M - Bracket'!AQ16),"")</f>
        <v/>
      </c>
      <c r="C46" s="93" t="str">
        <f>IFERROR(IF('Beginner Adv 15M - Bracket'!AR16="","",'Beginner Adv 15M - Bracket'!AR16),"")</f>
        <v/>
      </c>
      <c r="D46" s="93" t="str">
        <f>IFERROR(IF('Beginner Adv 15M - Bracket'!AS16="","",'Beginner Adv 15M - Bracket'!AS16),"")</f>
        <v/>
      </c>
      <c r="E46" s="93" t="str">
        <f>IFERROR(IF('Beginner Adv 15M - Bracket'!AT16="","",'Beginner Adv 15M - Bracket'!AT16),"")</f>
        <v/>
      </c>
      <c r="F46" s="93" t="str">
        <f>IFERROR(IF('Beginner Adv 15M - Bracket'!AU16="","",'Beginner Adv 15M - Bracket'!AU16),"")</f>
        <v/>
      </c>
      <c r="G46" s="93" t="str">
        <f>IFERROR(IF('Beginner Adv 15M - Bracket'!AV16="","",'Beginner Adv 15M - Bracket'!AV16),"")</f>
        <v/>
      </c>
      <c r="H46" s="32">
        <f>IFERROR(IF(ISNUMBER('Beginner Adv 15M - Bracket'!AW16),'Beginner Adv 15M - Bracket'!AW16,0),0)</f>
        <v>0</v>
      </c>
      <c r="I46" s="91" t="str">
        <f>IF(AND(ISNUMBER('Beginner Adv 15M - Bracket'!AW16),ISNUMBER('Beginner Adv 15M - Bracket'!AW18)),IF('Beginner Adv 15M - Bracket'!AW16&gt;'Beginner Adv 15M - Bracket'!AW18,"2-0",IF('Beginner Adv 15M - Bracket'!AW16='Beginner Adv 15M - Bracket'!AW18,"1-1","0-2")),"—")</f>
        <v>—</v>
      </c>
      <c r="J46" s="32">
        <f>IFERROR(IF(ISNUMBER('Beginner Adv 15M - Bracket'!AW18),'Beginner Adv 15M - Bracket'!AW18,0),0)</f>
        <v>0</v>
      </c>
      <c r="K46" s="93" t="str">
        <f>IFERROR(IF('Beginner Adv 15M - Bracket'!AV18="","",'Beginner Adv 15M - Bracket'!AV18),"")</f>
        <v/>
      </c>
      <c r="L46" s="93" t="str">
        <f>IFERROR(IF('Beginner Adv 15M - Bracket'!AU18="","",'Beginner Adv 15M - Bracket'!AU18),"")</f>
        <v/>
      </c>
      <c r="M46" s="93" t="str">
        <f>IFERROR(IF('Beginner Adv 15M - Bracket'!AT18="","",'Beginner Adv 15M - Bracket'!AT18),"")</f>
        <v/>
      </c>
      <c r="N46" s="93" t="str">
        <f>IFERROR(IF('Beginner Adv 15M - Bracket'!AS18="","",'Beginner Adv 15M - Bracket'!AS18),"")</f>
        <v/>
      </c>
      <c r="O46" s="93" t="str">
        <f>IFERROR(IF('Beginner Adv 15M - Bracket'!AR18="","",'Beginner Adv 15M - Bracket'!AR18),"")</f>
        <v/>
      </c>
      <c r="P46" s="93" t="str">
        <f>IFERROR(IF('Beginner Adv 15M - Bracket'!AQ18="","",'Beginner Adv 15M - Bracket'!AQ18),"")</f>
        <v/>
      </c>
      <c r="Q46" s="92" t="s">
        <v>237</v>
      </c>
    </row>
    <row r="47" spans="1:17" ht="4.5" customHeight="1" x14ac:dyDescent="0.35"/>
    <row r="48" spans="1:17" ht="31.5" customHeight="1" x14ac:dyDescent="0.35">
      <c r="A48" s="130">
        <f>IFERROR(IF(ISNUMBER('Beginner Adv 15M - Bracket'!AX16),'Beginner Adv 15M - Bracket'!AX16,0),0)</f>
        <v>0</v>
      </c>
      <c r="B48" s="130"/>
      <c r="C48" s="130"/>
      <c r="D48" s="130"/>
      <c r="E48" s="130"/>
      <c r="F48" s="130"/>
      <c r="G48" s="130"/>
      <c r="H48" s="94" t="str">
        <f>IFERROR('Beginner Adv 15M - Bracket'!BA16,"")</f>
        <v>&gt;&gt; Advance</v>
      </c>
      <c r="I48" s="86"/>
      <c r="J48" s="94" t="str">
        <f>IFERROR('Beginner Adv 15M - Bracket'!BA18,"")</f>
        <v>&gt;&gt; Advance</v>
      </c>
      <c r="K48" s="130">
        <f>IFERROR(IF(ISNUMBER('Beginner Adv 15M - Bracket'!AX18),'Beginner Adv 15M - Bracket'!AX18,0),0)</f>
        <v>0</v>
      </c>
      <c r="L48" s="130"/>
      <c r="M48" s="130"/>
      <c r="N48" s="130"/>
      <c r="O48" s="130"/>
      <c r="P48" s="130"/>
      <c r="Q48" s="130"/>
    </row>
    <row r="49" spans="1:17" ht="21.75" customHeight="1" x14ac:dyDescent="0.35">
      <c r="A49" s="130"/>
      <c r="B49" s="130"/>
      <c r="C49" s="130"/>
      <c r="D49" s="130"/>
      <c r="E49" s="130"/>
      <c r="F49" s="130"/>
      <c r="G49" s="130"/>
      <c r="K49" s="130"/>
      <c r="L49" s="130"/>
      <c r="M49" s="130"/>
      <c r="N49" s="130"/>
      <c r="O49" s="130"/>
      <c r="P49" s="130"/>
      <c r="Q49" s="130"/>
    </row>
    <row r="50" spans="1:17" ht="4.5" customHeight="1" x14ac:dyDescent="0.35"/>
    <row r="51" spans="1:17" ht="12" customHeight="1" x14ac:dyDescent="0.35">
      <c r="A51" s="126"/>
      <c r="B51" s="126"/>
      <c r="C51" s="126"/>
      <c r="D51" s="126"/>
      <c r="E51" s="126"/>
      <c r="F51" s="126"/>
      <c r="G51" s="126"/>
      <c r="H51" s="126"/>
      <c r="I51" s="126"/>
      <c r="J51" s="126"/>
      <c r="K51" s="126"/>
      <c r="L51" s="126"/>
      <c r="M51" s="126"/>
      <c r="N51" s="126"/>
      <c r="O51" s="126"/>
      <c r="P51" s="126"/>
      <c r="Q51" s="126"/>
    </row>
    <row r="52" spans="1:17" ht="7.5" customHeight="1" x14ac:dyDescent="0.35"/>
    <row r="53" spans="1:17" ht="19.5" customHeight="1" x14ac:dyDescent="0.35">
      <c r="A53" s="127" t="s">
        <v>240</v>
      </c>
      <c r="B53" s="127"/>
      <c r="C53" s="127"/>
      <c r="D53" s="127"/>
      <c r="E53" s="127"/>
      <c r="F53" s="127"/>
      <c r="G53" s="127"/>
      <c r="H53" s="127"/>
      <c r="I53" s="127"/>
      <c r="J53" s="127"/>
      <c r="K53" s="127"/>
      <c r="L53" s="127"/>
      <c r="M53" s="127"/>
      <c r="N53" s="127"/>
      <c r="O53" s="127"/>
      <c r="P53" s="127"/>
      <c r="Q53" s="127"/>
    </row>
    <row r="54" spans="1:17" ht="4.5" customHeight="1" x14ac:dyDescent="0.35"/>
    <row r="55" spans="1:17" ht="21.75" customHeight="1" x14ac:dyDescent="0.35">
      <c r="A55" s="84" t="s">
        <v>232</v>
      </c>
      <c r="B55" s="128" t="str">
        <f>IFERROR(IF('Beginner Adv 15M - Bracket'!B21="","TBD",'Beginner Adv 15M - Bracket'!B21),"TBD")</f>
        <v>TBD</v>
      </c>
      <c r="C55" s="128"/>
      <c r="D55" s="128"/>
      <c r="E55" s="128"/>
      <c r="F55" s="128"/>
      <c r="G55" s="128"/>
      <c r="H55" s="128"/>
      <c r="I55" s="84" t="s">
        <v>233</v>
      </c>
      <c r="J55" s="128" t="str">
        <f>IFERROR(IF('Beginner Adv 15M - Bracket'!B23="","TBD",'Beginner Adv 15M - Bracket'!B23),"TBD")</f>
        <v>TBD</v>
      </c>
      <c r="K55" s="128"/>
      <c r="L55" s="128"/>
      <c r="M55" s="128"/>
      <c r="N55" s="128"/>
      <c r="O55" s="128"/>
      <c r="P55" s="128"/>
      <c r="Q55" s="84" t="s">
        <v>232</v>
      </c>
    </row>
    <row r="56" spans="1:17" ht="13.5" customHeight="1" x14ac:dyDescent="0.35">
      <c r="A56" s="85" t="s">
        <v>234</v>
      </c>
      <c r="B56" s="129" t="str">
        <f>IFERROR('Beginner Adv 15M - Bracket'!A21,"")</f>
        <v>BYE</v>
      </c>
      <c r="C56" s="129"/>
      <c r="D56" s="129"/>
      <c r="E56" s="129"/>
      <c r="F56" s="129"/>
      <c r="G56" s="129"/>
      <c r="H56" s="129"/>
      <c r="I56" s="86"/>
      <c r="J56" s="129" t="str">
        <f>IFERROR('Beginner Adv 15M - Bracket'!A23,"")</f>
        <v>BYE</v>
      </c>
      <c r="K56" s="129"/>
      <c r="L56" s="129"/>
      <c r="M56" s="129"/>
      <c r="N56" s="129"/>
      <c r="O56" s="129"/>
      <c r="P56" s="129"/>
      <c r="Q56" s="85" t="s">
        <v>234</v>
      </c>
    </row>
    <row r="57" spans="1:17" ht="19.5" customHeight="1" x14ac:dyDescent="0.35">
      <c r="A57" s="87" t="s">
        <v>235</v>
      </c>
      <c r="B57" s="88" t="s">
        <v>83</v>
      </c>
      <c r="C57" s="88" t="s">
        <v>84</v>
      </c>
      <c r="D57" s="88" t="s">
        <v>85</v>
      </c>
      <c r="E57" s="88" t="s">
        <v>86</v>
      </c>
      <c r="F57" s="88" t="s">
        <v>87</v>
      </c>
      <c r="G57" s="88" t="s">
        <v>88</v>
      </c>
      <c r="H57" s="24" t="s">
        <v>236</v>
      </c>
      <c r="I57" s="89"/>
      <c r="J57" s="24" t="s">
        <v>236</v>
      </c>
      <c r="K57" s="88" t="s">
        <v>88</v>
      </c>
      <c r="L57" s="88" t="s">
        <v>87</v>
      </c>
      <c r="M57" s="88" t="s">
        <v>86</v>
      </c>
      <c r="N57" s="88" t="s">
        <v>85</v>
      </c>
      <c r="O57" s="88" t="s">
        <v>84</v>
      </c>
      <c r="P57" s="88" t="s">
        <v>83</v>
      </c>
      <c r="Q57" s="87" t="s">
        <v>235</v>
      </c>
    </row>
    <row r="58" spans="1:17" ht="21.75" customHeight="1" x14ac:dyDescent="0.35">
      <c r="A58" s="84" t="s">
        <v>222</v>
      </c>
      <c r="B58" s="90" t="str">
        <f>IFERROR(IF('Beginner Adv 15M - Bracket'!H21="","",'Beginner Adv 15M - Bracket'!H21),"")</f>
        <v/>
      </c>
      <c r="C58" s="90" t="str">
        <f>IFERROR(IF('Beginner Adv 15M - Bracket'!I21="","",'Beginner Adv 15M - Bracket'!I21),"")</f>
        <v/>
      </c>
      <c r="D58" s="90" t="str">
        <f>IFERROR(IF('Beginner Adv 15M - Bracket'!J21="","",'Beginner Adv 15M - Bracket'!J21),"")</f>
        <v/>
      </c>
      <c r="E58" s="90" t="str">
        <f>IFERROR(IF('Beginner Adv 15M - Bracket'!K21="","",'Beginner Adv 15M - Bracket'!K21),"")</f>
        <v/>
      </c>
      <c r="F58" s="90" t="str">
        <f>IFERROR(IF('Beginner Adv 15M - Bracket'!L21="","",'Beginner Adv 15M - Bracket'!L21),"")</f>
        <v/>
      </c>
      <c r="G58" s="90" t="str">
        <f>IFERROR(IF('Beginner Adv 15M - Bracket'!M21="","",'Beginner Adv 15M - Bracket'!M21),"")</f>
        <v/>
      </c>
      <c r="H58" s="32">
        <f>IFERROR(IF(ISNUMBER('Beginner Adv 15M - Bracket'!N21),'Beginner Adv 15M - Bracket'!N21,0),0)</f>
        <v>0</v>
      </c>
      <c r="I58" s="91" t="str">
        <f>IF(AND(ISNUMBER('Beginner Adv 15M - Bracket'!N21),ISNUMBER('Beginner Adv 15M - Bracket'!N23)),IF('Beginner Adv 15M - Bracket'!N21&gt;'Beginner Adv 15M - Bracket'!N23,"2-0",IF('Beginner Adv 15M - Bracket'!N21='Beginner Adv 15M - Bracket'!N23,"1-1","0-2")),"—")</f>
        <v>—</v>
      </c>
      <c r="J58" s="32">
        <f>IFERROR(IF(ISNUMBER('Beginner Adv 15M - Bracket'!N23),'Beginner Adv 15M - Bracket'!N23,0),0)</f>
        <v>0</v>
      </c>
      <c r="K58" s="90" t="str">
        <f>IFERROR(IF('Beginner Adv 15M - Bracket'!M23="","",'Beginner Adv 15M - Bracket'!M23),"")</f>
        <v/>
      </c>
      <c r="L58" s="90" t="str">
        <f>IFERROR(IF('Beginner Adv 15M - Bracket'!L23="","",'Beginner Adv 15M - Bracket'!L23),"")</f>
        <v/>
      </c>
      <c r="M58" s="90" t="str">
        <f>IFERROR(IF('Beginner Adv 15M - Bracket'!K23="","",'Beginner Adv 15M - Bracket'!K23),"")</f>
        <v/>
      </c>
      <c r="N58" s="90" t="str">
        <f>IFERROR(IF('Beginner Adv 15M - Bracket'!J23="","",'Beginner Adv 15M - Bracket'!J23),"")</f>
        <v/>
      </c>
      <c r="O58" s="90" t="str">
        <f>IFERROR(IF('Beginner Adv 15M - Bracket'!I23="","",'Beginner Adv 15M - Bracket'!I23),"")</f>
        <v/>
      </c>
      <c r="P58" s="90" t="str">
        <f>IFERROR(IF('Beginner Adv 15M - Bracket'!H23="","",'Beginner Adv 15M - Bracket'!H23),"")</f>
        <v/>
      </c>
      <c r="Q58" s="84" t="s">
        <v>222</v>
      </c>
    </row>
    <row r="59" spans="1:17" ht="21.75" customHeight="1" x14ac:dyDescent="0.35">
      <c r="A59" s="84" t="s">
        <v>223</v>
      </c>
      <c r="B59" s="90" t="str">
        <f>IFERROR(IF('Beginner Adv 15M - Bracket'!O21="","",'Beginner Adv 15M - Bracket'!O21),"")</f>
        <v/>
      </c>
      <c r="C59" s="90" t="str">
        <f>IFERROR(IF('Beginner Adv 15M - Bracket'!P21="","",'Beginner Adv 15M - Bracket'!P21),"")</f>
        <v/>
      </c>
      <c r="D59" s="90" t="str">
        <f>IFERROR(IF('Beginner Adv 15M - Bracket'!Q21="","",'Beginner Adv 15M - Bracket'!Q21),"")</f>
        <v/>
      </c>
      <c r="E59" s="90" t="str">
        <f>IFERROR(IF('Beginner Adv 15M - Bracket'!R21="","",'Beginner Adv 15M - Bracket'!R21),"")</f>
        <v/>
      </c>
      <c r="F59" s="90" t="str">
        <f>IFERROR(IF('Beginner Adv 15M - Bracket'!S21="","",'Beginner Adv 15M - Bracket'!S21),"")</f>
        <v/>
      </c>
      <c r="G59" s="90" t="str">
        <f>IFERROR(IF('Beginner Adv 15M - Bracket'!T21="","",'Beginner Adv 15M - Bracket'!T21),"")</f>
        <v/>
      </c>
      <c r="H59" s="32">
        <f>IFERROR(IF(ISNUMBER('Beginner Adv 15M - Bracket'!U21),'Beginner Adv 15M - Bracket'!U21,0),0)</f>
        <v>0</v>
      </c>
      <c r="I59" s="91" t="str">
        <f>IF(AND(ISNUMBER('Beginner Adv 15M - Bracket'!U21),ISNUMBER('Beginner Adv 15M - Bracket'!U23)),IF('Beginner Adv 15M - Bracket'!U21&gt;'Beginner Adv 15M - Bracket'!U23,"2-0",IF('Beginner Adv 15M - Bracket'!U21='Beginner Adv 15M - Bracket'!U23,"1-1","0-2")),"—")</f>
        <v>—</v>
      </c>
      <c r="J59" s="32">
        <f>IFERROR(IF(ISNUMBER('Beginner Adv 15M - Bracket'!U23),'Beginner Adv 15M - Bracket'!U23,0),0)</f>
        <v>0</v>
      </c>
      <c r="K59" s="90" t="str">
        <f>IFERROR(IF('Beginner Adv 15M - Bracket'!T23="","",'Beginner Adv 15M - Bracket'!T23),"")</f>
        <v/>
      </c>
      <c r="L59" s="90" t="str">
        <f>IFERROR(IF('Beginner Adv 15M - Bracket'!S23="","",'Beginner Adv 15M - Bracket'!S23),"")</f>
        <v/>
      </c>
      <c r="M59" s="90" t="str">
        <f>IFERROR(IF('Beginner Adv 15M - Bracket'!R23="","",'Beginner Adv 15M - Bracket'!R23),"")</f>
        <v/>
      </c>
      <c r="N59" s="90" t="str">
        <f>IFERROR(IF('Beginner Adv 15M - Bracket'!Q23="","",'Beginner Adv 15M - Bracket'!Q23),"")</f>
        <v/>
      </c>
      <c r="O59" s="90" t="str">
        <f>IFERROR(IF('Beginner Adv 15M - Bracket'!P23="","",'Beginner Adv 15M - Bracket'!P23),"")</f>
        <v/>
      </c>
      <c r="P59" s="90" t="str">
        <f>IFERROR(IF('Beginner Adv 15M - Bracket'!O23="","",'Beginner Adv 15M - Bracket'!O23),"")</f>
        <v/>
      </c>
      <c r="Q59" s="84" t="s">
        <v>223</v>
      </c>
    </row>
    <row r="60" spans="1:17" ht="21.75" customHeight="1" x14ac:dyDescent="0.35">
      <c r="A60" s="84" t="s">
        <v>224</v>
      </c>
      <c r="B60" s="90" t="str">
        <f>IFERROR(IF('Beginner Adv 15M - Bracket'!V21="","",'Beginner Adv 15M - Bracket'!V21),"")</f>
        <v/>
      </c>
      <c r="C60" s="90" t="str">
        <f>IFERROR(IF('Beginner Adv 15M - Bracket'!W21="","",'Beginner Adv 15M - Bracket'!W21),"")</f>
        <v/>
      </c>
      <c r="D60" s="90" t="str">
        <f>IFERROR(IF('Beginner Adv 15M - Bracket'!X21="","",'Beginner Adv 15M - Bracket'!X21),"")</f>
        <v/>
      </c>
      <c r="E60" s="90" t="str">
        <f>IFERROR(IF('Beginner Adv 15M - Bracket'!Y21="","",'Beginner Adv 15M - Bracket'!Y21),"")</f>
        <v/>
      </c>
      <c r="F60" s="90" t="str">
        <f>IFERROR(IF('Beginner Adv 15M - Bracket'!Z21="","",'Beginner Adv 15M - Bracket'!Z21),"")</f>
        <v/>
      </c>
      <c r="G60" s="90" t="str">
        <f>IFERROR(IF('Beginner Adv 15M - Bracket'!AA21="","",'Beginner Adv 15M - Bracket'!AA21),"")</f>
        <v/>
      </c>
      <c r="H60" s="32">
        <f>IFERROR(IF(ISNUMBER('Beginner Adv 15M - Bracket'!AB21),'Beginner Adv 15M - Bracket'!AB21,0),0)</f>
        <v>0</v>
      </c>
      <c r="I60" s="91" t="str">
        <f>IF(AND(ISNUMBER('Beginner Adv 15M - Bracket'!AB21),ISNUMBER('Beginner Adv 15M - Bracket'!AB23)),IF('Beginner Adv 15M - Bracket'!AB21&gt;'Beginner Adv 15M - Bracket'!AB23,"2-0",IF('Beginner Adv 15M - Bracket'!AB21='Beginner Adv 15M - Bracket'!AB23,"1-1","0-2")),"—")</f>
        <v>—</v>
      </c>
      <c r="J60" s="32">
        <f>IFERROR(IF(ISNUMBER('Beginner Adv 15M - Bracket'!AB23),'Beginner Adv 15M - Bracket'!AB23,0),0)</f>
        <v>0</v>
      </c>
      <c r="K60" s="90" t="str">
        <f>IFERROR(IF('Beginner Adv 15M - Bracket'!AA23="","",'Beginner Adv 15M - Bracket'!AA23),"")</f>
        <v/>
      </c>
      <c r="L60" s="90" t="str">
        <f>IFERROR(IF('Beginner Adv 15M - Bracket'!Z23="","",'Beginner Adv 15M - Bracket'!Z23),"")</f>
        <v/>
      </c>
      <c r="M60" s="90" t="str">
        <f>IFERROR(IF('Beginner Adv 15M - Bracket'!Y23="","",'Beginner Adv 15M - Bracket'!Y23),"")</f>
        <v/>
      </c>
      <c r="N60" s="90" t="str">
        <f>IFERROR(IF('Beginner Adv 15M - Bracket'!X23="","",'Beginner Adv 15M - Bracket'!X23),"")</f>
        <v/>
      </c>
      <c r="O60" s="90" t="str">
        <f>IFERROR(IF('Beginner Adv 15M - Bracket'!W23="","",'Beginner Adv 15M - Bracket'!W23),"")</f>
        <v/>
      </c>
      <c r="P60" s="90" t="str">
        <f>IFERROR(IF('Beginner Adv 15M - Bracket'!V23="","",'Beginner Adv 15M - Bracket'!V23),"")</f>
        <v/>
      </c>
      <c r="Q60" s="84" t="s">
        <v>224</v>
      </c>
    </row>
    <row r="61" spans="1:17" ht="21.75" customHeight="1" x14ac:dyDescent="0.35">
      <c r="A61" s="84" t="s">
        <v>227</v>
      </c>
      <c r="B61" s="90" t="str">
        <f>IFERROR(IF('Beginner Adv 15M - Bracket'!AC21="","",'Beginner Adv 15M - Bracket'!AC21),"")</f>
        <v/>
      </c>
      <c r="C61" s="90" t="str">
        <f>IFERROR(IF('Beginner Adv 15M - Bracket'!AD21="","",'Beginner Adv 15M - Bracket'!AD21),"")</f>
        <v/>
      </c>
      <c r="D61" s="90" t="str">
        <f>IFERROR(IF('Beginner Adv 15M - Bracket'!AE21="","",'Beginner Adv 15M - Bracket'!AE21),"")</f>
        <v/>
      </c>
      <c r="E61" s="90" t="str">
        <f>IFERROR(IF('Beginner Adv 15M - Bracket'!AF21="","",'Beginner Adv 15M - Bracket'!AF21),"")</f>
        <v/>
      </c>
      <c r="F61" s="90" t="str">
        <f>IFERROR(IF('Beginner Adv 15M - Bracket'!AG21="","",'Beginner Adv 15M - Bracket'!AG21),"")</f>
        <v/>
      </c>
      <c r="G61" s="90" t="str">
        <f>IFERROR(IF('Beginner Adv 15M - Bracket'!AH21="","",'Beginner Adv 15M - Bracket'!AH21),"")</f>
        <v/>
      </c>
      <c r="H61" s="32">
        <f>IFERROR(IF(ISNUMBER('Beginner Adv 15M - Bracket'!AI21),'Beginner Adv 15M - Bracket'!AI21,0),0)</f>
        <v>0</v>
      </c>
      <c r="I61" s="91" t="str">
        <f>IF(AND(ISNUMBER('Beginner Adv 15M - Bracket'!AI21),ISNUMBER('Beginner Adv 15M - Bracket'!AI23)),IF('Beginner Adv 15M - Bracket'!AI21&gt;'Beginner Adv 15M - Bracket'!AI23,"2-0",IF('Beginner Adv 15M - Bracket'!AI21='Beginner Adv 15M - Bracket'!AI23,"1-1","0-2")),"—")</f>
        <v>—</v>
      </c>
      <c r="J61" s="32">
        <f>IFERROR(IF(ISNUMBER('Beginner Adv 15M - Bracket'!AI23),'Beginner Adv 15M - Bracket'!AI23,0),0)</f>
        <v>0</v>
      </c>
      <c r="K61" s="90" t="str">
        <f>IFERROR(IF('Beginner Adv 15M - Bracket'!AH23="","",'Beginner Adv 15M - Bracket'!AH23),"")</f>
        <v/>
      </c>
      <c r="L61" s="90" t="str">
        <f>IFERROR(IF('Beginner Adv 15M - Bracket'!AG23="","",'Beginner Adv 15M - Bracket'!AG23),"")</f>
        <v/>
      </c>
      <c r="M61" s="90" t="str">
        <f>IFERROR(IF('Beginner Adv 15M - Bracket'!AF23="","",'Beginner Adv 15M - Bracket'!AF23),"")</f>
        <v/>
      </c>
      <c r="N61" s="90" t="str">
        <f>IFERROR(IF('Beginner Adv 15M - Bracket'!AE23="","",'Beginner Adv 15M - Bracket'!AE23),"")</f>
        <v/>
      </c>
      <c r="O61" s="90" t="str">
        <f>IFERROR(IF('Beginner Adv 15M - Bracket'!AD23="","",'Beginner Adv 15M - Bracket'!AD23),"")</f>
        <v/>
      </c>
      <c r="P61" s="90" t="str">
        <f>IFERROR(IF('Beginner Adv 15M - Bracket'!AC23="","",'Beginner Adv 15M - Bracket'!AC23),"")</f>
        <v/>
      </c>
      <c r="Q61" s="84" t="s">
        <v>227</v>
      </c>
    </row>
    <row r="62" spans="1:17" ht="21.75" customHeight="1" x14ac:dyDescent="0.35">
      <c r="A62" s="84" t="s">
        <v>228</v>
      </c>
      <c r="B62" s="90" t="str">
        <f>IFERROR(IF('Beginner Adv 15M - Bracket'!AJ21="","",'Beginner Adv 15M - Bracket'!AJ21),"")</f>
        <v/>
      </c>
      <c r="C62" s="90" t="str">
        <f>IFERROR(IF('Beginner Adv 15M - Bracket'!AK21="","",'Beginner Adv 15M - Bracket'!AK21),"")</f>
        <v/>
      </c>
      <c r="D62" s="90" t="str">
        <f>IFERROR(IF('Beginner Adv 15M - Bracket'!AL21="","",'Beginner Adv 15M - Bracket'!AL21),"")</f>
        <v/>
      </c>
      <c r="E62" s="90" t="str">
        <f>IFERROR(IF('Beginner Adv 15M - Bracket'!AM21="","",'Beginner Adv 15M - Bracket'!AM21),"")</f>
        <v/>
      </c>
      <c r="F62" s="90" t="str">
        <f>IFERROR(IF('Beginner Adv 15M - Bracket'!AN21="","",'Beginner Adv 15M - Bracket'!AN21),"")</f>
        <v/>
      </c>
      <c r="G62" s="90" t="str">
        <f>IFERROR(IF('Beginner Adv 15M - Bracket'!AO21="","",'Beginner Adv 15M - Bracket'!AO21),"")</f>
        <v/>
      </c>
      <c r="H62" s="32">
        <f>IFERROR(IF(ISNUMBER('Beginner Adv 15M - Bracket'!AP21),'Beginner Adv 15M - Bracket'!AP21,0),0)</f>
        <v>0</v>
      </c>
      <c r="I62" s="91" t="str">
        <f>IF(AND(ISNUMBER('Beginner Adv 15M - Bracket'!AP21),ISNUMBER('Beginner Adv 15M - Bracket'!AP23)),IF('Beginner Adv 15M - Bracket'!AP21&gt;'Beginner Adv 15M - Bracket'!AP23,"2-0",IF('Beginner Adv 15M - Bracket'!AP21='Beginner Adv 15M - Bracket'!AP23,"1-1","0-2")),"—")</f>
        <v>—</v>
      </c>
      <c r="J62" s="32">
        <f>IFERROR(IF(ISNUMBER('Beginner Adv 15M - Bracket'!AP23),'Beginner Adv 15M - Bracket'!AP23,0),0)</f>
        <v>0</v>
      </c>
      <c r="K62" s="90" t="str">
        <f>IFERROR(IF('Beginner Adv 15M - Bracket'!AO23="","",'Beginner Adv 15M - Bracket'!AO23),"")</f>
        <v/>
      </c>
      <c r="L62" s="90" t="str">
        <f>IFERROR(IF('Beginner Adv 15M - Bracket'!AN23="","",'Beginner Adv 15M - Bracket'!AN23),"")</f>
        <v/>
      </c>
      <c r="M62" s="90" t="str">
        <f>IFERROR(IF('Beginner Adv 15M - Bracket'!AM23="","",'Beginner Adv 15M - Bracket'!AM23),"")</f>
        <v/>
      </c>
      <c r="N62" s="90" t="str">
        <f>IFERROR(IF('Beginner Adv 15M - Bracket'!AL23="","",'Beginner Adv 15M - Bracket'!AL23),"")</f>
        <v/>
      </c>
      <c r="O62" s="90" t="str">
        <f>IFERROR(IF('Beginner Adv 15M - Bracket'!AK23="","",'Beginner Adv 15M - Bracket'!AK23),"")</f>
        <v/>
      </c>
      <c r="P62" s="90" t="str">
        <f>IFERROR(IF('Beginner Adv 15M - Bracket'!AJ23="","",'Beginner Adv 15M - Bracket'!AJ23),"")</f>
        <v/>
      </c>
      <c r="Q62" s="84" t="s">
        <v>228</v>
      </c>
    </row>
    <row r="63" spans="1:17" ht="21.75" customHeight="1" x14ac:dyDescent="0.35">
      <c r="A63" s="92" t="s">
        <v>237</v>
      </c>
      <c r="B63" s="93" t="str">
        <f>IFERROR(IF('Beginner Adv 15M - Bracket'!AQ21="","",'Beginner Adv 15M - Bracket'!AQ21),"")</f>
        <v/>
      </c>
      <c r="C63" s="93" t="str">
        <f>IFERROR(IF('Beginner Adv 15M - Bracket'!AR21="","",'Beginner Adv 15M - Bracket'!AR21),"")</f>
        <v/>
      </c>
      <c r="D63" s="93" t="str">
        <f>IFERROR(IF('Beginner Adv 15M - Bracket'!AS21="","",'Beginner Adv 15M - Bracket'!AS21),"")</f>
        <v/>
      </c>
      <c r="E63" s="93" t="str">
        <f>IFERROR(IF('Beginner Adv 15M - Bracket'!AT21="","",'Beginner Adv 15M - Bracket'!AT21),"")</f>
        <v/>
      </c>
      <c r="F63" s="93" t="str">
        <f>IFERROR(IF('Beginner Adv 15M - Bracket'!AU21="","",'Beginner Adv 15M - Bracket'!AU21),"")</f>
        <v/>
      </c>
      <c r="G63" s="93" t="str">
        <f>IFERROR(IF('Beginner Adv 15M - Bracket'!AV21="","",'Beginner Adv 15M - Bracket'!AV21),"")</f>
        <v/>
      </c>
      <c r="H63" s="32">
        <f>IFERROR(IF(ISNUMBER('Beginner Adv 15M - Bracket'!AW21),'Beginner Adv 15M - Bracket'!AW21,0),0)</f>
        <v>0</v>
      </c>
      <c r="I63" s="91" t="str">
        <f>IF(AND(ISNUMBER('Beginner Adv 15M - Bracket'!AW21),ISNUMBER('Beginner Adv 15M - Bracket'!AW23)),IF('Beginner Adv 15M - Bracket'!AW21&gt;'Beginner Adv 15M - Bracket'!AW23,"2-0",IF('Beginner Adv 15M - Bracket'!AW21='Beginner Adv 15M - Bracket'!AW23,"1-1","0-2")),"—")</f>
        <v>—</v>
      </c>
      <c r="J63" s="32">
        <f>IFERROR(IF(ISNUMBER('Beginner Adv 15M - Bracket'!AW23),'Beginner Adv 15M - Bracket'!AW23,0),0)</f>
        <v>0</v>
      </c>
      <c r="K63" s="93" t="str">
        <f>IFERROR(IF('Beginner Adv 15M - Bracket'!AV23="","",'Beginner Adv 15M - Bracket'!AV23),"")</f>
        <v/>
      </c>
      <c r="L63" s="93" t="str">
        <f>IFERROR(IF('Beginner Adv 15M - Bracket'!AU23="","",'Beginner Adv 15M - Bracket'!AU23),"")</f>
        <v/>
      </c>
      <c r="M63" s="93" t="str">
        <f>IFERROR(IF('Beginner Adv 15M - Bracket'!AT23="","",'Beginner Adv 15M - Bracket'!AT23),"")</f>
        <v/>
      </c>
      <c r="N63" s="93" t="str">
        <f>IFERROR(IF('Beginner Adv 15M - Bracket'!AS23="","",'Beginner Adv 15M - Bracket'!AS23),"")</f>
        <v/>
      </c>
      <c r="O63" s="93" t="str">
        <f>IFERROR(IF('Beginner Adv 15M - Bracket'!AR23="","",'Beginner Adv 15M - Bracket'!AR23),"")</f>
        <v/>
      </c>
      <c r="P63" s="93" t="str">
        <f>IFERROR(IF('Beginner Adv 15M - Bracket'!AQ23="","",'Beginner Adv 15M - Bracket'!AQ23),"")</f>
        <v/>
      </c>
      <c r="Q63" s="92" t="s">
        <v>237</v>
      </c>
    </row>
    <row r="64" spans="1:17" ht="4.5" customHeight="1" x14ac:dyDescent="0.35"/>
    <row r="65" spans="1:17" ht="31.5" customHeight="1" x14ac:dyDescent="0.35">
      <c r="A65" s="130">
        <f>IFERROR(IF(ISNUMBER('Beginner Adv 15M - Bracket'!AX21),'Beginner Adv 15M - Bracket'!AX21,0),0)</f>
        <v>0</v>
      </c>
      <c r="B65" s="130"/>
      <c r="C65" s="130"/>
      <c r="D65" s="130"/>
      <c r="E65" s="130"/>
      <c r="F65" s="130"/>
      <c r="G65" s="130"/>
      <c r="H65" s="94" t="str">
        <f>IFERROR('Beginner Adv 15M - Bracket'!BA21,"")</f>
        <v>&gt;&gt; Advance</v>
      </c>
      <c r="I65" s="86"/>
      <c r="J65" s="94" t="str">
        <f>IFERROR('Beginner Adv 15M - Bracket'!BA23,"")</f>
        <v>&gt;&gt; Advance</v>
      </c>
      <c r="K65" s="130">
        <f>IFERROR(IF(ISNUMBER('Beginner Adv 15M - Bracket'!AX23),'Beginner Adv 15M - Bracket'!AX23,0),0)</f>
        <v>0</v>
      </c>
      <c r="L65" s="130"/>
      <c r="M65" s="130"/>
      <c r="N65" s="130"/>
      <c r="O65" s="130"/>
      <c r="P65" s="130"/>
      <c r="Q65" s="130"/>
    </row>
    <row r="66" spans="1:17" ht="21.75" customHeight="1" x14ac:dyDescent="0.35">
      <c r="A66" s="130"/>
      <c r="B66" s="130"/>
      <c r="C66" s="130"/>
      <c r="D66" s="130"/>
      <c r="E66" s="130"/>
      <c r="F66" s="130"/>
      <c r="G66" s="130"/>
      <c r="K66" s="130"/>
      <c r="L66" s="130"/>
      <c r="M66" s="130"/>
      <c r="N66" s="130"/>
      <c r="O66" s="130"/>
      <c r="P66" s="130"/>
      <c r="Q66" s="130"/>
    </row>
    <row r="67" spans="1:17" ht="4.5" customHeight="1" x14ac:dyDescent="0.35"/>
    <row r="68" spans="1:17" ht="12" customHeight="1" x14ac:dyDescent="0.35">
      <c r="A68" s="126"/>
      <c r="B68" s="126"/>
      <c r="C68" s="126"/>
      <c r="D68" s="126"/>
      <c r="E68" s="126"/>
      <c r="F68" s="126"/>
      <c r="G68" s="126"/>
      <c r="H68" s="126"/>
      <c r="I68" s="126"/>
      <c r="J68" s="126"/>
      <c r="K68" s="126"/>
      <c r="L68" s="126"/>
      <c r="M68" s="126"/>
      <c r="N68" s="126"/>
      <c r="O68" s="126"/>
      <c r="P68" s="126"/>
      <c r="Q68" s="126"/>
    </row>
    <row r="69" spans="1:17" ht="7.5" customHeight="1" x14ac:dyDescent="0.35"/>
    <row r="70" spans="1:17" ht="19.5" customHeight="1" x14ac:dyDescent="0.35">
      <c r="A70" s="127" t="s">
        <v>241</v>
      </c>
      <c r="B70" s="127"/>
      <c r="C70" s="127"/>
      <c r="D70" s="127"/>
      <c r="E70" s="127"/>
      <c r="F70" s="127"/>
      <c r="G70" s="127"/>
      <c r="H70" s="127"/>
      <c r="I70" s="127"/>
      <c r="J70" s="127"/>
      <c r="K70" s="127"/>
      <c r="L70" s="127"/>
      <c r="M70" s="127"/>
      <c r="N70" s="127"/>
      <c r="O70" s="127"/>
      <c r="P70" s="127"/>
      <c r="Q70" s="127"/>
    </row>
    <row r="71" spans="1:17" ht="4.5" customHeight="1" x14ac:dyDescent="0.35"/>
    <row r="72" spans="1:17" ht="21.75" customHeight="1" x14ac:dyDescent="0.35">
      <c r="A72" s="84" t="s">
        <v>232</v>
      </c>
      <c r="B72" s="128" t="str">
        <f>IFERROR(IF('Beginner Adv 15M - Bracket'!B26="","TBD",'Beginner Adv 15M - Bracket'!B26),"TBD")</f>
        <v>TBD</v>
      </c>
      <c r="C72" s="128"/>
      <c r="D72" s="128"/>
      <c r="E72" s="128"/>
      <c r="F72" s="128"/>
      <c r="G72" s="128"/>
      <c r="H72" s="128"/>
      <c r="I72" s="84" t="s">
        <v>233</v>
      </c>
      <c r="J72" s="128" t="str">
        <f>IFERROR(IF('Beginner Adv 15M - Bracket'!B28="","TBD",'Beginner Adv 15M - Bracket'!B28),"TBD")</f>
        <v>TBD</v>
      </c>
      <c r="K72" s="128"/>
      <c r="L72" s="128"/>
      <c r="M72" s="128"/>
      <c r="N72" s="128"/>
      <c r="O72" s="128"/>
      <c r="P72" s="128"/>
      <c r="Q72" s="84" t="s">
        <v>232</v>
      </c>
    </row>
    <row r="73" spans="1:17" ht="13.5" customHeight="1" x14ac:dyDescent="0.35">
      <c r="A73" s="85" t="s">
        <v>234</v>
      </c>
      <c r="B73" s="129" t="str">
        <f>IFERROR('Beginner Adv 15M - Bracket'!A26,"")</f>
        <v>BYE</v>
      </c>
      <c r="C73" s="129"/>
      <c r="D73" s="129"/>
      <c r="E73" s="129"/>
      <c r="F73" s="129"/>
      <c r="G73" s="129"/>
      <c r="H73" s="129"/>
      <c r="I73" s="86"/>
      <c r="J73" s="129" t="str">
        <f>IFERROR('Beginner Adv 15M - Bracket'!A28,"")</f>
        <v>BYE</v>
      </c>
      <c r="K73" s="129"/>
      <c r="L73" s="129"/>
      <c r="M73" s="129"/>
      <c r="N73" s="129"/>
      <c r="O73" s="129"/>
      <c r="P73" s="129"/>
      <c r="Q73" s="85" t="s">
        <v>234</v>
      </c>
    </row>
    <row r="74" spans="1:17" ht="19.5" customHeight="1" x14ac:dyDescent="0.35">
      <c r="A74" s="87" t="s">
        <v>235</v>
      </c>
      <c r="B74" s="88" t="s">
        <v>83</v>
      </c>
      <c r="C74" s="88" t="s">
        <v>84</v>
      </c>
      <c r="D74" s="88" t="s">
        <v>85</v>
      </c>
      <c r="E74" s="88" t="s">
        <v>86</v>
      </c>
      <c r="F74" s="88" t="s">
        <v>87</v>
      </c>
      <c r="G74" s="88" t="s">
        <v>88</v>
      </c>
      <c r="H74" s="24" t="s">
        <v>236</v>
      </c>
      <c r="I74" s="89"/>
      <c r="J74" s="24" t="s">
        <v>236</v>
      </c>
      <c r="K74" s="88" t="s">
        <v>88</v>
      </c>
      <c r="L74" s="88" t="s">
        <v>87</v>
      </c>
      <c r="M74" s="88" t="s">
        <v>86</v>
      </c>
      <c r="N74" s="88" t="s">
        <v>85</v>
      </c>
      <c r="O74" s="88" t="s">
        <v>84</v>
      </c>
      <c r="P74" s="88" t="s">
        <v>83</v>
      </c>
      <c r="Q74" s="87" t="s">
        <v>235</v>
      </c>
    </row>
    <row r="75" spans="1:17" ht="21.75" customHeight="1" x14ac:dyDescent="0.35">
      <c r="A75" s="84" t="s">
        <v>222</v>
      </c>
      <c r="B75" s="90" t="str">
        <f>IFERROR(IF('Beginner Adv 15M - Bracket'!H26="","",'Beginner Adv 15M - Bracket'!H26),"")</f>
        <v/>
      </c>
      <c r="C75" s="90" t="str">
        <f>IFERROR(IF('Beginner Adv 15M - Bracket'!I26="","",'Beginner Adv 15M - Bracket'!I26),"")</f>
        <v/>
      </c>
      <c r="D75" s="90" t="str">
        <f>IFERROR(IF('Beginner Adv 15M - Bracket'!J26="","",'Beginner Adv 15M - Bracket'!J26),"")</f>
        <v/>
      </c>
      <c r="E75" s="90" t="str">
        <f>IFERROR(IF('Beginner Adv 15M - Bracket'!K26="","",'Beginner Adv 15M - Bracket'!K26),"")</f>
        <v/>
      </c>
      <c r="F75" s="90" t="str">
        <f>IFERROR(IF('Beginner Adv 15M - Bracket'!L26="","",'Beginner Adv 15M - Bracket'!L26),"")</f>
        <v/>
      </c>
      <c r="G75" s="90" t="str">
        <f>IFERROR(IF('Beginner Adv 15M - Bracket'!M26="","",'Beginner Adv 15M - Bracket'!M26),"")</f>
        <v/>
      </c>
      <c r="H75" s="32">
        <f>IFERROR(IF(ISNUMBER('Beginner Adv 15M - Bracket'!N26),'Beginner Adv 15M - Bracket'!N26,0),0)</f>
        <v>0</v>
      </c>
      <c r="I75" s="91" t="str">
        <f>IF(AND(ISNUMBER('Beginner Adv 15M - Bracket'!N26),ISNUMBER('Beginner Adv 15M - Bracket'!N28)),IF('Beginner Adv 15M - Bracket'!N26&gt;'Beginner Adv 15M - Bracket'!N28,"2-0",IF('Beginner Adv 15M - Bracket'!N26='Beginner Adv 15M - Bracket'!N28,"1-1","0-2")),"—")</f>
        <v>—</v>
      </c>
      <c r="J75" s="32">
        <f>IFERROR(IF(ISNUMBER('Beginner Adv 15M - Bracket'!N28),'Beginner Adv 15M - Bracket'!N28,0),0)</f>
        <v>0</v>
      </c>
      <c r="K75" s="90" t="str">
        <f>IFERROR(IF('Beginner Adv 15M - Bracket'!M28="","",'Beginner Adv 15M - Bracket'!M28),"")</f>
        <v/>
      </c>
      <c r="L75" s="90" t="str">
        <f>IFERROR(IF('Beginner Adv 15M - Bracket'!L28="","",'Beginner Adv 15M - Bracket'!L28),"")</f>
        <v/>
      </c>
      <c r="M75" s="90" t="str">
        <f>IFERROR(IF('Beginner Adv 15M - Bracket'!K28="","",'Beginner Adv 15M - Bracket'!K28),"")</f>
        <v/>
      </c>
      <c r="N75" s="90" t="str">
        <f>IFERROR(IF('Beginner Adv 15M - Bracket'!J28="","",'Beginner Adv 15M - Bracket'!J28),"")</f>
        <v/>
      </c>
      <c r="O75" s="90" t="str">
        <f>IFERROR(IF('Beginner Adv 15M - Bracket'!I28="","",'Beginner Adv 15M - Bracket'!I28),"")</f>
        <v/>
      </c>
      <c r="P75" s="90" t="str">
        <f>IFERROR(IF('Beginner Adv 15M - Bracket'!H28="","",'Beginner Adv 15M - Bracket'!H28),"")</f>
        <v/>
      </c>
      <c r="Q75" s="84" t="s">
        <v>222</v>
      </c>
    </row>
    <row r="76" spans="1:17" ht="21.75" customHeight="1" x14ac:dyDescent="0.35">
      <c r="A76" s="84" t="s">
        <v>223</v>
      </c>
      <c r="B76" s="90" t="str">
        <f>IFERROR(IF('Beginner Adv 15M - Bracket'!O26="","",'Beginner Adv 15M - Bracket'!O26),"")</f>
        <v/>
      </c>
      <c r="C76" s="90" t="str">
        <f>IFERROR(IF('Beginner Adv 15M - Bracket'!P26="","",'Beginner Adv 15M - Bracket'!P26),"")</f>
        <v/>
      </c>
      <c r="D76" s="90" t="str">
        <f>IFERROR(IF('Beginner Adv 15M - Bracket'!Q26="","",'Beginner Adv 15M - Bracket'!Q26),"")</f>
        <v/>
      </c>
      <c r="E76" s="90" t="str">
        <f>IFERROR(IF('Beginner Adv 15M - Bracket'!R26="","",'Beginner Adv 15M - Bracket'!R26),"")</f>
        <v/>
      </c>
      <c r="F76" s="90" t="str">
        <f>IFERROR(IF('Beginner Adv 15M - Bracket'!S26="","",'Beginner Adv 15M - Bracket'!S26),"")</f>
        <v/>
      </c>
      <c r="G76" s="90" t="str">
        <f>IFERROR(IF('Beginner Adv 15M - Bracket'!T26="","",'Beginner Adv 15M - Bracket'!T26),"")</f>
        <v/>
      </c>
      <c r="H76" s="32">
        <f>IFERROR(IF(ISNUMBER('Beginner Adv 15M - Bracket'!U26),'Beginner Adv 15M - Bracket'!U26,0),0)</f>
        <v>0</v>
      </c>
      <c r="I76" s="91" t="str">
        <f>IF(AND(ISNUMBER('Beginner Adv 15M - Bracket'!U26),ISNUMBER('Beginner Adv 15M - Bracket'!U28)),IF('Beginner Adv 15M - Bracket'!U26&gt;'Beginner Adv 15M - Bracket'!U28,"2-0",IF('Beginner Adv 15M - Bracket'!U26='Beginner Adv 15M - Bracket'!U28,"1-1","0-2")),"—")</f>
        <v>—</v>
      </c>
      <c r="J76" s="32">
        <f>IFERROR(IF(ISNUMBER('Beginner Adv 15M - Bracket'!U28),'Beginner Adv 15M - Bracket'!U28,0),0)</f>
        <v>0</v>
      </c>
      <c r="K76" s="90" t="str">
        <f>IFERROR(IF('Beginner Adv 15M - Bracket'!T28="","",'Beginner Adv 15M - Bracket'!T28),"")</f>
        <v/>
      </c>
      <c r="L76" s="90" t="str">
        <f>IFERROR(IF('Beginner Adv 15M - Bracket'!S28="","",'Beginner Adv 15M - Bracket'!S28),"")</f>
        <v/>
      </c>
      <c r="M76" s="90" t="str">
        <f>IFERROR(IF('Beginner Adv 15M - Bracket'!R28="","",'Beginner Adv 15M - Bracket'!R28),"")</f>
        <v/>
      </c>
      <c r="N76" s="90" t="str">
        <f>IFERROR(IF('Beginner Adv 15M - Bracket'!Q28="","",'Beginner Adv 15M - Bracket'!Q28),"")</f>
        <v/>
      </c>
      <c r="O76" s="90" t="str">
        <f>IFERROR(IF('Beginner Adv 15M - Bracket'!P28="","",'Beginner Adv 15M - Bracket'!P28),"")</f>
        <v/>
      </c>
      <c r="P76" s="90" t="str">
        <f>IFERROR(IF('Beginner Adv 15M - Bracket'!O28="","",'Beginner Adv 15M - Bracket'!O28),"")</f>
        <v/>
      </c>
      <c r="Q76" s="84" t="s">
        <v>223</v>
      </c>
    </row>
    <row r="77" spans="1:17" ht="21.75" customHeight="1" x14ac:dyDescent="0.35">
      <c r="A77" s="84" t="s">
        <v>224</v>
      </c>
      <c r="B77" s="90" t="str">
        <f>IFERROR(IF('Beginner Adv 15M - Bracket'!V26="","",'Beginner Adv 15M - Bracket'!V26),"")</f>
        <v/>
      </c>
      <c r="C77" s="90" t="str">
        <f>IFERROR(IF('Beginner Adv 15M - Bracket'!W26="","",'Beginner Adv 15M - Bracket'!W26),"")</f>
        <v/>
      </c>
      <c r="D77" s="90" t="str">
        <f>IFERROR(IF('Beginner Adv 15M - Bracket'!X26="","",'Beginner Adv 15M - Bracket'!X26),"")</f>
        <v/>
      </c>
      <c r="E77" s="90" t="str">
        <f>IFERROR(IF('Beginner Adv 15M - Bracket'!Y26="","",'Beginner Adv 15M - Bracket'!Y26),"")</f>
        <v/>
      </c>
      <c r="F77" s="90" t="str">
        <f>IFERROR(IF('Beginner Adv 15M - Bracket'!Z26="","",'Beginner Adv 15M - Bracket'!Z26),"")</f>
        <v/>
      </c>
      <c r="G77" s="90" t="str">
        <f>IFERROR(IF('Beginner Adv 15M - Bracket'!AA26="","",'Beginner Adv 15M - Bracket'!AA26),"")</f>
        <v/>
      </c>
      <c r="H77" s="32">
        <f>IFERROR(IF(ISNUMBER('Beginner Adv 15M - Bracket'!AB26),'Beginner Adv 15M - Bracket'!AB26,0),0)</f>
        <v>0</v>
      </c>
      <c r="I77" s="91" t="str">
        <f>IF(AND(ISNUMBER('Beginner Adv 15M - Bracket'!AB26),ISNUMBER('Beginner Adv 15M - Bracket'!AB28)),IF('Beginner Adv 15M - Bracket'!AB26&gt;'Beginner Adv 15M - Bracket'!AB28,"2-0",IF('Beginner Adv 15M - Bracket'!AB26='Beginner Adv 15M - Bracket'!AB28,"1-1","0-2")),"—")</f>
        <v>—</v>
      </c>
      <c r="J77" s="32">
        <f>IFERROR(IF(ISNUMBER('Beginner Adv 15M - Bracket'!AB28),'Beginner Adv 15M - Bracket'!AB28,0),0)</f>
        <v>0</v>
      </c>
      <c r="K77" s="90" t="str">
        <f>IFERROR(IF('Beginner Adv 15M - Bracket'!AA28="","",'Beginner Adv 15M - Bracket'!AA28),"")</f>
        <v/>
      </c>
      <c r="L77" s="90" t="str">
        <f>IFERROR(IF('Beginner Adv 15M - Bracket'!Z28="","",'Beginner Adv 15M - Bracket'!Z28),"")</f>
        <v/>
      </c>
      <c r="M77" s="90" t="str">
        <f>IFERROR(IF('Beginner Adv 15M - Bracket'!Y28="","",'Beginner Adv 15M - Bracket'!Y28),"")</f>
        <v/>
      </c>
      <c r="N77" s="90" t="str">
        <f>IFERROR(IF('Beginner Adv 15M - Bracket'!X28="","",'Beginner Adv 15M - Bracket'!X28),"")</f>
        <v/>
      </c>
      <c r="O77" s="90" t="str">
        <f>IFERROR(IF('Beginner Adv 15M - Bracket'!W28="","",'Beginner Adv 15M - Bracket'!W28),"")</f>
        <v/>
      </c>
      <c r="P77" s="90" t="str">
        <f>IFERROR(IF('Beginner Adv 15M - Bracket'!V28="","",'Beginner Adv 15M - Bracket'!V28),"")</f>
        <v/>
      </c>
      <c r="Q77" s="84" t="s">
        <v>224</v>
      </c>
    </row>
    <row r="78" spans="1:17" ht="21.75" customHeight="1" x14ac:dyDescent="0.35">
      <c r="A78" s="84" t="s">
        <v>227</v>
      </c>
      <c r="B78" s="90" t="str">
        <f>IFERROR(IF('Beginner Adv 15M - Bracket'!AC26="","",'Beginner Adv 15M - Bracket'!AC26),"")</f>
        <v/>
      </c>
      <c r="C78" s="90" t="str">
        <f>IFERROR(IF('Beginner Adv 15M - Bracket'!AD26="","",'Beginner Adv 15M - Bracket'!AD26),"")</f>
        <v/>
      </c>
      <c r="D78" s="90" t="str">
        <f>IFERROR(IF('Beginner Adv 15M - Bracket'!AE26="","",'Beginner Adv 15M - Bracket'!AE26),"")</f>
        <v/>
      </c>
      <c r="E78" s="90" t="str">
        <f>IFERROR(IF('Beginner Adv 15M - Bracket'!AF26="","",'Beginner Adv 15M - Bracket'!AF26),"")</f>
        <v/>
      </c>
      <c r="F78" s="90" t="str">
        <f>IFERROR(IF('Beginner Adv 15M - Bracket'!AG26="","",'Beginner Adv 15M - Bracket'!AG26),"")</f>
        <v/>
      </c>
      <c r="G78" s="90" t="str">
        <f>IFERROR(IF('Beginner Adv 15M - Bracket'!AH26="","",'Beginner Adv 15M - Bracket'!AH26),"")</f>
        <v/>
      </c>
      <c r="H78" s="32">
        <f>IFERROR(IF(ISNUMBER('Beginner Adv 15M - Bracket'!AI26),'Beginner Adv 15M - Bracket'!AI26,0),0)</f>
        <v>0</v>
      </c>
      <c r="I78" s="91" t="str">
        <f>IF(AND(ISNUMBER('Beginner Adv 15M - Bracket'!AI26),ISNUMBER('Beginner Adv 15M - Bracket'!AI28)),IF('Beginner Adv 15M - Bracket'!AI26&gt;'Beginner Adv 15M - Bracket'!AI28,"2-0",IF('Beginner Adv 15M - Bracket'!AI26='Beginner Adv 15M - Bracket'!AI28,"1-1","0-2")),"—")</f>
        <v>—</v>
      </c>
      <c r="J78" s="32">
        <f>IFERROR(IF(ISNUMBER('Beginner Adv 15M - Bracket'!AI28),'Beginner Adv 15M - Bracket'!AI28,0),0)</f>
        <v>0</v>
      </c>
      <c r="K78" s="90" t="str">
        <f>IFERROR(IF('Beginner Adv 15M - Bracket'!AH28="","",'Beginner Adv 15M - Bracket'!AH28),"")</f>
        <v/>
      </c>
      <c r="L78" s="90" t="str">
        <f>IFERROR(IF('Beginner Adv 15M - Bracket'!AG28="","",'Beginner Adv 15M - Bracket'!AG28),"")</f>
        <v/>
      </c>
      <c r="M78" s="90" t="str">
        <f>IFERROR(IF('Beginner Adv 15M - Bracket'!AF28="","",'Beginner Adv 15M - Bracket'!AF28),"")</f>
        <v/>
      </c>
      <c r="N78" s="90" t="str">
        <f>IFERROR(IF('Beginner Adv 15M - Bracket'!AE28="","",'Beginner Adv 15M - Bracket'!AE28),"")</f>
        <v/>
      </c>
      <c r="O78" s="90" t="str">
        <f>IFERROR(IF('Beginner Adv 15M - Bracket'!AD28="","",'Beginner Adv 15M - Bracket'!AD28),"")</f>
        <v/>
      </c>
      <c r="P78" s="90" t="str">
        <f>IFERROR(IF('Beginner Adv 15M - Bracket'!AC28="","",'Beginner Adv 15M - Bracket'!AC28),"")</f>
        <v/>
      </c>
      <c r="Q78" s="84" t="s">
        <v>227</v>
      </c>
    </row>
    <row r="79" spans="1:17" ht="21.75" customHeight="1" x14ac:dyDescent="0.35">
      <c r="A79" s="84" t="s">
        <v>228</v>
      </c>
      <c r="B79" s="90" t="str">
        <f>IFERROR(IF('Beginner Adv 15M - Bracket'!AJ26="","",'Beginner Adv 15M - Bracket'!AJ26),"")</f>
        <v/>
      </c>
      <c r="C79" s="90" t="str">
        <f>IFERROR(IF('Beginner Adv 15M - Bracket'!AK26="","",'Beginner Adv 15M - Bracket'!AK26),"")</f>
        <v/>
      </c>
      <c r="D79" s="90" t="str">
        <f>IFERROR(IF('Beginner Adv 15M - Bracket'!AL26="","",'Beginner Adv 15M - Bracket'!AL26),"")</f>
        <v/>
      </c>
      <c r="E79" s="90" t="str">
        <f>IFERROR(IF('Beginner Adv 15M - Bracket'!AM26="","",'Beginner Adv 15M - Bracket'!AM26),"")</f>
        <v/>
      </c>
      <c r="F79" s="90" t="str">
        <f>IFERROR(IF('Beginner Adv 15M - Bracket'!AN26="","",'Beginner Adv 15M - Bracket'!AN26),"")</f>
        <v/>
      </c>
      <c r="G79" s="90" t="str">
        <f>IFERROR(IF('Beginner Adv 15M - Bracket'!AO26="","",'Beginner Adv 15M - Bracket'!AO26),"")</f>
        <v/>
      </c>
      <c r="H79" s="32">
        <f>IFERROR(IF(ISNUMBER('Beginner Adv 15M - Bracket'!AP26),'Beginner Adv 15M - Bracket'!AP26,0),0)</f>
        <v>0</v>
      </c>
      <c r="I79" s="91" t="str">
        <f>IF(AND(ISNUMBER('Beginner Adv 15M - Bracket'!AP26),ISNUMBER('Beginner Adv 15M - Bracket'!AP28)),IF('Beginner Adv 15M - Bracket'!AP26&gt;'Beginner Adv 15M - Bracket'!AP28,"2-0",IF('Beginner Adv 15M - Bracket'!AP26='Beginner Adv 15M - Bracket'!AP28,"1-1","0-2")),"—")</f>
        <v>—</v>
      </c>
      <c r="J79" s="32">
        <f>IFERROR(IF(ISNUMBER('Beginner Adv 15M - Bracket'!AP28),'Beginner Adv 15M - Bracket'!AP28,0),0)</f>
        <v>0</v>
      </c>
      <c r="K79" s="90" t="str">
        <f>IFERROR(IF('Beginner Adv 15M - Bracket'!AO28="","",'Beginner Adv 15M - Bracket'!AO28),"")</f>
        <v/>
      </c>
      <c r="L79" s="90" t="str">
        <f>IFERROR(IF('Beginner Adv 15M - Bracket'!AN28="","",'Beginner Adv 15M - Bracket'!AN28),"")</f>
        <v/>
      </c>
      <c r="M79" s="90" t="str">
        <f>IFERROR(IF('Beginner Adv 15M - Bracket'!AM28="","",'Beginner Adv 15M - Bracket'!AM28),"")</f>
        <v/>
      </c>
      <c r="N79" s="90" t="str">
        <f>IFERROR(IF('Beginner Adv 15M - Bracket'!AL28="","",'Beginner Adv 15M - Bracket'!AL28),"")</f>
        <v/>
      </c>
      <c r="O79" s="90" t="str">
        <f>IFERROR(IF('Beginner Adv 15M - Bracket'!AK28="","",'Beginner Adv 15M - Bracket'!AK28),"")</f>
        <v/>
      </c>
      <c r="P79" s="90" t="str">
        <f>IFERROR(IF('Beginner Adv 15M - Bracket'!AJ28="","",'Beginner Adv 15M - Bracket'!AJ28),"")</f>
        <v/>
      </c>
      <c r="Q79" s="84" t="s">
        <v>228</v>
      </c>
    </row>
    <row r="80" spans="1:17" ht="21.75" customHeight="1" x14ac:dyDescent="0.35">
      <c r="A80" s="92" t="s">
        <v>237</v>
      </c>
      <c r="B80" s="93" t="str">
        <f>IFERROR(IF('Beginner Adv 15M - Bracket'!AQ26="","",'Beginner Adv 15M - Bracket'!AQ26),"")</f>
        <v/>
      </c>
      <c r="C80" s="93" t="str">
        <f>IFERROR(IF('Beginner Adv 15M - Bracket'!AR26="","",'Beginner Adv 15M - Bracket'!AR26),"")</f>
        <v/>
      </c>
      <c r="D80" s="93" t="str">
        <f>IFERROR(IF('Beginner Adv 15M - Bracket'!AS26="","",'Beginner Adv 15M - Bracket'!AS26),"")</f>
        <v/>
      </c>
      <c r="E80" s="93" t="str">
        <f>IFERROR(IF('Beginner Adv 15M - Bracket'!AT26="","",'Beginner Adv 15M - Bracket'!AT26),"")</f>
        <v/>
      </c>
      <c r="F80" s="93" t="str">
        <f>IFERROR(IF('Beginner Adv 15M - Bracket'!AU26="","",'Beginner Adv 15M - Bracket'!AU26),"")</f>
        <v/>
      </c>
      <c r="G80" s="93" t="str">
        <f>IFERROR(IF('Beginner Adv 15M - Bracket'!AV26="","",'Beginner Adv 15M - Bracket'!AV26),"")</f>
        <v/>
      </c>
      <c r="H80" s="32">
        <f>IFERROR(IF(ISNUMBER('Beginner Adv 15M - Bracket'!AW26),'Beginner Adv 15M - Bracket'!AW26,0),0)</f>
        <v>0</v>
      </c>
      <c r="I80" s="91" t="str">
        <f>IF(AND(ISNUMBER('Beginner Adv 15M - Bracket'!AW26),ISNUMBER('Beginner Adv 15M - Bracket'!AW28)),IF('Beginner Adv 15M - Bracket'!AW26&gt;'Beginner Adv 15M - Bracket'!AW28,"2-0",IF('Beginner Adv 15M - Bracket'!AW26='Beginner Adv 15M - Bracket'!AW28,"1-1","0-2")),"—")</f>
        <v>—</v>
      </c>
      <c r="J80" s="32">
        <f>IFERROR(IF(ISNUMBER('Beginner Adv 15M - Bracket'!AW28),'Beginner Adv 15M - Bracket'!AW28,0),0)</f>
        <v>0</v>
      </c>
      <c r="K80" s="93" t="str">
        <f>IFERROR(IF('Beginner Adv 15M - Bracket'!AV28="","",'Beginner Adv 15M - Bracket'!AV28),"")</f>
        <v/>
      </c>
      <c r="L80" s="93" t="str">
        <f>IFERROR(IF('Beginner Adv 15M - Bracket'!AU28="","",'Beginner Adv 15M - Bracket'!AU28),"")</f>
        <v/>
      </c>
      <c r="M80" s="93" t="str">
        <f>IFERROR(IF('Beginner Adv 15M - Bracket'!AT28="","",'Beginner Adv 15M - Bracket'!AT28),"")</f>
        <v/>
      </c>
      <c r="N80" s="93" t="str">
        <f>IFERROR(IF('Beginner Adv 15M - Bracket'!AS28="","",'Beginner Adv 15M - Bracket'!AS28),"")</f>
        <v/>
      </c>
      <c r="O80" s="93" t="str">
        <f>IFERROR(IF('Beginner Adv 15M - Bracket'!AR28="","",'Beginner Adv 15M - Bracket'!AR28),"")</f>
        <v/>
      </c>
      <c r="P80" s="93" t="str">
        <f>IFERROR(IF('Beginner Adv 15M - Bracket'!AQ28="","",'Beginner Adv 15M - Bracket'!AQ28),"")</f>
        <v/>
      </c>
      <c r="Q80" s="92" t="s">
        <v>237</v>
      </c>
    </row>
    <row r="81" spans="1:17" ht="4.5" customHeight="1" x14ac:dyDescent="0.35"/>
    <row r="82" spans="1:17" ht="31.5" customHeight="1" x14ac:dyDescent="0.35">
      <c r="A82" s="130">
        <f>IFERROR(IF(ISNUMBER('Beginner Adv 15M - Bracket'!AX26),'Beginner Adv 15M - Bracket'!AX26,0),0)</f>
        <v>0</v>
      </c>
      <c r="B82" s="130"/>
      <c r="C82" s="130"/>
      <c r="D82" s="130"/>
      <c r="E82" s="130"/>
      <c r="F82" s="130"/>
      <c r="G82" s="130"/>
      <c r="H82" s="94" t="str">
        <f>IFERROR('Beginner Adv 15M - Bracket'!BA26,"")</f>
        <v>&gt;&gt; Advance</v>
      </c>
      <c r="I82" s="86"/>
      <c r="J82" s="94" t="str">
        <f>IFERROR('Beginner Adv 15M - Bracket'!BA28,"")</f>
        <v>&gt;&gt; Advance</v>
      </c>
      <c r="K82" s="130">
        <f>IFERROR(IF(ISNUMBER('Beginner Adv 15M - Bracket'!AX28),'Beginner Adv 15M - Bracket'!AX28,0),0)</f>
        <v>0</v>
      </c>
      <c r="L82" s="130"/>
      <c r="M82" s="130"/>
      <c r="N82" s="130"/>
      <c r="O82" s="130"/>
      <c r="P82" s="130"/>
      <c r="Q82" s="130"/>
    </row>
    <row r="83" spans="1:17" ht="21.75" customHeight="1" x14ac:dyDescent="0.35">
      <c r="A83" s="130"/>
      <c r="B83" s="130"/>
      <c r="C83" s="130"/>
      <c r="D83" s="130"/>
      <c r="E83" s="130"/>
      <c r="F83" s="130"/>
      <c r="G83" s="130"/>
      <c r="K83" s="130"/>
      <c r="L83" s="130"/>
      <c r="M83" s="130"/>
      <c r="N83" s="130"/>
      <c r="O83" s="130"/>
      <c r="P83" s="130"/>
      <c r="Q83" s="130"/>
    </row>
    <row r="84" spans="1:17" ht="4.5" customHeight="1" x14ac:dyDescent="0.35"/>
    <row r="85" spans="1:17" ht="12" customHeight="1" x14ac:dyDescent="0.35">
      <c r="A85" s="126"/>
      <c r="B85" s="126"/>
      <c r="C85" s="126"/>
      <c r="D85" s="126"/>
      <c r="E85" s="126"/>
      <c r="F85" s="126"/>
      <c r="G85" s="126"/>
      <c r="H85" s="126"/>
      <c r="I85" s="126"/>
      <c r="J85" s="126"/>
      <c r="K85" s="126"/>
      <c r="L85" s="126"/>
      <c r="M85" s="126"/>
      <c r="N85" s="126"/>
      <c r="O85" s="126"/>
      <c r="P85" s="126"/>
      <c r="Q85" s="126"/>
    </row>
    <row r="86" spans="1:17" ht="7.5" customHeight="1" x14ac:dyDescent="0.35"/>
    <row r="87" spans="1:17" ht="19.5" customHeight="1" x14ac:dyDescent="0.35">
      <c r="A87" s="127" t="s">
        <v>242</v>
      </c>
      <c r="B87" s="127"/>
      <c r="C87" s="127"/>
      <c r="D87" s="127"/>
      <c r="E87" s="127"/>
      <c r="F87" s="127"/>
      <c r="G87" s="127"/>
      <c r="H87" s="127"/>
      <c r="I87" s="127"/>
      <c r="J87" s="127"/>
      <c r="K87" s="127"/>
      <c r="L87" s="127"/>
      <c r="M87" s="127"/>
      <c r="N87" s="127"/>
      <c r="O87" s="127"/>
      <c r="P87" s="127"/>
      <c r="Q87" s="127"/>
    </row>
    <row r="88" spans="1:17" ht="4.5" customHeight="1" x14ac:dyDescent="0.35"/>
    <row r="89" spans="1:17" ht="21.75" customHeight="1" x14ac:dyDescent="0.35">
      <c r="A89" s="84" t="s">
        <v>232</v>
      </c>
      <c r="B89" s="128" t="str">
        <f>IFERROR(IF('Beginner Adv 15M - Bracket'!B31="","TBD",'Beginner Adv 15M - Bracket'!B31),"TBD")</f>
        <v>TBD</v>
      </c>
      <c r="C89" s="128"/>
      <c r="D89" s="128"/>
      <c r="E89" s="128"/>
      <c r="F89" s="128"/>
      <c r="G89" s="128"/>
      <c r="H89" s="128"/>
      <c r="I89" s="84" t="s">
        <v>233</v>
      </c>
      <c r="J89" s="128" t="str">
        <f>IFERROR(IF('Beginner Adv 15M - Bracket'!B33="","TBD",'Beginner Adv 15M - Bracket'!B33),"TBD")</f>
        <v>TBD</v>
      </c>
      <c r="K89" s="128"/>
      <c r="L89" s="128"/>
      <c r="M89" s="128"/>
      <c r="N89" s="128"/>
      <c r="O89" s="128"/>
      <c r="P89" s="128"/>
      <c r="Q89" s="84" t="s">
        <v>232</v>
      </c>
    </row>
    <row r="90" spans="1:17" ht="13.5" customHeight="1" x14ac:dyDescent="0.35">
      <c r="A90" s="85" t="s">
        <v>234</v>
      </c>
      <c r="B90" s="129" t="str">
        <f>IFERROR('Beginner Adv 15M - Bracket'!A31,"")</f>
        <v>BYE</v>
      </c>
      <c r="C90" s="129"/>
      <c r="D90" s="129"/>
      <c r="E90" s="129"/>
      <c r="F90" s="129"/>
      <c r="G90" s="129"/>
      <c r="H90" s="129"/>
      <c r="I90" s="86"/>
      <c r="J90" s="129" t="str">
        <f>IFERROR('Beginner Adv 15M - Bracket'!A33,"")</f>
        <v>BYE</v>
      </c>
      <c r="K90" s="129"/>
      <c r="L90" s="129"/>
      <c r="M90" s="129"/>
      <c r="N90" s="129"/>
      <c r="O90" s="129"/>
      <c r="P90" s="129"/>
      <c r="Q90" s="85" t="s">
        <v>234</v>
      </c>
    </row>
    <row r="91" spans="1:17" ht="19.5" customHeight="1" x14ac:dyDescent="0.35">
      <c r="A91" s="87" t="s">
        <v>235</v>
      </c>
      <c r="B91" s="88" t="s">
        <v>83</v>
      </c>
      <c r="C91" s="88" t="s">
        <v>84</v>
      </c>
      <c r="D91" s="88" t="s">
        <v>85</v>
      </c>
      <c r="E91" s="88" t="s">
        <v>86</v>
      </c>
      <c r="F91" s="88" t="s">
        <v>87</v>
      </c>
      <c r="G91" s="88" t="s">
        <v>88</v>
      </c>
      <c r="H91" s="24" t="s">
        <v>236</v>
      </c>
      <c r="I91" s="89"/>
      <c r="J91" s="24" t="s">
        <v>236</v>
      </c>
      <c r="K91" s="88" t="s">
        <v>88</v>
      </c>
      <c r="L91" s="88" t="s">
        <v>87</v>
      </c>
      <c r="M91" s="88" t="s">
        <v>86</v>
      </c>
      <c r="N91" s="88" t="s">
        <v>85</v>
      </c>
      <c r="O91" s="88" t="s">
        <v>84</v>
      </c>
      <c r="P91" s="88" t="s">
        <v>83</v>
      </c>
      <c r="Q91" s="87" t="s">
        <v>235</v>
      </c>
    </row>
    <row r="92" spans="1:17" ht="21.75" customHeight="1" x14ac:dyDescent="0.35">
      <c r="A92" s="84" t="s">
        <v>222</v>
      </c>
      <c r="B92" s="90" t="str">
        <f>IFERROR(IF('Beginner Adv 15M - Bracket'!H31="","",'Beginner Adv 15M - Bracket'!H31),"")</f>
        <v/>
      </c>
      <c r="C92" s="90" t="str">
        <f>IFERROR(IF('Beginner Adv 15M - Bracket'!I31="","",'Beginner Adv 15M - Bracket'!I31),"")</f>
        <v/>
      </c>
      <c r="D92" s="90" t="str">
        <f>IFERROR(IF('Beginner Adv 15M - Bracket'!J31="","",'Beginner Adv 15M - Bracket'!J31),"")</f>
        <v/>
      </c>
      <c r="E92" s="90" t="str">
        <f>IFERROR(IF('Beginner Adv 15M - Bracket'!K31="","",'Beginner Adv 15M - Bracket'!K31),"")</f>
        <v/>
      </c>
      <c r="F92" s="90" t="str">
        <f>IFERROR(IF('Beginner Adv 15M - Bracket'!L31="","",'Beginner Adv 15M - Bracket'!L31),"")</f>
        <v/>
      </c>
      <c r="G92" s="90" t="str">
        <f>IFERROR(IF('Beginner Adv 15M - Bracket'!M31="","",'Beginner Adv 15M - Bracket'!M31),"")</f>
        <v/>
      </c>
      <c r="H92" s="32">
        <f>IFERROR(IF(ISNUMBER('Beginner Adv 15M - Bracket'!N31),'Beginner Adv 15M - Bracket'!N31,0),0)</f>
        <v>0</v>
      </c>
      <c r="I92" s="91" t="str">
        <f>IF(AND(ISNUMBER('Beginner Adv 15M - Bracket'!N31),ISNUMBER('Beginner Adv 15M - Bracket'!N33)),IF('Beginner Adv 15M - Bracket'!N31&gt;'Beginner Adv 15M - Bracket'!N33,"2-0",IF('Beginner Adv 15M - Bracket'!N31='Beginner Adv 15M - Bracket'!N33,"1-1","0-2")),"—")</f>
        <v>—</v>
      </c>
      <c r="J92" s="32">
        <f>IFERROR(IF(ISNUMBER('Beginner Adv 15M - Bracket'!N33),'Beginner Adv 15M - Bracket'!N33,0),0)</f>
        <v>0</v>
      </c>
      <c r="K92" s="90" t="str">
        <f>IFERROR(IF('Beginner Adv 15M - Bracket'!M33="","",'Beginner Adv 15M - Bracket'!M33),"")</f>
        <v/>
      </c>
      <c r="L92" s="90" t="str">
        <f>IFERROR(IF('Beginner Adv 15M - Bracket'!L33="","",'Beginner Adv 15M - Bracket'!L33),"")</f>
        <v/>
      </c>
      <c r="M92" s="90" t="str">
        <f>IFERROR(IF('Beginner Adv 15M - Bracket'!K33="","",'Beginner Adv 15M - Bracket'!K33),"")</f>
        <v/>
      </c>
      <c r="N92" s="90" t="str">
        <f>IFERROR(IF('Beginner Adv 15M - Bracket'!J33="","",'Beginner Adv 15M - Bracket'!J33),"")</f>
        <v/>
      </c>
      <c r="O92" s="90" t="str">
        <f>IFERROR(IF('Beginner Adv 15M - Bracket'!I33="","",'Beginner Adv 15M - Bracket'!I33),"")</f>
        <v/>
      </c>
      <c r="P92" s="90" t="str">
        <f>IFERROR(IF('Beginner Adv 15M - Bracket'!H33="","",'Beginner Adv 15M - Bracket'!H33),"")</f>
        <v/>
      </c>
      <c r="Q92" s="84" t="s">
        <v>222</v>
      </c>
    </row>
    <row r="93" spans="1:17" ht="21.75" customHeight="1" x14ac:dyDescent="0.35">
      <c r="A93" s="84" t="s">
        <v>223</v>
      </c>
      <c r="B93" s="90" t="str">
        <f>IFERROR(IF('Beginner Adv 15M - Bracket'!O31="","",'Beginner Adv 15M - Bracket'!O31),"")</f>
        <v/>
      </c>
      <c r="C93" s="90" t="str">
        <f>IFERROR(IF('Beginner Adv 15M - Bracket'!P31="","",'Beginner Adv 15M - Bracket'!P31),"")</f>
        <v/>
      </c>
      <c r="D93" s="90" t="str">
        <f>IFERROR(IF('Beginner Adv 15M - Bracket'!Q31="","",'Beginner Adv 15M - Bracket'!Q31),"")</f>
        <v/>
      </c>
      <c r="E93" s="90" t="str">
        <f>IFERROR(IF('Beginner Adv 15M - Bracket'!R31="","",'Beginner Adv 15M - Bracket'!R31),"")</f>
        <v/>
      </c>
      <c r="F93" s="90" t="str">
        <f>IFERROR(IF('Beginner Adv 15M - Bracket'!S31="","",'Beginner Adv 15M - Bracket'!S31),"")</f>
        <v/>
      </c>
      <c r="G93" s="90" t="str">
        <f>IFERROR(IF('Beginner Adv 15M - Bracket'!T31="","",'Beginner Adv 15M - Bracket'!T31),"")</f>
        <v/>
      </c>
      <c r="H93" s="32">
        <f>IFERROR(IF(ISNUMBER('Beginner Adv 15M - Bracket'!U31),'Beginner Adv 15M - Bracket'!U31,0),0)</f>
        <v>0</v>
      </c>
      <c r="I93" s="91" t="str">
        <f>IF(AND(ISNUMBER('Beginner Adv 15M - Bracket'!U31),ISNUMBER('Beginner Adv 15M - Bracket'!U33)),IF('Beginner Adv 15M - Bracket'!U31&gt;'Beginner Adv 15M - Bracket'!U33,"2-0",IF('Beginner Adv 15M - Bracket'!U31='Beginner Adv 15M - Bracket'!U33,"1-1","0-2")),"—")</f>
        <v>—</v>
      </c>
      <c r="J93" s="32">
        <f>IFERROR(IF(ISNUMBER('Beginner Adv 15M - Bracket'!U33),'Beginner Adv 15M - Bracket'!U33,0),0)</f>
        <v>0</v>
      </c>
      <c r="K93" s="90" t="str">
        <f>IFERROR(IF('Beginner Adv 15M - Bracket'!T33="","",'Beginner Adv 15M - Bracket'!T33),"")</f>
        <v/>
      </c>
      <c r="L93" s="90" t="str">
        <f>IFERROR(IF('Beginner Adv 15M - Bracket'!S33="","",'Beginner Adv 15M - Bracket'!S33),"")</f>
        <v/>
      </c>
      <c r="M93" s="90" t="str">
        <f>IFERROR(IF('Beginner Adv 15M - Bracket'!R33="","",'Beginner Adv 15M - Bracket'!R33),"")</f>
        <v/>
      </c>
      <c r="N93" s="90" t="str">
        <f>IFERROR(IF('Beginner Adv 15M - Bracket'!Q33="","",'Beginner Adv 15M - Bracket'!Q33),"")</f>
        <v/>
      </c>
      <c r="O93" s="90" t="str">
        <f>IFERROR(IF('Beginner Adv 15M - Bracket'!P33="","",'Beginner Adv 15M - Bracket'!P33),"")</f>
        <v/>
      </c>
      <c r="P93" s="90" t="str">
        <f>IFERROR(IF('Beginner Adv 15M - Bracket'!O33="","",'Beginner Adv 15M - Bracket'!O33),"")</f>
        <v/>
      </c>
      <c r="Q93" s="84" t="s">
        <v>223</v>
      </c>
    </row>
    <row r="94" spans="1:17" ht="21.75" customHeight="1" x14ac:dyDescent="0.35">
      <c r="A94" s="84" t="s">
        <v>224</v>
      </c>
      <c r="B94" s="90" t="str">
        <f>IFERROR(IF('Beginner Adv 15M - Bracket'!V31="","",'Beginner Adv 15M - Bracket'!V31),"")</f>
        <v/>
      </c>
      <c r="C94" s="90" t="str">
        <f>IFERROR(IF('Beginner Adv 15M - Bracket'!W31="","",'Beginner Adv 15M - Bracket'!W31),"")</f>
        <v/>
      </c>
      <c r="D94" s="90" t="str">
        <f>IFERROR(IF('Beginner Adv 15M - Bracket'!X31="","",'Beginner Adv 15M - Bracket'!X31),"")</f>
        <v/>
      </c>
      <c r="E94" s="90" t="str">
        <f>IFERROR(IF('Beginner Adv 15M - Bracket'!Y31="","",'Beginner Adv 15M - Bracket'!Y31),"")</f>
        <v/>
      </c>
      <c r="F94" s="90" t="str">
        <f>IFERROR(IF('Beginner Adv 15M - Bracket'!Z31="","",'Beginner Adv 15M - Bracket'!Z31),"")</f>
        <v/>
      </c>
      <c r="G94" s="90" t="str">
        <f>IFERROR(IF('Beginner Adv 15M - Bracket'!AA31="","",'Beginner Adv 15M - Bracket'!AA31),"")</f>
        <v/>
      </c>
      <c r="H94" s="32">
        <f>IFERROR(IF(ISNUMBER('Beginner Adv 15M - Bracket'!AB31),'Beginner Adv 15M - Bracket'!AB31,0),0)</f>
        <v>0</v>
      </c>
      <c r="I94" s="91" t="str">
        <f>IF(AND(ISNUMBER('Beginner Adv 15M - Bracket'!AB31),ISNUMBER('Beginner Adv 15M - Bracket'!AB33)),IF('Beginner Adv 15M - Bracket'!AB31&gt;'Beginner Adv 15M - Bracket'!AB33,"2-0",IF('Beginner Adv 15M - Bracket'!AB31='Beginner Adv 15M - Bracket'!AB33,"1-1","0-2")),"—")</f>
        <v>—</v>
      </c>
      <c r="J94" s="32">
        <f>IFERROR(IF(ISNUMBER('Beginner Adv 15M - Bracket'!AB33),'Beginner Adv 15M - Bracket'!AB33,0),0)</f>
        <v>0</v>
      </c>
      <c r="K94" s="90" t="str">
        <f>IFERROR(IF('Beginner Adv 15M - Bracket'!AA33="","",'Beginner Adv 15M - Bracket'!AA33),"")</f>
        <v/>
      </c>
      <c r="L94" s="90" t="str">
        <f>IFERROR(IF('Beginner Adv 15M - Bracket'!Z33="","",'Beginner Adv 15M - Bracket'!Z33),"")</f>
        <v/>
      </c>
      <c r="M94" s="90" t="str">
        <f>IFERROR(IF('Beginner Adv 15M - Bracket'!Y33="","",'Beginner Adv 15M - Bracket'!Y33),"")</f>
        <v/>
      </c>
      <c r="N94" s="90" t="str">
        <f>IFERROR(IF('Beginner Adv 15M - Bracket'!X33="","",'Beginner Adv 15M - Bracket'!X33),"")</f>
        <v/>
      </c>
      <c r="O94" s="90" t="str">
        <f>IFERROR(IF('Beginner Adv 15M - Bracket'!W33="","",'Beginner Adv 15M - Bracket'!W33),"")</f>
        <v/>
      </c>
      <c r="P94" s="90" t="str">
        <f>IFERROR(IF('Beginner Adv 15M - Bracket'!V33="","",'Beginner Adv 15M - Bracket'!V33),"")</f>
        <v/>
      </c>
      <c r="Q94" s="84" t="s">
        <v>224</v>
      </c>
    </row>
    <row r="95" spans="1:17" ht="21.75" customHeight="1" x14ac:dyDescent="0.35">
      <c r="A95" s="84" t="s">
        <v>227</v>
      </c>
      <c r="B95" s="90" t="str">
        <f>IFERROR(IF('Beginner Adv 15M - Bracket'!AC31="","",'Beginner Adv 15M - Bracket'!AC31),"")</f>
        <v/>
      </c>
      <c r="C95" s="90" t="str">
        <f>IFERROR(IF('Beginner Adv 15M - Bracket'!AD31="","",'Beginner Adv 15M - Bracket'!AD31),"")</f>
        <v/>
      </c>
      <c r="D95" s="90" t="str">
        <f>IFERROR(IF('Beginner Adv 15M - Bracket'!AE31="","",'Beginner Adv 15M - Bracket'!AE31),"")</f>
        <v/>
      </c>
      <c r="E95" s="90" t="str">
        <f>IFERROR(IF('Beginner Adv 15M - Bracket'!AF31="","",'Beginner Adv 15M - Bracket'!AF31),"")</f>
        <v/>
      </c>
      <c r="F95" s="90" t="str">
        <f>IFERROR(IF('Beginner Adv 15M - Bracket'!AG31="","",'Beginner Adv 15M - Bracket'!AG31),"")</f>
        <v/>
      </c>
      <c r="G95" s="90" t="str">
        <f>IFERROR(IF('Beginner Adv 15M - Bracket'!AH31="","",'Beginner Adv 15M - Bracket'!AH31),"")</f>
        <v/>
      </c>
      <c r="H95" s="32">
        <f>IFERROR(IF(ISNUMBER('Beginner Adv 15M - Bracket'!AI31),'Beginner Adv 15M - Bracket'!AI31,0),0)</f>
        <v>0</v>
      </c>
      <c r="I95" s="91" t="str">
        <f>IF(AND(ISNUMBER('Beginner Adv 15M - Bracket'!AI31),ISNUMBER('Beginner Adv 15M - Bracket'!AI33)),IF('Beginner Adv 15M - Bracket'!AI31&gt;'Beginner Adv 15M - Bracket'!AI33,"2-0",IF('Beginner Adv 15M - Bracket'!AI31='Beginner Adv 15M - Bracket'!AI33,"1-1","0-2")),"—")</f>
        <v>—</v>
      </c>
      <c r="J95" s="32">
        <f>IFERROR(IF(ISNUMBER('Beginner Adv 15M - Bracket'!AI33),'Beginner Adv 15M - Bracket'!AI33,0),0)</f>
        <v>0</v>
      </c>
      <c r="K95" s="90" t="str">
        <f>IFERROR(IF('Beginner Adv 15M - Bracket'!AH33="","",'Beginner Adv 15M - Bracket'!AH33),"")</f>
        <v/>
      </c>
      <c r="L95" s="90" t="str">
        <f>IFERROR(IF('Beginner Adv 15M - Bracket'!AG33="","",'Beginner Adv 15M - Bracket'!AG33),"")</f>
        <v/>
      </c>
      <c r="M95" s="90" t="str">
        <f>IFERROR(IF('Beginner Adv 15M - Bracket'!AF33="","",'Beginner Adv 15M - Bracket'!AF33),"")</f>
        <v/>
      </c>
      <c r="N95" s="90" t="str">
        <f>IFERROR(IF('Beginner Adv 15M - Bracket'!AE33="","",'Beginner Adv 15M - Bracket'!AE33),"")</f>
        <v/>
      </c>
      <c r="O95" s="90" t="str">
        <f>IFERROR(IF('Beginner Adv 15M - Bracket'!AD33="","",'Beginner Adv 15M - Bracket'!AD33),"")</f>
        <v/>
      </c>
      <c r="P95" s="90" t="str">
        <f>IFERROR(IF('Beginner Adv 15M - Bracket'!AC33="","",'Beginner Adv 15M - Bracket'!AC33),"")</f>
        <v/>
      </c>
      <c r="Q95" s="84" t="s">
        <v>227</v>
      </c>
    </row>
    <row r="96" spans="1:17" ht="21.75" customHeight="1" x14ac:dyDescent="0.35">
      <c r="A96" s="84" t="s">
        <v>228</v>
      </c>
      <c r="B96" s="90" t="str">
        <f>IFERROR(IF('Beginner Adv 15M - Bracket'!AJ31="","",'Beginner Adv 15M - Bracket'!AJ31),"")</f>
        <v/>
      </c>
      <c r="C96" s="90" t="str">
        <f>IFERROR(IF('Beginner Adv 15M - Bracket'!AK31="","",'Beginner Adv 15M - Bracket'!AK31),"")</f>
        <v/>
      </c>
      <c r="D96" s="90" t="str">
        <f>IFERROR(IF('Beginner Adv 15M - Bracket'!AL31="","",'Beginner Adv 15M - Bracket'!AL31),"")</f>
        <v/>
      </c>
      <c r="E96" s="90" t="str">
        <f>IFERROR(IF('Beginner Adv 15M - Bracket'!AM31="","",'Beginner Adv 15M - Bracket'!AM31),"")</f>
        <v/>
      </c>
      <c r="F96" s="90" t="str">
        <f>IFERROR(IF('Beginner Adv 15M - Bracket'!AN31="","",'Beginner Adv 15M - Bracket'!AN31),"")</f>
        <v/>
      </c>
      <c r="G96" s="90" t="str">
        <f>IFERROR(IF('Beginner Adv 15M - Bracket'!AO31="","",'Beginner Adv 15M - Bracket'!AO31),"")</f>
        <v/>
      </c>
      <c r="H96" s="32">
        <f>IFERROR(IF(ISNUMBER('Beginner Adv 15M - Bracket'!AP31),'Beginner Adv 15M - Bracket'!AP31,0),0)</f>
        <v>0</v>
      </c>
      <c r="I96" s="91" t="str">
        <f>IF(AND(ISNUMBER('Beginner Adv 15M - Bracket'!AP31),ISNUMBER('Beginner Adv 15M - Bracket'!AP33)),IF('Beginner Adv 15M - Bracket'!AP31&gt;'Beginner Adv 15M - Bracket'!AP33,"2-0",IF('Beginner Adv 15M - Bracket'!AP31='Beginner Adv 15M - Bracket'!AP33,"1-1","0-2")),"—")</f>
        <v>—</v>
      </c>
      <c r="J96" s="32">
        <f>IFERROR(IF(ISNUMBER('Beginner Adv 15M - Bracket'!AP33),'Beginner Adv 15M - Bracket'!AP33,0),0)</f>
        <v>0</v>
      </c>
      <c r="K96" s="90" t="str">
        <f>IFERROR(IF('Beginner Adv 15M - Bracket'!AO33="","",'Beginner Adv 15M - Bracket'!AO33),"")</f>
        <v/>
      </c>
      <c r="L96" s="90" t="str">
        <f>IFERROR(IF('Beginner Adv 15M - Bracket'!AN33="","",'Beginner Adv 15M - Bracket'!AN33),"")</f>
        <v/>
      </c>
      <c r="M96" s="90" t="str">
        <f>IFERROR(IF('Beginner Adv 15M - Bracket'!AM33="","",'Beginner Adv 15M - Bracket'!AM33),"")</f>
        <v/>
      </c>
      <c r="N96" s="90" t="str">
        <f>IFERROR(IF('Beginner Adv 15M - Bracket'!AL33="","",'Beginner Adv 15M - Bracket'!AL33),"")</f>
        <v/>
      </c>
      <c r="O96" s="90" t="str">
        <f>IFERROR(IF('Beginner Adv 15M - Bracket'!AK33="","",'Beginner Adv 15M - Bracket'!AK33),"")</f>
        <v/>
      </c>
      <c r="P96" s="90" t="str">
        <f>IFERROR(IF('Beginner Adv 15M - Bracket'!AJ33="","",'Beginner Adv 15M - Bracket'!AJ33),"")</f>
        <v/>
      </c>
      <c r="Q96" s="84" t="s">
        <v>228</v>
      </c>
    </row>
    <row r="97" spans="1:17" ht="21.75" customHeight="1" x14ac:dyDescent="0.35">
      <c r="A97" s="92" t="s">
        <v>237</v>
      </c>
      <c r="B97" s="93" t="str">
        <f>IFERROR(IF('Beginner Adv 15M - Bracket'!AQ31="","",'Beginner Adv 15M - Bracket'!AQ31),"")</f>
        <v/>
      </c>
      <c r="C97" s="93" t="str">
        <f>IFERROR(IF('Beginner Adv 15M - Bracket'!AR31="","",'Beginner Adv 15M - Bracket'!AR31),"")</f>
        <v/>
      </c>
      <c r="D97" s="93" t="str">
        <f>IFERROR(IF('Beginner Adv 15M - Bracket'!AS31="","",'Beginner Adv 15M - Bracket'!AS31),"")</f>
        <v/>
      </c>
      <c r="E97" s="93" t="str">
        <f>IFERROR(IF('Beginner Adv 15M - Bracket'!AT31="","",'Beginner Adv 15M - Bracket'!AT31),"")</f>
        <v/>
      </c>
      <c r="F97" s="93" t="str">
        <f>IFERROR(IF('Beginner Adv 15M - Bracket'!AU31="","",'Beginner Adv 15M - Bracket'!AU31),"")</f>
        <v/>
      </c>
      <c r="G97" s="93" t="str">
        <f>IFERROR(IF('Beginner Adv 15M - Bracket'!AV31="","",'Beginner Adv 15M - Bracket'!AV31),"")</f>
        <v/>
      </c>
      <c r="H97" s="32">
        <f>IFERROR(IF(ISNUMBER('Beginner Adv 15M - Bracket'!AW31),'Beginner Adv 15M - Bracket'!AW31,0),0)</f>
        <v>0</v>
      </c>
      <c r="I97" s="91" t="str">
        <f>IF(AND(ISNUMBER('Beginner Adv 15M - Bracket'!AW31),ISNUMBER('Beginner Adv 15M - Bracket'!AW33)),IF('Beginner Adv 15M - Bracket'!AW31&gt;'Beginner Adv 15M - Bracket'!AW33,"2-0",IF('Beginner Adv 15M - Bracket'!AW31='Beginner Adv 15M - Bracket'!AW33,"1-1","0-2")),"—")</f>
        <v>—</v>
      </c>
      <c r="J97" s="32">
        <f>IFERROR(IF(ISNUMBER('Beginner Adv 15M - Bracket'!AW33),'Beginner Adv 15M - Bracket'!AW33,0),0)</f>
        <v>0</v>
      </c>
      <c r="K97" s="93" t="str">
        <f>IFERROR(IF('Beginner Adv 15M - Bracket'!AV33="","",'Beginner Adv 15M - Bracket'!AV33),"")</f>
        <v/>
      </c>
      <c r="L97" s="93" t="str">
        <f>IFERROR(IF('Beginner Adv 15M - Bracket'!AU33="","",'Beginner Adv 15M - Bracket'!AU33),"")</f>
        <v/>
      </c>
      <c r="M97" s="93" t="str">
        <f>IFERROR(IF('Beginner Adv 15M - Bracket'!AT33="","",'Beginner Adv 15M - Bracket'!AT33),"")</f>
        <v/>
      </c>
      <c r="N97" s="93" t="str">
        <f>IFERROR(IF('Beginner Adv 15M - Bracket'!AS33="","",'Beginner Adv 15M - Bracket'!AS33),"")</f>
        <v/>
      </c>
      <c r="O97" s="93" t="str">
        <f>IFERROR(IF('Beginner Adv 15M - Bracket'!AR33="","",'Beginner Adv 15M - Bracket'!AR33),"")</f>
        <v/>
      </c>
      <c r="P97" s="93" t="str">
        <f>IFERROR(IF('Beginner Adv 15M - Bracket'!AQ33="","",'Beginner Adv 15M - Bracket'!AQ33),"")</f>
        <v/>
      </c>
      <c r="Q97" s="92" t="s">
        <v>237</v>
      </c>
    </row>
    <row r="98" spans="1:17" ht="4.5" customHeight="1" x14ac:dyDescent="0.35"/>
    <row r="99" spans="1:17" ht="31.5" customHeight="1" x14ac:dyDescent="0.35">
      <c r="A99" s="130">
        <f>IFERROR(IF(ISNUMBER('Beginner Adv 15M - Bracket'!AX31),'Beginner Adv 15M - Bracket'!AX31,0),0)</f>
        <v>0</v>
      </c>
      <c r="B99" s="130"/>
      <c r="C99" s="130"/>
      <c r="D99" s="130"/>
      <c r="E99" s="130"/>
      <c r="F99" s="130"/>
      <c r="G99" s="130"/>
      <c r="H99" s="94" t="str">
        <f>IFERROR('Beginner Adv 15M - Bracket'!BA31,"")</f>
        <v>&gt;&gt; Advance</v>
      </c>
      <c r="I99" s="86"/>
      <c r="J99" s="94" t="str">
        <f>IFERROR('Beginner Adv 15M - Bracket'!BA33,"")</f>
        <v>&gt;&gt; Advance</v>
      </c>
      <c r="K99" s="130">
        <f>IFERROR(IF(ISNUMBER('Beginner Adv 15M - Bracket'!AX33),'Beginner Adv 15M - Bracket'!AX33,0),0)</f>
        <v>0</v>
      </c>
      <c r="L99" s="130"/>
      <c r="M99" s="130"/>
      <c r="N99" s="130"/>
      <c r="O99" s="130"/>
      <c r="P99" s="130"/>
      <c r="Q99" s="130"/>
    </row>
    <row r="100" spans="1:17" ht="21.75" customHeight="1" x14ac:dyDescent="0.35">
      <c r="A100" s="130"/>
      <c r="B100" s="130"/>
      <c r="C100" s="130"/>
      <c r="D100" s="130"/>
      <c r="E100" s="130"/>
      <c r="F100" s="130"/>
      <c r="G100" s="130"/>
      <c r="K100" s="130"/>
      <c r="L100" s="130"/>
      <c r="M100" s="130"/>
      <c r="N100" s="130"/>
      <c r="O100" s="130"/>
      <c r="P100" s="130"/>
      <c r="Q100" s="130"/>
    </row>
    <row r="101" spans="1:17" ht="4.5" customHeight="1" x14ac:dyDescent="0.35"/>
    <row r="102" spans="1:17" ht="12" customHeight="1" x14ac:dyDescent="0.35">
      <c r="A102" s="126"/>
      <c r="B102" s="126"/>
      <c r="C102" s="126"/>
      <c r="D102" s="126"/>
      <c r="E102" s="126"/>
      <c r="F102" s="126"/>
      <c r="G102" s="126"/>
      <c r="H102" s="126"/>
      <c r="I102" s="126"/>
      <c r="J102" s="126"/>
      <c r="K102" s="126"/>
      <c r="L102" s="126"/>
      <c r="M102" s="126"/>
      <c r="N102" s="126"/>
      <c r="O102" s="126"/>
      <c r="P102" s="126"/>
      <c r="Q102" s="126"/>
    </row>
    <row r="103" spans="1:17" ht="7.5" customHeight="1" x14ac:dyDescent="0.35"/>
    <row r="104" spans="1:17" ht="19.5" customHeight="1" x14ac:dyDescent="0.35">
      <c r="A104" s="127" t="s">
        <v>243</v>
      </c>
      <c r="B104" s="127"/>
      <c r="C104" s="127"/>
      <c r="D104" s="127"/>
      <c r="E104" s="127"/>
      <c r="F104" s="127"/>
      <c r="G104" s="127"/>
      <c r="H104" s="127"/>
      <c r="I104" s="127"/>
      <c r="J104" s="127"/>
      <c r="K104" s="127"/>
      <c r="L104" s="127"/>
      <c r="M104" s="127"/>
      <c r="N104" s="127"/>
      <c r="O104" s="127"/>
      <c r="P104" s="127"/>
      <c r="Q104" s="127"/>
    </row>
    <row r="105" spans="1:17" ht="4.5" customHeight="1" x14ac:dyDescent="0.35"/>
    <row r="106" spans="1:17" ht="21.75" customHeight="1" x14ac:dyDescent="0.35">
      <c r="A106" s="84" t="s">
        <v>232</v>
      </c>
      <c r="B106" s="128" t="str">
        <f>IFERROR(IF('Beginner Adv 15M - Bracket'!B36="","TBD",'Beginner Adv 15M - Bracket'!B36),"TBD")</f>
        <v>TBD</v>
      </c>
      <c r="C106" s="128"/>
      <c r="D106" s="128"/>
      <c r="E106" s="128"/>
      <c r="F106" s="128"/>
      <c r="G106" s="128"/>
      <c r="H106" s="128"/>
      <c r="I106" s="84" t="s">
        <v>233</v>
      </c>
      <c r="J106" s="128" t="str">
        <f>IFERROR(IF('Beginner Adv 15M - Bracket'!B38="","TBD",'Beginner Adv 15M - Bracket'!B38),"TBD")</f>
        <v>TBD</v>
      </c>
      <c r="K106" s="128"/>
      <c r="L106" s="128"/>
      <c r="M106" s="128"/>
      <c r="N106" s="128"/>
      <c r="O106" s="128"/>
      <c r="P106" s="128"/>
      <c r="Q106" s="84" t="s">
        <v>232</v>
      </c>
    </row>
    <row r="107" spans="1:17" ht="13.5" customHeight="1" x14ac:dyDescent="0.35">
      <c r="A107" s="85" t="s">
        <v>234</v>
      </c>
      <c r="B107" s="129" t="str">
        <f>IFERROR('Beginner Adv 15M - Bracket'!A36,"")</f>
        <v>BYE</v>
      </c>
      <c r="C107" s="129"/>
      <c r="D107" s="129"/>
      <c r="E107" s="129"/>
      <c r="F107" s="129"/>
      <c r="G107" s="129"/>
      <c r="H107" s="129"/>
      <c r="I107" s="86"/>
      <c r="J107" s="129" t="str">
        <f>IFERROR('Beginner Adv 15M - Bracket'!A38,"")</f>
        <v>BYE</v>
      </c>
      <c r="K107" s="129"/>
      <c r="L107" s="129"/>
      <c r="M107" s="129"/>
      <c r="N107" s="129"/>
      <c r="O107" s="129"/>
      <c r="P107" s="129"/>
      <c r="Q107" s="85" t="s">
        <v>234</v>
      </c>
    </row>
    <row r="108" spans="1:17" ht="19.5" customHeight="1" x14ac:dyDescent="0.35">
      <c r="A108" s="87" t="s">
        <v>235</v>
      </c>
      <c r="B108" s="88" t="s">
        <v>83</v>
      </c>
      <c r="C108" s="88" t="s">
        <v>84</v>
      </c>
      <c r="D108" s="88" t="s">
        <v>85</v>
      </c>
      <c r="E108" s="88" t="s">
        <v>86</v>
      </c>
      <c r="F108" s="88" t="s">
        <v>87</v>
      </c>
      <c r="G108" s="88" t="s">
        <v>88</v>
      </c>
      <c r="H108" s="24" t="s">
        <v>236</v>
      </c>
      <c r="I108" s="89"/>
      <c r="J108" s="24" t="s">
        <v>236</v>
      </c>
      <c r="K108" s="88" t="s">
        <v>88</v>
      </c>
      <c r="L108" s="88" t="s">
        <v>87</v>
      </c>
      <c r="M108" s="88" t="s">
        <v>86</v>
      </c>
      <c r="N108" s="88" t="s">
        <v>85</v>
      </c>
      <c r="O108" s="88" t="s">
        <v>84</v>
      </c>
      <c r="P108" s="88" t="s">
        <v>83</v>
      </c>
      <c r="Q108" s="87" t="s">
        <v>235</v>
      </c>
    </row>
    <row r="109" spans="1:17" ht="21.75" customHeight="1" x14ac:dyDescent="0.35">
      <c r="A109" s="84" t="s">
        <v>222</v>
      </c>
      <c r="B109" s="90" t="str">
        <f>IFERROR(IF('Beginner Adv 15M - Bracket'!H36="","",'Beginner Adv 15M - Bracket'!H36),"")</f>
        <v/>
      </c>
      <c r="C109" s="90" t="str">
        <f>IFERROR(IF('Beginner Adv 15M - Bracket'!I36="","",'Beginner Adv 15M - Bracket'!I36),"")</f>
        <v/>
      </c>
      <c r="D109" s="90" t="str">
        <f>IFERROR(IF('Beginner Adv 15M - Bracket'!J36="","",'Beginner Adv 15M - Bracket'!J36),"")</f>
        <v/>
      </c>
      <c r="E109" s="90" t="str">
        <f>IFERROR(IF('Beginner Adv 15M - Bracket'!K36="","",'Beginner Adv 15M - Bracket'!K36),"")</f>
        <v/>
      </c>
      <c r="F109" s="90" t="str">
        <f>IFERROR(IF('Beginner Adv 15M - Bracket'!L36="","",'Beginner Adv 15M - Bracket'!L36),"")</f>
        <v/>
      </c>
      <c r="G109" s="90" t="str">
        <f>IFERROR(IF('Beginner Adv 15M - Bracket'!M36="","",'Beginner Adv 15M - Bracket'!M36),"")</f>
        <v/>
      </c>
      <c r="H109" s="32">
        <f>IFERROR(IF(ISNUMBER('Beginner Adv 15M - Bracket'!N36),'Beginner Adv 15M - Bracket'!N36,0),0)</f>
        <v>0</v>
      </c>
      <c r="I109" s="91" t="str">
        <f>IF(AND(ISNUMBER('Beginner Adv 15M - Bracket'!N36),ISNUMBER('Beginner Adv 15M - Bracket'!N38)),IF('Beginner Adv 15M - Bracket'!N36&gt;'Beginner Adv 15M - Bracket'!N38,"2-0",IF('Beginner Adv 15M - Bracket'!N36='Beginner Adv 15M - Bracket'!N38,"1-1","0-2")),"—")</f>
        <v>—</v>
      </c>
      <c r="J109" s="32">
        <f>IFERROR(IF(ISNUMBER('Beginner Adv 15M - Bracket'!N38),'Beginner Adv 15M - Bracket'!N38,0),0)</f>
        <v>0</v>
      </c>
      <c r="K109" s="90" t="str">
        <f>IFERROR(IF('Beginner Adv 15M - Bracket'!M38="","",'Beginner Adv 15M - Bracket'!M38),"")</f>
        <v/>
      </c>
      <c r="L109" s="90" t="str">
        <f>IFERROR(IF('Beginner Adv 15M - Bracket'!L38="","",'Beginner Adv 15M - Bracket'!L38),"")</f>
        <v/>
      </c>
      <c r="M109" s="90" t="str">
        <f>IFERROR(IF('Beginner Adv 15M - Bracket'!K38="","",'Beginner Adv 15M - Bracket'!K38),"")</f>
        <v/>
      </c>
      <c r="N109" s="90" t="str">
        <f>IFERROR(IF('Beginner Adv 15M - Bracket'!J38="","",'Beginner Adv 15M - Bracket'!J38),"")</f>
        <v/>
      </c>
      <c r="O109" s="90" t="str">
        <f>IFERROR(IF('Beginner Adv 15M - Bracket'!I38="","",'Beginner Adv 15M - Bracket'!I38),"")</f>
        <v/>
      </c>
      <c r="P109" s="90" t="str">
        <f>IFERROR(IF('Beginner Adv 15M - Bracket'!H38="","",'Beginner Adv 15M - Bracket'!H38),"")</f>
        <v/>
      </c>
      <c r="Q109" s="84" t="s">
        <v>222</v>
      </c>
    </row>
    <row r="110" spans="1:17" ht="21.75" customHeight="1" x14ac:dyDescent="0.35">
      <c r="A110" s="84" t="s">
        <v>223</v>
      </c>
      <c r="B110" s="90" t="str">
        <f>IFERROR(IF('Beginner Adv 15M - Bracket'!O36="","",'Beginner Adv 15M - Bracket'!O36),"")</f>
        <v/>
      </c>
      <c r="C110" s="90" t="str">
        <f>IFERROR(IF('Beginner Adv 15M - Bracket'!P36="","",'Beginner Adv 15M - Bracket'!P36),"")</f>
        <v/>
      </c>
      <c r="D110" s="90" t="str">
        <f>IFERROR(IF('Beginner Adv 15M - Bracket'!Q36="","",'Beginner Adv 15M - Bracket'!Q36),"")</f>
        <v/>
      </c>
      <c r="E110" s="90" t="str">
        <f>IFERROR(IF('Beginner Adv 15M - Bracket'!R36="","",'Beginner Adv 15M - Bracket'!R36),"")</f>
        <v/>
      </c>
      <c r="F110" s="90" t="str">
        <f>IFERROR(IF('Beginner Adv 15M - Bracket'!S36="","",'Beginner Adv 15M - Bracket'!S36),"")</f>
        <v/>
      </c>
      <c r="G110" s="90" t="str">
        <f>IFERROR(IF('Beginner Adv 15M - Bracket'!T36="","",'Beginner Adv 15M - Bracket'!T36),"")</f>
        <v/>
      </c>
      <c r="H110" s="32">
        <f>IFERROR(IF(ISNUMBER('Beginner Adv 15M - Bracket'!U36),'Beginner Adv 15M - Bracket'!U36,0),0)</f>
        <v>0</v>
      </c>
      <c r="I110" s="91" t="str">
        <f>IF(AND(ISNUMBER('Beginner Adv 15M - Bracket'!U36),ISNUMBER('Beginner Adv 15M - Bracket'!U38)),IF('Beginner Adv 15M - Bracket'!U36&gt;'Beginner Adv 15M - Bracket'!U38,"2-0",IF('Beginner Adv 15M - Bracket'!U36='Beginner Adv 15M - Bracket'!U38,"1-1","0-2")),"—")</f>
        <v>—</v>
      </c>
      <c r="J110" s="32">
        <f>IFERROR(IF(ISNUMBER('Beginner Adv 15M - Bracket'!U38),'Beginner Adv 15M - Bracket'!U38,0),0)</f>
        <v>0</v>
      </c>
      <c r="K110" s="90" t="str">
        <f>IFERROR(IF('Beginner Adv 15M - Bracket'!T38="","",'Beginner Adv 15M - Bracket'!T38),"")</f>
        <v/>
      </c>
      <c r="L110" s="90" t="str">
        <f>IFERROR(IF('Beginner Adv 15M - Bracket'!S38="","",'Beginner Adv 15M - Bracket'!S38),"")</f>
        <v/>
      </c>
      <c r="M110" s="90" t="str">
        <f>IFERROR(IF('Beginner Adv 15M - Bracket'!R38="","",'Beginner Adv 15M - Bracket'!R38),"")</f>
        <v/>
      </c>
      <c r="N110" s="90" t="str">
        <f>IFERROR(IF('Beginner Adv 15M - Bracket'!Q38="","",'Beginner Adv 15M - Bracket'!Q38),"")</f>
        <v/>
      </c>
      <c r="O110" s="90" t="str">
        <f>IFERROR(IF('Beginner Adv 15M - Bracket'!P38="","",'Beginner Adv 15M - Bracket'!P38),"")</f>
        <v/>
      </c>
      <c r="P110" s="90" t="str">
        <f>IFERROR(IF('Beginner Adv 15M - Bracket'!O38="","",'Beginner Adv 15M - Bracket'!O38),"")</f>
        <v/>
      </c>
      <c r="Q110" s="84" t="s">
        <v>223</v>
      </c>
    </row>
    <row r="111" spans="1:17" ht="21.75" customHeight="1" x14ac:dyDescent="0.35">
      <c r="A111" s="84" t="s">
        <v>224</v>
      </c>
      <c r="B111" s="90" t="str">
        <f>IFERROR(IF('Beginner Adv 15M - Bracket'!V36="","",'Beginner Adv 15M - Bracket'!V36),"")</f>
        <v/>
      </c>
      <c r="C111" s="90" t="str">
        <f>IFERROR(IF('Beginner Adv 15M - Bracket'!W36="","",'Beginner Adv 15M - Bracket'!W36),"")</f>
        <v/>
      </c>
      <c r="D111" s="90" t="str">
        <f>IFERROR(IF('Beginner Adv 15M - Bracket'!X36="","",'Beginner Adv 15M - Bracket'!X36),"")</f>
        <v/>
      </c>
      <c r="E111" s="90" t="str">
        <f>IFERROR(IF('Beginner Adv 15M - Bracket'!Y36="","",'Beginner Adv 15M - Bracket'!Y36),"")</f>
        <v/>
      </c>
      <c r="F111" s="90" t="str">
        <f>IFERROR(IF('Beginner Adv 15M - Bracket'!Z36="","",'Beginner Adv 15M - Bracket'!Z36),"")</f>
        <v/>
      </c>
      <c r="G111" s="90" t="str">
        <f>IFERROR(IF('Beginner Adv 15M - Bracket'!AA36="","",'Beginner Adv 15M - Bracket'!AA36),"")</f>
        <v/>
      </c>
      <c r="H111" s="32">
        <f>IFERROR(IF(ISNUMBER('Beginner Adv 15M - Bracket'!AB36),'Beginner Adv 15M - Bracket'!AB36,0),0)</f>
        <v>0</v>
      </c>
      <c r="I111" s="91" t="str">
        <f>IF(AND(ISNUMBER('Beginner Adv 15M - Bracket'!AB36),ISNUMBER('Beginner Adv 15M - Bracket'!AB38)),IF('Beginner Adv 15M - Bracket'!AB36&gt;'Beginner Adv 15M - Bracket'!AB38,"2-0",IF('Beginner Adv 15M - Bracket'!AB36='Beginner Adv 15M - Bracket'!AB38,"1-1","0-2")),"—")</f>
        <v>—</v>
      </c>
      <c r="J111" s="32">
        <f>IFERROR(IF(ISNUMBER('Beginner Adv 15M - Bracket'!AB38),'Beginner Adv 15M - Bracket'!AB38,0),0)</f>
        <v>0</v>
      </c>
      <c r="K111" s="90" t="str">
        <f>IFERROR(IF('Beginner Adv 15M - Bracket'!AA38="","",'Beginner Adv 15M - Bracket'!AA38),"")</f>
        <v/>
      </c>
      <c r="L111" s="90" t="str">
        <f>IFERROR(IF('Beginner Adv 15M - Bracket'!Z38="","",'Beginner Adv 15M - Bracket'!Z38),"")</f>
        <v/>
      </c>
      <c r="M111" s="90" t="str">
        <f>IFERROR(IF('Beginner Adv 15M - Bracket'!Y38="","",'Beginner Adv 15M - Bracket'!Y38),"")</f>
        <v/>
      </c>
      <c r="N111" s="90" t="str">
        <f>IFERROR(IF('Beginner Adv 15M - Bracket'!X38="","",'Beginner Adv 15M - Bracket'!X38),"")</f>
        <v/>
      </c>
      <c r="O111" s="90" t="str">
        <f>IFERROR(IF('Beginner Adv 15M - Bracket'!W38="","",'Beginner Adv 15M - Bracket'!W38),"")</f>
        <v/>
      </c>
      <c r="P111" s="90" t="str">
        <f>IFERROR(IF('Beginner Adv 15M - Bracket'!V38="","",'Beginner Adv 15M - Bracket'!V38),"")</f>
        <v/>
      </c>
      <c r="Q111" s="84" t="s">
        <v>224</v>
      </c>
    </row>
    <row r="112" spans="1:17" ht="21.75" customHeight="1" x14ac:dyDescent="0.35">
      <c r="A112" s="84" t="s">
        <v>227</v>
      </c>
      <c r="B112" s="90" t="str">
        <f>IFERROR(IF('Beginner Adv 15M - Bracket'!AC36="","",'Beginner Adv 15M - Bracket'!AC36),"")</f>
        <v/>
      </c>
      <c r="C112" s="90" t="str">
        <f>IFERROR(IF('Beginner Adv 15M - Bracket'!AD36="","",'Beginner Adv 15M - Bracket'!AD36),"")</f>
        <v/>
      </c>
      <c r="D112" s="90" t="str">
        <f>IFERROR(IF('Beginner Adv 15M - Bracket'!AE36="","",'Beginner Adv 15M - Bracket'!AE36),"")</f>
        <v/>
      </c>
      <c r="E112" s="90" t="str">
        <f>IFERROR(IF('Beginner Adv 15M - Bracket'!AF36="","",'Beginner Adv 15M - Bracket'!AF36),"")</f>
        <v/>
      </c>
      <c r="F112" s="90" t="str">
        <f>IFERROR(IF('Beginner Adv 15M - Bracket'!AG36="","",'Beginner Adv 15M - Bracket'!AG36),"")</f>
        <v/>
      </c>
      <c r="G112" s="90" t="str">
        <f>IFERROR(IF('Beginner Adv 15M - Bracket'!AH36="","",'Beginner Adv 15M - Bracket'!AH36),"")</f>
        <v/>
      </c>
      <c r="H112" s="32">
        <f>IFERROR(IF(ISNUMBER('Beginner Adv 15M - Bracket'!AI36),'Beginner Adv 15M - Bracket'!AI36,0),0)</f>
        <v>0</v>
      </c>
      <c r="I112" s="91" t="str">
        <f>IF(AND(ISNUMBER('Beginner Adv 15M - Bracket'!AI36),ISNUMBER('Beginner Adv 15M - Bracket'!AI38)),IF('Beginner Adv 15M - Bracket'!AI36&gt;'Beginner Adv 15M - Bracket'!AI38,"2-0",IF('Beginner Adv 15M - Bracket'!AI36='Beginner Adv 15M - Bracket'!AI38,"1-1","0-2")),"—")</f>
        <v>—</v>
      </c>
      <c r="J112" s="32">
        <f>IFERROR(IF(ISNUMBER('Beginner Adv 15M - Bracket'!AI38),'Beginner Adv 15M - Bracket'!AI38,0),0)</f>
        <v>0</v>
      </c>
      <c r="K112" s="90" t="str">
        <f>IFERROR(IF('Beginner Adv 15M - Bracket'!AH38="","",'Beginner Adv 15M - Bracket'!AH38),"")</f>
        <v/>
      </c>
      <c r="L112" s="90" t="str">
        <f>IFERROR(IF('Beginner Adv 15M - Bracket'!AG38="","",'Beginner Adv 15M - Bracket'!AG38),"")</f>
        <v/>
      </c>
      <c r="M112" s="90" t="str">
        <f>IFERROR(IF('Beginner Adv 15M - Bracket'!AF38="","",'Beginner Adv 15M - Bracket'!AF38),"")</f>
        <v/>
      </c>
      <c r="N112" s="90" t="str">
        <f>IFERROR(IF('Beginner Adv 15M - Bracket'!AE38="","",'Beginner Adv 15M - Bracket'!AE38),"")</f>
        <v/>
      </c>
      <c r="O112" s="90" t="str">
        <f>IFERROR(IF('Beginner Adv 15M - Bracket'!AD38="","",'Beginner Adv 15M - Bracket'!AD38),"")</f>
        <v/>
      </c>
      <c r="P112" s="90" t="str">
        <f>IFERROR(IF('Beginner Adv 15M - Bracket'!AC38="","",'Beginner Adv 15M - Bracket'!AC38),"")</f>
        <v/>
      </c>
      <c r="Q112" s="84" t="s">
        <v>227</v>
      </c>
    </row>
    <row r="113" spans="1:17" ht="21.75" customHeight="1" x14ac:dyDescent="0.35">
      <c r="A113" s="84" t="s">
        <v>228</v>
      </c>
      <c r="B113" s="90" t="str">
        <f>IFERROR(IF('Beginner Adv 15M - Bracket'!AJ36="","",'Beginner Adv 15M - Bracket'!AJ36),"")</f>
        <v/>
      </c>
      <c r="C113" s="90" t="str">
        <f>IFERROR(IF('Beginner Adv 15M - Bracket'!AK36="","",'Beginner Adv 15M - Bracket'!AK36),"")</f>
        <v/>
      </c>
      <c r="D113" s="90" t="str">
        <f>IFERROR(IF('Beginner Adv 15M - Bracket'!AL36="","",'Beginner Adv 15M - Bracket'!AL36),"")</f>
        <v/>
      </c>
      <c r="E113" s="90" t="str">
        <f>IFERROR(IF('Beginner Adv 15M - Bracket'!AM36="","",'Beginner Adv 15M - Bracket'!AM36),"")</f>
        <v/>
      </c>
      <c r="F113" s="90" t="str">
        <f>IFERROR(IF('Beginner Adv 15M - Bracket'!AN36="","",'Beginner Adv 15M - Bracket'!AN36),"")</f>
        <v/>
      </c>
      <c r="G113" s="90" t="str">
        <f>IFERROR(IF('Beginner Adv 15M - Bracket'!AO36="","",'Beginner Adv 15M - Bracket'!AO36),"")</f>
        <v/>
      </c>
      <c r="H113" s="32">
        <f>IFERROR(IF(ISNUMBER('Beginner Adv 15M - Bracket'!AP36),'Beginner Adv 15M - Bracket'!AP36,0),0)</f>
        <v>0</v>
      </c>
      <c r="I113" s="91" t="str">
        <f>IF(AND(ISNUMBER('Beginner Adv 15M - Bracket'!AP36),ISNUMBER('Beginner Adv 15M - Bracket'!AP38)),IF('Beginner Adv 15M - Bracket'!AP36&gt;'Beginner Adv 15M - Bracket'!AP38,"2-0",IF('Beginner Adv 15M - Bracket'!AP36='Beginner Adv 15M - Bracket'!AP38,"1-1","0-2")),"—")</f>
        <v>—</v>
      </c>
      <c r="J113" s="32">
        <f>IFERROR(IF(ISNUMBER('Beginner Adv 15M - Bracket'!AP38),'Beginner Adv 15M - Bracket'!AP38,0),0)</f>
        <v>0</v>
      </c>
      <c r="K113" s="90" t="str">
        <f>IFERROR(IF('Beginner Adv 15M - Bracket'!AO38="","",'Beginner Adv 15M - Bracket'!AO38),"")</f>
        <v/>
      </c>
      <c r="L113" s="90" t="str">
        <f>IFERROR(IF('Beginner Adv 15M - Bracket'!AN38="","",'Beginner Adv 15M - Bracket'!AN38),"")</f>
        <v/>
      </c>
      <c r="M113" s="90" t="str">
        <f>IFERROR(IF('Beginner Adv 15M - Bracket'!AM38="","",'Beginner Adv 15M - Bracket'!AM38),"")</f>
        <v/>
      </c>
      <c r="N113" s="90" t="str">
        <f>IFERROR(IF('Beginner Adv 15M - Bracket'!AL38="","",'Beginner Adv 15M - Bracket'!AL38),"")</f>
        <v/>
      </c>
      <c r="O113" s="90" t="str">
        <f>IFERROR(IF('Beginner Adv 15M - Bracket'!AK38="","",'Beginner Adv 15M - Bracket'!AK38),"")</f>
        <v/>
      </c>
      <c r="P113" s="90" t="str">
        <f>IFERROR(IF('Beginner Adv 15M - Bracket'!AJ38="","",'Beginner Adv 15M - Bracket'!AJ38),"")</f>
        <v/>
      </c>
      <c r="Q113" s="84" t="s">
        <v>228</v>
      </c>
    </row>
    <row r="114" spans="1:17" ht="21.75" customHeight="1" x14ac:dyDescent="0.35">
      <c r="A114" s="92" t="s">
        <v>237</v>
      </c>
      <c r="B114" s="93" t="str">
        <f>IFERROR(IF('Beginner Adv 15M - Bracket'!AQ36="","",'Beginner Adv 15M - Bracket'!AQ36),"")</f>
        <v/>
      </c>
      <c r="C114" s="93" t="str">
        <f>IFERROR(IF('Beginner Adv 15M - Bracket'!AR36="","",'Beginner Adv 15M - Bracket'!AR36),"")</f>
        <v/>
      </c>
      <c r="D114" s="93" t="str">
        <f>IFERROR(IF('Beginner Adv 15M - Bracket'!AS36="","",'Beginner Adv 15M - Bracket'!AS36),"")</f>
        <v/>
      </c>
      <c r="E114" s="93" t="str">
        <f>IFERROR(IF('Beginner Adv 15M - Bracket'!AT36="","",'Beginner Adv 15M - Bracket'!AT36),"")</f>
        <v/>
      </c>
      <c r="F114" s="93" t="str">
        <f>IFERROR(IF('Beginner Adv 15M - Bracket'!AU36="","",'Beginner Adv 15M - Bracket'!AU36),"")</f>
        <v/>
      </c>
      <c r="G114" s="93" t="str">
        <f>IFERROR(IF('Beginner Adv 15M - Bracket'!AV36="","",'Beginner Adv 15M - Bracket'!AV36),"")</f>
        <v/>
      </c>
      <c r="H114" s="32">
        <f>IFERROR(IF(ISNUMBER('Beginner Adv 15M - Bracket'!AW36),'Beginner Adv 15M - Bracket'!AW36,0),0)</f>
        <v>0</v>
      </c>
      <c r="I114" s="91" t="str">
        <f>IF(AND(ISNUMBER('Beginner Adv 15M - Bracket'!AW36),ISNUMBER('Beginner Adv 15M - Bracket'!AW38)),IF('Beginner Adv 15M - Bracket'!AW36&gt;'Beginner Adv 15M - Bracket'!AW38,"2-0",IF('Beginner Adv 15M - Bracket'!AW36='Beginner Adv 15M - Bracket'!AW38,"1-1","0-2")),"—")</f>
        <v>—</v>
      </c>
      <c r="J114" s="32">
        <f>IFERROR(IF(ISNUMBER('Beginner Adv 15M - Bracket'!AW38),'Beginner Adv 15M - Bracket'!AW38,0),0)</f>
        <v>0</v>
      </c>
      <c r="K114" s="93" t="str">
        <f>IFERROR(IF('Beginner Adv 15M - Bracket'!AV38="","",'Beginner Adv 15M - Bracket'!AV38),"")</f>
        <v/>
      </c>
      <c r="L114" s="93" t="str">
        <f>IFERROR(IF('Beginner Adv 15M - Bracket'!AU38="","",'Beginner Adv 15M - Bracket'!AU38),"")</f>
        <v/>
      </c>
      <c r="M114" s="93" t="str">
        <f>IFERROR(IF('Beginner Adv 15M - Bracket'!AT38="","",'Beginner Adv 15M - Bracket'!AT38),"")</f>
        <v/>
      </c>
      <c r="N114" s="93" t="str">
        <f>IFERROR(IF('Beginner Adv 15M - Bracket'!AS38="","",'Beginner Adv 15M - Bracket'!AS38),"")</f>
        <v/>
      </c>
      <c r="O114" s="93" t="str">
        <f>IFERROR(IF('Beginner Adv 15M - Bracket'!AR38="","",'Beginner Adv 15M - Bracket'!AR38),"")</f>
        <v/>
      </c>
      <c r="P114" s="93" t="str">
        <f>IFERROR(IF('Beginner Adv 15M - Bracket'!AQ38="","",'Beginner Adv 15M - Bracket'!AQ38),"")</f>
        <v/>
      </c>
      <c r="Q114" s="92" t="s">
        <v>237</v>
      </c>
    </row>
    <row r="115" spans="1:17" ht="4.5" customHeight="1" x14ac:dyDescent="0.35"/>
    <row r="116" spans="1:17" ht="31.5" customHeight="1" x14ac:dyDescent="0.35">
      <c r="A116" s="130">
        <f>IFERROR(IF(ISNUMBER('Beginner Adv 15M - Bracket'!AX36),'Beginner Adv 15M - Bracket'!AX36,0),0)</f>
        <v>0</v>
      </c>
      <c r="B116" s="130"/>
      <c r="C116" s="130"/>
      <c r="D116" s="130"/>
      <c r="E116" s="130"/>
      <c r="F116" s="130"/>
      <c r="G116" s="130"/>
      <c r="H116" s="94" t="str">
        <f>IFERROR('Beginner Adv 15M - Bracket'!BA36,"")</f>
        <v>&gt;&gt; Advance</v>
      </c>
      <c r="I116" s="86"/>
      <c r="J116" s="94" t="str">
        <f>IFERROR('Beginner Adv 15M - Bracket'!BA38,"")</f>
        <v>&gt;&gt; Advance</v>
      </c>
      <c r="K116" s="130">
        <f>IFERROR(IF(ISNUMBER('Beginner Adv 15M - Bracket'!AX38),'Beginner Adv 15M - Bracket'!AX38,0),0)</f>
        <v>0</v>
      </c>
      <c r="L116" s="130"/>
      <c r="M116" s="130"/>
      <c r="N116" s="130"/>
      <c r="O116" s="130"/>
      <c r="P116" s="130"/>
      <c r="Q116" s="130"/>
    </row>
    <row r="117" spans="1:17" ht="21.75" customHeight="1" x14ac:dyDescent="0.35">
      <c r="A117" s="130"/>
      <c r="B117" s="130"/>
      <c r="C117" s="130"/>
      <c r="D117" s="130"/>
      <c r="E117" s="130"/>
      <c r="F117" s="130"/>
      <c r="G117" s="130"/>
      <c r="K117" s="130"/>
      <c r="L117" s="130"/>
      <c r="M117" s="130"/>
      <c r="N117" s="130"/>
      <c r="O117" s="130"/>
      <c r="P117" s="130"/>
      <c r="Q117" s="130"/>
    </row>
    <row r="118" spans="1:17" ht="4.5" customHeight="1" x14ac:dyDescent="0.35"/>
    <row r="119" spans="1:17" ht="12" customHeight="1" x14ac:dyDescent="0.35">
      <c r="A119" s="126"/>
      <c r="B119" s="126"/>
      <c r="C119" s="126"/>
      <c r="D119" s="126"/>
      <c r="E119" s="126"/>
      <c r="F119" s="126"/>
      <c r="G119" s="126"/>
      <c r="H119" s="126"/>
      <c r="I119" s="126"/>
      <c r="J119" s="126"/>
      <c r="K119" s="126"/>
      <c r="L119" s="126"/>
      <c r="M119" s="126"/>
      <c r="N119" s="126"/>
      <c r="O119" s="126"/>
      <c r="P119" s="126"/>
      <c r="Q119" s="126"/>
    </row>
    <row r="120" spans="1:17" ht="7.5" customHeight="1" x14ac:dyDescent="0.35"/>
    <row r="121" spans="1:17" ht="19.5" customHeight="1" x14ac:dyDescent="0.35">
      <c r="A121" s="127" t="s">
        <v>244</v>
      </c>
      <c r="B121" s="127"/>
      <c r="C121" s="127"/>
      <c r="D121" s="127"/>
      <c r="E121" s="127"/>
      <c r="F121" s="127"/>
      <c r="G121" s="127"/>
      <c r="H121" s="127"/>
      <c r="I121" s="127"/>
      <c r="J121" s="127"/>
      <c r="K121" s="127"/>
      <c r="L121" s="127"/>
      <c r="M121" s="127"/>
      <c r="N121" s="127"/>
      <c r="O121" s="127"/>
      <c r="P121" s="127"/>
      <c r="Q121" s="127"/>
    </row>
    <row r="122" spans="1:17" ht="4.5" customHeight="1" x14ac:dyDescent="0.35"/>
    <row r="123" spans="1:17" ht="21.75" customHeight="1" x14ac:dyDescent="0.35">
      <c r="A123" s="84" t="s">
        <v>232</v>
      </c>
      <c r="B123" s="128" t="str">
        <f>IFERROR(IF('Beginner Adv 15M - Bracket'!B41="","TBD",'Beginner Adv 15M - Bracket'!B41),"TBD")</f>
        <v>TBD</v>
      </c>
      <c r="C123" s="128"/>
      <c r="D123" s="128"/>
      <c r="E123" s="128"/>
      <c r="F123" s="128"/>
      <c r="G123" s="128"/>
      <c r="H123" s="128"/>
      <c r="I123" s="84" t="s">
        <v>233</v>
      </c>
      <c r="J123" s="128" t="str">
        <f>IFERROR(IF('Beginner Adv 15M - Bracket'!B43="","TBD",'Beginner Adv 15M - Bracket'!B43),"TBD")</f>
        <v>TBD</v>
      </c>
      <c r="K123" s="128"/>
      <c r="L123" s="128"/>
      <c r="M123" s="128"/>
      <c r="N123" s="128"/>
      <c r="O123" s="128"/>
      <c r="P123" s="128"/>
      <c r="Q123" s="84" t="s">
        <v>232</v>
      </c>
    </row>
    <row r="124" spans="1:17" ht="13.5" customHeight="1" x14ac:dyDescent="0.35">
      <c r="A124" s="85" t="s">
        <v>234</v>
      </c>
      <c r="B124" s="129" t="str">
        <f>IFERROR('Beginner Adv 15M - Bracket'!A41,"")</f>
        <v>BYE</v>
      </c>
      <c r="C124" s="129"/>
      <c r="D124" s="129"/>
      <c r="E124" s="129"/>
      <c r="F124" s="129"/>
      <c r="G124" s="129"/>
      <c r="H124" s="129"/>
      <c r="I124" s="86"/>
      <c r="J124" s="129" t="str">
        <f>IFERROR('Beginner Adv 15M - Bracket'!A43,"")</f>
        <v>BYE</v>
      </c>
      <c r="K124" s="129"/>
      <c r="L124" s="129"/>
      <c r="M124" s="129"/>
      <c r="N124" s="129"/>
      <c r="O124" s="129"/>
      <c r="P124" s="129"/>
      <c r="Q124" s="85" t="s">
        <v>234</v>
      </c>
    </row>
    <row r="125" spans="1:17" ht="19.5" customHeight="1" x14ac:dyDescent="0.35">
      <c r="A125" s="87" t="s">
        <v>235</v>
      </c>
      <c r="B125" s="88" t="s">
        <v>83</v>
      </c>
      <c r="C125" s="88" t="s">
        <v>84</v>
      </c>
      <c r="D125" s="88" t="s">
        <v>85</v>
      </c>
      <c r="E125" s="88" t="s">
        <v>86</v>
      </c>
      <c r="F125" s="88" t="s">
        <v>87</v>
      </c>
      <c r="G125" s="88" t="s">
        <v>88</v>
      </c>
      <c r="H125" s="24" t="s">
        <v>236</v>
      </c>
      <c r="I125" s="89"/>
      <c r="J125" s="24" t="s">
        <v>236</v>
      </c>
      <c r="K125" s="88" t="s">
        <v>88</v>
      </c>
      <c r="L125" s="88" t="s">
        <v>87</v>
      </c>
      <c r="M125" s="88" t="s">
        <v>86</v>
      </c>
      <c r="N125" s="88" t="s">
        <v>85</v>
      </c>
      <c r="O125" s="88" t="s">
        <v>84</v>
      </c>
      <c r="P125" s="88" t="s">
        <v>83</v>
      </c>
      <c r="Q125" s="87" t="s">
        <v>235</v>
      </c>
    </row>
    <row r="126" spans="1:17" ht="21.75" customHeight="1" x14ac:dyDescent="0.35">
      <c r="A126" s="84" t="s">
        <v>222</v>
      </c>
      <c r="B126" s="90" t="str">
        <f>IFERROR(IF('Beginner Adv 15M - Bracket'!H41="","",'Beginner Adv 15M - Bracket'!H41),"")</f>
        <v/>
      </c>
      <c r="C126" s="90" t="str">
        <f>IFERROR(IF('Beginner Adv 15M - Bracket'!I41="","",'Beginner Adv 15M - Bracket'!I41),"")</f>
        <v/>
      </c>
      <c r="D126" s="90" t="str">
        <f>IFERROR(IF('Beginner Adv 15M - Bracket'!J41="","",'Beginner Adv 15M - Bracket'!J41),"")</f>
        <v/>
      </c>
      <c r="E126" s="90" t="str">
        <f>IFERROR(IF('Beginner Adv 15M - Bracket'!K41="","",'Beginner Adv 15M - Bracket'!K41),"")</f>
        <v/>
      </c>
      <c r="F126" s="90" t="str">
        <f>IFERROR(IF('Beginner Adv 15M - Bracket'!L41="","",'Beginner Adv 15M - Bracket'!L41),"")</f>
        <v/>
      </c>
      <c r="G126" s="90" t="str">
        <f>IFERROR(IF('Beginner Adv 15M - Bracket'!M41="","",'Beginner Adv 15M - Bracket'!M41),"")</f>
        <v/>
      </c>
      <c r="H126" s="32">
        <f>IFERROR(IF(ISNUMBER('Beginner Adv 15M - Bracket'!N41),'Beginner Adv 15M - Bracket'!N41,0),0)</f>
        <v>0</v>
      </c>
      <c r="I126" s="91" t="str">
        <f>IF(AND(ISNUMBER('Beginner Adv 15M - Bracket'!N41),ISNUMBER('Beginner Adv 15M - Bracket'!N43)),IF('Beginner Adv 15M - Bracket'!N41&gt;'Beginner Adv 15M - Bracket'!N43,"2-0",IF('Beginner Adv 15M - Bracket'!N41='Beginner Adv 15M - Bracket'!N43,"1-1","0-2")),"—")</f>
        <v>—</v>
      </c>
      <c r="J126" s="32">
        <f>IFERROR(IF(ISNUMBER('Beginner Adv 15M - Bracket'!N43),'Beginner Adv 15M - Bracket'!N43,0),0)</f>
        <v>0</v>
      </c>
      <c r="K126" s="90" t="str">
        <f>IFERROR(IF('Beginner Adv 15M - Bracket'!M43="","",'Beginner Adv 15M - Bracket'!M43),"")</f>
        <v/>
      </c>
      <c r="L126" s="90" t="str">
        <f>IFERROR(IF('Beginner Adv 15M - Bracket'!L43="","",'Beginner Adv 15M - Bracket'!L43),"")</f>
        <v/>
      </c>
      <c r="M126" s="90" t="str">
        <f>IFERROR(IF('Beginner Adv 15M - Bracket'!K43="","",'Beginner Adv 15M - Bracket'!K43),"")</f>
        <v/>
      </c>
      <c r="N126" s="90" t="str">
        <f>IFERROR(IF('Beginner Adv 15M - Bracket'!J43="","",'Beginner Adv 15M - Bracket'!J43),"")</f>
        <v/>
      </c>
      <c r="O126" s="90" t="str">
        <f>IFERROR(IF('Beginner Adv 15M - Bracket'!I43="","",'Beginner Adv 15M - Bracket'!I43),"")</f>
        <v/>
      </c>
      <c r="P126" s="90" t="str">
        <f>IFERROR(IF('Beginner Adv 15M - Bracket'!H43="","",'Beginner Adv 15M - Bracket'!H43),"")</f>
        <v/>
      </c>
      <c r="Q126" s="84" t="s">
        <v>222</v>
      </c>
    </row>
    <row r="127" spans="1:17" ht="21.75" customHeight="1" x14ac:dyDescent="0.35">
      <c r="A127" s="84" t="s">
        <v>223</v>
      </c>
      <c r="B127" s="90" t="str">
        <f>IFERROR(IF('Beginner Adv 15M - Bracket'!O41="","",'Beginner Adv 15M - Bracket'!O41),"")</f>
        <v/>
      </c>
      <c r="C127" s="90" t="str">
        <f>IFERROR(IF('Beginner Adv 15M - Bracket'!P41="","",'Beginner Adv 15M - Bracket'!P41),"")</f>
        <v/>
      </c>
      <c r="D127" s="90" t="str">
        <f>IFERROR(IF('Beginner Adv 15M - Bracket'!Q41="","",'Beginner Adv 15M - Bracket'!Q41),"")</f>
        <v/>
      </c>
      <c r="E127" s="90" t="str">
        <f>IFERROR(IF('Beginner Adv 15M - Bracket'!R41="","",'Beginner Adv 15M - Bracket'!R41),"")</f>
        <v/>
      </c>
      <c r="F127" s="90" t="str">
        <f>IFERROR(IF('Beginner Adv 15M - Bracket'!S41="","",'Beginner Adv 15M - Bracket'!S41),"")</f>
        <v/>
      </c>
      <c r="G127" s="90" t="str">
        <f>IFERROR(IF('Beginner Adv 15M - Bracket'!T41="","",'Beginner Adv 15M - Bracket'!T41),"")</f>
        <v/>
      </c>
      <c r="H127" s="32">
        <f>IFERROR(IF(ISNUMBER('Beginner Adv 15M - Bracket'!U41),'Beginner Adv 15M - Bracket'!U41,0),0)</f>
        <v>0</v>
      </c>
      <c r="I127" s="91" t="str">
        <f>IF(AND(ISNUMBER('Beginner Adv 15M - Bracket'!U41),ISNUMBER('Beginner Adv 15M - Bracket'!U43)),IF('Beginner Adv 15M - Bracket'!U41&gt;'Beginner Adv 15M - Bracket'!U43,"2-0",IF('Beginner Adv 15M - Bracket'!U41='Beginner Adv 15M - Bracket'!U43,"1-1","0-2")),"—")</f>
        <v>—</v>
      </c>
      <c r="J127" s="32">
        <f>IFERROR(IF(ISNUMBER('Beginner Adv 15M - Bracket'!U43),'Beginner Adv 15M - Bracket'!U43,0),0)</f>
        <v>0</v>
      </c>
      <c r="K127" s="90" t="str">
        <f>IFERROR(IF('Beginner Adv 15M - Bracket'!T43="","",'Beginner Adv 15M - Bracket'!T43),"")</f>
        <v/>
      </c>
      <c r="L127" s="90" t="str">
        <f>IFERROR(IF('Beginner Adv 15M - Bracket'!S43="","",'Beginner Adv 15M - Bracket'!S43),"")</f>
        <v/>
      </c>
      <c r="M127" s="90" t="str">
        <f>IFERROR(IF('Beginner Adv 15M - Bracket'!R43="","",'Beginner Adv 15M - Bracket'!R43),"")</f>
        <v/>
      </c>
      <c r="N127" s="90" t="str">
        <f>IFERROR(IF('Beginner Adv 15M - Bracket'!Q43="","",'Beginner Adv 15M - Bracket'!Q43),"")</f>
        <v/>
      </c>
      <c r="O127" s="90" t="str">
        <f>IFERROR(IF('Beginner Adv 15M - Bracket'!P43="","",'Beginner Adv 15M - Bracket'!P43),"")</f>
        <v/>
      </c>
      <c r="P127" s="90" t="str">
        <f>IFERROR(IF('Beginner Adv 15M - Bracket'!O43="","",'Beginner Adv 15M - Bracket'!O43),"")</f>
        <v/>
      </c>
      <c r="Q127" s="84" t="s">
        <v>223</v>
      </c>
    </row>
    <row r="128" spans="1:17" ht="21.75" customHeight="1" x14ac:dyDescent="0.35">
      <c r="A128" s="84" t="s">
        <v>224</v>
      </c>
      <c r="B128" s="90" t="str">
        <f>IFERROR(IF('Beginner Adv 15M - Bracket'!V41="","",'Beginner Adv 15M - Bracket'!V41),"")</f>
        <v/>
      </c>
      <c r="C128" s="90" t="str">
        <f>IFERROR(IF('Beginner Adv 15M - Bracket'!W41="","",'Beginner Adv 15M - Bracket'!W41),"")</f>
        <v/>
      </c>
      <c r="D128" s="90" t="str">
        <f>IFERROR(IF('Beginner Adv 15M - Bracket'!X41="","",'Beginner Adv 15M - Bracket'!X41),"")</f>
        <v/>
      </c>
      <c r="E128" s="90" t="str">
        <f>IFERROR(IF('Beginner Adv 15M - Bracket'!Y41="","",'Beginner Adv 15M - Bracket'!Y41),"")</f>
        <v/>
      </c>
      <c r="F128" s="90" t="str">
        <f>IFERROR(IF('Beginner Adv 15M - Bracket'!Z41="","",'Beginner Adv 15M - Bracket'!Z41),"")</f>
        <v/>
      </c>
      <c r="G128" s="90" t="str">
        <f>IFERROR(IF('Beginner Adv 15M - Bracket'!AA41="","",'Beginner Adv 15M - Bracket'!AA41),"")</f>
        <v/>
      </c>
      <c r="H128" s="32">
        <f>IFERROR(IF(ISNUMBER('Beginner Adv 15M - Bracket'!AB41),'Beginner Adv 15M - Bracket'!AB41,0),0)</f>
        <v>0</v>
      </c>
      <c r="I128" s="91" t="str">
        <f>IF(AND(ISNUMBER('Beginner Adv 15M - Bracket'!AB41),ISNUMBER('Beginner Adv 15M - Bracket'!AB43)),IF('Beginner Adv 15M - Bracket'!AB41&gt;'Beginner Adv 15M - Bracket'!AB43,"2-0",IF('Beginner Adv 15M - Bracket'!AB41='Beginner Adv 15M - Bracket'!AB43,"1-1","0-2")),"—")</f>
        <v>—</v>
      </c>
      <c r="J128" s="32">
        <f>IFERROR(IF(ISNUMBER('Beginner Adv 15M - Bracket'!AB43),'Beginner Adv 15M - Bracket'!AB43,0),0)</f>
        <v>0</v>
      </c>
      <c r="K128" s="90" t="str">
        <f>IFERROR(IF('Beginner Adv 15M - Bracket'!AA43="","",'Beginner Adv 15M - Bracket'!AA43),"")</f>
        <v/>
      </c>
      <c r="L128" s="90" t="str">
        <f>IFERROR(IF('Beginner Adv 15M - Bracket'!Z43="","",'Beginner Adv 15M - Bracket'!Z43),"")</f>
        <v/>
      </c>
      <c r="M128" s="90" t="str">
        <f>IFERROR(IF('Beginner Adv 15M - Bracket'!Y43="","",'Beginner Adv 15M - Bracket'!Y43),"")</f>
        <v/>
      </c>
      <c r="N128" s="90" t="str">
        <f>IFERROR(IF('Beginner Adv 15M - Bracket'!X43="","",'Beginner Adv 15M - Bracket'!X43),"")</f>
        <v/>
      </c>
      <c r="O128" s="90" t="str">
        <f>IFERROR(IF('Beginner Adv 15M - Bracket'!W43="","",'Beginner Adv 15M - Bracket'!W43),"")</f>
        <v/>
      </c>
      <c r="P128" s="90" t="str">
        <f>IFERROR(IF('Beginner Adv 15M - Bracket'!V43="","",'Beginner Adv 15M - Bracket'!V43),"")</f>
        <v/>
      </c>
      <c r="Q128" s="84" t="s">
        <v>224</v>
      </c>
    </row>
    <row r="129" spans="1:17" ht="21.75" customHeight="1" x14ac:dyDescent="0.35">
      <c r="A129" s="84" t="s">
        <v>227</v>
      </c>
      <c r="B129" s="90" t="str">
        <f>IFERROR(IF('Beginner Adv 15M - Bracket'!AC41="","",'Beginner Adv 15M - Bracket'!AC41),"")</f>
        <v/>
      </c>
      <c r="C129" s="90" t="str">
        <f>IFERROR(IF('Beginner Adv 15M - Bracket'!AD41="","",'Beginner Adv 15M - Bracket'!AD41),"")</f>
        <v/>
      </c>
      <c r="D129" s="90" t="str">
        <f>IFERROR(IF('Beginner Adv 15M - Bracket'!AE41="","",'Beginner Adv 15M - Bracket'!AE41),"")</f>
        <v/>
      </c>
      <c r="E129" s="90" t="str">
        <f>IFERROR(IF('Beginner Adv 15M - Bracket'!AF41="","",'Beginner Adv 15M - Bracket'!AF41),"")</f>
        <v/>
      </c>
      <c r="F129" s="90" t="str">
        <f>IFERROR(IF('Beginner Adv 15M - Bracket'!AG41="","",'Beginner Adv 15M - Bracket'!AG41),"")</f>
        <v/>
      </c>
      <c r="G129" s="90" t="str">
        <f>IFERROR(IF('Beginner Adv 15M - Bracket'!AH41="","",'Beginner Adv 15M - Bracket'!AH41),"")</f>
        <v/>
      </c>
      <c r="H129" s="32">
        <f>IFERROR(IF(ISNUMBER('Beginner Adv 15M - Bracket'!AI41),'Beginner Adv 15M - Bracket'!AI41,0),0)</f>
        <v>0</v>
      </c>
      <c r="I129" s="91" t="str">
        <f>IF(AND(ISNUMBER('Beginner Adv 15M - Bracket'!AI41),ISNUMBER('Beginner Adv 15M - Bracket'!AI43)),IF('Beginner Adv 15M - Bracket'!AI41&gt;'Beginner Adv 15M - Bracket'!AI43,"2-0",IF('Beginner Adv 15M - Bracket'!AI41='Beginner Adv 15M - Bracket'!AI43,"1-1","0-2")),"—")</f>
        <v>—</v>
      </c>
      <c r="J129" s="32">
        <f>IFERROR(IF(ISNUMBER('Beginner Adv 15M - Bracket'!AI43),'Beginner Adv 15M - Bracket'!AI43,0),0)</f>
        <v>0</v>
      </c>
      <c r="K129" s="90" t="str">
        <f>IFERROR(IF('Beginner Adv 15M - Bracket'!AH43="","",'Beginner Adv 15M - Bracket'!AH43),"")</f>
        <v/>
      </c>
      <c r="L129" s="90" t="str">
        <f>IFERROR(IF('Beginner Adv 15M - Bracket'!AG43="","",'Beginner Adv 15M - Bracket'!AG43),"")</f>
        <v/>
      </c>
      <c r="M129" s="90" t="str">
        <f>IFERROR(IF('Beginner Adv 15M - Bracket'!AF43="","",'Beginner Adv 15M - Bracket'!AF43),"")</f>
        <v/>
      </c>
      <c r="N129" s="90" t="str">
        <f>IFERROR(IF('Beginner Adv 15M - Bracket'!AE43="","",'Beginner Adv 15M - Bracket'!AE43),"")</f>
        <v/>
      </c>
      <c r="O129" s="90" t="str">
        <f>IFERROR(IF('Beginner Adv 15M - Bracket'!AD43="","",'Beginner Adv 15M - Bracket'!AD43),"")</f>
        <v/>
      </c>
      <c r="P129" s="90" t="str">
        <f>IFERROR(IF('Beginner Adv 15M - Bracket'!AC43="","",'Beginner Adv 15M - Bracket'!AC43),"")</f>
        <v/>
      </c>
      <c r="Q129" s="84" t="s">
        <v>227</v>
      </c>
    </row>
    <row r="130" spans="1:17" ht="21.75" customHeight="1" x14ac:dyDescent="0.35">
      <c r="A130" s="84" t="s">
        <v>228</v>
      </c>
      <c r="B130" s="90" t="str">
        <f>IFERROR(IF('Beginner Adv 15M - Bracket'!AJ41="","",'Beginner Adv 15M - Bracket'!AJ41),"")</f>
        <v/>
      </c>
      <c r="C130" s="90" t="str">
        <f>IFERROR(IF('Beginner Adv 15M - Bracket'!AK41="","",'Beginner Adv 15M - Bracket'!AK41),"")</f>
        <v/>
      </c>
      <c r="D130" s="90" t="str">
        <f>IFERROR(IF('Beginner Adv 15M - Bracket'!AL41="","",'Beginner Adv 15M - Bracket'!AL41),"")</f>
        <v/>
      </c>
      <c r="E130" s="90" t="str">
        <f>IFERROR(IF('Beginner Adv 15M - Bracket'!AM41="","",'Beginner Adv 15M - Bracket'!AM41),"")</f>
        <v/>
      </c>
      <c r="F130" s="90" t="str">
        <f>IFERROR(IF('Beginner Adv 15M - Bracket'!AN41="","",'Beginner Adv 15M - Bracket'!AN41),"")</f>
        <v/>
      </c>
      <c r="G130" s="90" t="str">
        <f>IFERROR(IF('Beginner Adv 15M - Bracket'!AO41="","",'Beginner Adv 15M - Bracket'!AO41),"")</f>
        <v/>
      </c>
      <c r="H130" s="32">
        <f>IFERROR(IF(ISNUMBER('Beginner Adv 15M - Bracket'!AP41),'Beginner Adv 15M - Bracket'!AP41,0),0)</f>
        <v>0</v>
      </c>
      <c r="I130" s="91" t="str">
        <f>IF(AND(ISNUMBER('Beginner Adv 15M - Bracket'!AP41),ISNUMBER('Beginner Adv 15M - Bracket'!AP43)),IF('Beginner Adv 15M - Bracket'!AP41&gt;'Beginner Adv 15M - Bracket'!AP43,"2-0",IF('Beginner Adv 15M - Bracket'!AP41='Beginner Adv 15M - Bracket'!AP43,"1-1","0-2")),"—")</f>
        <v>—</v>
      </c>
      <c r="J130" s="32">
        <f>IFERROR(IF(ISNUMBER('Beginner Adv 15M - Bracket'!AP43),'Beginner Adv 15M - Bracket'!AP43,0),0)</f>
        <v>0</v>
      </c>
      <c r="K130" s="90" t="str">
        <f>IFERROR(IF('Beginner Adv 15M - Bracket'!AO43="","",'Beginner Adv 15M - Bracket'!AO43),"")</f>
        <v/>
      </c>
      <c r="L130" s="90" t="str">
        <f>IFERROR(IF('Beginner Adv 15M - Bracket'!AN43="","",'Beginner Adv 15M - Bracket'!AN43),"")</f>
        <v/>
      </c>
      <c r="M130" s="90" t="str">
        <f>IFERROR(IF('Beginner Adv 15M - Bracket'!AM43="","",'Beginner Adv 15M - Bracket'!AM43),"")</f>
        <v/>
      </c>
      <c r="N130" s="90" t="str">
        <f>IFERROR(IF('Beginner Adv 15M - Bracket'!AL43="","",'Beginner Adv 15M - Bracket'!AL43),"")</f>
        <v/>
      </c>
      <c r="O130" s="90" t="str">
        <f>IFERROR(IF('Beginner Adv 15M - Bracket'!AK43="","",'Beginner Adv 15M - Bracket'!AK43),"")</f>
        <v/>
      </c>
      <c r="P130" s="90" t="str">
        <f>IFERROR(IF('Beginner Adv 15M - Bracket'!AJ43="","",'Beginner Adv 15M - Bracket'!AJ43),"")</f>
        <v/>
      </c>
      <c r="Q130" s="84" t="s">
        <v>228</v>
      </c>
    </row>
    <row r="131" spans="1:17" ht="21.75" customHeight="1" x14ac:dyDescent="0.35">
      <c r="A131" s="92" t="s">
        <v>237</v>
      </c>
      <c r="B131" s="93" t="str">
        <f>IFERROR(IF('Beginner Adv 15M - Bracket'!AQ41="","",'Beginner Adv 15M - Bracket'!AQ41),"")</f>
        <v/>
      </c>
      <c r="C131" s="93" t="str">
        <f>IFERROR(IF('Beginner Adv 15M - Bracket'!AR41="","",'Beginner Adv 15M - Bracket'!AR41),"")</f>
        <v/>
      </c>
      <c r="D131" s="93" t="str">
        <f>IFERROR(IF('Beginner Adv 15M - Bracket'!AS41="","",'Beginner Adv 15M - Bracket'!AS41),"")</f>
        <v/>
      </c>
      <c r="E131" s="93" t="str">
        <f>IFERROR(IF('Beginner Adv 15M - Bracket'!AT41="","",'Beginner Adv 15M - Bracket'!AT41),"")</f>
        <v/>
      </c>
      <c r="F131" s="93" t="str">
        <f>IFERROR(IF('Beginner Adv 15M - Bracket'!AU41="","",'Beginner Adv 15M - Bracket'!AU41),"")</f>
        <v/>
      </c>
      <c r="G131" s="93" t="str">
        <f>IFERROR(IF('Beginner Adv 15M - Bracket'!AV41="","",'Beginner Adv 15M - Bracket'!AV41),"")</f>
        <v/>
      </c>
      <c r="H131" s="32">
        <f>IFERROR(IF(ISNUMBER('Beginner Adv 15M - Bracket'!AW41),'Beginner Adv 15M - Bracket'!AW41,0),0)</f>
        <v>0</v>
      </c>
      <c r="I131" s="91" t="str">
        <f>IF(AND(ISNUMBER('Beginner Adv 15M - Bracket'!AW41),ISNUMBER('Beginner Adv 15M - Bracket'!AW43)),IF('Beginner Adv 15M - Bracket'!AW41&gt;'Beginner Adv 15M - Bracket'!AW43,"2-0",IF('Beginner Adv 15M - Bracket'!AW41='Beginner Adv 15M - Bracket'!AW43,"1-1","0-2")),"—")</f>
        <v>—</v>
      </c>
      <c r="J131" s="32">
        <f>IFERROR(IF(ISNUMBER('Beginner Adv 15M - Bracket'!AW43),'Beginner Adv 15M - Bracket'!AW43,0),0)</f>
        <v>0</v>
      </c>
      <c r="K131" s="93" t="str">
        <f>IFERROR(IF('Beginner Adv 15M - Bracket'!AV43="","",'Beginner Adv 15M - Bracket'!AV43),"")</f>
        <v/>
      </c>
      <c r="L131" s="93" t="str">
        <f>IFERROR(IF('Beginner Adv 15M - Bracket'!AU43="","",'Beginner Adv 15M - Bracket'!AU43),"")</f>
        <v/>
      </c>
      <c r="M131" s="93" t="str">
        <f>IFERROR(IF('Beginner Adv 15M - Bracket'!AT43="","",'Beginner Adv 15M - Bracket'!AT43),"")</f>
        <v/>
      </c>
      <c r="N131" s="93" t="str">
        <f>IFERROR(IF('Beginner Adv 15M - Bracket'!AS43="","",'Beginner Adv 15M - Bracket'!AS43),"")</f>
        <v/>
      </c>
      <c r="O131" s="93" t="str">
        <f>IFERROR(IF('Beginner Adv 15M - Bracket'!AR43="","",'Beginner Adv 15M - Bracket'!AR43),"")</f>
        <v/>
      </c>
      <c r="P131" s="93" t="str">
        <f>IFERROR(IF('Beginner Adv 15M - Bracket'!AQ43="","",'Beginner Adv 15M - Bracket'!AQ43),"")</f>
        <v/>
      </c>
      <c r="Q131" s="92" t="s">
        <v>237</v>
      </c>
    </row>
    <row r="132" spans="1:17" ht="4.5" customHeight="1" x14ac:dyDescent="0.35"/>
    <row r="133" spans="1:17" ht="31.5" customHeight="1" x14ac:dyDescent="0.35">
      <c r="A133" s="130">
        <f>IFERROR(IF(ISNUMBER('Beginner Adv 15M - Bracket'!AX41),'Beginner Adv 15M - Bracket'!AX41,0),0)</f>
        <v>0</v>
      </c>
      <c r="B133" s="130"/>
      <c r="C133" s="130"/>
      <c r="D133" s="130"/>
      <c r="E133" s="130"/>
      <c r="F133" s="130"/>
      <c r="G133" s="130"/>
      <c r="H133" s="94" t="str">
        <f>IFERROR('Beginner Adv 15M - Bracket'!BA41,"")</f>
        <v>&gt;&gt; Advance</v>
      </c>
      <c r="I133" s="86"/>
      <c r="J133" s="94" t="str">
        <f>IFERROR('Beginner Adv 15M - Bracket'!BA43,"")</f>
        <v>&gt;&gt; Advance</v>
      </c>
      <c r="K133" s="130">
        <f>IFERROR(IF(ISNUMBER('Beginner Adv 15M - Bracket'!AX43),'Beginner Adv 15M - Bracket'!AX43,0),0)</f>
        <v>0</v>
      </c>
      <c r="L133" s="130"/>
      <c r="M133" s="130"/>
      <c r="N133" s="130"/>
      <c r="O133" s="130"/>
      <c r="P133" s="130"/>
      <c r="Q133" s="130"/>
    </row>
    <row r="134" spans="1:17" ht="21.75" customHeight="1" x14ac:dyDescent="0.35">
      <c r="A134" s="130"/>
      <c r="B134" s="130"/>
      <c r="C134" s="130"/>
      <c r="D134" s="130"/>
      <c r="E134" s="130"/>
      <c r="F134" s="130"/>
      <c r="G134" s="130"/>
      <c r="K134" s="130"/>
      <c r="L134" s="130"/>
      <c r="M134" s="130"/>
      <c r="N134" s="130"/>
      <c r="O134" s="130"/>
      <c r="P134" s="130"/>
      <c r="Q134" s="130"/>
    </row>
    <row r="135" spans="1:17" ht="4.5" customHeight="1" x14ac:dyDescent="0.35"/>
    <row r="136" spans="1:17" ht="12" customHeight="1" x14ac:dyDescent="0.35">
      <c r="A136" s="126"/>
      <c r="B136" s="126"/>
      <c r="C136" s="126"/>
      <c r="D136" s="126"/>
      <c r="E136" s="126"/>
      <c r="F136" s="126"/>
      <c r="G136" s="126"/>
      <c r="H136" s="126"/>
      <c r="I136" s="126"/>
      <c r="J136" s="126"/>
      <c r="K136" s="126"/>
      <c r="L136" s="126"/>
      <c r="M136" s="126"/>
      <c r="N136" s="126"/>
      <c r="O136" s="126"/>
      <c r="P136" s="126"/>
      <c r="Q136" s="126"/>
    </row>
    <row r="137" spans="1:17" ht="7.5" customHeight="1" x14ac:dyDescent="0.35"/>
    <row r="138" spans="1:17" ht="19.5" customHeight="1" x14ac:dyDescent="0.35">
      <c r="A138" s="131" t="s">
        <v>245</v>
      </c>
      <c r="B138" s="131"/>
      <c r="C138" s="131"/>
      <c r="D138" s="131"/>
      <c r="E138" s="131"/>
      <c r="F138" s="131"/>
      <c r="G138" s="131"/>
      <c r="H138" s="131"/>
      <c r="I138" s="131"/>
      <c r="J138" s="131"/>
      <c r="K138" s="131"/>
      <c r="L138" s="131"/>
      <c r="M138" s="131"/>
      <c r="N138" s="131"/>
      <c r="O138" s="131"/>
      <c r="P138" s="131"/>
      <c r="Q138" s="131"/>
    </row>
    <row r="139" spans="1:17" ht="4.5" customHeight="1" x14ac:dyDescent="0.35"/>
    <row r="140" spans="1:17" ht="21.75" customHeight="1" x14ac:dyDescent="0.35">
      <c r="A140" s="84" t="s">
        <v>232</v>
      </c>
      <c r="B140" s="128" t="str">
        <f>IFERROR(IF('Beginner Adv 15M - Bracket'!BE6="","TBD",'Beginner Adv 15M - Bracket'!BE6),"TBD")</f>
        <v>Sheena Marie Monico</v>
      </c>
      <c r="C140" s="128"/>
      <c r="D140" s="128"/>
      <c r="E140" s="128"/>
      <c r="F140" s="128"/>
      <c r="G140" s="128"/>
      <c r="H140" s="128"/>
      <c r="I140" s="84" t="s">
        <v>233</v>
      </c>
      <c r="J140" s="128" t="str">
        <f>IFERROR(IF('Beginner Adv 15M - Bracket'!BE8="","TBD",'Beginner Adv 15M - Bracket'!BE8),"TBD")</f>
        <v>TBD</v>
      </c>
      <c r="K140" s="128"/>
      <c r="L140" s="128"/>
      <c r="M140" s="128"/>
      <c r="N140" s="128"/>
      <c r="O140" s="128"/>
      <c r="P140" s="128"/>
      <c r="Q140" s="84" t="s">
        <v>232</v>
      </c>
    </row>
    <row r="141" spans="1:17" ht="13.5" customHeight="1" x14ac:dyDescent="0.35">
      <c r="A141" s="85" t="s">
        <v>234</v>
      </c>
      <c r="B141" s="129" t="str">
        <f>IFERROR('Beginner Adv 15M - Bracket'!BD6,"")</f>
        <v>"W-R16M1"</v>
      </c>
      <c r="C141" s="129"/>
      <c r="D141" s="129"/>
      <c r="E141" s="129"/>
      <c r="F141" s="129"/>
      <c r="G141" s="129"/>
      <c r="H141" s="129"/>
      <c r="I141" s="86"/>
      <c r="J141" s="129" t="str">
        <f>IFERROR('Beginner Adv 15M - Bracket'!BD8,"")</f>
        <v>"W-R16M2"</v>
      </c>
      <c r="K141" s="129"/>
      <c r="L141" s="129"/>
      <c r="M141" s="129"/>
      <c r="N141" s="129"/>
      <c r="O141" s="129"/>
      <c r="P141" s="129"/>
      <c r="Q141" s="85" t="s">
        <v>234</v>
      </c>
    </row>
    <row r="142" spans="1:17" ht="19.5" customHeight="1" x14ac:dyDescent="0.35">
      <c r="A142" s="87" t="s">
        <v>235</v>
      </c>
      <c r="B142" s="88" t="s">
        <v>83</v>
      </c>
      <c r="C142" s="88" t="s">
        <v>84</v>
      </c>
      <c r="D142" s="88" t="s">
        <v>85</v>
      </c>
      <c r="E142" s="88" t="s">
        <v>86</v>
      </c>
      <c r="F142" s="88" t="s">
        <v>87</v>
      </c>
      <c r="G142" s="88" t="s">
        <v>88</v>
      </c>
      <c r="H142" s="24" t="s">
        <v>236</v>
      </c>
      <c r="I142" s="89"/>
      <c r="J142" s="24" t="s">
        <v>236</v>
      </c>
      <c r="K142" s="88" t="s">
        <v>88</v>
      </c>
      <c r="L142" s="88" t="s">
        <v>87</v>
      </c>
      <c r="M142" s="88" t="s">
        <v>86</v>
      </c>
      <c r="N142" s="88" t="s">
        <v>85</v>
      </c>
      <c r="O142" s="88" t="s">
        <v>84</v>
      </c>
      <c r="P142" s="88" t="s">
        <v>83</v>
      </c>
      <c r="Q142" s="87" t="s">
        <v>235</v>
      </c>
    </row>
    <row r="143" spans="1:17" ht="21.75" customHeight="1" x14ac:dyDescent="0.35">
      <c r="A143" s="84" t="s">
        <v>222</v>
      </c>
      <c r="B143" s="90" t="str">
        <f>IFERROR(IF('Beginner Adv 15M - Bracket'!BK6="","",'Beginner Adv 15M - Bracket'!BK6),"")</f>
        <v/>
      </c>
      <c r="C143" s="90" t="str">
        <f>IFERROR(IF('Beginner Adv 15M - Bracket'!BL6="","",'Beginner Adv 15M - Bracket'!BL6),"")</f>
        <v/>
      </c>
      <c r="D143" s="90" t="str">
        <f>IFERROR(IF('Beginner Adv 15M - Bracket'!BM6="","",'Beginner Adv 15M - Bracket'!BM6),"")</f>
        <v/>
      </c>
      <c r="E143" s="90" t="str">
        <f>IFERROR(IF('Beginner Adv 15M - Bracket'!BN6="","",'Beginner Adv 15M - Bracket'!BN6),"")</f>
        <v/>
      </c>
      <c r="F143" s="90" t="str">
        <f>IFERROR(IF('Beginner Adv 15M - Bracket'!BO6="","",'Beginner Adv 15M - Bracket'!BO6),"")</f>
        <v/>
      </c>
      <c r="G143" s="90" t="str">
        <f>IFERROR(IF('Beginner Adv 15M - Bracket'!BP6="","",'Beginner Adv 15M - Bracket'!BP6),"")</f>
        <v/>
      </c>
      <c r="H143" s="32">
        <f>IFERROR(IF(ISNUMBER('Beginner Adv 15M - Bracket'!BQ6),'Beginner Adv 15M - Bracket'!BQ6,0),0)</f>
        <v>0</v>
      </c>
      <c r="I143" s="91" t="str">
        <f>IF(AND(ISNUMBER('Beginner Adv 15M - Bracket'!BQ6),ISNUMBER('Beginner Adv 15M - Bracket'!BQ8)),IF('Beginner Adv 15M - Bracket'!BQ6&gt;'Beginner Adv 15M - Bracket'!BQ8,"2-0",IF('Beginner Adv 15M - Bracket'!BQ6='Beginner Adv 15M - Bracket'!BQ8,"1-1","0-2")),"—")</f>
        <v>—</v>
      </c>
      <c r="J143" s="32">
        <f>IFERROR(IF(ISNUMBER('Beginner Adv 15M - Bracket'!BQ8),'Beginner Adv 15M - Bracket'!BQ8,0),0)</f>
        <v>0</v>
      </c>
      <c r="K143" s="90" t="str">
        <f>IFERROR(IF('Beginner Adv 15M - Bracket'!BP8="","",'Beginner Adv 15M - Bracket'!BP8),"")</f>
        <v/>
      </c>
      <c r="L143" s="90" t="str">
        <f>IFERROR(IF('Beginner Adv 15M - Bracket'!BO8="","",'Beginner Adv 15M - Bracket'!BO8),"")</f>
        <v/>
      </c>
      <c r="M143" s="90" t="str">
        <f>IFERROR(IF('Beginner Adv 15M - Bracket'!BN8="","",'Beginner Adv 15M - Bracket'!BN8),"")</f>
        <v/>
      </c>
      <c r="N143" s="90" t="str">
        <f>IFERROR(IF('Beginner Adv 15M - Bracket'!BM8="","",'Beginner Adv 15M - Bracket'!BM8),"")</f>
        <v/>
      </c>
      <c r="O143" s="90" t="str">
        <f>IFERROR(IF('Beginner Adv 15M - Bracket'!BL8="","",'Beginner Adv 15M - Bracket'!BL8),"")</f>
        <v/>
      </c>
      <c r="P143" s="90" t="str">
        <f>IFERROR(IF('Beginner Adv 15M - Bracket'!BK8="","",'Beginner Adv 15M - Bracket'!BK8),"")</f>
        <v/>
      </c>
      <c r="Q143" s="84" t="s">
        <v>222</v>
      </c>
    </row>
    <row r="144" spans="1:17" ht="21.75" customHeight="1" x14ac:dyDescent="0.35">
      <c r="A144" s="84" t="s">
        <v>223</v>
      </c>
      <c r="B144" s="90" t="str">
        <f>IFERROR(IF('Beginner Adv 15M - Bracket'!BR6="","",'Beginner Adv 15M - Bracket'!BR6),"")</f>
        <v/>
      </c>
      <c r="C144" s="90" t="str">
        <f>IFERROR(IF('Beginner Adv 15M - Bracket'!BS6="","",'Beginner Adv 15M - Bracket'!BS6),"")</f>
        <v/>
      </c>
      <c r="D144" s="90" t="str">
        <f>IFERROR(IF('Beginner Adv 15M - Bracket'!BT6="","",'Beginner Adv 15M - Bracket'!BT6),"")</f>
        <v/>
      </c>
      <c r="E144" s="90" t="str">
        <f>IFERROR(IF('Beginner Adv 15M - Bracket'!BU6="","",'Beginner Adv 15M - Bracket'!BU6),"")</f>
        <v/>
      </c>
      <c r="F144" s="90" t="str">
        <f>IFERROR(IF('Beginner Adv 15M - Bracket'!BV6="","",'Beginner Adv 15M - Bracket'!BV6),"")</f>
        <v/>
      </c>
      <c r="G144" s="90" t="str">
        <f>IFERROR(IF('Beginner Adv 15M - Bracket'!BW6="","",'Beginner Adv 15M - Bracket'!BW6),"")</f>
        <v/>
      </c>
      <c r="H144" s="32">
        <f>IFERROR(IF(ISNUMBER('Beginner Adv 15M - Bracket'!BX6),'Beginner Adv 15M - Bracket'!BX6,0),0)</f>
        <v>0</v>
      </c>
      <c r="I144" s="91" t="str">
        <f>IF(AND(ISNUMBER('Beginner Adv 15M - Bracket'!BX6),ISNUMBER('Beginner Adv 15M - Bracket'!BX8)),IF('Beginner Adv 15M - Bracket'!BX6&gt;'Beginner Adv 15M - Bracket'!BX8,"2-0",IF('Beginner Adv 15M - Bracket'!BX6='Beginner Adv 15M - Bracket'!BX8,"1-1","0-2")),"—")</f>
        <v>—</v>
      </c>
      <c r="J144" s="32">
        <f>IFERROR(IF(ISNUMBER('Beginner Adv 15M - Bracket'!BX8),'Beginner Adv 15M - Bracket'!BX8,0),0)</f>
        <v>0</v>
      </c>
      <c r="K144" s="90" t="str">
        <f>IFERROR(IF('Beginner Adv 15M - Bracket'!BW8="","",'Beginner Adv 15M - Bracket'!BW8),"")</f>
        <v/>
      </c>
      <c r="L144" s="90" t="str">
        <f>IFERROR(IF('Beginner Adv 15M - Bracket'!BV8="","",'Beginner Adv 15M - Bracket'!BV8),"")</f>
        <v/>
      </c>
      <c r="M144" s="90" t="str">
        <f>IFERROR(IF('Beginner Adv 15M - Bracket'!BU8="","",'Beginner Adv 15M - Bracket'!BU8),"")</f>
        <v/>
      </c>
      <c r="N144" s="90" t="str">
        <f>IFERROR(IF('Beginner Adv 15M - Bracket'!BT8="","",'Beginner Adv 15M - Bracket'!BT8),"")</f>
        <v/>
      </c>
      <c r="O144" s="90" t="str">
        <f>IFERROR(IF('Beginner Adv 15M - Bracket'!BS8="","",'Beginner Adv 15M - Bracket'!BS8),"")</f>
        <v/>
      </c>
      <c r="P144" s="90" t="str">
        <f>IFERROR(IF('Beginner Adv 15M - Bracket'!BR8="","",'Beginner Adv 15M - Bracket'!BR8),"")</f>
        <v/>
      </c>
      <c r="Q144" s="84" t="s">
        <v>223</v>
      </c>
    </row>
    <row r="145" spans="1:17" ht="21.75" customHeight="1" x14ac:dyDescent="0.35">
      <c r="A145" s="84" t="s">
        <v>224</v>
      </c>
      <c r="B145" s="90" t="str">
        <f>IFERROR(IF('Beginner Adv 15M - Bracket'!BY6="","",'Beginner Adv 15M - Bracket'!BY6),"")</f>
        <v/>
      </c>
      <c r="C145" s="90" t="str">
        <f>IFERROR(IF('Beginner Adv 15M - Bracket'!BZ6="","",'Beginner Adv 15M - Bracket'!BZ6),"")</f>
        <v/>
      </c>
      <c r="D145" s="90" t="str">
        <f>IFERROR(IF('Beginner Adv 15M - Bracket'!CA6="","",'Beginner Adv 15M - Bracket'!CA6),"")</f>
        <v/>
      </c>
      <c r="E145" s="90" t="str">
        <f>IFERROR(IF('Beginner Adv 15M - Bracket'!CB6="","",'Beginner Adv 15M - Bracket'!CB6),"")</f>
        <v/>
      </c>
      <c r="F145" s="90" t="str">
        <f>IFERROR(IF('Beginner Adv 15M - Bracket'!CC6="","",'Beginner Adv 15M - Bracket'!CC6),"")</f>
        <v/>
      </c>
      <c r="G145" s="90" t="str">
        <f>IFERROR(IF('Beginner Adv 15M - Bracket'!CD6="","",'Beginner Adv 15M - Bracket'!CD6),"")</f>
        <v/>
      </c>
      <c r="H145" s="32">
        <f>IFERROR(IF(ISNUMBER('Beginner Adv 15M - Bracket'!CE6),'Beginner Adv 15M - Bracket'!CE6,0),0)</f>
        <v>0</v>
      </c>
      <c r="I145" s="91" t="str">
        <f>IF(AND(ISNUMBER('Beginner Adv 15M - Bracket'!CE6),ISNUMBER('Beginner Adv 15M - Bracket'!CE8)),IF('Beginner Adv 15M - Bracket'!CE6&gt;'Beginner Adv 15M - Bracket'!CE8,"2-0",IF('Beginner Adv 15M - Bracket'!CE6='Beginner Adv 15M - Bracket'!CE8,"1-1","0-2")),"—")</f>
        <v>—</v>
      </c>
      <c r="J145" s="32">
        <f>IFERROR(IF(ISNUMBER('Beginner Adv 15M - Bracket'!CE8),'Beginner Adv 15M - Bracket'!CE8,0),0)</f>
        <v>0</v>
      </c>
      <c r="K145" s="90" t="str">
        <f>IFERROR(IF('Beginner Adv 15M - Bracket'!CD8="","",'Beginner Adv 15M - Bracket'!CD8),"")</f>
        <v/>
      </c>
      <c r="L145" s="90" t="str">
        <f>IFERROR(IF('Beginner Adv 15M - Bracket'!CC8="","",'Beginner Adv 15M - Bracket'!CC8),"")</f>
        <v/>
      </c>
      <c r="M145" s="90" t="str">
        <f>IFERROR(IF('Beginner Adv 15M - Bracket'!CB8="","",'Beginner Adv 15M - Bracket'!CB8),"")</f>
        <v/>
      </c>
      <c r="N145" s="90" t="str">
        <f>IFERROR(IF('Beginner Adv 15M - Bracket'!CA8="","",'Beginner Adv 15M - Bracket'!CA8),"")</f>
        <v/>
      </c>
      <c r="O145" s="90" t="str">
        <f>IFERROR(IF('Beginner Adv 15M - Bracket'!BZ8="","",'Beginner Adv 15M - Bracket'!BZ8),"")</f>
        <v/>
      </c>
      <c r="P145" s="90" t="str">
        <f>IFERROR(IF('Beginner Adv 15M - Bracket'!BY8="","",'Beginner Adv 15M - Bracket'!BY8),"")</f>
        <v/>
      </c>
      <c r="Q145" s="84" t="s">
        <v>224</v>
      </c>
    </row>
    <row r="146" spans="1:17" ht="21.75" customHeight="1" x14ac:dyDescent="0.35">
      <c r="A146" s="84" t="s">
        <v>227</v>
      </c>
      <c r="B146" s="90" t="str">
        <f>IFERROR(IF('Beginner Adv 15M - Bracket'!CF6="","",'Beginner Adv 15M - Bracket'!CF6),"")</f>
        <v/>
      </c>
      <c r="C146" s="90" t="str">
        <f>IFERROR(IF('Beginner Adv 15M - Bracket'!CG6="","",'Beginner Adv 15M - Bracket'!CG6),"")</f>
        <v/>
      </c>
      <c r="D146" s="90" t="str">
        <f>IFERROR(IF('Beginner Adv 15M - Bracket'!CH6="","",'Beginner Adv 15M - Bracket'!CH6),"")</f>
        <v/>
      </c>
      <c r="E146" s="90" t="str">
        <f>IFERROR(IF('Beginner Adv 15M - Bracket'!CI6="","",'Beginner Adv 15M - Bracket'!CI6),"")</f>
        <v/>
      </c>
      <c r="F146" s="90" t="str">
        <f>IFERROR(IF('Beginner Adv 15M - Bracket'!CJ6="","",'Beginner Adv 15M - Bracket'!CJ6),"")</f>
        <v/>
      </c>
      <c r="G146" s="90" t="str">
        <f>IFERROR(IF('Beginner Adv 15M - Bracket'!CK6="","",'Beginner Adv 15M - Bracket'!CK6),"")</f>
        <v/>
      </c>
      <c r="H146" s="32">
        <f>IFERROR(IF(ISNUMBER('Beginner Adv 15M - Bracket'!CL6),'Beginner Adv 15M - Bracket'!CL6,0),0)</f>
        <v>0</v>
      </c>
      <c r="I146" s="91" t="str">
        <f>IF(AND(ISNUMBER('Beginner Adv 15M - Bracket'!CL6),ISNUMBER('Beginner Adv 15M - Bracket'!CL8)),IF('Beginner Adv 15M - Bracket'!CL6&gt;'Beginner Adv 15M - Bracket'!CL8,"2-0",IF('Beginner Adv 15M - Bracket'!CL6='Beginner Adv 15M - Bracket'!CL8,"1-1","0-2")),"—")</f>
        <v>—</v>
      </c>
      <c r="J146" s="32">
        <f>IFERROR(IF(ISNUMBER('Beginner Adv 15M - Bracket'!CL8),'Beginner Adv 15M - Bracket'!CL8,0),0)</f>
        <v>0</v>
      </c>
      <c r="K146" s="90" t="str">
        <f>IFERROR(IF('Beginner Adv 15M - Bracket'!CK8="","",'Beginner Adv 15M - Bracket'!CK8),"")</f>
        <v/>
      </c>
      <c r="L146" s="90" t="str">
        <f>IFERROR(IF('Beginner Adv 15M - Bracket'!CJ8="","",'Beginner Adv 15M - Bracket'!CJ8),"")</f>
        <v/>
      </c>
      <c r="M146" s="90" t="str">
        <f>IFERROR(IF('Beginner Adv 15M - Bracket'!CI8="","",'Beginner Adv 15M - Bracket'!CI8),"")</f>
        <v/>
      </c>
      <c r="N146" s="90" t="str">
        <f>IFERROR(IF('Beginner Adv 15M - Bracket'!CH8="","",'Beginner Adv 15M - Bracket'!CH8),"")</f>
        <v/>
      </c>
      <c r="O146" s="90" t="str">
        <f>IFERROR(IF('Beginner Adv 15M - Bracket'!CG8="","",'Beginner Adv 15M - Bracket'!CG8),"")</f>
        <v/>
      </c>
      <c r="P146" s="90" t="str">
        <f>IFERROR(IF('Beginner Adv 15M - Bracket'!CF8="","",'Beginner Adv 15M - Bracket'!CF8),"")</f>
        <v/>
      </c>
      <c r="Q146" s="84" t="s">
        <v>227</v>
      </c>
    </row>
    <row r="147" spans="1:17" ht="21.75" customHeight="1" x14ac:dyDescent="0.35">
      <c r="A147" s="84" t="s">
        <v>228</v>
      </c>
      <c r="B147" s="90" t="str">
        <f>IFERROR(IF('Beginner Adv 15M - Bracket'!CM6="","",'Beginner Adv 15M - Bracket'!CM6),"")</f>
        <v/>
      </c>
      <c r="C147" s="90" t="str">
        <f>IFERROR(IF('Beginner Adv 15M - Bracket'!CN6="","",'Beginner Adv 15M - Bracket'!CN6),"")</f>
        <v/>
      </c>
      <c r="D147" s="90" t="str">
        <f>IFERROR(IF('Beginner Adv 15M - Bracket'!CO6="","",'Beginner Adv 15M - Bracket'!CO6),"")</f>
        <v/>
      </c>
      <c r="E147" s="90" t="str">
        <f>IFERROR(IF('Beginner Adv 15M - Bracket'!CP6="","",'Beginner Adv 15M - Bracket'!CP6),"")</f>
        <v/>
      </c>
      <c r="F147" s="90" t="str">
        <f>IFERROR(IF('Beginner Adv 15M - Bracket'!CQ6="","",'Beginner Adv 15M - Bracket'!CQ6),"")</f>
        <v/>
      </c>
      <c r="G147" s="90" t="str">
        <f>IFERROR(IF('Beginner Adv 15M - Bracket'!CR6="","",'Beginner Adv 15M - Bracket'!CR6),"")</f>
        <v/>
      </c>
      <c r="H147" s="32">
        <f>IFERROR(IF(ISNUMBER('Beginner Adv 15M - Bracket'!CS6),'Beginner Adv 15M - Bracket'!CS6,0),0)</f>
        <v>0</v>
      </c>
      <c r="I147" s="91" t="str">
        <f>IF(AND(ISNUMBER('Beginner Adv 15M - Bracket'!CS6),ISNUMBER('Beginner Adv 15M - Bracket'!CS8)),IF('Beginner Adv 15M - Bracket'!CS6&gt;'Beginner Adv 15M - Bracket'!CS8,"2-0",IF('Beginner Adv 15M - Bracket'!CS6='Beginner Adv 15M - Bracket'!CS8,"1-1","0-2")),"—")</f>
        <v>—</v>
      </c>
      <c r="J147" s="32">
        <f>IFERROR(IF(ISNUMBER('Beginner Adv 15M - Bracket'!CS8),'Beginner Adv 15M - Bracket'!CS8,0),0)</f>
        <v>0</v>
      </c>
      <c r="K147" s="90" t="str">
        <f>IFERROR(IF('Beginner Adv 15M - Bracket'!CR8="","",'Beginner Adv 15M - Bracket'!CR8),"")</f>
        <v/>
      </c>
      <c r="L147" s="90" t="str">
        <f>IFERROR(IF('Beginner Adv 15M - Bracket'!CQ8="","",'Beginner Adv 15M - Bracket'!CQ8),"")</f>
        <v/>
      </c>
      <c r="M147" s="90" t="str">
        <f>IFERROR(IF('Beginner Adv 15M - Bracket'!CP8="","",'Beginner Adv 15M - Bracket'!CP8),"")</f>
        <v/>
      </c>
      <c r="N147" s="90" t="str">
        <f>IFERROR(IF('Beginner Adv 15M - Bracket'!CO8="","",'Beginner Adv 15M - Bracket'!CO8),"")</f>
        <v/>
      </c>
      <c r="O147" s="90" t="str">
        <f>IFERROR(IF('Beginner Adv 15M - Bracket'!CN8="","",'Beginner Adv 15M - Bracket'!CN8),"")</f>
        <v/>
      </c>
      <c r="P147" s="90" t="str">
        <f>IFERROR(IF('Beginner Adv 15M - Bracket'!CM8="","",'Beginner Adv 15M - Bracket'!CM8),"")</f>
        <v/>
      </c>
      <c r="Q147" s="84" t="s">
        <v>228</v>
      </c>
    </row>
    <row r="148" spans="1:17" ht="21.75" customHeight="1" x14ac:dyDescent="0.35">
      <c r="A148" s="92" t="s">
        <v>237</v>
      </c>
      <c r="B148" s="93" t="str">
        <f>IFERROR(IF('Beginner Adv 15M - Bracket'!CT6="","",'Beginner Adv 15M - Bracket'!CT6),"")</f>
        <v/>
      </c>
      <c r="C148" s="93" t="str">
        <f>IFERROR(IF('Beginner Adv 15M - Bracket'!CU6="","",'Beginner Adv 15M - Bracket'!CU6),"")</f>
        <v/>
      </c>
      <c r="D148" s="93" t="str">
        <f>IFERROR(IF('Beginner Adv 15M - Bracket'!CV6="","",'Beginner Adv 15M - Bracket'!CV6),"")</f>
        <v/>
      </c>
      <c r="E148" s="93" t="str">
        <f>IFERROR(IF('Beginner Adv 15M - Bracket'!CW6="","",'Beginner Adv 15M - Bracket'!CW6),"")</f>
        <v/>
      </c>
      <c r="F148" s="93" t="str">
        <f>IFERROR(IF('Beginner Adv 15M - Bracket'!CX6="","",'Beginner Adv 15M - Bracket'!CX6),"")</f>
        <v/>
      </c>
      <c r="G148" s="93" t="str">
        <f>IFERROR(IF('Beginner Adv 15M - Bracket'!CY6="","",'Beginner Adv 15M - Bracket'!CY6),"")</f>
        <v/>
      </c>
      <c r="H148" s="32">
        <f>IFERROR(IF(ISNUMBER('Beginner Adv 15M - Bracket'!CZ6),'Beginner Adv 15M - Bracket'!CZ6,0),0)</f>
        <v>0</v>
      </c>
      <c r="I148" s="91" t="str">
        <f>IF(AND(ISNUMBER('Beginner Adv 15M - Bracket'!CZ6),ISNUMBER('Beginner Adv 15M - Bracket'!CZ8)),IF('Beginner Adv 15M - Bracket'!CZ6&gt;'Beginner Adv 15M - Bracket'!CZ8,"2-0",IF('Beginner Adv 15M - Bracket'!CZ6='Beginner Adv 15M - Bracket'!CZ8,"1-1","0-2")),"—")</f>
        <v>—</v>
      </c>
      <c r="J148" s="32">
        <f>IFERROR(IF(ISNUMBER('Beginner Adv 15M - Bracket'!CZ8),'Beginner Adv 15M - Bracket'!CZ8,0),0)</f>
        <v>0</v>
      </c>
      <c r="K148" s="93" t="str">
        <f>IFERROR(IF('Beginner Adv 15M - Bracket'!CY8="","",'Beginner Adv 15M - Bracket'!CY8),"")</f>
        <v/>
      </c>
      <c r="L148" s="93" t="str">
        <f>IFERROR(IF('Beginner Adv 15M - Bracket'!CX8="","",'Beginner Adv 15M - Bracket'!CX8),"")</f>
        <v/>
      </c>
      <c r="M148" s="93" t="str">
        <f>IFERROR(IF('Beginner Adv 15M - Bracket'!CW8="","",'Beginner Adv 15M - Bracket'!CW8),"")</f>
        <v/>
      </c>
      <c r="N148" s="93" t="str">
        <f>IFERROR(IF('Beginner Adv 15M - Bracket'!CV8="","",'Beginner Adv 15M - Bracket'!CV8),"")</f>
        <v/>
      </c>
      <c r="O148" s="93" t="str">
        <f>IFERROR(IF('Beginner Adv 15M - Bracket'!CU8="","",'Beginner Adv 15M - Bracket'!CU8),"")</f>
        <v/>
      </c>
      <c r="P148" s="93" t="str">
        <f>IFERROR(IF('Beginner Adv 15M - Bracket'!CT8="","",'Beginner Adv 15M - Bracket'!CT8),"")</f>
        <v/>
      </c>
      <c r="Q148" s="92" t="s">
        <v>237</v>
      </c>
    </row>
    <row r="149" spans="1:17" ht="4.5" customHeight="1" x14ac:dyDescent="0.35"/>
    <row r="150" spans="1:17" ht="31.5" customHeight="1" x14ac:dyDescent="0.35">
      <c r="A150" s="130">
        <f>IFERROR(IF(ISNUMBER('Beginner Adv 15M - Bracket'!DA6),'Beginner Adv 15M - Bracket'!DA6,0),0)</f>
        <v>0</v>
      </c>
      <c r="B150" s="130"/>
      <c r="C150" s="130"/>
      <c r="D150" s="130"/>
      <c r="E150" s="130"/>
      <c r="F150" s="130"/>
      <c r="G150" s="130"/>
      <c r="H150" s="94" t="str">
        <f>IFERROR('Beginner Adv 15M - Bracket'!DD6,"")</f>
        <v>&gt;&gt; Advance</v>
      </c>
      <c r="I150" s="86"/>
      <c r="J150" s="94" t="str">
        <f>IFERROR('Beginner Adv 15M - Bracket'!DD8,"")</f>
        <v>BYE</v>
      </c>
      <c r="K150" s="130">
        <f>IFERROR(IF(ISNUMBER('Beginner Adv 15M - Bracket'!DA8),'Beginner Adv 15M - Bracket'!DA8,0),0)</f>
        <v>0</v>
      </c>
      <c r="L150" s="130"/>
      <c r="M150" s="130"/>
      <c r="N150" s="130"/>
      <c r="O150" s="130"/>
      <c r="P150" s="130"/>
      <c r="Q150" s="130"/>
    </row>
    <row r="151" spans="1:17" ht="21.75" customHeight="1" x14ac:dyDescent="0.35">
      <c r="A151" s="130"/>
      <c r="B151" s="130"/>
      <c r="C151" s="130"/>
      <c r="D151" s="130"/>
      <c r="E151" s="130"/>
      <c r="F151" s="130"/>
      <c r="G151" s="130"/>
      <c r="K151" s="130"/>
      <c r="L151" s="130"/>
      <c r="M151" s="130"/>
      <c r="N151" s="130"/>
      <c r="O151" s="130"/>
      <c r="P151" s="130"/>
      <c r="Q151" s="130"/>
    </row>
    <row r="152" spans="1:17" ht="4.5" customHeight="1" x14ac:dyDescent="0.35"/>
    <row r="153" spans="1:17" ht="12" customHeight="1" x14ac:dyDescent="0.35">
      <c r="A153" s="126"/>
      <c r="B153" s="126"/>
      <c r="C153" s="126"/>
      <c r="D153" s="126"/>
      <c r="E153" s="126"/>
      <c r="F153" s="126"/>
      <c r="G153" s="126"/>
      <c r="H153" s="126"/>
      <c r="I153" s="126"/>
      <c r="J153" s="126"/>
      <c r="K153" s="126"/>
      <c r="L153" s="126"/>
      <c r="M153" s="126"/>
      <c r="N153" s="126"/>
      <c r="O153" s="126"/>
      <c r="P153" s="126"/>
      <c r="Q153" s="126"/>
    </row>
    <row r="154" spans="1:17" ht="7.5" customHeight="1" x14ac:dyDescent="0.35"/>
    <row r="155" spans="1:17" ht="19.5" customHeight="1" x14ac:dyDescent="0.35">
      <c r="A155" s="131" t="s">
        <v>246</v>
      </c>
      <c r="B155" s="131"/>
      <c r="C155" s="131"/>
      <c r="D155" s="131"/>
      <c r="E155" s="131"/>
      <c r="F155" s="131"/>
      <c r="G155" s="131"/>
      <c r="H155" s="131"/>
      <c r="I155" s="131"/>
      <c r="J155" s="131"/>
      <c r="K155" s="131"/>
      <c r="L155" s="131"/>
      <c r="M155" s="131"/>
      <c r="N155" s="131"/>
      <c r="O155" s="131"/>
      <c r="P155" s="131"/>
      <c r="Q155" s="131"/>
    </row>
    <row r="156" spans="1:17" ht="4.5" customHeight="1" x14ac:dyDescent="0.35"/>
    <row r="157" spans="1:17" ht="21.75" customHeight="1" x14ac:dyDescent="0.35">
      <c r="A157" s="84" t="s">
        <v>232</v>
      </c>
      <c r="B157" s="128" t="str">
        <f>IFERROR(IF('Beginner Adv 15M - Bracket'!BE11="","TBD",'Beginner Adv 15M - Bracket'!BE11),"TBD")</f>
        <v>TBD</v>
      </c>
      <c r="C157" s="128"/>
      <c r="D157" s="128"/>
      <c r="E157" s="128"/>
      <c r="F157" s="128"/>
      <c r="G157" s="128"/>
      <c r="H157" s="128"/>
      <c r="I157" s="84" t="s">
        <v>233</v>
      </c>
      <c r="J157" s="128" t="str">
        <f>IFERROR(IF('Beginner Adv 15M - Bracket'!BE13="","TBD",'Beginner Adv 15M - Bracket'!BE13),"TBD")</f>
        <v>TBD</v>
      </c>
      <c r="K157" s="128"/>
      <c r="L157" s="128"/>
      <c r="M157" s="128"/>
      <c r="N157" s="128"/>
      <c r="O157" s="128"/>
      <c r="P157" s="128"/>
      <c r="Q157" s="84" t="s">
        <v>232</v>
      </c>
    </row>
    <row r="158" spans="1:17" ht="13.5" customHeight="1" x14ac:dyDescent="0.35">
      <c r="A158" s="85" t="s">
        <v>234</v>
      </c>
      <c r="B158" s="129" t="str">
        <f>IFERROR('Beginner Adv 15M - Bracket'!BD11,"")</f>
        <v>"W-R16M3"</v>
      </c>
      <c r="C158" s="129"/>
      <c r="D158" s="129"/>
      <c r="E158" s="129"/>
      <c r="F158" s="129"/>
      <c r="G158" s="129"/>
      <c r="H158" s="129"/>
      <c r="I158" s="86"/>
      <c r="J158" s="129" t="str">
        <f>IFERROR('Beginner Adv 15M - Bracket'!BD13,"")</f>
        <v>"W-R16M4"</v>
      </c>
      <c r="K158" s="129"/>
      <c r="L158" s="129"/>
      <c r="M158" s="129"/>
      <c r="N158" s="129"/>
      <c r="O158" s="129"/>
      <c r="P158" s="129"/>
      <c r="Q158" s="85" t="s">
        <v>234</v>
      </c>
    </row>
    <row r="159" spans="1:17" ht="19.5" customHeight="1" x14ac:dyDescent="0.35">
      <c r="A159" s="87" t="s">
        <v>235</v>
      </c>
      <c r="B159" s="88" t="s">
        <v>83</v>
      </c>
      <c r="C159" s="88" t="s">
        <v>84</v>
      </c>
      <c r="D159" s="88" t="s">
        <v>85</v>
      </c>
      <c r="E159" s="88" t="s">
        <v>86</v>
      </c>
      <c r="F159" s="88" t="s">
        <v>87</v>
      </c>
      <c r="G159" s="88" t="s">
        <v>88</v>
      </c>
      <c r="H159" s="24" t="s">
        <v>236</v>
      </c>
      <c r="I159" s="89"/>
      <c r="J159" s="24" t="s">
        <v>236</v>
      </c>
      <c r="K159" s="88" t="s">
        <v>88</v>
      </c>
      <c r="L159" s="88" t="s">
        <v>87</v>
      </c>
      <c r="M159" s="88" t="s">
        <v>86</v>
      </c>
      <c r="N159" s="88" t="s">
        <v>85</v>
      </c>
      <c r="O159" s="88" t="s">
        <v>84</v>
      </c>
      <c r="P159" s="88" t="s">
        <v>83</v>
      </c>
      <c r="Q159" s="87" t="s">
        <v>235</v>
      </c>
    </row>
    <row r="160" spans="1:17" ht="21.75" customHeight="1" x14ac:dyDescent="0.35">
      <c r="A160" s="84" t="s">
        <v>222</v>
      </c>
      <c r="B160" s="90" t="str">
        <f>IFERROR(IF('Beginner Adv 15M - Bracket'!BK11="","",'Beginner Adv 15M - Bracket'!BK11),"")</f>
        <v/>
      </c>
      <c r="C160" s="90" t="str">
        <f>IFERROR(IF('Beginner Adv 15M - Bracket'!BL11="","",'Beginner Adv 15M - Bracket'!BL11),"")</f>
        <v/>
      </c>
      <c r="D160" s="90" t="str">
        <f>IFERROR(IF('Beginner Adv 15M - Bracket'!BM11="","",'Beginner Adv 15M - Bracket'!BM11),"")</f>
        <v/>
      </c>
      <c r="E160" s="90" t="str">
        <f>IFERROR(IF('Beginner Adv 15M - Bracket'!BN11="","",'Beginner Adv 15M - Bracket'!BN11),"")</f>
        <v/>
      </c>
      <c r="F160" s="90" t="str">
        <f>IFERROR(IF('Beginner Adv 15M - Bracket'!BO11="","",'Beginner Adv 15M - Bracket'!BO11),"")</f>
        <v/>
      </c>
      <c r="G160" s="90" t="str">
        <f>IFERROR(IF('Beginner Adv 15M - Bracket'!BP11="","",'Beginner Adv 15M - Bracket'!BP11),"")</f>
        <v/>
      </c>
      <c r="H160" s="32">
        <f>IFERROR(IF(ISNUMBER('Beginner Adv 15M - Bracket'!BQ11),'Beginner Adv 15M - Bracket'!BQ11,0),0)</f>
        <v>0</v>
      </c>
      <c r="I160" s="91" t="str">
        <f>IF(AND(ISNUMBER('Beginner Adv 15M - Bracket'!BQ11),ISNUMBER('Beginner Adv 15M - Bracket'!BQ13)),IF('Beginner Adv 15M - Bracket'!BQ11&gt;'Beginner Adv 15M - Bracket'!BQ13,"2-0",IF('Beginner Adv 15M - Bracket'!BQ11='Beginner Adv 15M - Bracket'!BQ13,"1-1","0-2")),"—")</f>
        <v>—</v>
      </c>
      <c r="J160" s="32">
        <f>IFERROR(IF(ISNUMBER('Beginner Adv 15M - Bracket'!BQ13),'Beginner Adv 15M - Bracket'!BQ13,0),0)</f>
        <v>0</v>
      </c>
      <c r="K160" s="90" t="str">
        <f>IFERROR(IF('Beginner Adv 15M - Bracket'!BP13="","",'Beginner Adv 15M - Bracket'!BP13),"")</f>
        <v/>
      </c>
      <c r="L160" s="90" t="str">
        <f>IFERROR(IF('Beginner Adv 15M - Bracket'!BO13="","",'Beginner Adv 15M - Bracket'!BO13),"")</f>
        <v/>
      </c>
      <c r="M160" s="90" t="str">
        <f>IFERROR(IF('Beginner Adv 15M - Bracket'!BN13="","",'Beginner Adv 15M - Bracket'!BN13),"")</f>
        <v/>
      </c>
      <c r="N160" s="90" t="str">
        <f>IFERROR(IF('Beginner Adv 15M - Bracket'!BM13="","",'Beginner Adv 15M - Bracket'!BM13),"")</f>
        <v/>
      </c>
      <c r="O160" s="90" t="str">
        <f>IFERROR(IF('Beginner Adv 15M - Bracket'!BL13="","",'Beginner Adv 15M - Bracket'!BL13),"")</f>
        <v/>
      </c>
      <c r="P160" s="90" t="str">
        <f>IFERROR(IF('Beginner Adv 15M - Bracket'!BK13="","",'Beginner Adv 15M - Bracket'!BK13),"")</f>
        <v/>
      </c>
      <c r="Q160" s="84" t="s">
        <v>222</v>
      </c>
    </row>
    <row r="161" spans="1:17" ht="21.75" customHeight="1" x14ac:dyDescent="0.35">
      <c r="A161" s="84" t="s">
        <v>223</v>
      </c>
      <c r="B161" s="90" t="str">
        <f>IFERROR(IF('Beginner Adv 15M - Bracket'!BR11="","",'Beginner Adv 15M - Bracket'!BR11),"")</f>
        <v/>
      </c>
      <c r="C161" s="90" t="str">
        <f>IFERROR(IF('Beginner Adv 15M - Bracket'!BS11="","",'Beginner Adv 15M - Bracket'!BS11),"")</f>
        <v/>
      </c>
      <c r="D161" s="90" t="str">
        <f>IFERROR(IF('Beginner Adv 15M - Bracket'!BT11="","",'Beginner Adv 15M - Bracket'!BT11),"")</f>
        <v/>
      </c>
      <c r="E161" s="90" t="str">
        <f>IFERROR(IF('Beginner Adv 15M - Bracket'!BU11="","",'Beginner Adv 15M - Bracket'!BU11),"")</f>
        <v/>
      </c>
      <c r="F161" s="90" t="str">
        <f>IFERROR(IF('Beginner Adv 15M - Bracket'!BV11="","",'Beginner Adv 15M - Bracket'!BV11),"")</f>
        <v/>
      </c>
      <c r="G161" s="90" t="str">
        <f>IFERROR(IF('Beginner Adv 15M - Bracket'!BW11="","",'Beginner Adv 15M - Bracket'!BW11),"")</f>
        <v/>
      </c>
      <c r="H161" s="32">
        <f>IFERROR(IF(ISNUMBER('Beginner Adv 15M - Bracket'!BX11),'Beginner Adv 15M - Bracket'!BX11,0),0)</f>
        <v>0</v>
      </c>
      <c r="I161" s="91" t="str">
        <f>IF(AND(ISNUMBER('Beginner Adv 15M - Bracket'!BX11),ISNUMBER('Beginner Adv 15M - Bracket'!BX13)),IF('Beginner Adv 15M - Bracket'!BX11&gt;'Beginner Adv 15M - Bracket'!BX13,"2-0",IF('Beginner Adv 15M - Bracket'!BX11='Beginner Adv 15M - Bracket'!BX13,"1-1","0-2")),"—")</f>
        <v>—</v>
      </c>
      <c r="J161" s="32">
        <f>IFERROR(IF(ISNUMBER('Beginner Adv 15M - Bracket'!BX13),'Beginner Adv 15M - Bracket'!BX13,0),0)</f>
        <v>0</v>
      </c>
      <c r="K161" s="90" t="str">
        <f>IFERROR(IF('Beginner Adv 15M - Bracket'!BW13="","",'Beginner Adv 15M - Bracket'!BW13),"")</f>
        <v/>
      </c>
      <c r="L161" s="90" t="str">
        <f>IFERROR(IF('Beginner Adv 15M - Bracket'!BV13="","",'Beginner Adv 15M - Bracket'!BV13),"")</f>
        <v/>
      </c>
      <c r="M161" s="90" t="str">
        <f>IFERROR(IF('Beginner Adv 15M - Bracket'!BU13="","",'Beginner Adv 15M - Bracket'!BU13),"")</f>
        <v/>
      </c>
      <c r="N161" s="90" t="str">
        <f>IFERROR(IF('Beginner Adv 15M - Bracket'!BT13="","",'Beginner Adv 15M - Bracket'!BT13),"")</f>
        <v/>
      </c>
      <c r="O161" s="90" t="str">
        <f>IFERROR(IF('Beginner Adv 15M - Bracket'!BS13="","",'Beginner Adv 15M - Bracket'!BS13),"")</f>
        <v/>
      </c>
      <c r="P161" s="90" t="str">
        <f>IFERROR(IF('Beginner Adv 15M - Bracket'!BR13="","",'Beginner Adv 15M - Bracket'!BR13),"")</f>
        <v/>
      </c>
      <c r="Q161" s="84" t="s">
        <v>223</v>
      </c>
    </row>
    <row r="162" spans="1:17" ht="21.75" customHeight="1" x14ac:dyDescent="0.35">
      <c r="A162" s="84" t="s">
        <v>224</v>
      </c>
      <c r="B162" s="90" t="str">
        <f>IFERROR(IF('Beginner Adv 15M - Bracket'!BY11="","",'Beginner Adv 15M - Bracket'!BY11),"")</f>
        <v/>
      </c>
      <c r="C162" s="90" t="str">
        <f>IFERROR(IF('Beginner Adv 15M - Bracket'!BZ11="","",'Beginner Adv 15M - Bracket'!BZ11),"")</f>
        <v/>
      </c>
      <c r="D162" s="90" t="str">
        <f>IFERROR(IF('Beginner Adv 15M - Bracket'!CA11="","",'Beginner Adv 15M - Bracket'!CA11),"")</f>
        <v/>
      </c>
      <c r="E162" s="90" t="str">
        <f>IFERROR(IF('Beginner Adv 15M - Bracket'!CB11="","",'Beginner Adv 15M - Bracket'!CB11),"")</f>
        <v/>
      </c>
      <c r="F162" s="90" t="str">
        <f>IFERROR(IF('Beginner Adv 15M - Bracket'!CC11="","",'Beginner Adv 15M - Bracket'!CC11),"")</f>
        <v/>
      </c>
      <c r="G162" s="90" t="str">
        <f>IFERROR(IF('Beginner Adv 15M - Bracket'!CD11="","",'Beginner Adv 15M - Bracket'!CD11),"")</f>
        <v/>
      </c>
      <c r="H162" s="32">
        <f>IFERROR(IF(ISNUMBER('Beginner Adv 15M - Bracket'!CE11),'Beginner Adv 15M - Bracket'!CE11,0),0)</f>
        <v>0</v>
      </c>
      <c r="I162" s="91" t="str">
        <f>IF(AND(ISNUMBER('Beginner Adv 15M - Bracket'!CE11),ISNUMBER('Beginner Adv 15M - Bracket'!CE13)),IF('Beginner Adv 15M - Bracket'!CE11&gt;'Beginner Adv 15M - Bracket'!CE13,"2-0",IF('Beginner Adv 15M - Bracket'!CE11='Beginner Adv 15M - Bracket'!CE13,"1-1","0-2")),"—")</f>
        <v>—</v>
      </c>
      <c r="J162" s="32">
        <f>IFERROR(IF(ISNUMBER('Beginner Adv 15M - Bracket'!CE13),'Beginner Adv 15M - Bracket'!CE13,0),0)</f>
        <v>0</v>
      </c>
      <c r="K162" s="90" t="str">
        <f>IFERROR(IF('Beginner Adv 15M - Bracket'!CD13="","",'Beginner Adv 15M - Bracket'!CD13),"")</f>
        <v/>
      </c>
      <c r="L162" s="90" t="str">
        <f>IFERROR(IF('Beginner Adv 15M - Bracket'!CC13="","",'Beginner Adv 15M - Bracket'!CC13),"")</f>
        <v/>
      </c>
      <c r="M162" s="90" t="str">
        <f>IFERROR(IF('Beginner Adv 15M - Bracket'!CB13="","",'Beginner Adv 15M - Bracket'!CB13),"")</f>
        <v/>
      </c>
      <c r="N162" s="90" t="str">
        <f>IFERROR(IF('Beginner Adv 15M - Bracket'!CA13="","",'Beginner Adv 15M - Bracket'!CA13),"")</f>
        <v/>
      </c>
      <c r="O162" s="90" t="str">
        <f>IFERROR(IF('Beginner Adv 15M - Bracket'!BZ13="","",'Beginner Adv 15M - Bracket'!BZ13),"")</f>
        <v/>
      </c>
      <c r="P162" s="90" t="str">
        <f>IFERROR(IF('Beginner Adv 15M - Bracket'!BY13="","",'Beginner Adv 15M - Bracket'!BY13),"")</f>
        <v/>
      </c>
      <c r="Q162" s="84" t="s">
        <v>224</v>
      </c>
    </row>
    <row r="163" spans="1:17" ht="21.75" customHeight="1" x14ac:dyDescent="0.35">
      <c r="A163" s="84" t="s">
        <v>227</v>
      </c>
      <c r="B163" s="90" t="str">
        <f>IFERROR(IF('Beginner Adv 15M - Bracket'!CF11="","",'Beginner Adv 15M - Bracket'!CF11),"")</f>
        <v/>
      </c>
      <c r="C163" s="90" t="str">
        <f>IFERROR(IF('Beginner Adv 15M - Bracket'!CG11="","",'Beginner Adv 15M - Bracket'!CG11),"")</f>
        <v/>
      </c>
      <c r="D163" s="90" t="str">
        <f>IFERROR(IF('Beginner Adv 15M - Bracket'!CH11="","",'Beginner Adv 15M - Bracket'!CH11),"")</f>
        <v/>
      </c>
      <c r="E163" s="90" t="str">
        <f>IFERROR(IF('Beginner Adv 15M - Bracket'!CI11="","",'Beginner Adv 15M - Bracket'!CI11),"")</f>
        <v/>
      </c>
      <c r="F163" s="90" t="str">
        <f>IFERROR(IF('Beginner Adv 15M - Bracket'!CJ11="","",'Beginner Adv 15M - Bracket'!CJ11),"")</f>
        <v/>
      </c>
      <c r="G163" s="90" t="str">
        <f>IFERROR(IF('Beginner Adv 15M - Bracket'!CK11="","",'Beginner Adv 15M - Bracket'!CK11),"")</f>
        <v/>
      </c>
      <c r="H163" s="32">
        <f>IFERROR(IF(ISNUMBER('Beginner Adv 15M - Bracket'!CL11),'Beginner Adv 15M - Bracket'!CL11,0),0)</f>
        <v>0</v>
      </c>
      <c r="I163" s="91" t="str">
        <f>IF(AND(ISNUMBER('Beginner Adv 15M - Bracket'!CL11),ISNUMBER('Beginner Adv 15M - Bracket'!CL13)),IF('Beginner Adv 15M - Bracket'!CL11&gt;'Beginner Adv 15M - Bracket'!CL13,"2-0",IF('Beginner Adv 15M - Bracket'!CL11='Beginner Adv 15M - Bracket'!CL13,"1-1","0-2")),"—")</f>
        <v>—</v>
      </c>
      <c r="J163" s="32">
        <f>IFERROR(IF(ISNUMBER('Beginner Adv 15M - Bracket'!CL13),'Beginner Adv 15M - Bracket'!CL13,0),0)</f>
        <v>0</v>
      </c>
      <c r="K163" s="90" t="str">
        <f>IFERROR(IF('Beginner Adv 15M - Bracket'!CK13="","",'Beginner Adv 15M - Bracket'!CK13),"")</f>
        <v/>
      </c>
      <c r="L163" s="90" t="str">
        <f>IFERROR(IF('Beginner Adv 15M - Bracket'!CJ13="","",'Beginner Adv 15M - Bracket'!CJ13),"")</f>
        <v/>
      </c>
      <c r="M163" s="90" t="str">
        <f>IFERROR(IF('Beginner Adv 15M - Bracket'!CI13="","",'Beginner Adv 15M - Bracket'!CI13),"")</f>
        <v/>
      </c>
      <c r="N163" s="90" t="str">
        <f>IFERROR(IF('Beginner Adv 15M - Bracket'!CH13="","",'Beginner Adv 15M - Bracket'!CH13),"")</f>
        <v/>
      </c>
      <c r="O163" s="90" t="str">
        <f>IFERROR(IF('Beginner Adv 15M - Bracket'!CG13="","",'Beginner Adv 15M - Bracket'!CG13),"")</f>
        <v/>
      </c>
      <c r="P163" s="90" t="str">
        <f>IFERROR(IF('Beginner Adv 15M - Bracket'!CF13="","",'Beginner Adv 15M - Bracket'!CF13),"")</f>
        <v/>
      </c>
      <c r="Q163" s="84" t="s">
        <v>227</v>
      </c>
    </row>
    <row r="164" spans="1:17" ht="21.75" customHeight="1" x14ac:dyDescent="0.35">
      <c r="A164" s="84" t="s">
        <v>228</v>
      </c>
      <c r="B164" s="90" t="str">
        <f>IFERROR(IF('Beginner Adv 15M - Bracket'!CM11="","",'Beginner Adv 15M - Bracket'!CM11),"")</f>
        <v/>
      </c>
      <c r="C164" s="90" t="str">
        <f>IFERROR(IF('Beginner Adv 15M - Bracket'!CN11="","",'Beginner Adv 15M - Bracket'!CN11),"")</f>
        <v/>
      </c>
      <c r="D164" s="90" t="str">
        <f>IFERROR(IF('Beginner Adv 15M - Bracket'!CO11="","",'Beginner Adv 15M - Bracket'!CO11),"")</f>
        <v/>
      </c>
      <c r="E164" s="90" t="str">
        <f>IFERROR(IF('Beginner Adv 15M - Bracket'!CP11="","",'Beginner Adv 15M - Bracket'!CP11),"")</f>
        <v/>
      </c>
      <c r="F164" s="90" t="str">
        <f>IFERROR(IF('Beginner Adv 15M - Bracket'!CQ11="","",'Beginner Adv 15M - Bracket'!CQ11),"")</f>
        <v/>
      </c>
      <c r="G164" s="90" t="str">
        <f>IFERROR(IF('Beginner Adv 15M - Bracket'!CR11="","",'Beginner Adv 15M - Bracket'!CR11),"")</f>
        <v/>
      </c>
      <c r="H164" s="32">
        <f>IFERROR(IF(ISNUMBER('Beginner Adv 15M - Bracket'!CS11),'Beginner Adv 15M - Bracket'!CS11,0),0)</f>
        <v>0</v>
      </c>
      <c r="I164" s="91" t="str">
        <f>IF(AND(ISNUMBER('Beginner Adv 15M - Bracket'!CS11),ISNUMBER('Beginner Adv 15M - Bracket'!CS13)),IF('Beginner Adv 15M - Bracket'!CS11&gt;'Beginner Adv 15M - Bracket'!CS13,"2-0",IF('Beginner Adv 15M - Bracket'!CS11='Beginner Adv 15M - Bracket'!CS13,"1-1","0-2")),"—")</f>
        <v>—</v>
      </c>
      <c r="J164" s="32">
        <f>IFERROR(IF(ISNUMBER('Beginner Adv 15M - Bracket'!CS13),'Beginner Adv 15M - Bracket'!CS13,0),0)</f>
        <v>0</v>
      </c>
      <c r="K164" s="90" t="str">
        <f>IFERROR(IF('Beginner Adv 15M - Bracket'!CR13="","",'Beginner Adv 15M - Bracket'!CR13),"")</f>
        <v/>
      </c>
      <c r="L164" s="90" t="str">
        <f>IFERROR(IF('Beginner Adv 15M - Bracket'!CQ13="","",'Beginner Adv 15M - Bracket'!CQ13),"")</f>
        <v/>
      </c>
      <c r="M164" s="90" t="str">
        <f>IFERROR(IF('Beginner Adv 15M - Bracket'!CP13="","",'Beginner Adv 15M - Bracket'!CP13),"")</f>
        <v/>
      </c>
      <c r="N164" s="90" t="str">
        <f>IFERROR(IF('Beginner Adv 15M - Bracket'!CO13="","",'Beginner Adv 15M - Bracket'!CO13),"")</f>
        <v/>
      </c>
      <c r="O164" s="90" t="str">
        <f>IFERROR(IF('Beginner Adv 15M - Bracket'!CN13="","",'Beginner Adv 15M - Bracket'!CN13),"")</f>
        <v/>
      </c>
      <c r="P164" s="90" t="str">
        <f>IFERROR(IF('Beginner Adv 15M - Bracket'!CM13="","",'Beginner Adv 15M - Bracket'!CM13),"")</f>
        <v/>
      </c>
      <c r="Q164" s="84" t="s">
        <v>228</v>
      </c>
    </row>
    <row r="165" spans="1:17" ht="21.75" customHeight="1" x14ac:dyDescent="0.35">
      <c r="A165" s="92" t="s">
        <v>237</v>
      </c>
      <c r="B165" s="93" t="str">
        <f>IFERROR(IF('Beginner Adv 15M - Bracket'!CT11="","",'Beginner Adv 15M - Bracket'!CT11),"")</f>
        <v/>
      </c>
      <c r="C165" s="93" t="str">
        <f>IFERROR(IF('Beginner Adv 15M - Bracket'!CU11="","",'Beginner Adv 15M - Bracket'!CU11),"")</f>
        <v/>
      </c>
      <c r="D165" s="93" t="str">
        <f>IFERROR(IF('Beginner Adv 15M - Bracket'!CV11="","",'Beginner Adv 15M - Bracket'!CV11),"")</f>
        <v/>
      </c>
      <c r="E165" s="93" t="str">
        <f>IFERROR(IF('Beginner Adv 15M - Bracket'!CW11="","",'Beginner Adv 15M - Bracket'!CW11),"")</f>
        <v/>
      </c>
      <c r="F165" s="93" t="str">
        <f>IFERROR(IF('Beginner Adv 15M - Bracket'!CX11="","",'Beginner Adv 15M - Bracket'!CX11),"")</f>
        <v/>
      </c>
      <c r="G165" s="93" t="str">
        <f>IFERROR(IF('Beginner Adv 15M - Bracket'!CY11="","",'Beginner Adv 15M - Bracket'!CY11),"")</f>
        <v/>
      </c>
      <c r="H165" s="32">
        <f>IFERROR(IF(ISNUMBER('Beginner Adv 15M - Bracket'!CZ11),'Beginner Adv 15M - Bracket'!CZ11,0),0)</f>
        <v>0</v>
      </c>
      <c r="I165" s="91" t="str">
        <f>IF(AND(ISNUMBER('Beginner Adv 15M - Bracket'!CZ11),ISNUMBER('Beginner Adv 15M - Bracket'!CZ13)),IF('Beginner Adv 15M - Bracket'!CZ11&gt;'Beginner Adv 15M - Bracket'!CZ13,"2-0",IF('Beginner Adv 15M - Bracket'!CZ11='Beginner Adv 15M - Bracket'!CZ13,"1-1","0-2")),"—")</f>
        <v>—</v>
      </c>
      <c r="J165" s="32">
        <f>IFERROR(IF(ISNUMBER('Beginner Adv 15M - Bracket'!CZ13),'Beginner Adv 15M - Bracket'!CZ13,0),0)</f>
        <v>0</v>
      </c>
      <c r="K165" s="93" t="str">
        <f>IFERROR(IF('Beginner Adv 15M - Bracket'!CY13="","",'Beginner Adv 15M - Bracket'!CY13),"")</f>
        <v/>
      </c>
      <c r="L165" s="93" t="str">
        <f>IFERROR(IF('Beginner Adv 15M - Bracket'!CX13="","",'Beginner Adv 15M - Bracket'!CX13),"")</f>
        <v/>
      </c>
      <c r="M165" s="93" t="str">
        <f>IFERROR(IF('Beginner Adv 15M - Bracket'!CW13="","",'Beginner Adv 15M - Bracket'!CW13),"")</f>
        <v/>
      </c>
      <c r="N165" s="93" t="str">
        <f>IFERROR(IF('Beginner Adv 15M - Bracket'!CV13="","",'Beginner Adv 15M - Bracket'!CV13),"")</f>
        <v/>
      </c>
      <c r="O165" s="93" t="str">
        <f>IFERROR(IF('Beginner Adv 15M - Bracket'!CU13="","",'Beginner Adv 15M - Bracket'!CU13),"")</f>
        <v/>
      </c>
      <c r="P165" s="93" t="str">
        <f>IFERROR(IF('Beginner Adv 15M - Bracket'!CT13="","",'Beginner Adv 15M - Bracket'!CT13),"")</f>
        <v/>
      </c>
      <c r="Q165" s="92" t="s">
        <v>237</v>
      </c>
    </row>
    <row r="166" spans="1:17" ht="4.5" customHeight="1" x14ac:dyDescent="0.35"/>
    <row r="167" spans="1:17" ht="31.5" customHeight="1" x14ac:dyDescent="0.35">
      <c r="A167" s="130">
        <f>IFERROR(IF(ISNUMBER('Beginner Adv 15M - Bracket'!DA11),'Beginner Adv 15M - Bracket'!DA11,0),0)</f>
        <v>0</v>
      </c>
      <c r="B167" s="130"/>
      <c r="C167" s="130"/>
      <c r="D167" s="130"/>
      <c r="E167" s="130"/>
      <c r="F167" s="130"/>
      <c r="G167" s="130"/>
      <c r="H167" s="94" t="str">
        <f>IFERROR('Beginner Adv 15M - Bracket'!DD11,"")</f>
        <v>&gt;&gt; Advance</v>
      </c>
      <c r="I167" s="86"/>
      <c r="J167" s="94" t="str">
        <f>IFERROR('Beginner Adv 15M - Bracket'!DD13,"")</f>
        <v>&gt;&gt; Advance</v>
      </c>
      <c r="K167" s="130">
        <f>IFERROR(IF(ISNUMBER('Beginner Adv 15M - Bracket'!DA13),'Beginner Adv 15M - Bracket'!DA13,0),0)</f>
        <v>0</v>
      </c>
      <c r="L167" s="130"/>
      <c r="M167" s="130"/>
      <c r="N167" s="130"/>
      <c r="O167" s="130"/>
      <c r="P167" s="130"/>
      <c r="Q167" s="130"/>
    </row>
    <row r="168" spans="1:17" ht="21.75" customHeight="1" x14ac:dyDescent="0.35">
      <c r="A168" s="130"/>
      <c r="B168" s="130"/>
      <c r="C168" s="130"/>
      <c r="D168" s="130"/>
      <c r="E168" s="130"/>
      <c r="F168" s="130"/>
      <c r="G168" s="130"/>
      <c r="K168" s="130"/>
      <c r="L168" s="130"/>
      <c r="M168" s="130"/>
      <c r="N168" s="130"/>
      <c r="O168" s="130"/>
      <c r="P168" s="130"/>
      <c r="Q168" s="130"/>
    </row>
    <row r="169" spans="1:17" ht="4.5" customHeight="1" x14ac:dyDescent="0.35"/>
    <row r="170" spans="1:17" ht="12" customHeight="1" x14ac:dyDescent="0.35">
      <c r="A170" s="126"/>
      <c r="B170" s="126"/>
      <c r="C170" s="126"/>
      <c r="D170" s="126"/>
      <c r="E170" s="126"/>
      <c r="F170" s="126"/>
      <c r="G170" s="126"/>
      <c r="H170" s="126"/>
      <c r="I170" s="126"/>
      <c r="J170" s="126"/>
      <c r="K170" s="126"/>
      <c r="L170" s="126"/>
      <c r="M170" s="126"/>
      <c r="N170" s="126"/>
      <c r="O170" s="126"/>
      <c r="P170" s="126"/>
      <c r="Q170" s="126"/>
    </row>
    <row r="171" spans="1:17" ht="7.5" customHeight="1" x14ac:dyDescent="0.35"/>
    <row r="172" spans="1:17" ht="19.5" customHeight="1" x14ac:dyDescent="0.35">
      <c r="A172" s="131" t="s">
        <v>247</v>
      </c>
      <c r="B172" s="131"/>
      <c r="C172" s="131"/>
      <c r="D172" s="131"/>
      <c r="E172" s="131"/>
      <c r="F172" s="131"/>
      <c r="G172" s="131"/>
      <c r="H172" s="131"/>
      <c r="I172" s="131"/>
      <c r="J172" s="131"/>
      <c r="K172" s="131"/>
      <c r="L172" s="131"/>
      <c r="M172" s="131"/>
      <c r="N172" s="131"/>
      <c r="O172" s="131"/>
      <c r="P172" s="131"/>
      <c r="Q172" s="131"/>
    </row>
    <row r="173" spans="1:17" ht="4.5" customHeight="1" x14ac:dyDescent="0.35"/>
    <row r="174" spans="1:17" ht="21.75" customHeight="1" x14ac:dyDescent="0.35">
      <c r="A174" s="84" t="s">
        <v>232</v>
      </c>
      <c r="B174" s="128" t="str">
        <f>IFERROR(IF('Beginner Adv 15M - Bracket'!BE16="","TBD",'Beginner Adv 15M - Bracket'!BE16),"TBD")</f>
        <v>TBD</v>
      </c>
      <c r="C174" s="128"/>
      <c r="D174" s="128"/>
      <c r="E174" s="128"/>
      <c r="F174" s="128"/>
      <c r="G174" s="128"/>
      <c r="H174" s="128"/>
      <c r="I174" s="84" t="s">
        <v>233</v>
      </c>
      <c r="J174" s="128" t="str">
        <f>IFERROR(IF('Beginner Adv 15M - Bracket'!BE18="","TBD",'Beginner Adv 15M - Bracket'!BE18),"TBD")</f>
        <v>TBD</v>
      </c>
      <c r="K174" s="128"/>
      <c r="L174" s="128"/>
      <c r="M174" s="128"/>
      <c r="N174" s="128"/>
      <c r="O174" s="128"/>
      <c r="P174" s="128"/>
      <c r="Q174" s="84" t="s">
        <v>232</v>
      </c>
    </row>
    <row r="175" spans="1:17" ht="13.5" customHeight="1" x14ac:dyDescent="0.35">
      <c r="A175" s="85" t="s">
        <v>234</v>
      </c>
      <c r="B175" s="129" t="str">
        <f>IFERROR('Beginner Adv 15M - Bracket'!BD16,"")</f>
        <v>"W-R16M5"</v>
      </c>
      <c r="C175" s="129"/>
      <c r="D175" s="129"/>
      <c r="E175" s="129"/>
      <c r="F175" s="129"/>
      <c r="G175" s="129"/>
      <c r="H175" s="129"/>
      <c r="I175" s="86"/>
      <c r="J175" s="129" t="str">
        <f>IFERROR('Beginner Adv 15M - Bracket'!BD18,"")</f>
        <v>"W-R16M6"</v>
      </c>
      <c r="K175" s="129"/>
      <c r="L175" s="129"/>
      <c r="M175" s="129"/>
      <c r="N175" s="129"/>
      <c r="O175" s="129"/>
      <c r="P175" s="129"/>
      <c r="Q175" s="85" t="s">
        <v>234</v>
      </c>
    </row>
    <row r="176" spans="1:17" ht="19.5" customHeight="1" x14ac:dyDescent="0.35">
      <c r="A176" s="87" t="s">
        <v>235</v>
      </c>
      <c r="B176" s="88" t="s">
        <v>83</v>
      </c>
      <c r="C176" s="88" t="s">
        <v>84</v>
      </c>
      <c r="D176" s="88" t="s">
        <v>85</v>
      </c>
      <c r="E176" s="88" t="s">
        <v>86</v>
      </c>
      <c r="F176" s="88" t="s">
        <v>87</v>
      </c>
      <c r="G176" s="88" t="s">
        <v>88</v>
      </c>
      <c r="H176" s="24" t="s">
        <v>236</v>
      </c>
      <c r="I176" s="89"/>
      <c r="J176" s="24" t="s">
        <v>236</v>
      </c>
      <c r="K176" s="88" t="s">
        <v>88</v>
      </c>
      <c r="L176" s="88" t="s">
        <v>87</v>
      </c>
      <c r="M176" s="88" t="s">
        <v>86</v>
      </c>
      <c r="N176" s="88" t="s">
        <v>85</v>
      </c>
      <c r="O176" s="88" t="s">
        <v>84</v>
      </c>
      <c r="P176" s="88" t="s">
        <v>83</v>
      </c>
      <c r="Q176" s="87" t="s">
        <v>235</v>
      </c>
    </row>
    <row r="177" spans="1:17" ht="21.75" customHeight="1" x14ac:dyDescent="0.35">
      <c r="A177" s="84" t="s">
        <v>222</v>
      </c>
      <c r="B177" s="90" t="str">
        <f>IFERROR(IF('Beginner Adv 15M - Bracket'!BK16="","",'Beginner Adv 15M - Bracket'!BK16),"")</f>
        <v/>
      </c>
      <c r="C177" s="90" t="str">
        <f>IFERROR(IF('Beginner Adv 15M - Bracket'!BL16="","",'Beginner Adv 15M - Bracket'!BL16),"")</f>
        <v/>
      </c>
      <c r="D177" s="90" t="str">
        <f>IFERROR(IF('Beginner Adv 15M - Bracket'!BM16="","",'Beginner Adv 15M - Bracket'!BM16),"")</f>
        <v/>
      </c>
      <c r="E177" s="90" t="str">
        <f>IFERROR(IF('Beginner Adv 15M - Bracket'!BN16="","",'Beginner Adv 15M - Bracket'!BN16),"")</f>
        <v/>
      </c>
      <c r="F177" s="90" t="str">
        <f>IFERROR(IF('Beginner Adv 15M - Bracket'!BO16="","",'Beginner Adv 15M - Bracket'!BO16),"")</f>
        <v/>
      </c>
      <c r="G177" s="90" t="str">
        <f>IFERROR(IF('Beginner Adv 15M - Bracket'!BP16="","",'Beginner Adv 15M - Bracket'!BP16),"")</f>
        <v/>
      </c>
      <c r="H177" s="32">
        <f>IFERROR(IF(ISNUMBER('Beginner Adv 15M - Bracket'!BQ16),'Beginner Adv 15M - Bracket'!BQ16,0),0)</f>
        <v>0</v>
      </c>
      <c r="I177" s="91" t="str">
        <f>IF(AND(ISNUMBER('Beginner Adv 15M - Bracket'!BQ16),ISNUMBER('Beginner Adv 15M - Bracket'!BQ18)),IF('Beginner Adv 15M - Bracket'!BQ16&gt;'Beginner Adv 15M - Bracket'!BQ18,"2-0",IF('Beginner Adv 15M - Bracket'!BQ16='Beginner Adv 15M - Bracket'!BQ18,"1-1","0-2")),"—")</f>
        <v>—</v>
      </c>
      <c r="J177" s="32">
        <f>IFERROR(IF(ISNUMBER('Beginner Adv 15M - Bracket'!BQ18),'Beginner Adv 15M - Bracket'!BQ18,0),0)</f>
        <v>0</v>
      </c>
      <c r="K177" s="90" t="str">
        <f>IFERROR(IF('Beginner Adv 15M - Bracket'!BP18="","",'Beginner Adv 15M - Bracket'!BP18),"")</f>
        <v/>
      </c>
      <c r="L177" s="90" t="str">
        <f>IFERROR(IF('Beginner Adv 15M - Bracket'!BO18="","",'Beginner Adv 15M - Bracket'!BO18),"")</f>
        <v/>
      </c>
      <c r="M177" s="90" t="str">
        <f>IFERROR(IF('Beginner Adv 15M - Bracket'!BN18="","",'Beginner Adv 15M - Bracket'!BN18),"")</f>
        <v/>
      </c>
      <c r="N177" s="90" t="str">
        <f>IFERROR(IF('Beginner Adv 15M - Bracket'!BM18="","",'Beginner Adv 15M - Bracket'!BM18),"")</f>
        <v/>
      </c>
      <c r="O177" s="90" t="str">
        <f>IFERROR(IF('Beginner Adv 15M - Bracket'!BL18="","",'Beginner Adv 15M - Bracket'!BL18),"")</f>
        <v/>
      </c>
      <c r="P177" s="90" t="str">
        <f>IFERROR(IF('Beginner Adv 15M - Bracket'!BK18="","",'Beginner Adv 15M - Bracket'!BK18),"")</f>
        <v/>
      </c>
      <c r="Q177" s="84" t="s">
        <v>222</v>
      </c>
    </row>
    <row r="178" spans="1:17" ht="21.75" customHeight="1" x14ac:dyDescent="0.35">
      <c r="A178" s="84" t="s">
        <v>223</v>
      </c>
      <c r="B178" s="90" t="str">
        <f>IFERROR(IF('Beginner Adv 15M - Bracket'!BR16="","",'Beginner Adv 15M - Bracket'!BR16),"")</f>
        <v/>
      </c>
      <c r="C178" s="90" t="str">
        <f>IFERROR(IF('Beginner Adv 15M - Bracket'!BS16="","",'Beginner Adv 15M - Bracket'!BS16),"")</f>
        <v/>
      </c>
      <c r="D178" s="90" t="str">
        <f>IFERROR(IF('Beginner Adv 15M - Bracket'!BT16="","",'Beginner Adv 15M - Bracket'!BT16),"")</f>
        <v/>
      </c>
      <c r="E178" s="90" t="str">
        <f>IFERROR(IF('Beginner Adv 15M - Bracket'!BU16="","",'Beginner Adv 15M - Bracket'!BU16),"")</f>
        <v/>
      </c>
      <c r="F178" s="90" t="str">
        <f>IFERROR(IF('Beginner Adv 15M - Bracket'!BV16="","",'Beginner Adv 15M - Bracket'!BV16),"")</f>
        <v/>
      </c>
      <c r="G178" s="90" t="str">
        <f>IFERROR(IF('Beginner Adv 15M - Bracket'!BW16="","",'Beginner Adv 15M - Bracket'!BW16),"")</f>
        <v/>
      </c>
      <c r="H178" s="32">
        <f>IFERROR(IF(ISNUMBER('Beginner Adv 15M - Bracket'!BX16),'Beginner Adv 15M - Bracket'!BX16,0),0)</f>
        <v>0</v>
      </c>
      <c r="I178" s="91" t="str">
        <f>IF(AND(ISNUMBER('Beginner Adv 15M - Bracket'!BX16),ISNUMBER('Beginner Adv 15M - Bracket'!BX18)),IF('Beginner Adv 15M - Bracket'!BX16&gt;'Beginner Adv 15M - Bracket'!BX18,"2-0",IF('Beginner Adv 15M - Bracket'!BX16='Beginner Adv 15M - Bracket'!BX18,"1-1","0-2")),"—")</f>
        <v>—</v>
      </c>
      <c r="J178" s="32">
        <f>IFERROR(IF(ISNUMBER('Beginner Adv 15M - Bracket'!BX18),'Beginner Adv 15M - Bracket'!BX18,0),0)</f>
        <v>0</v>
      </c>
      <c r="K178" s="90" t="str">
        <f>IFERROR(IF('Beginner Adv 15M - Bracket'!BW18="","",'Beginner Adv 15M - Bracket'!BW18),"")</f>
        <v/>
      </c>
      <c r="L178" s="90" t="str">
        <f>IFERROR(IF('Beginner Adv 15M - Bracket'!BV18="","",'Beginner Adv 15M - Bracket'!BV18),"")</f>
        <v/>
      </c>
      <c r="M178" s="90" t="str">
        <f>IFERROR(IF('Beginner Adv 15M - Bracket'!BU18="","",'Beginner Adv 15M - Bracket'!BU18),"")</f>
        <v/>
      </c>
      <c r="N178" s="90" t="str">
        <f>IFERROR(IF('Beginner Adv 15M - Bracket'!BT18="","",'Beginner Adv 15M - Bracket'!BT18),"")</f>
        <v/>
      </c>
      <c r="O178" s="90" t="str">
        <f>IFERROR(IF('Beginner Adv 15M - Bracket'!BS18="","",'Beginner Adv 15M - Bracket'!BS18),"")</f>
        <v/>
      </c>
      <c r="P178" s="90" t="str">
        <f>IFERROR(IF('Beginner Adv 15M - Bracket'!BR18="","",'Beginner Adv 15M - Bracket'!BR18),"")</f>
        <v/>
      </c>
      <c r="Q178" s="84" t="s">
        <v>223</v>
      </c>
    </row>
    <row r="179" spans="1:17" ht="21.75" customHeight="1" x14ac:dyDescent="0.35">
      <c r="A179" s="84" t="s">
        <v>224</v>
      </c>
      <c r="B179" s="90" t="str">
        <f>IFERROR(IF('Beginner Adv 15M - Bracket'!BY16="","",'Beginner Adv 15M - Bracket'!BY16),"")</f>
        <v/>
      </c>
      <c r="C179" s="90" t="str">
        <f>IFERROR(IF('Beginner Adv 15M - Bracket'!BZ16="","",'Beginner Adv 15M - Bracket'!BZ16),"")</f>
        <v/>
      </c>
      <c r="D179" s="90" t="str">
        <f>IFERROR(IF('Beginner Adv 15M - Bracket'!CA16="","",'Beginner Adv 15M - Bracket'!CA16),"")</f>
        <v/>
      </c>
      <c r="E179" s="90" t="str">
        <f>IFERROR(IF('Beginner Adv 15M - Bracket'!CB16="","",'Beginner Adv 15M - Bracket'!CB16),"")</f>
        <v/>
      </c>
      <c r="F179" s="90" t="str">
        <f>IFERROR(IF('Beginner Adv 15M - Bracket'!CC16="","",'Beginner Adv 15M - Bracket'!CC16),"")</f>
        <v/>
      </c>
      <c r="G179" s="90" t="str">
        <f>IFERROR(IF('Beginner Adv 15M - Bracket'!CD16="","",'Beginner Adv 15M - Bracket'!CD16),"")</f>
        <v/>
      </c>
      <c r="H179" s="32">
        <f>IFERROR(IF(ISNUMBER('Beginner Adv 15M - Bracket'!CE16),'Beginner Adv 15M - Bracket'!CE16,0),0)</f>
        <v>0</v>
      </c>
      <c r="I179" s="91" t="str">
        <f>IF(AND(ISNUMBER('Beginner Adv 15M - Bracket'!CE16),ISNUMBER('Beginner Adv 15M - Bracket'!CE18)),IF('Beginner Adv 15M - Bracket'!CE16&gt;'Beginner Adv 15M - Bracket'!CE18,"2-0",IF('Beginner Adv 15M - Bracket'!CE16='Beginner Adv 15M - Bracket'!CE18,"1-1","0-2")),"—")</f>
        <v>—</v>
      </c>
      <c r="J179" s="32">
        <f>IFERROR(IF(ISNUMBER('Beginner Adv 15M - Bracket'!CE18),'Beginner Adv 15M - Bracket'!CE18,0),0)</f>
        <v>0</v>
      </c>
      <c r="K179" s="90" t="str">
        <f>IFERROR(IF('Beginner Adv 15M - Bracket'!CD18="","",'Beginner Adv 15M - Bracket'!CD18),"")</f>
        <v/>
      </c>
      <c r="L179" s="90" t="str">
        <f>IFERROR(IF('Beginner Adv 15M - Bracket'!CC18="","",'Beginner Adv 15M - Bracket'!CC18),"")</f>
        <v/>
      </c>
      <c r="M179" s="90" t="str">
        <f>IFERROR(IF('Beginner Adv 15M - Bracket'!CB18="","",'Beginner Adv 15M - Bracket'!CB18),"")</f>
        <v/>
      </c>
      <c r="N179" s="90" t="str">
        <f>IFERROR(IF('Beginner Adv 15M - Bracket'!CA18="","",'Beginner Adv 15M - Bracket'!CA18),"")</f>
        <v/>
      </c>
      <c r="O179" s="90" t="str">
        <f>IFERROR(IF('Beginner Adv 15M - Bracket'!BZ18="","",'Beginner Adv 15M - Bracket'!BZ18),"")</f>
        <v/>
      </c>
      <c r="P179" s="90" t="str">
        <f>IFERROR(IF('Beginner Adv 15M - Bracket'!BY18="","",'Beginner Adv 15M - Bracket'!BY18),"")</f>
        <v/>
      </c>
      <c r="Q179" s="84" t="s">
        <v>224</v>
      </c>
    </row>
    <row r="180" spans="1:17" ht="21.75" customHeight="1" x14ac:dyDescent="0.35">
      <c r="A180" s="84" t="s">
        <v>227</v>
      </c>
      <c r="B180" s="90" t="str">
        <f>IFERROR(IF('Beginner Adv 15M - Bracket'!CF16="","",'Beginner Adv 15M - Bracket'!CF16),"")</f>
        <v/>
      </c>
      <c r="C180" s="90" t="str">
        <f>IFERROR(IF('Beginner Adv 15M - Bracket'!CG16="","",'Beginner Adv 15M - Bracket'!CG16),"")</f>
        <v/>
      </c>
      <c r="D180" s="90" t="str">
        <f>IFERROR(IF('Beginner Adv 15M - Bracket'!CH16="","",'Beginner Adv 15M - Bracket'!CH16),"")</f>
        <v/>
      </c>
      <c r="E180" s="90" t="str">
        <f>IFERROR(IF('Beginner Adv 15M - Bracket'!CI16="","",'Beginner Adv 15M - Bracket'!CI16),"")</f>
        <v/>
      </c>
      <c r="F180" s="90" t="str">
        <f>IFERROR(IF('Beginner Adv 15M - Bracket'!CJ16="","",'Beginner Adv 15M - Bracket'!CJ16),"")</f>
        <v/>
      </c>
      <c r="G180" s="90" t="str">
        <f>IFERROR(IF('Beginner Adv 15M - Bracket'!CK16="","",'Beginner Adv 15M - Bracket'!CK16),"")</f>
        <v/>
      </c>
      <c r="H180" s="32">
        <f>IFERROR(IF(ISNUMBER('Beginner Adv 15M - Bracket'!CL16),'Beginner Adv 15M - Bracket'!CL16,0),0)</f>
        <v>0</v>
      </c>
      <c r="I180" s="91" t="str">
        <f>IF(AND(ISNUMBER('Beginner Adv 15M - Bracket'!CL16),ISNUMBER('Beginner Adv 15M - Bracket'!CL18)),IF('Beginner Adv 15M - Bracket'!CL16&gt;'Beginner Adv 15M - Bracket'!CL18,"2-0",IF('Beginner Adv 15M - Bracket'!CL16='Beginner Adv 15M - Bracket'!CL18,"1-1","0-2")),"—")</f>
        <v>—</v>
      </c>
      <c r="J180" s="32">
        <f>IFERROR(IF(ISNUMBER('Beginner Adv 15M - Bracket'!CL18),'Beginner Adv 15M - Bracket'!CL18,0),0)</f>
        <v>0</v>
      </c>
      <c r="K180" s="90" t="str">
        <f>IFERROR(IF('Beginner Adv 15M - Bracket'!CK18="","",'Beginner Adv 15M - Bracket'!CK18),"")</f>
        <v/>
      </c>
      <c r="L180" s="90" t="str">
        <f>IFERROR(IF('Beginner Adv 15M - Bracket'!CJ18="","",'Beginner Adv 15M - Bracket'!CJ18),"")</f>
        <v/>
      </c>
      <c r="M180" s="90" t="str">
        <f>IFERROR(IF('Beginner Adv 15M - Bracket'!CI18="","",'Beginner Adv 15M - Bracket'!CI18),"")</f>
        <v/>
      </c>
      <c r="N180" s="90" t="str">
        <f>IFERROR(IF('Beginner Adv 15M - Bracket'!CH18="","",'Beginner Adv 15M - Bracket'!CH18),"")</f>
        <v/>
      </c>
      <c r="O180" s="90" t="str">
        <f>IFERROR(IF('Beginner Adv 15M - Bracket'!CG18="","",'Beginner Adv 15M - Bracket'!CG18),"")</f>
        <v/>
      </c>
      <c r="P180" s="90" t="str">
        <f>IFERROR(IF('Beginner Adv 15M - Bracket'!CF18="","",'Beginner Adv 15M - Bracket'!CF18),"")</f>
        <v/>
      </c>
      <c r="Q180" s="84" t="s">
        <v>227</v>
      </c>
    </row>
    <row r="181" spans="1:17" ht="21.75" customHeight="1" x14ac:dyDescent="0.35">
      <c r="A181" s="84" t="s">
        <v>228</v>
      </c>
      <c r="B181" s="90" t="str">
        <f>IFERROR(IF('Beginner Adv 15M - Bracket'!CM16="","",'Beginner Adv 15M - Bracket'!CM16),"")</f>
        <v/>
      </c>
      <c r="C181" s="90" t="str">
        <f>IFERROR(IF('Beginner Adv 15M - Bracket'!CN16="","",'Beginner Adv 15M - Bracket'!CN16),"")</f>
        <v/>
      </c>
      <c r="D181" s="90" t="str">
        <f>IFERROR(IF('Beginner Adv 15M - Bracket'!CO16="","",'Beginner Adv 15M - Bracket'!CO16),"")</f>
        <v/>
      </c>
      <c r="E181" s="90" t="str">
        <f>IFERROR(IF('Beginner Adv 15M - Bracket'!CP16="","",'Beginner Adv 15M - Bracket'!CP16),"")</f>
        <v/>
      </c>
      <c r="F181" s="90" t="str">
        <f>IFERROR(IF('Beginner Adv 15M - Bracket'!CQ16="","",'Beginner Adv 15M - Bracket'!CQ16),"")</f>
        <v/>
      </c>
      <c r="G181" s="90" t="str">
        <f>IFERROR(IF('Beginner Adv 15M - Bracket'!CR16="","",'Beginner Adv 15M - Bracket'!CR16),"")</f>
        <v/>
      </c>
      <c r="H181" s="32">
        <f>IFERROR(IF(ISNUMBER('Beginner Adv 15M - Bracket'!CS16),'Beginner Adv 15M - Bracket'!CS16,0),0)</f>
        <v>0</v>
      </c>
      <c r="I181" s="91" t="str">
        <f>IF(AND(ISNUMBER('Beginner Adv 15M - Bracket'!CS16),ISNUMBER('Beginner Adv 15M - Bracket'!CS18)),IF('Beginner Adv 15M - Bracket'!CS16&gt;'Beginner Adv 15M - Bracket'!CS18,"2-0",IF('Beginner Adv 15M - Bracket'!CS16='Beginner Adv 15M - Bracket'!CS18,"1-1","0-2")),"—")</f>
        <v>—</v>
      </c>
      <c r="J181" s="32">
        <f>IFERROR(IF(ISNUMBER('Beginner Adv 15M - Bracket'!CS18),'Beginner Adv 15M - Bracket'!CS18,0),0)</f>
        <v>0</v>
      </c>
      <c r="K181" s="90" t="str">
        <f>IFERROR(IF('Beginner Adv 15M - Bracket'!CR18="","",'Beginner Adv 15M - Bracket'!CR18),"")</f>
        <v/>
      </c>
      <c r="L181" s="90" t="str">
        <f>IFERROR(IF('Beginner Adv 15M - Bracket'!CQ18="","",'Beginner Adv 15M - Bracket'!CQ18),"")</f>
        <v/>
      </c>
      <c r="M181" s="90" t="str">
        <f>IFERROR(IF('Beginner Adv 15M - Bracket'!CP18="","",'Beginner Adv 15M - Bracket'!CP18),"")</f>
        <v/>
      </c>
      <c r="N181" s="90" t="str">
        <f>IFERROR(IF('Beginner Adv 15M - Bracket'!CO18="","",'Beginner Adv 15M - Bracket'!CO18),"")</f>
        <v/>
      </c>
      <c r="O181" s="90" t="str">
        <f>IFERROR(IF('Beginner Adv 15M - Bracket'!CN18="","",'Beginner Adv 15M - Bracket'!CN18),"")</f>
        <v/>
      </c>
      <c r="P181" s="90" t="str">
        <f>IFERROR(IF('Beginner Adv 15M - Bracket'!CM18="","",'Beginner Adv 15M - Bracket'!CM18),"")</f>
        <v/>
      </c>
      <c r="Q181" s="84" t="s">
        <v>228</v>
      </c>
    </row>
    <row r="182" spans="1:17" ht="21.75" customHeight="1" x14ac:dyDescent="0.35">
      <c r="A182" s="92" t="s">
        <v>237</v>
      </c>
      <c r="B182" s="93" t="str">
        <f>IFERROR(IF('Beginner Adv 15M - Bracket'!CT16="","",'Beginner Adv 15M - Bracket'!CT16),"")</f>
        <v/>
      </c>
      <c r="C182" s="93" t="str">
        <f>IFERROR(IF('Beginner Adv 15M - Bracket'!CU16="","",'Beginner Adv 15M - Bracket'!CU16),"")</f>
        <v/>
      </c>
      <c r="D182" s="93" t="str">
        <f>IFERROR(IF('Beginner Adv 15M - Bracket'!CV16="","",'Beginner Adv 15M - Bracket'!CV16),"")</f>
        <v/>
      </c>
      <c r="E182" s="93" t="str">
        <f>IFERROR(IF('Beginner Adv 15M - Bracket'!CW16="","",'Beginner Adv 15M - Bracket'!CW16),"")</f>
        <v/>
      </c>
      <c r="F182" s="93" t="str">
        <f>IFERROR(IF('Beginner Adv 15M - Bracket'!CX16="","",'Beginner Adv 15M - Bracket'!CX16),"")</f>
        <v/>
      </c>
      <c r="G182" s="93" t="str">
        <f>IFERROR(IF('Beginner Adv 15M - Bracket'!CY16="","",'Beginner Adv 15M - Bracket'!CY16),"")</f>
        <v/>
      </c>
      <c r="H182" s="32">
        <f>IFERROR(IF(ISNUMBER('Beginner Adv 15M - Bracket'!CZ16),'Beginner Adv 15M - Bracket'!CZ16,0),0)</f>
        <v>0</v>
      </c>
      <c r="I182" s="91" t="str">
        <f>IF(AND(ISNUMBER('Beginner Adv 15M - Bracket'!CZ16),ISNUMBER('Beginner Adv 15M - Bracket'!CZ18)),IF('Beginner Adv 15M - Bracket'!CZ16&gt;'Beginner Adv 15M - Bracket'!CZ18,"2-0",IF('Beginner Adv 15M - Bracket'!CZ16='Beginner Adv 15M - Bracket'!CZ18,"1-1","0-2")),"—")</f>
        <v>—</v>
      </c>
      <c r="J182" s="32">
        <f>IFERROR(IF(ISNUMBER('Beginner Adv 15M - Bracket'!CZ18),'Beginner Adv 15M - Bracket'!CZ18,0),0)</f>
        <v>0</v>
      </c>
      <c r="K182" s="93" t="str">
        <f>IFERROR(IF('Beginner Adv 15M - Bracket'!CY18="","",'Beginner Adv 15M - Bracket'!CY18),"")</f>
        <v/>
      </c>
      <c r="L182" s="93" t="str">
        <f>IFERROR(IF('Beginner Adv 15M - Bracket'!CX18="","",'Beginner Adv 15M - Bracket'!CX18),"")</f>
        <v/>
      </c>
      <c r="M182" s="93" t="str">
        <f>IFERROR(IF('Beginner Adv 15M - Bracket'!CW18="","",'Beginner Adv 15M - Bracket'!CW18),"")</f>
        <v/>
      </c>
      <c r="N182" s="93" t="str">
        <f>IFERROR(IF('Beginner Adv 15M - Bracket'!CV18="","",'Beginner Adv 15M - Bracket'!CV18),"")</f>
        <v/>
      </c>
      <c r="O182" s="93" t="str">
        <f>IFERROR(IF('Beginner Adv 15M - Bracket'!CU18="","",'Beginner Adv 15M - Bracket'!CU18),"")</f>
        <v/>
      </c>
      <c r="P182" s="93" t="str">
        <f>IFERROR(IF('Beginner Adv 15M - Bracket'!CT18="","",'Beginner Adv 15M - Bracket'!CT18),"")</f>
        <v/>
      </c>
      <c r="Q182" s="92" t="s">
        <v>237</v>
      </c>
    </row>
    <row r="183" spans="1:17" ht="4.5" customHeight="1" x14ac:dyDescent="0.35"/>
    <row r="184" spans="1:17" ht="31.5" customHeight="1" x14ac:dyDescent="0.35">
      <c r="A184" s="130">
        <f>IFERROR(IF(ISNUMBER('Beginner Adv 15M - Bracket'!DA16),'Beginner Adv 15M - Bracket'!DA16,0),0)</f>
        <v>0</v>
      </c>
      <c r="B184" s="130"/>
      <c r="C184" s="130"/>
      <c r="D184" s="130"/>
      <c r="E184" s="130"/>
      <c r="F184" s="130"/>
      <c r="G184" s="130"/>
      <c r="H184" s="94" t="str">
        <f>IFERROR('Beginner Adv 15M - Bracket'!DD16,"")</f>
        <v>&gt;&gt; Advance</v>
      </c>
      <c r="I184" s="86"/>
      <c r="J184" s="94" t="str">
        <f>IFERROR('Beginner Adv 15M - Bracket'!DD18,"")</f>
        <v>&gt;&gt; Advance</v>
      </c>
      <c r="K184" s="130">
        <f>IFERROR(IF(ISNUMBER('Beginner Adv 15M - Bracket'!DA18),'Beginner Adv 15M - Bracket'!DA18,0),0)</f>
        <v>0</v>
      </c>
      <c r="L184" s="130"/>
      <c r="M184" s="130"/>
      <c r="N184" s="130"/>
      <c r="O184" s="130"/>
      <c r="P184" s="130"/>
      <c r="Q184" s="130"/>
    </row>
    <row r="185" spans="1:17" ht="21.75" customHeight="1" x14ac:dyDescent="0.35">
      <c r="A185" s="130"/>
      <c r="B185" s="130"/>
      <c r="C185" s="130"/>
      <c r="D185" s="130"/>
      <c r="E185" s="130"/>
      <c r="F185" s="130"/>
      <c r="G185" s="130"/>
      <c r="K185" s="130"/>
      <c r="L185" s="130"/>
      <c r="M185" s="130"/>
      <c r="N185" s="130"/>
      <c r="O185" s="130"/>
      <c r="P185" s="130"/>
      <c r="Q185" s="130"/>
    </row>
    <row r="186" spans="1:17" ht="4.5" customHeight="1" x14ac:dyDescent="0.35"/>
    <row r="187" spans="1:17" ht="12" customHeight="1" x14ac:dyDescent="0.35">
      <c r="A187" s="126"/>
      <c r="B187" s="126"/>
      <c r="C187" s="126"/>
      <c r="D187" s="126"/>
      <c r="E187" s="126"/>
      <c r="F187" s="126"/>
      <c r="G187" s="126"/>
      <c r="H187" s="126"/>
      <c r="I187" s="126"/>
      <c r="J187" s="126"/>
      <c r="K187" s="126"/>
      <c r="L187" s="126"/>
      <c r="M187" s="126"/>
      <c r="N187" s="126"/>
      <c r="O187" s="126"/>
      <c r="P187" s="126"/>
      <c r="Q187" s="126"/>
    </row>
    <row r="188" spans="1:17" ht="7.5" customHeight="1" x14ac:dyDescent="0.35"/>
    <row r="189" spans="1:17" ht="19.5" customHeight="1" x14ac:dyDescent="0.35">
      <c r="A189" s="131" t="s">
        <v>248</v>
      </c>
      <c r="B189" s="131"/>
      <c r="C189" s="131"/>
      <c r="D189" s="131"/>
      <c r="E189" s="131"/>
      <c r="F189" s="131"/>
      <c r="G189" s="131"/>
      <c r="H189" s="131"/>
      <c r="I189" s="131"/>
      <c r="J189" s="131"/>
      <c r="K189" s="131"/>
      <c r="L189" s="131"/>
      <c r="M189" s="131"/>
      <c r="N189" s="131"/>
      <c r="O189" s="131"/>
      <c r="P189" s="131"/>
      <c r="Q189" s="131"/>
    </row>
    <row r="190" spans="1:17" ht="4.5" customHeight="1" x14ac:dyDescent="0.35"/>
    <row r="191" spans="1:17" ht="21.75" customHeight="1" x14ac:dyDescent="0.35">
      <c r="A191" s="84" t="s">
        <v>232</v>
      </c>
      <c r="B191" s="128" t="str">
        <f>IFERROR(IF('Beginner Adv 15M - Bracket'!BE21="","TBD",'Beginner Adv 15M - Bracket'!BE21),"TBD")</f>
        <v>TBD</v>
      </c>
      <c r="C191" s="128"/>
      <c r="D191" s="128"/>
      <c r="E191" s="128"/>
      <c r="F191" s="128"/>
      <c r="G191" s="128"/>
      <c r="H191" s="128"/>
      <c r="I191" s="84" t="s">
        <v>233</v>
      </c>
      <c r="J191" s="128" t="str">
        <f>IFERROR(IF('Beginner Adv 15M - Bracket'!BE23="","TBD",'Beginner Adv 15M - Bracket'!BE23),"TBD")</f>
        <v>TBD</v>
      </c>
      <c r="K191" s="128"/>
      <c r="L191" s="128"/>
      <c r="M191" s="128"/>
      <c r="N191" s="128"/>
      <c r="O191" s="128"/>
      <c r="P191" s="128"/>
      <c r="Q191" s="84" t="s">
        <v>232</v>
      </c>
    </row>
    <row r="192" spans="1:17" ht="13.5" customHeight="1" x14ac:dyDescent="0.35">
      <c r="A192" s="85" t="s">
        <v>234</v>
      </c>
      <c r="B192" s="129" t="str">
        <f>IFERROR('Beginner Adv 15M - Bracket'!BD21,"")</f>
        <v>"W-R16M7"</v>
      </c>
      <c r="C192" s="129"/>
      <c r="D192" s="129"/>
      <c r="E192" s="129"/>
      <c r="F192" s="129"/>
      <c r="G192" s="129"/>
      <c r="H192" s="129"/>
      <c r="I192" s="86"/>
      <c r="J192" s="129" t="str">
        <f>IFERROR('Beginner Adv 15M - Bracket'!BD23,"")</f>
        <v>"W-R16M8"</v>
      </c>
      <c r="K192" s="129"/>
      <c r="L192" s="129"/>
      <c r="M192" s="129"/>
      <c r="N192" s="129"/>
      <c r="O192" s="129"/>
      <c r="P192" s="129"/>
      <c r="Q192" s="85" t="s">
        <v>234</v>
      </c>
    </row>
    <row r="193" spans="1:17" ht="19.5" customHeight="1" x14ac:dyDescent="0.35">
      <c r="A193" s="87" t="s">
        <v>235</v>
      </c>
      <c r="B193" s="88" t="s">
        <v>83</v>
      </c>
      <c r="C193" s="88" t="s">
        <v>84</v>
      </c>
      <c r="D193" s="88" t="s">
        <v>85</v>
      </c>
      <c r="E193" s="88" t="s">
        <v>86</v>
      </c>
      <c r="F193" s="88" t="s">
        <v>87</v>
      </c>
      <c r="G193" s="88" t="s">
        <v>88</v>
      </c>
      <c r="H193" s="24" t="s">
        <v>236</v>
      </c>
      <c r="I193" s="89"/>
      <c r="J193" s="24" t="s">
        <v>236</v>
      </c>
      <c r="K193" s="88" t="s">
        <v>88</v>
      </c>
      <c r="L193" s="88" t="s">
        <v>87</v>
      </c>
      <c r="M193" s="88" t="s">
        <v>86</v>
      </c>
      <c r="N193" s="88" t="s">
        <v>85</v>
      </c>
      <c r="O193" s="88" t="s">
        <v>84</v>
      </c>
      <c r="P193" s="88" t="s">
        <v>83</v>
      </c>
      <c r="Q193" s="87" t="s">
        <v>235</v>
      </c>
    </row>
    <row r="194" spans="1:17" ht="21.75" customHeight="1" x14ac:dyDescent="0.35">
      <c r="A194" s="84" t="s">
        <v>222</v>
      </c>
      <c r="B194" s="90" t="str">
        <f>IFERROR(IF('Beginner Adv 15M - Bracket'!BK21="","",'Beginner Adv 15M - Bracket'!BK21),"")</f>
        <v/>
      </c>
      <c r="C194" s="90" t="str">
        <f>IFERROR(IF('Beginner Adv 15M - Bracket'!BL21="","",'Beginner Adv 15M - Bracket'!BL21),"")</f>
        <v/>
      </c>
      <c r="D194" s="90" t="str">
        <f>IFERROR(IF('Beginner Adv 15M - Bracket'!BM21="","",'Beginner Adv 15M - Bracket'!BM21),"")</f>
        <v/>
      </c>
      <c r="E194" s="90" t="str">
        <f>IFERROR(IF('Beginner Adv 15M - Bracket'!BN21="","",'Beginner Adv 15M - Bracket'!BN21),"")</f>
        <v/>
      </c>
      <c r="F194" s="90" t="str">
        <f>IFERROR(IF('Beginner Adv 15M - Bracket'!BO21="","",'Beginner Adv 15M - Bracket'!BO21),"")</f>
        <v/>
      </c>
      <c r="G194" s="90" t="str">
        <f>IFERROR(IF('Beginner Adv 15M - Bracket'!BP21="","",'Beginner Adv 15M - Bracket'!BP21),"")</f>
        <v/>
      </c>
      <c r="H194" s="32">
        <f>IFERROR(IF(ISNUMBER('Beginner Adv 15M - Bracket'!BQ21),'Beginner Adv 15M - Bracket'!BQ21,0),0)</f>
        <v>0</v>
      </c>
      <c r="I194" s="91" t="str">
        <f>IF(AND(ISNUMBER('Beginner Adv 15M - Bracket'!BQ21),ISNUMBER('Beginner Adv 15M - Bracket'!BQ23)),IF('Beginner Adv 15M - Bracket'!BQ21&gt;'Beginner Adv 15M - Bracket'!BQ23,"2-0",IF('Beginner Adv 15M - Bracket'!BQ21='Beginner Adv 15M - Bracket'!BQ23,"1-1","0-2")),"—")</f>
        <v>—</v>
      </c>
      <c r="J194" s="32">
        <f>IFERROR(IF(ISNUMBER('Beginner Adv 15M - Bracket'!BQ23),'Beginner Adv 15M - Bracket'!BQ23,0),0)</f>
        <v>0</v>
      </c>
      <c r="K194" s="90" t="str">
        <f>IFERROR(IF('Beginner Adv 15M - Bracket'!BP23="","",'Beginner Adv 15M - Bracket'!BP23),"")</f>
        <v/>
      </c>
      <c r="L194" s="90" t="str">
        <f>IFERROR(IF('Beginner Adv 15M - Bracket'!BO23="","",'Beginner Adv 15M - Bracket'!BO23),"")</f>
        <v/>
      </c>
      <c r="M194" s="90" t="str">
        <f>IFERROR(IF('Beginner Adv 15M - Bracket'!BN23="","",'Beginner Adv 15M - Bracket'!BN23),"")</f>
        <v/>
      </c>
      <c r="N194" s="90" t="str">
        <f>IFERROR(IF('Beginner Adv 15M - Bracket'!BM23="","",'Beginner Adv 15M - Bracket'!BM23),"")</f>
        <v/>
      </c>
      <c r="O194" s="90" t="str">
        <f>IFERROR(IF('Beginner Adv 15M - Bracket'!BL23="","",'Beginner Adv 15M - Bracket'!BL23),"")</f>
        <v/>
      </c>
      <c r="P194" s="90" t="str">
        <f>IFERROR(IF('Beginner Adv 15M - Bracket'!BK23="","",'Beginner Adv 15M - Bracket'!BK23),"")</f>
        <v/>
      </c>
      <c r="Q194" s="84" t="s">
        <v>222</v>
      </c>
    </row>
    <row r="195" spans="1:17" ht="21.75" customHeight="1" x14ac:dyDescent="0.35">
      <c r="A195" s="84" t="s">
        <v>223</v>
      </c>
      <c r="B195" s="90" t="str">
        <f>IFERROR(IF('Beginner Adv 15M - Bracket'!BR21="","",'Beginner Adv 15M - Bracket'!BR21),"")</f>
        <v/>
      </c>
      <c r="C195" s="90" t="str">
        <f>IFERROR(IF('Beginner Adv 15M - Bracket'!BS21="","",'Beginner Adv 15M - Bracket'!BS21),"")</f>
        <v/>
      </c>
      <c r="D195" s="90" t="str">
        <f>IFERROR(IF('Beginner Adv 15M - Bracket'!BT21="","",'Beginner Adv 15M - Bracket'!BT21),"")</f>
        <v/>
      </c>
      <c r="E195" s="90" t="str">
        <f>IFERROR(IF('Beginner Adv 15M - Bracket'!BU21="","",'Beginner Adv 15M - Bracket'!BU21),"")</f>
        <v/>
      </c>
      <c r="F195" s="90" t="str">
        <f>IFERROR(IF('Beginner Adv 15M - Bracket'!BV21="","",'Beginner Adv 15M - Bracket'!BV21),"")</f>
        <v/>
      </c>
      <c r="G195" s="90" t="str">
        <f>IFERROR(IF('Beginner Adv 15M - Bracket'!BW21="","",'Beginner Adv 15M - Bracket'!BW21),"")</f>
        <v/>
      </c>
      <c r="H195" s="32">
        <f>IFERROR(IF(ISNUMBER('Beginner Adv 15M - Bracket'!BX21),'Beginner Adv 15M - Bracket'!BX21,0),0)</f>
        <v>0</v>
      </c>
      <c r="I195" s="91" t="str">
        <f>IF(AND(ISNUMBER('Beginner Adv 15M - Bracket'!BX21),ISNUMBER('Beginner Adv 15M - Bracket'!BX23)),IF('Beginner Adv 15M - Bracket'!BX21&gt;'Beginner Adv 15M - Bracket'!BX23,"2-0",IF('Beginner Adv 15M - Bracket'!BX21='Beginner Adv 15M - Bracket'!BX23,"1-1","0-2")),"—")</f>
        <v>—</v>
      </c>
      <c r="J195" s="32">
        <f>IFERROR(IF(ISNUMBER('Beginner Adv 15M - Bracket'!BX23),'Beginner Adv 15M - Bracket'!BX23,0),0)</f>
        <v>0</v>
      </c>
      <c r="K195" s="90" t="str">
        <f>IFERROR(IF('Beginner Adv 15M - Bracket'!BW23="","",'Beginner Adv 15M - Bracket'!BW23),"")</f>
        <v/>
      </c>
      <c r="L195" s="90" t="str">
        <f>IFERROR(IF('Beginner Adv 15M - Bracket'!BV23="","",'Beginner Adv 15M - Bracket'!BV23),"")</f>
        <v/>
      </c>
      <c r="M195" s="90" t="str">
        <f>IFERROR(IF('Beginner Adv 15M - Bracket'!BU23="","",'Beginner Adv 15M - Bracket'!BU23),"")</f>
        <v/>
      </c>
      <c r="N195" s="90" t="str">
        <f>IFERROR(IF('Beginner Adv 15M - Bracket'!BT23="","",'Beginner Adv 15M - Bracket'!BT23),"")</f>
        <v/>
      </c>
      <c r="O195" s="90" t="str">
        <f>IFERROR(IF('Beginner Adv 15M - Bracket'!BS23="","",'Beginner Adv 15M - Bracket'!BS23),"")</f>
        <v/>
      </c>
      <c r="P195" s="90" t="str">
        <f>IFERROR(IF('Beginner Adv 15M - Bracket'!BR23="","",'Beginner Adv 15M - Bracket'!BR23),"")</f>
        <v/>
      </c>
      <c r="Q195" s="84" t="s">
        <v>223</v>
      </c>
    </row>
    <row r="196" spans="1:17" ht="21.75" customHeight="1" x14ac:dyDescent="0.35">
      <c r="A196" s="84" t="s">
        <v>224</v>
      </c>
      <c r="B196" s="90" t="str">
        <f>IFERROR(IF('Beginner Adv 15M - Bracket'!BY21="","",'Beginner Adv 15M - Bracket'!BY21),"")</f>
        <v/>
      </c>
      <c r="C196" s="90" t="str">
        <f>IFERROR(IF('Beginner Adv 15M - Bracket'!BZ21="","",'Beginner Adv 15M - Bracket'!BZ21),"")</f>
        <v/>
      </c>
      <c r="D196" s="90" t="str">
        <f>IFERROR(IF('Beginner Adv 15M - Bracket'!CA21="","",'Beginner Adv 15M - Bracket'!CA21),"")</f>
        <v/>
      </c>
      <c r="E196" s="90" t="str">
        <f>IFERROR(IF('Beginner Adv 15M - Bracket'!CB21="","",'Beginner Adv 15M - Bracket'!CB21),"")</f>
        <v/>
      </c>
      <c r="F196" s="90" t="str">
        <f>IFERROR(IF('Beginner Adv 15M - Bracket'!CC21="","",'Beginner Adv 15M - Bracket'!CC21),"")</f>
        <v/>
      </c>
      <c r="G196" s="90" t="str">
        <f>IFERROR(IF('Beginner Adv 15M - Bracket'!CD21="","",'Beginner Adv 15M - Bracket'!CD21),"")</f>
        <v/>
      </c>
      <c r="H196" s="32">
        <f>IFERROR(IF(ISNUMBER('Beginner Adv 15M - Bracket'!CE21),'Beginner Adv 15M - Bracket'!CE21,0),0)</f>
        <v>0</v>
      </c>
      <c r="I196" s="91" t="str">
        <f>IF(AND(ISNUMBER('Beginner Adv 15M - Bracket'!CE21),ISNUMBER('Beginner Adv 15M - Bracket'!CE23)),IF('Beginner Adv 15M - Bracket'!CE21&gt;'Beginner Adv 15M - Bracket'!CE23,"2-0",IF('Beginner Adv 15M - Bracket'!CE21='Beginner Adv 15M - Bracket'!CE23,"1-1","0-2")),"—")</f>
        <v>—</v>
      </c>
      <c r="J196" s="32">
        <f>IFERROR(IF(ISNUMBER('Beginner Adv 15M - Bracket'!CE23),'Beginner Adv 15M - Bracket'!CE23,0),0)</f>
        <v>0</v>
      </c>
      <c r="K196" s="90" t="str">
        <f>IFERROR(IF('Beginner Adv 15M - Bracket'!CD23="","",'Beginner Adv 15M - Bracket'!CD23),"")</f>
        <v/>
      </c>
      <c r="L196" s="90" t="str">
        <f>IFERROR(IF('Beginner Adv 15M - Bracket'!CC23="","",'Beginner Adv 15M - Bracket'!CC23),"")</f>
        <v/>
      </c>
      <c r="M196" s="90" t="str">
        <f>IFERROR(IF('Beginner Adv 15M - Bracket'!CB23="","",'Beginner Adv 15M - Bracket'!CB23),"")</f>
        <v/>
      </c>
      <c r="N196" s="90" t="str">
        <f>IFERROR(IF('Beginner Adv 15M - Bracket'!CA23="","",'Beginner Adv 15M - Bracket'!CA23),"")</f>
        <v/>
      </c>
      <c r="O196" s="90" t="str">
        <f>IFERROR(IF('Beginner Adv 15M - Bracket'!BZ23="","",'Beginner Adv 15M - Bracket'!BZ23),"")</f>
        <v/>
      </c>
      <c r="P196" s="90" t="str">
        <f>IFERROR(IF('Beginner Adv 15M - Bracket'!BY23="","",'Beginner Adv 15M - Bracket'!BY23),"")</f>
        <v/>
      </c>
      <c r="Q196" s="84" t="s">
        <v>224</v>
      </c>
    </row>
    <row r="197" spans="1:17" ht="21.75" customHeight="1" x14ac:dyDescent="0.35">
      <c r="A197" s="84" t="s">
        <v>227</v>
      </c>
      <c r="B197" s="90" t="str">
        <f>IFERROR(IF('Beginner Adv 15M - Bracket'!CF21="","",'Beginner Adv 15M - Bracket'!CF21),"")</f>
        <v/>
      </c>
      <c r="C197" s="90" t="str">
        <f>IFERROR(IF('Beginner Adv 15M - Bracket'!CG21="","",'Beginner Adv 15M - Bracket'!CG21),"")</f>
        <v/>
      </c>
      <c r="D197" s="90" t="str">
        <f>IFERROR(IF('Beginner Adv 15M - Bracket'!CH21="","",'Beginner Adv 15M - Bracket'!CH21),"")</f>
        <v/>
      </c>
      <c r="E197" s="90" t="str">
        <f>IFERROR(IF('Beginner Adv 15M - Bracket'!CI21="","",'Beginner Adv 15M - Bracket'!CI21),"")</f>
        <v/>
      </c>
      <c r="F197" s="90" t="str">
        <f>IFERROR(IF('Beginner Adv 15M - Bracket'!CJ21="","",'Beginner Adv 15M - Bracket'!CJ21),"")</f>
        <v/>
      </c>
      <c r="G197" s="90" t="str">
        <f>IFERROR(IF('Beginner Adv 15M - Bracket'!CK21="","",'Beginner Adv 15M - Bracket'!CK21),"")</f>
        <v/>
      </c>
      <c r="H197" s="32">
        <f>IFERROR(IF(ISNUMBER('Beginner Adv 15M - Bracket'!CL21),'Beginner Adv 15M - Bracket'!CL21,0),0)</f>
        <v>0</v>
      </c>
      <c r="I197" s="91" t="str">
        <f>IF(AND(ISNUMBER('Beginner Adv 15M - Bracket'!CL21),ISNUMBER('Beginner Adv 15M - Bracket'!CL23)),IF('Beginner Adv 15M - Bracket'!CL21&gt;'Beginner Adv 15M - Bracket'!CL23,"2-0",IF('Beginner Adv 15M - Bracket'!CL21='Beginner Adv 15M - Bracket'!CL23,"1-1","0-2")),"—")</f>
        <v>—</v>
      </c>
      <c r="J197" s="32">
        <f>IFERROR(IF(ISNUMBER('Beginner Adv 15M - Bracket'!CL23),'Beginner Adv 15M - Bracket'!CL23,0),0)</f>
        <v>0</v>
      </c>
      <c r="K197" s="90" t="str">
        <f>IFERROR(IF('Beginner Adv 15M - Bracket'!CK23="","",'Beginner Adv 15M - Bracket'!CK23),"")</f>
        <v/>
      </c>
      <c r="L197" s="90" t="str">
        <f>IFERROR(IF('Beginner Adv 15M - Bracket'!CJ23="","",'Beginner Adv 15M - Bracket'!CJ23),"")</f>
        <v/>
      </c>
      <c r="M197" s="90" t="str">
        <f>IFERROR(IF('Beginner Adv 15M - Bracket'!CI23="","",'Beginner Adv 15M - Bracket'!CI23),"")</f>
        <v/>
      </c>
      <c r="N197" s="90" t="str">
        <f>IFERROR(IF('Beginner Adv 15M - Bracket'!CH23="","",'Beginner Adv 15M - Bracket'!CH23),"")</f>
        <v/>
      </c>
      <c r="O197" s="90" t="str">
        <f>IFERROR(IF('Beginner Adv 15M - Bracket'!CG23="","",'Beginner Adv 15M - Bracket'!CG23),"")</f>
        <v/>
      </c>
      <c r="P197" s="90" t="str">
        <f>IFERROR(IF('Beginner Adv 15M - Bracket'!CF23="","",'Beginner Adv 15M - Bracket'!CF23),"")</f>
        <v/>
      </c>
      <c r="Q197" s="84" t="s">
        <v>227</v>
      </c>
    </row>
    <row r="198" spans="1:17" ht="21.75" customHeight="1" x14ac:dyDescent="0.35">
      <c r="A198" s="84" t="s">
        <v>228</v>
      </c>
      <c r="B198" s="90" t="str">
        <f>IFERROR(IF('Beginner Adv 15M - Bracket'!CM21="","",'Beginner Adv 15M - Bracket'!CM21),"")</f>
        <v/>
      </c>
      <c r="C198" s="90" t="str">
        <f>IFERROR(IF('Beginner Adv 15M - Bracket'!CN21="","",'Beginner Adv 15M - Bracket'!CN21),"")</f>
        <v/>
      </c>
      <c r="D198" s="90" t="str">
        <f>IFERROR(IF('Beginner Adv 15M - Bracket'!CO21="","",'Beginner Adv 15M - Bracket'!CO21),"")</f>
        <v/>
      </c>
      <c r="E198" s="90" t="str">
        <f>IFERROR(IF('Beginner Adv 15M - Bracket'!CP21="","",'Beginner Adv 15M - Bracket'!CP21),"")</f>
        <v/>
      </c>
      <c r="F198" s="90" t="str">
        <f>IFERROR(IF('Beginner Adv 15M - Bracket'!CQ21="","",'Beginner Adv 15M - Bracket'!CQ21),"")</f>
        <v/>
      </c>
      <c r="G198" s="90" t="str">
        <f>IFERROR(IF('Beginner Adv 15M - Bracket'!CR21="","",'Beginner Adv 15M - Bracket'!CR21),"")</f>
        <v/>
      </c>
      <c r="H198" s="32">
        <f>IFERROR(IF(ISNUMBER('Beginner Adv 15M - Bracket'!CS21),'Beginner Adv 15M - Bracket'!CS21,0),0)</f>
        <v>0</v>
      </c>
      <c r="I198" s="91" t="str">
        <f>IF(AND(ISNUMBER('Beginner Adv 15M - Bracket'!CS21),ISNUMBER('Beginner Adv 15M - Bracket'!CS23)),IF('Beginner Adv 15M - Bracket'!CS21&gt;'Beginner Adv 15M - Bracket'!CS23,"2-0",IF('Beginner Adv 15M - Bracket'!CS21='Beginner Adv 15M - Bracket'!CS23,"1-1","0-2")),"—")</f>
        <v>—</v>
      </c>
      <c r="J198" s="32">
        <f>IFERROR(IF(ISNUMBER('Beginner Adv 15M - Bracket'!CS23),'Beginner Adv 15M - Bracket'!CS23,0),0)</f>
        <v>0</v>
      </c>
      <c r="K198" s="90" t="str">
        <f>IFERROR(IF('Beginner Adv 15M - Bracket'!CR23="","",'Beginner Adv 15M - Bracket'!CR23),"")</f>
        <v/>
      </c>
      <c r="L198" s="90" t="str">
        <f>IFERROR(IF('Beginner Adv 15M - Bracket'!CQ23="","",'Beginner Adv 15M - Bracket'!CQ23),"")</f>
        <v/>
      </c>
      <c r="M198" s="90" t="str">
        <f>IFERROR(IF('Beginner Adv 15M - Bracket'!CP23="","",'Beginner Adv 15M - Bracket'!CP23),"")</f>
        <v/>
      </c>
      <c r="N198" s="90" t="str">
        <f>IFERROR(IF('Beginner Adv 15M - Bracket'!CO23="","",'Beginner Adv 15M - Bracket'!CO23),"")</f>
        <v/>
      </c>
      <c r="O198" s="90" t="str">
        <f>IFERROR(IF('Beginner Adv 15M - Bracket'!CN23="","",'Beginner Adv 15M - Bracket'!CN23),"")</f>
        <v/>
      </c>
      <c r="P198" s="90" t="str">
        <f>IFERROR(IF('Beginner Adv 15M - Bracket'!CM23="","",'Beginner Adv 15M - Bracket'!CM23),"")</f>
        <v/>
      </c>
      <c r="Q198" s="84" t="s">
        <v>228</v>
      </c>
    </row>
    <row r="199" spans="1:17" ht="21.75" customHeight="1" x14ac:dyDescent="0.35">
      <c r="A199" s="92" t="s">
        <v>237</v>
      </c>
      <c r="B199" s="93" t="str">
        <f>IFERROR(IF('Beginner Adv 15M - Bracket'!CT21="","",'Beginner Adv 15M - Bracket'!CT21),"")</f>
        <v/>
      </c>
      <c r="C199" s="93" t="str">
        <f>IFERROR(IF('Beginner Adv 15M - Bracket'!CU21="","",'Beginner Adv 15M - Bracket'!CU21),"")</f>
        <v/>
      </c>
      <c r="D199" s="93" t="str">
        <f>IFERROR(IF('Beginner Adv 15M - Bracket'!CV21="","",'Beginner Adv 15M - Bracket'!CV21),"")</f>
        <v/>
      </c>
      <c r="E199" s="93" t="str">
        <f>IFERROR(IF('Beginner Adv 15M - Bracket'!CW21="","",'Beginner Adv 15M - Bracket'!CW21),"")</f>
        <v/>
      </c>
      <c r="F199" s="93" t="str">
        <f>IFERROR(IF('Beginner Adv 15M - Bracket'!CX21="","",'Beginner Adv 15M - Bracket'!CX21),"")</f>
        <v/>
      </c>
      <c r="G199" s="93" t="str">
        <f>IFERROR(IF('Beginner Adv 15M - Bracket'!CY21="","",'Beginner Adv 15M - Bracket'!CY21),"")</f>
        <v/>
      </c>
      <c r="H199" s="32">
        <f>IFERROR(IF(ISNUMBER('Beginner Adv 15M - Bracket'!CZ21),'Beginner Adv 15M - Bracket'!CZ21,0),0)</f>
        <v>0</v>
      </c>
      <c r="I199" s="91" t="str">
        <f>IF(AND(ISNUMBER('Beginner Adv 15M - Bracket'!CZ21),ISNUMBER('Beginner Adv 15M - Bracket'!CZ23)),IF('Beginner Adv 15M - Bracket'!CZ21&gt;'Beginner Adv 15M - Bracket'!CZ23,"2-0",IF('Beginner Adv 15M - Bracket'!CZ21='Beginner Adv 15M - Bracket'!CZ23,"1-1","0-2")),"—")</f>
        <v>—</v>
      </c>
      <c r="J199" s="32">
        <f>IFERROR(IF(ISNUMBER('Beginner Adv 15M - Bracket'!CZ23),'Beginner Adv 15M - Bracket'!CZ23,0),0)</f>
        <v>0</v>
      </c>
      <c r="K199" s="93" t="str">
        <f>IFERROR(IF('Beginner Adv 15M - Bracket'!CY23="","",'Beginner Adv 15M - Bracket'!CY23),"")</f>
        <v/>
      </c>
      <c r="L199" s="93" t="str">
        <f>IFERROR(IF('Beginner Adv 15M - Bracket'!CX23="","",'Beginner Adv 15M - Bracket'!CX23),"")</f>
        <v/>
      </c>
      <c r="M199" s="93" t="str">
        <f>IFERROR(IF('Beginner Adv 15M - Bracket'!CW23="","",'Beginner Adv 15M - Bracket'!CW23),"")</f>
        <v/>
      </c>
      <c r="N199" s="93" t="str">
        <f>IFERROR(IF('Beginner Adv 15M - Bracket'!CV23="","",'Beginner Adv 15M - Bracket'!CV23),"")</f>
        <v/>
      </c>
      <c r="O199" s="93" t="str">
        <f>IFERROR(IF('Beginner Adv 15M - Bracket'!CU23="","",'Beginner Adv 15M - Bracket'!CU23),"")</f>
        <v/>
      </c>
      <c r="P199" s="93" t="str">
        <f>IFERROR(IF('Beginner Adv 15M - Bracket'!CT23="","",'Beginner Adv 15M - Bracket'!CT23),"")</f>
        <v/>
      </c>
      <c r="Q199" s="92" t="s">
        <v>237</v>
      </c>
    </row>
    <row r="200" spans="1:17" ht="4.5" customHeight="1" x14ac:dyDescent="0.35"/>
    <row r="201" spans="1:17" ht="31.5" customHeight="1" x14ac:dyDescent="0.35">
      <c r="A201" s="130">
        <f>IFERROR(IF(ISNUMBER('Beginner Adv 15M - Bracket'!DA21),'Beginner Adv 15M - Bracket'!DA21,0),0)</f>
        <v>0</v>
      </c>
      <c r="B201" s="130"/>
      <c r="C201" s="130"/>
      <c r="D201" s="130"/>
      <c r="E201" s="130"/>
      <c r="F201" s="130"/>
      <c r="G201" s="130"/>
      <c r="H201" s="94" t="str">
        <f>IFERROR('Beginner Adv 15M - Bracket'!DD21,"")</f>
        <v>&gt;&gt; Advance</v>
      </c>
      <c r="I201" s="86"/>
      <c r="J201" s="94" t="str">
        <f>IFERROR('Beginner Adv 15M - Bracket'!DD23,"")</f>
        <v>&gt;&gt; Advance</v>
      </c>
      <c r="K201" s="130">
        <f>IFERROR(IF(ISNUMBER('Beginner Adv 15M - Bracket'!DA23),'Beginner Adv 15M - Bracket'!DA23,0),0)</f>
        <v>0</v>
      </c>
      <c r="L201" s="130"/>
      <c r="M201" s="130"/>
      <c r="N201" s="130"/>
      <c r="O201" s="130"/>
      <c r="P201" s="130"/>
      <c r="Q201" s="130"/>
    </row>
    <row r="202" spans="1:17" ht="21.75" customHeight="1" x14ac:dyDescent="0.35">
      <c r="A202" s="130"/>
      <c r="B202" s="130"/>
      <c r="C202" s="130"/>
      <c r="D202" s="130"/>
      <c r="E202" s="130"/>
      <c r="F202" s="130"/>
      <c r="G202" s="130"/>
      <c r="K202" s="130"/>
      <c r="L202" s="130"/>
      <c r="M202" s="130"/>
      <c r="N202" s="130"/>
      <c r="O202" s="130"/>
      <c r="P202" s="130"/>
      <c r="Q202" s="130"/>
    </row>
    <row r="203" spans="1:17" ht="4.5" customHeight="1" x14ac:dyDescent="0.35"/>
    <row r="204" spans="1:17" ht="12" customHeight="1" x14ac:dyDescent="0.35">
      <c r="A204" s="126"/>
      <c r="B204" s="126"/>
      <c r="C204" s="126"/>
      <c r="D204" s="126"/>
      <c r="E204" s="126"/>
      <c r="F204" s="126"/>
      <c r="G204" s="126"/>
      <c r="H204" s="126"/>
      <c r="I204" s="126"/>
      <c r="J204" s="126"/>
      <c r="K204" s="126"/>
      <c r="L204" s="126"/>
      <c r="M204" s="126"/>
      <c r="N204" s="126"/>
      <c r="O204" s="126"/>
      <c r="P204" s="126"/>
      <c r="Q204" s="126"/>
    </row>
    <row r="205" spans="1:17" ht="7.5" customHeight="1" x14ac:dyDescent="0.35"/>
    <row r="206" spans="1:17" ht="19.5" customHeight="1" x14ac:dyDescent="0.35">
      <c r="A206" s="132" t="s">
        <v>249</v>
      </c>
      <c r="B206" s="132"/>
      <c r="C206" s="132"/>
      <c r="D206" s="132"/>
      <c r="E206" s="132"/>
      <c r="F206" s="132"/>
      <c r="G206" s="132"/>
      <c r="H206" s="132"/>
      <c r="I206" s="132"/>
      <c r="J206" s="132"/>
      <c r="K206" s="132"/>
      <c r="L206" s="132"/>
      <c r="M206" s="132"/>
      <c r="N206" s="132"/>
      <c r="O206" s="132"/>
      <c r="P206" s="132"/>
      <c r="Q206" s="132"/>
    </row>
    <row r="207" spans="1:17" ht="4.5" customHeight="1" x14ac:dyDescent="0.35"/>
    <row r="208" spans="1:17" ht="21.75" customHeight="1" x14ac:dyDescent="0.35">
      <c r="A208" s="84" t="s">
        <v>232</v>
      </c>
      <c r="B208" s="128" t="str">
        <f>IFERROR(IF('Beginner Adv 15M - Bracket'!DH6="","TBD",'Beginner Adv 15M - Bracket'!DH6),"TBD")</f>
        <v>Sheena Marie Monico</v>
      </c>
      <c r="C208" s="128"/>
      <c r="D208" s="128"/>
      <c r="E208" s="128"/>
      <c r="F208" s="128"/>
      <c r="G208" s="128"/>
      <c r="H208" s="128"/>
      <c r="I208" s="84" t="s">
        <v>233</v>
      </c>
      <c r="J208" s="128" t="str">
        <f>IFERROR(IF('Beginner Adv 15M - Bracket'!DH8="","TBD",'Beginner Adv 15M - Bracket'!DH8),"TBD")</f>
        <v>TBD</v>
      </c>
      <c r="K208" s="128"/>
      <c r="L208" s="128"/>
      <c r="M208" s="128"/>
      <c r="N208" s="128"/>
      <c r="O208" s="128"/>
      <c r="P208" s="128"/>
      <c r="Q208" s="84" t="s">
        <v>232</v>
      </c>
    </row>
    <row r="209" spans="1:17" ht="13.5" customHeight="1" x14ac:dyDescent="0.35">
      <c r="A209" s="85" t="s">
        <v>234</v>
      </c>
      <c r="B209" s="129" t="str">
        <f>IFERROR('Beginner Adv 15M - Bracket'!DG6,"")</f>
        <v>"W-QF1"</v>
      </c>
      <c r="C209" s="129"/>
      <c r="D209" s="129"/>
      <c r="E209" s="129"/>
      <c r="F209" s="129"/>
      <c r="G209" s="129"/>
      <c r="H209" s="129"/>
      <c r="I209" s="86"/>
      <c r="J209" s="129" t="str">
        <f>IFERROR('Beginner Adv 15M - Bracket'!DG8,"")</f>
        <v>"W-QF2"</v>
      </c>
      <c r="K209" s="129"/>
      <c r="L209" s="129"/>
      <c r="M209" s="129"/>
      <c r="N209" s="129"/>
      <c r="O209" s="129"/>
      <c r="P209" s="129"/>
      <c r="Q209" s="85" t="s">
        <v>234</v>
      </c>
    </row>
    <row r="210" spans="1:17" ht="19.5" customHeight="1" x14ac:dyDescent="0.35">
      <c r="A210" s="87" t="s">
        <v>235</v>
      </c>
      <c r="B210" s="88" t="s">
        <v>83</v>
      </c>
      <c r="C210" s="88" t="s">
        <v>84</v>
      </c>
      <c r="D210" s="88" t="s">
        <v>85</v>
      </c>
      <c r="E210" s="88" t="s">
        <v>86</v>
      </c>
      <c r="F210" s="88" t="s">
        <v>87</v>
      </c>
      <c r="G210" s="88" t="s">
        <v>88</v>
      </c>
      <c r="H210" s="24" t="s">
        <v>236</v>
      </c>
      <c r="I210" s="89"/>
      <c r="J210" s="24" t="s">
        <v>236</v>
      </c>
      <c r="K210" s="88" t="s">
        <v>88</v>
      </c>
      <c r="L210" s="88" t="s">
        <v>87</v>
      </c>
      <c r="M210" s="88" t="s">
        <v>86</v>
      </c>
      <c r="N210" s="88" t="s">
        <v>85</v>
      </c>
      <c r="O210" s="88" t="s">
        <v>84</v>
      </c>
      <c r="P210" s="88" t="s">
        <v>83</v>
      </c>
      <c r="Q210" s="87" t="s">
        <v>235</v>
      </c>
    </row>
    <row r="211" spans="1:17" ht="21.75" customHeight="1" x14ac:dyDescent="0.35">
      <c r="A211" s="84" t="s">
        <v>222</v>
      </c>
      <c r="B211" s="90" t="str">
        <f>IFERROR(IF('Beginner Adv 15M - Bracket'!DN6="","",'Beginner Adv 15M - Bracket'!DN6),"")</f>
        <v/>
      </c>
      <c r="C211" s="90" t="str">
        <f>IFERROR(IF('Beginner Adv 15M - Bracket'!DO6="","",'Beginner Adv 15M - Bracket'!DO6),"")</f>
        <v/>
      </c>
      <c r="D211" s="90" t="str">
        <f>IFERROR(IF('Beginner Adv 15M - Bracket'!DP6="","",'Beginner Adv 15M - Bracket'!DP6),"")</f>
        <v/>
      </c>
      <c r="E211" s="90" t="str">
        <f>IFERROR(IF('Beginner Adv 15M - Bracket'!DQ6="","",'Beginner Adv 15M - Bracket'!DQ6),"")</f>
        <v/>
      </c>
      <c r="F211" s="90" t="str">
        <f>IFERROR(IF('Beginner Adv 15M - Bracket'!DR6="","",'Beginner Adv 15M - Bracket'!DR6),"")</f>
        <v/>
      </c>
      <c r="G211" s="90" t="str">
        <f>IFERROR(IF('Beginner Adv 15M - Bracket'!DS6="","",'Beginner Adv 15M - Bracket'!DS6),"")</f>
        <v/>
      </c>
      <c r="H211" s="32">
        <f>IFERROR(IF(ISNUMBER('Beginner Adv 15M - Bracket'!DT6),'Beginner Adv 15M - Bracket'!DT6,0),0)</f>
        <v>0</v>
      </c>
      <c r="I211" s="91" t="str">
        <f>IF(AND(ISNUMBER('Beginner Adv 15M - Bracket'!DT6),ISNUMBER('Beginner Adv 15M - Bracket'!DT8)),IF('Beginner Adv 15M - Bracket'!DT6&gt;'Beginner Adv 15M - Bracket'!DT8,"2-0",IF('Beginner Adv 15M - Bracket'!DT6='Beginner Adv 15M - Bracket'!DT8,"1-1","0-2")),"—")</f>
        <v>—</v>
      </c>
      <c r="J211" s="32">
        <f>IFERROR(IF(ISNUMBER('Beginner Adv 15M - Bracket'!DT8),'Beginner Adv 15M - Bracket'!DT8,0),0)</f>
        <v>0</v>
      </c>
      <c r="K211" s="90" t="str">
        <f>IFERROR(IF('Beginner Adv 15M - Bracket'!DS8="","",'Beginner Adv 15M - Bracket'!DS8),"")</f>
        <v/>
      </c>
      <c r="L211" s="90" t="str">
        <f>IFERROR(IF('Beginner Adv 15M - Bracket'!DR8="","",'Beginner Adv 15M - Bracket'!DR8),"")</f>
        <v/>
      </c>
      <c r="M211" s="90" t="str">
        <f>IFERROR(IF('Beginner Adv 15M - Bracket'!DQ8="","",'Beginner Adv 15M - Bracket'!DQ8),"")</f>
        <v/>
      </c>
      <c r="N211" s="90" t="str">
        <f>IFERROR(IF('Beginner Adv 15M - Bracket'!DP8="","",'Beginner Adv 15M - Bracket'!DP8),"")</f>
        <v/>
      </c>
      <c r="O211" s="90" t="str">
        <f>IFERROR(IF('Beginner Adv 15M - Bracket'!DO8="","",'Beginner Adv 15M - Bracket'!DO8),"")</f>
        <v/>
      </c>
      <c r="P211" s="90" t="str">
        <f>IFERROR(IF('Beginner Adv 15M - Bracket'!DN8="","",'Beginner Adv 15M - Bracket'!DN8),"")</f>
        <v/>
      </c>
      <c r="Q211" s="84" t="s">
        <v>222</v>
      </c>
    </row>
    <row r="212" spans="1:17" ht="21.75" customHeight="1" x14ac:dyDescent="0.35">
      <c r="A212" s="84" t="s">
        <v>223</v>
      </c>
      <c r="B212" s="90" t="str">
        <f>IFERROR(IF('Beginner Adv 15M - Bracket'!DU6="","",'Beginner Adv 15M - Bracket'!DU6),"")</f>
        <v/>
      </c>
      <c r="C212" s="90" t="str">
        <f>IFERROR(IF('Beginner Adv 15M - Bracket'!DV6="","",'Beginner Adv 15M - Bracket'!DV6),"")</f>
        <v/>
      </c>
      <c r="D212" s="90" t="str">
        <f>IFERROR(IF('Beginner Adv 15M - Bracket'!DW6="","",'Beginner Adv 15M - Bracket'!DW6),"")</f>
        <v/>
      </c>
      <c r="E212" s="90" t="str">
        <f>IFERROR(IF('Beginner Adv 15M - Bracket'!DX6="","",'Beginner Adv 15M - Bracket'!DX6),"")</f>
        <v/>
      </c>
      <c r="F212" s="90" t="str">
        <f>IFERROR(IF('Beginner Adv 15M - Bracket'!DY6="","",'Beginner Adv 15M - Bracket'!DY6),"")</f>
        <v/>
      </c>
      <c r="G212" s="90" t="str">
        <f>IFERROR(IF('Beginner Adv 15M - Bracket'!DZ6="","",'Beginner Adv 15M - Bracket'!DZ6),"")</f>
        <v/>
      </c>
      <c r="H212" s="32">
        <f>IFERROR(IF(ISNUMBER('Beginner Adv 15M - Bracket'!EA6),'Beginner Adv 15M - Bracket'!EA6,0),0)</f>
        <v>0</v>
      </c>
      <c r="I212" s="91" t="str">
        <f>IF(AND(ISNUMBER('Beginner Adv 15M - Bracket'!EA6),ISNUMBER('Beginner Adv 15M - Bracket'!EA8)),IF('Beginner Adv 15M - Bracket'!EA6&gt;'Beginner Adv 15M - Bracket'!EA8,"2-0",IF('Beginner Adv 15M - Bracket'!EA6='Beginner Adv 15M - Bracket'!EA8,"1-1","0-2")),"—")</f>
        <v>—</v>
      </c>
      <c r="J212" s="32">
        <f>IFERROR(IF(ISNUMBER('Beginner Adv 15M - Bracket'!EA8),'Beginner Adv 15M - Bracket'!EA8,0),0)</f>
        <v>0</v>
      </c>
      <c r="K212" s="90" t="str">
        <f>IFERROR(IF('Beginner Adv 15M - Bracket'!DZ8="","",'Beginner Adv 15M - Bracket'!DZ8),"")</f>
        <v/>
      </c>
      <c r="L212" s="90" t="str">
        <f>IFERROR(IF('Beginner Adv 15M - Bracket'!DY8="","",'Beginner Adv 15M - Bracket'!DY8),"")</f>
        <v/>
      </c>
      <c r="M212" s="90" t="str">
        <f>IFERROR(IF('Beginner Adv 15M - Bracket'!DX8="","",'Beginner Adv 15M - Bracket'!DX8),"")</f>
        <v/>
      </c>
      <c r="N212" s="90" t="str">
        <f>IFERROR(IF('Beginner Adv 15M - Bracket'!DW8="","",'Beginner Adv 15M - Bracket'!DW8),"")</f>
        <v/>
      </c>
      <c r="O212" s="90" t="str">
        <f>IFERROR(IF('Beginner Adv 15M - Bracket'!DV8="","",'Beginner Adv 15M - Bracket'!DV8),"")</f>
        <v/>
      </c>
      <c r="P212" s="90" t="str">
        <f>IFERROR(IF('Beginner Adv 15M - Bracket'!DU8="","",'Beginner Adv 15M - Bracket'!DU8),"")</f>
        <v/>
      </c>
      <c r="Q212" s="84" t="s">
        <v>223</v>
      </c>
    </row>
    <row r="213" spans="1:17" ht="21.75" customHeight="1" x14ac:dyDescent="0.35">
      <c r="A213" s="84" t="s">
        <v>224</v>
      </c>
      <c r="B213" s="90" t="str">
        <f>IFERROR(IF('Beginner Adv 15M - Bracket'!EB6="","",'Beginner Adv 15M - Bracket'!EB6),"")</f>
        <v/>
      </c>
      <c r="C213" s="90" t="str">
        <f>IFERROR(IF('Beginner Adv 15M - Bracket'!EC6="","",'Beginner Adv 15M - Bracket'!EC6),"")</f>
        <v/>
      </c>
      <c r="D213" s="90" t="str">
        <f>IFERROR(IF('Beginner Adv 15M - Bracket'!ED6="","",'Beginner Adv 15M - Bracket'!ED6),"")</f>
        <v/>
      </c>
      <c r="E213" s="90" t="str">
        <f>IFERROR(IF('Beginner Adv 15M - Bracket'!EE6="","",'Beginner Adv 15M - Bracket'!EE6),"")</f>
        <v/>
      </c>
      <c r="F213" s="90" t="str">
        <f>IFERROR(IF('Beginner Adv 15M - Bracket'!EF6="","",'Beginner Adv 15M - Bracket'!EF6),"")</f>
        <v/>
      </c>
      <c r="G213" s="90" t="str">
        <f>IFERROR(IF('Beginner Adv 15M - Bracket'!EG6="","",'Beginner Adv 15M - Bracket'!EG6),"")</f>
        <v/>
      </c>
      <c r="H213" s="32">
        <f>IFERROR(IF(ISNUMBER('Beginner Adv 15M - Bracket'!EH6),'Beginner Adv 15M - Bracket'!EH6,0),0)</f>
        <v>0</v>
      </c>
      <c r="I213" s="91" t="str">
        <f>IF(AND(ISNUMBER('Beginner Adv 15M - Bracket'!EH6),ISNUMBER('Beginner Adv 15M - Bracket'!EH8)),IF('Beginner Adv 15M - Bracket'!EH6&gt;'Beginner Adv 15M - Bracket'!EH8,"2-0",IF('Beginner Adv 15M - Bracket'!EH6='Beginner Adv 15M - Bracket'!EH8,"1-1","0-2")),"—")</f>
        <v>—</v>
      </c>
      <c r="J213" s="32">
        <f>IFERROR(IF(ISNUMBER('Beginner Adv 15M - Bracket'!EH8),'Beginner Adv 15M - Bracket'!EH8,0),0)</f>
        <v>0</v>
      </c>
      <c r="K213" s="90" t="str">
        <f>IFERROR(IF('Beginner Adv 15M - Bracket'!EG8="","",'Beginner Adv 15M - Bracket'!EG8),"")</f>
        <v/>
      </c>
      <c r="L213" s="90" t="str">
        <f>IFERROR(IF('Beginner Adv 15M - Bracket'!EF8="","",'Beginner Adv 15M - Bracket'!EF8),"")</f>
        <v/>
      </c>
      <c r="M213" s="90" t="str">
        <f>IFERROR(IF('Beginner Adv 15M - Bracket'!EE8="","",'Beginner Adv 15M - Bracket'!EE8),"")</f>
        <v/>
      </c>
      <c r="N213" s="90" t="str">
        <f>IFERROR(IF('Beginner Adv 15M - Bracket'!ED8="","",'Beginner Adv 15M - Bracket'!ED8),"")</f>
        <v/>
      </c>
      <c r="O213" s="90" t="str">
        <f>IFERROR(IF('Beginner Adv 15M - Bracket'!EC8="","",'Beginner Adv 15M - Bracket'!EC8),"")</f>
        <v/>
      </c>
      <c r="P213" s="90" t="str">
        <f>IFERROR(IF('Beginner Adv 15M - Bracket'!EB8="","",'Beginner Adv 15M - Bracket'!EB8),"")</f>
        <v/>
      </c>
      <c r="Q213" s="84" t="s">
        <v>224</v>
      </c>
    </row>
    <row r="214" spans="1:17" ht="21.75" customHeight="1" x14ac:dyDescent="0.35">
      <c r="A214" s="84" t="s">
        <v>227</v>
      </c>
      <c r="B214" s="90" t="str">
        <f>IFERROR(IF('Beginner Adv 15M - Bracket'!EI6="","",'Beginner Adv 15M - Bracket'!EI6),"")</f>
        <v/>
      </c>
      <c r="C214" s="90" t="str">
        <f>IFERROR(IF('Beginner Adv 15M - Bracket'!EJ6="","",'Beginner Adv 15M - Bracket'!EJ6),"")</f>
        <v/>
      </c>
      <c r="D214" s="90" t="str">
        <f>IFERROR(IF('Beginner Adv 15M - Bracket'!EK6="","",'Beginner Adv 15M - Bracket'!EK6),"")</f>
        <v/>
      </c>
      <c r="E214" s="90" t="str">
        <f>IFERROR(IF('Beginner Adv 15M - Bracket'!EL6="","",'Beginner Adv 15M - Bracket'!EL6),"")</f>
        <v/>
      </c>
      <c r="F214" s="90" t="str">
        <f>IFERROR(IF('Beginner Adv 15M - Bracket'!EM6="","",'Beginner Adv 15M - Bracket'!EM6),"")</f>
        <v/>
      </c>
      <c r="G214" s="90" t="str">
        <f>IFERROR(IF('Beginner Adv 15M - Bracket'!EN6="","",'Beginner Adv 15M - Bracket'!EN6),"")</f>
        <v/>
      </c>
      <c r="H214" s="32">
        <f>IFERROR(IF(ISNUMBER('Beginner Adv 15M - Bracket'!EO6),'Beginner Adv 15M - Bracket'!EO6,0),0)</f>
        <v>0</v>
      </c>
      <c r="I214" s="91" t="str">
        <f>IF(AND(ISNUMBER('Beginner Adv 15M - Bracket'!EO6),ISNUMBER('Beginner Adv 15M - Bracket'!EO8)),IF('Beginner Adv 15M - Bracket'!EO6&gt;'Beginner Adv 15M - Bracket'!EO8,"2-0",IF('Beginner Adv 15M - Bracket'!EO6='Beginner Adv 15M - Bracket'!EO8,"1-1","0-2")),"—")</f>
        <v>—</v>
      </c>
      <c r="J214" s="32">
        <f>IFERROR(IF(ISNUMBER('Beginner Adv 15M - Bracket'!EO8),'Beginner Adv 15M - Bracket'!EO8,0),0)</f>
        <v>0</v>
      </c>
      <c r="K214" s="90" t="str">
        <f>IFERROR(IF('Beginner Adv 15M - Bracket'!EN8="","",'Beginner Adv 15M - Bracket'!EN8),"")</f>
        <v/>
      </c>
      <c r="L214" s="90" t="str">
        <f>IFERROR(IF('Beginner Adv 15M - Bracket'!EM8="","",'Beginner Adv 15M - Bracket'!EM8),"")</f>
        <v/>
      </c>
      <c r="M214" s="90" t="str">
        <f>IFERROR(IF('Beginner Adv 15M - Bracket'!EL8="","",'Beginner Adv 15M - Bracket'!EL8),"")</f>
        <v/>
      </c>
      <c r="N214" s="90" t="str">
        <f>IFERROR(IF('Beginner Adv 15M - Bracket'!EK8="","",'Beginner Adv 15M - Bracket'!EK8),"")</f>
        <v/>
      </c>
      <c r="O214" s="90" t="str">
        <f>IFERROR(IF('Beginner Adv 15M - Bracket'!EJ8="","",'Beginner Adv 15M - Bracket'!EJ8),"")</f>
        <v/>
      </c>
      <c r="P214" s="90" t="str">
        <f>IFERROR(IF('Beginner Adv 15M - Bracket'!EI8="","",'Beginner Adv 15M - Bracket'!EI8),"")</f>
        <v/>
      </c>
      <c r="Q214" s="84" t="s">
        <v>227</v>
      </c>
    </row>
    <row r="215" spans="1:17" ht="21.75" customHeight="1" x14ac:dyDescent="0.35">
      <c r="A215" s="84" t="s">
        <v>228</v>
      </c>
      <c r="B215" s="90" t="str">
        <f>IFERROR(IF('Beginner Adv 15M - Bracket'!EP6="","",'Beginner Adv 15M - Bracket'!EP6),"")</f>
        <v/>
      </c>
      <c r="C215" s="90" t="str">
        <f>IFERROR(IF('Beginner Adv 15M - Bracket'!EQ6="","",'Beginner Adv 15M - Bracket'!EQ6),"")</f>
        <v/>
      </c>
      <c r="D215" s="90" t="str">
        <f>IFERROR(IF('Beginner Adv 15M - Bracket'!ER6="","",'Beginner Adv 15M - Bracket'!ER6),"")</f>
        <v/>
      </c>
      <c r="E215" s="90" t="str">
        <f>IFERROR(IF('Beginner Adv 15M - Bracket'!ES6="","",'Beginner Adv 15M - Bracket'!ES6),"")</f>
        <v/>
      </c>
      <c r="F215" s="90" t="str">
        <f>IFERROR(IF('Beginner Adv 15M - Bracket'!ET6="","",'Beginner Adv 15M - Bracket'!ET6),"")</f>
        <v/>
      </c>
      <c r="G215" s="90" t="str">
        <f>IFERROR(IF('Beginner Adv 15M - Bracket'!EU6="","",'Beginner Adv 15M - Bracket'!EU6),"")</f>
        <v/>
      </c>
      <c r="H215" s="32">
        <f>IFERROR(IF(ISNUMBER('Beginner Adv 15M - Bracket'!EV6),'Beginner Adv 15M - Bracket'!EV6,0),0)</f>
        <v>0</v>
      </c>
      <c r="I215" s="91" t="str">
        <f>IF(AND(ISNUMBER('Beginner Adv 15M - Bracket'!EV6),ISNUMBER('Beginner Adv 15M - Bracket'!EV8)),IF('Beginner Adv 15M - Bracket'!EV6&gt;'Beginner Adv 15M - Bracket'!EV8,"2-0",IF('Beginner Adv 15M - Bracket'!EV6='Beginner Adv 15M - Bracket'!EV8,"1-1","0-2")),"—")</f>
        <v>—</v>
      </c>
      <c r="J215" s="32">
        <f>IFERROR(IF(ISNUMBER('Beginner Adv 15M - Bracket'!EV8),'Beginner Adv 15M - Bracket'!EV8,0),0)</f>
        <v>0</v>
      </c>
      <c r="K215" s="90" t="str">
        <f>IFERROR(IF('Beginner Adv 15M - Bracket'!EU8="","",'Beginner Adv 15M - Bracket'!EU8),"")</f>
        <v/>
      </c>
      <c r="L215" s="90" t="str">
        <f>IFERROR(IF('Beginner Adv 15M - Bracket'!ET8="","",'Beginner Adv 15M - Bracket'!ET8),"")</f>
        <v/>
      </c>
      <c r="M215" s="90" t="str">
        <f>IFERROR(IF('Beginner Adv 15M - Bracket'!ES8="","",'Beginner Adv 15M - Bracket'!ES8),"")</f>
        <v/>
      </c>
      <c r="N215" s="90" t="str">
        <f>IFERROR(IF('Beginner Adv 15M - Bracket'!ER8="","",'Beginner Adv 15M - Bracket'!ER8),"")</f>
        <v/>
      </c>
      <c r="O215" s="90" t="str">
        <f>IFERROR(IF('Beginner Adv 15M - Bracket'!EQ8="","",'Beginner Adv 15M - Bracket'!EQ8),"")</f>
        <v/>
      </c>
      <c r="P215" s="90" t="str">
        <f>IFERROR(IF('Beginner Adv 15M - Bracket'!EP8="","",'Beginner Adv 15M - Bracket'!EP8),"")</f>
        <v/>
      </c>
      <c r="Q215" s="84" t="s">
        <v>228</v>
      </c>
    </row>
    <row r="216" spans="1:17" ht="21.75" customHeight="1" x14ac:dyDescent="0.35">
      <c r="A216" s="92" t="s">
        <v>237</v>
      </c>
      <c r="B216" s="93" t="str">
        <f>IFERROR(IF('Beginner Adv 15M - Bracket'!EW6="","",'Beginner Adv 15M - Bracket'!EW6),"")</f>
        <v/>
      </c>
      <c r="C216" s="93" t="str">
        <f>IFERROR(IF('Beginner Adv 15M - Bracket'!EX6="","",'Beginner Adv 15M - Bracket'!EX6),"")</f>
        <v/>
      </c>
      <c r="D216" s="93" t="str">
        <f>IFERROR(IF('Beginner Adv 15M - Bracket'!EY6="","",'Beginner Adv 15M - Bracket'!EY6),"")</f>
        <v/>
      </c>
      <c r="E216" s="93" t="str">
        <f>IFERROR(IF('Beginner Adv 15M - Bracket'!EZ6="","",'Beginner Adv 15M - Bracket'!EZ6),"")</f>
        <v/>
      </c>
      <c r="F216" s="93" t="str">
        <f>IFERROR(IF('Beginner Adv 15M - Bracket'!FA6="","",'Beginner Adv 15M - Bracket'!FA6),"")</f>
        <v/>
      </c>
      <c r="G216" s="93" t="str">
        <f>IFERROR(IF('Beginner Adv 15M - Bracket'!FB6="","",'Beginner Adv 15M - Bracket'!FB6),"")</f>
        <v/>
      </c>
      <c r="H216" s="32">
        <f>IFERROR(IF(ISNUMBER('Beginner Adv 15M - Bracket'!FC6),'Beginner Adv 15M - Bracket'!FC6,0),0)</f>
        <v>0</v>
      </c>
      <c r="I216" s="91" t="str">
        <f>IF(AND(ISNUMBER('Beginner Adv 15M - Bracket'!FC6),ISNUMBER('Beginner Adv 15M - Bracket'!FC8)),IF('Beginner Adv 15M - Bracket'!FC6&gt;'Beginner Adv 15M - Bracket'!FC8,"2-0",IF('Beginner Adv 15M - Bracket'!FC6='Beginner Adv 15M - Bracket'!FC8,"1-1","0-2")),"—")</f>
        <v>—</v>
      </c>
      <c r="J216" s="32">
        <f>IFERROR(IF(ISNUMBER('Beginner Adv 15M - Bracket'!FC8),'Beginner Adv 15M - Bracket'!FC8,0),0)</f>
        <v>0</v>
      </c>
      <c r="K216" s="93" t="str">
        <f>IFERROR(IF('Beginner Adv 15M - Bracket'!FB8="","",'Beginner Adv 15M - Bracket'!FB8),"")</f>
        <v/>
      </c>
      <c r="L216" s="93" t="str">
        <f>IFERROR(IF('Beginner Adv 15M - Bracket'!FA8="","",'Beginner Adv 15M - Bracket'!FA8),"")</f>
        <v/>
      </c>
      <c r="M216" s="93" t="str">
        <f>IFERROR(IF('Beginner Adv 15M - Bracket'!EZ8="","",'Beginner Adv 15M - Bracket'!EZ8),"")</f>
        <v/>
      </c>
      <c r="N216" s="93" t="str">
        <f>IFERROR(IF('Beginner Adv 15M - Bracket'!EY8="","",'Beginner Adv 15M - Bracket'!EY8),"")</f>
        <v/>
      </c>
      <c r="O216" s="93" t="str">
        <f>IFERROR(IF('Beginner Adv 15M - Bracket'!EX8="","",'Beginner Adv 15M - Bracket'!EX8),"")</f>
        <v/>
      </c>
      <c r="P216" s="93" t="str">
        <f>IFERROR(IF('Beginner Adv 15M - Bracket'!EW8="","",'Beginner Adv 15M - Bracket'!EW8),"")</f>
        <v/>
      </c>
      <c r="Q216" s="92" t="s">
        <v>237</v>
      </c>
    </row>
    <row r="217" spans="1:17" ht="4.5" customHeight="1" x14ac:dyDescent="0.35"/>
    <row r="218" spans="1:17" ht="31.5" customHeight="1" x14ac:dyDescent="0.35">
      <c r="A218" s="130">
        <f>IFERROR(IF(ISNUMBER('Beginner Adv 15M - Bracket'!FD6),'Beginner Adv 15M - Bracket'!FD6,0),0)</f>
        <v>0</v>
      </c>
      <c r="B218" s="130"/>
      <c r="C218" s="130"/>
      <c r="D218" s="130"/>
      <c r="E218" s="130"/>
      <c r="F218" s="130"/>
      <c r="G218" s="130"/>
      <c r="H218" s="94" t="str">
        <f>IFERROR('Beginner Adv 15M - Bracket'!FG6,"")</f>
        <v>&gt;&gt; Advance</v>
      </c>
      <c r="I218" s="86"/>
      <c r="J218" s="94" t="str">
        <f>IFERROR('Beginner Adv 15M - Bracket'!FG8,"")</f>
        <v>BYE</v>
      </c>
      <c r="K218" s="130">
        <f>IFERROR(IF(ISNUMBER('Beginner Adv 15M - Bracket'!FD8),'Beginner Adv 15M - Bracket'!FD8,0),0)</f>
        <v>0</v>
      </c>
      <c r="L218" s="130"/>
      <c r="M218" s="130"/>
      <c r="N218" s="130"/>
      <c r="O218" s="130"/>
      <c r="P218" s="130"/>
      <c r="Q218" s="130"/>
    </row>
    <row r="219" spans="1:17" ht="21.75" customHeight="1" x14ac:dyDescent="0.35">
      <c r="A219" s="130"/>
      <c r="B219" s="130"/>
      <c r="C219" s="130"/>
      <c r="D219" s="130"/>
      <c r="E219" s="130"/>
      <c r="F219" s="130"/>
      <c r="G219" s="130"/>
      <c r="K219" s="130"/>
      <c r="L219" s="130"/>
      <c r="M219" s="130"/>
      <c r="N219" s="130"/>
      <c r="O219" s="130"/>
      <c r="P219" s="130"/>
      <c r="Q219" s="130"/>
    </row>
    <row r="220" spans="1:17" ht="4.5" customHeight="1" x14ac:dyDescent="0.35"/>
    <row r="221" spans="1:17" ht="12" customHeight="1" x14ac:dyDescent="0.35">
      <c r="A221" s="126"/>
      <c r="B221" s="126"/>
      <c r="C221" s="126"/>
      <c r="D221" s="126"/>
      <c r="E221" s="126"/>
      <c r="F221" s="126"/>
      <c r="G221" s="126"/>
      <c r="H221" s="126"/>
      <c r="I221" s="126"/>
      <c r="J221" s="126"/>
      <c r="K221" s="126"/>
      <c r="L221" s="126"/>
      <c r="M221" s="126"/>
      <c r="N221" s="126"/>
      <c r="O221" s="126"/>
      <c r="P221" s="126"/>
      <c r="Q221" s="126"/>
    </row>
    <row r="222" spans="1:17" ht="7.5" customHeight="1" x14ac:dyDescent="0.35"/>
    <row r="223" spans="1:17" ht="19.5" customHeight="1" x14ac:dyDescent="0.35">
      <c r="A223" s="132" t="s">
        <v>250</v>
      </c>
      <c r="B223" s="132"/>
      <c r="C223" s="132"/>
      <c r="D223" s="132"/>
      <c r="E223" s="132"/>
      <c r="F223" s="132"/>
      <c r="G223" s="132"/>
      <c r="H223" s="132"/>
      <c r="I223" s="132"/>
      <c r="J223" s="132"/>
      <c r="K223" s="132"/>
      <c r="L223" s="132"/>
      <c r="M223" s="132"/>
      <c r="N223" s="132"/>
      <c r="O223" s="132"/>
      <c r="P223" s="132"/>
      <c r="Q223" s="132"/>
    </row>
    <row r="224" spans="1:17" ht="4.5" customHeight="1" x14ac:dyDescent="0.35"/>
    <row r="225" spans="1:17" ht="21.75" customHeight="1" x14ac:dyDescent="0.35">
      <c r="A225" s="84" t="s">
        <v>232</v>
      </c>
      <c r="B225" s="128" t="str">
        <f>IFERROR(IF('Beginner Adv 15M - Bracket'!DH11="","TBD",'Beginner Adv 15M - Bracket'!DH11),"TBD")</f>
        <v>TBD</v>
      </c>
      <c r="C225" s="128"/>
      <c r="D225" s="128"/>
      <c r="E225" s="128"/>
      <c r="F225" s="128"/>
      <c r="G225" s="128"/>
      <c r="H225" s="128"/>
      <c r="I225" s="84" t="s">
        <v>233</v>
      </c>
      <c r="J225" s="128" t="str">
        <f>IFERROR(IF('Beginner Adv 15M - Bracket'!DH13="","TBD",'Beginner Adv 15M - Bracket'!DH13),"TBD")</f>
        <v>TBD</v>
      </c>
      <c r="K225" s="128"/>
      <c r="L225" s="128"/>
      <c r="M225" s="128"/>
      <c r="N225" s="128"/>
      <c r="O225" s="128"/>
      <c r="P225" s="128"/>
      <c r="Q225" s="84" t="s">
        <v>232</v>
      </c>
    </row>
    <row r="226" spans="1:17" ht="13.5" customHeight="1" x14ac:dyDescent="0.35">
      <c r="A226" s="85" t="s">
        <v>234</v>
      </c>
      <c r="B226" s="129" t="str">
        <f>IFERROR('Beginner Adv 15M - Bracket'!DG11,"")</f>
        <v>"W-QF3"</v>
      </c>
      <c r="C226" s="129"/>
      <c r="D226" s="129"/>
      <c r="E226" s="129"/>
      <c r="F226" s="129"/>
      <c r="G226" s="129"/>
      <c r="H226" s="129"/>
      <c r="I226" s="86"/>
      <c r="J226" s="129" t="str">
        <f>IFERROR('Beginner Adv 15M - Bracket'!DG13,"")</f>
        <v>"W-QF4"</v>
      </c>
      <c r="K226" s="129"/>
      <c r="L226" s="129"/>
      <c r="M226" s="129"/>
      <c r="N226" s="129"/>
      <c r="O226" s="129"/>
      <c r="P226" s="129"/>
      <c r="Q226" s="85" t="s">
        <v>234</v>
      </c>
    </row>
    <row r="227" spans="1:17" ht="19.5" customHeight="1" x14ac:dyDescent="0.35">
      <c r="A227" s="87" t="s">
        <v>235</v>
      </c>
      <c r="B227" s="88" t="s">
        <v>83</v>
      </c>
      <c r="C227" s="88" t="s">
        <v>84</v>
      </c>
      <c r="D227" s="88" t="s">
        <v>85</v>
      </c>
      <c r="E227" s="88" t="s">
        <v>86</v>
      </c>
      <c r="F227" s="88" t="s">
        <v>87</v>
      </c>
      <c r="G227" s="88" t="s">
        <v>88</v>
      </c>
      <c r="H227" s="24" t="s">
        <v>236</v>
      </c>
      <c r="I227" s="89"/>
      <c r="J227" s="24" t="s">
        <v>236</v>
      </c>
      <c r="K227" s="88" t="s">
        <v>88</v>
      </c>
      <c r="L227" s="88" t="s">
        <v>87</v>
      </c>
      <c r="M227" s="88" t="s">
        <v>86</v>
      </c>
      <c r="N227" s="88" t="s">
        <v>85</v>
      </c>
      <c r="O227" s="88" t="s">
        <v>84</v>
      </c>
      <c r="P227" s="88" t="s">
        <v>83</v>
      </c>
      <c r="Q227" s="87" t="s">
        <v>235</v>
      </c>
    </row>
    <row r="228" spans="1:17" ht="21.75" customHeight="1" x14ac:dyDescent="0.35">
      <c r="A228" s="84" t="s">
        <v>222</v>
      </c>
      <c r="B228" s="90" t="str">
        <f>IFERROR(IF('Beginner Adv 15M - Bracket'!DN11="","",'Beginner Adv 15M - Bracket'!DN11),"")</f>
        <v/>
      </c>
      <c r="C228" s="90" t="str">
        <f>IFERROR(IF('Beginner Adv 15M - Bracket'!DO11="","",'Beginner Adv 15M - Bracket'!DO11),"")</f>
        <v/>
      </c>
      <c r="D228" s="90" t="str">
        <f>IFERROR(IF('Beginner Adv 15M - Bracket'!DP11="","",'Beginner Adv 15M - Bracket'!DP11),"")</f>
        <v/>
      </c>
      <c r="E228" s="90" t="str">
        <f>IFERROR(IF('Beginner Adv 15M - Bracket'!DQ11="","",'Beginner Adv 15M - Bracket'!DQ11),"")</f>
        <v/>
      </c>
      <c r="F228" s="90" t="str">
        <f>IFERROR(IF('Beginner Adv 15M - Bracket'!DR11="","",'Beginner Adv 15M - Bracket'!DR11),"")</f>
        <v/>
      </c>
      <c r="G228" s="90" t="str">
        <f>IFERROR(IF('Beginner Adv 15M - Bracket'!DS11="","",'Beginner Adv 15M - Bracket'!DS11),"")</f>
        <v/>
      </c>
      <c r="H228" s="32">
        <f>IFERROR(IF(ISNUMBER('Beginner Adv 15M - Bracket'!DT11),'Beginner Adv 15M - Bracket'!DT11,0),0)</f>
        <v>0</v>
      </c>
      <c r="I228" s="91" t="str">
        <f>IF(AND(ISNUMBER('Beginner Adv 15M - Bracket'!DT11),ISNUMBER('Beginner Adv 15M - Bracket'!DT13)),IF('Beginner Adv 15M - Bracket'!DT11&gt;'Beginner Adv 15M - Bracket'!DT13,"2-0",IF('Beginner Adv 15M - Bracket'!DT11='Beginner Adv 15M - Bracket'!DT13,"1-1","0-2")),"—")</f>
        <v>—</v>
      </c>
      <c r="J228" s="32">
        <f>IFERROR(IF(ISNUMBER('Beginner Adv 15M - Bracket'!DT13),'Beginner Adv 15M - Bracket'!DT13,0),0)</f>
        <v>0</v>
      </c>
      <c r="K228" s="90" t="str">
        <f>IFERROR(IF('Beginner Adv 15M - Bracket'!DS13="","",'Beginner Adv 15M - Bracket'!DS13),"")</f>
        <v/>
      </c>
      <c r="L228" s="90" t="str">
        <f>IFERROR(IF('Beginner Adv 15M - Bracket'!DR13="","",'Beginner Adv 15M - Bracket'!DR13),"")</f>
        <v/>
      </c>
      <c r="M228" s="90" t="str">
        <f>IFERROR(IF('Beginner Adv 15M - Bracket'!DQ13="","",'Beginner Adv 15M - Bracket'!DQ13),"")</f>
        <v/>
      </c>
      <c r="N228" s="90" t="str">
        <f>IFERROR(IF('Beginner Adv 15M - Bracket'!DP13="","",'Beginner Adv 15M - Bracket'!DP13),"")</f>
        <v/>
      </c>
      <c r="O228" s="90" t="str">
        <f>IFERROR(IF('Beginner Adv 15M - Bracket'!DO13="","",'Beginner Adv 15M - Bracket'!DO13),"")</f>
        <v/>
      </c>
      <c r="P228" s="90" t="str">
        <f>IFERROR(IF('Beginner Adv 15M - Bracket'!DN13="","",'Beginner Adv 15M - Bracket'!DN13),"")</f>
        <v/>
      </c>
      <c r="Q228" s="84" t="s">
        <v>222</v>
      </c>
    </row>
    <row r="229" spans="1:17" ht="21.75" customHeight="1" x14ac:dyDescent="0.35">
      <c r="A229" s="84" t="s">
        <v>223</v>
      </c>
      <c r="B229" s="90" t="str">
        <f>IFERROR(IF('Beginner Adv 15M - Bracket'!DU11="","",'Beginner Adv 15M - Bracket'!DU11),"")</f>
        <v/>
      </c>
      <c r="C229" s="90" t="str">
        <f>IFERROR(IF('Beginner Adv 15M - Bracket'!DV11="","",'Beginner Adv 15M - Bracket'!DV11),"")</f>
        <v/>
      </c>
      <c r="D229" s="90" t="str">
        <f>IFERROR(IF('Beginner Adv 15M - Bracket'!DW11="","",'Beginner Adv 15M - Bracket'!DW11),"")</f>
        <v/>
      </c>
      <c r="E229" s="90" t="str">
        <f>IFERROR(IF('Beginner Adv 15M - Bracket'!DX11="","",'Beginner Adv 15M - Bracket'!DX11),"")</f>
        <v/>
      </c>
      <c r="F229" s="90" t="str">
        <f>IFERROR(IF('Beginner Adv 15M - Bracket'!DY11="","",'Beginner Adv 15M - Bracket'!DY11),"")</f>
        <v/>
      </c>
      <c r="G229" s="90" t="str">
        <f>IFERROR(IF('Beginner Adv 15M - Bracket'!DZ11="","",'Beginner Adv 15M - Bracket'!DZ11),"")</f>
        <v/>
      </c>
      <c r="H229" s="32">
        <f>IFERROR(IF(ISNUMBER('Beginner Adv 15M - Bracket'!EA11),'Beginner Adv 15M - Bracket'!EA11,0),0)</f>
        <v>0</v>
      </c>
      <c r="I229" s="91" t="str">
        <f>IF(AND(ISNUMBER('Beginner Adv 15M - Bracket'!EA11),ISNUMBER('Beginner Adv 15M - Bracket'!EA13)),IF('Beginner Adv 15M - Bracket'!EA11&gt;'Beginner Adv 15M - Bracket'!EA13,"2-0",IF('Beginner Adv 15M - Bracket'!EA11='Beginner Adv 15M - Bracket'!EA13,"1-1","0-2")),"—")</f>
        <v>—</v>
      </c>
      <c r="J229" s="32">
        <f>IFERROR(IF(ISNUMBER('Beginner Adv 15M - Bracket'!EA13),'Beginner Adv 15M - Bracket'!EA13,0),0)</f>
        <v>0</v>
      </c>
      <c r="K229" s="90" t="str">
        <f>IFERROR(IF('Beginner Adv 15M - Bracket'!DZ13="","",'Beginner Adv 15M - Bracket'!DZ13),"")</f>
        <v/>
      </c>
      <c r="L229" s="90" t="str">
        <f>IFERROR(IF('Beginner Adv 15M - Bracket'!DY13="","",'Beginner Adv 15M - Bracket'!DY13),"")</f>
        <v/>
      </c>
      <c r="M229" s="90" t="str">
        <f>IFERROR(IF('Beginner Adv 15M - Bracket'!DX13="","",'Beginner Adv 15M - Bracket'!DX13),"")</f>
        <v/>
      </c>
      <c r="N229" s="90" t="str">
        <f>IFERROR(IF('Beginner Adv 15M - Bracket'!DW13="","",'Beginner Adv 15M - Bracket'!DW13),"")</f>
        <v/>
      </c>
      <c r="O229" s="90" t="str">
        <f>IFERROR(IF('Beginner Adv 15M - Bracket'!DV13="","",'Beginner Adv 15M - Bracket'!DV13),"")</f>
        <v/>
      </c>
      <c r="P229" s="90" t="str">
        <f>IFERROR(IF('Beginner Adv 15M - Bracket'!DU13="","",'Beginner Adv 15M - Bracket'!DU13),"")</f>
        <v/>
      </c>
      <c r="Q229" s="84" t="s">
        <v>223</v>
      </c>
    </row>
    <row r="230" spans="1:17" ht="21.75" customHeight="1" x14ac:dyDescent="0.35">
      <c r="A230" s="84" t="s">
        <v>224</v>
      </c>
      <c r="B230" s="90" t="str">
        <f>IFERROR(IF('Beginner Adv 15M - Bracket'!EB11="","",'Beginner Adv 15M - Bracket'!EB11),"")</f>
        <v/>
      </c>
      <c r="C230" s="90" t="str">
        <f>IFERROR(IF('Beginner Adv 15M - Bracket'!EC11="","",'Beginner Adv 15M - Bracket'!EC11),"")</f>
        <v/>
      </c>
      <c r="D230" s="90" t="str">
        <f>IFERROR(IF('Beginner Adv 15M - Bracket'!ED11="","",'Beginner Adv 15M - Bracket'!ED11),"")</f>
        <v/>
      </c>
      <c r="E230" s="90" t="str">
        <f>IFERROR(IF('Beginner Adv 15M - Bracket'!EE11="","",'Beginner Adv 15M - Bracket'!EE11),"")</f>
        <v/>
      </c>
      <c r="F230" s="90" t="str">
        <f>IFERROR(IF('Beginner Adv 15M - Bracket'!EF11="","",'Beginner Adv 15M - Bracket'!EF11),"")</f>
        <v/>
      </c>
      <c r="G230" s="90" t="str">
        <f>IFERROR(IF('Beginner Adv 15M - Bracket'!EG11="","",'Beginner Adv 15M - Bracket'!EG11),"")</f>
        <v/>
      </c>
      <c r="H230" s="32">
        <f>IFERROR(IF(ISNUMBER('Beginner Adv 15M - Bracket'!EH11),'Beginner Adv 15M - Bracket'!EH11,0),0)</f>
        <v>0</v>
      </c>
      <c r="I230" s="91" t="str">
        <f>IF(AND(ISNUMBER('Beginner Adv 15M - Bracket'!EH11),ISNUMBER('Beginner Adv 15M - Bracket'!EH13)),IF('Beginner Adv 15M - Bracket'!EH11&gt;'Beginner Adv 15M - Bracket'!EH13,"2-0",IF('Beginner Adv 15M - Bracket'!EH11='Beginner Adv 15M - Bracket'!EH13,"1-1","0-2")),"—")</f>
        <v>—</v>
      </c>
      <c r="J230" s="32">
        <f>IFERROR(IF(ISNUMBER('Beginner Adv 15M - Bracket'!EH13),'Beginner Adv 15M - Bracket'!EH13,0),0)</f>
        <v>0</v>
      </c>
      <c r="K230" s="90" t="str">
        <f>IFERROR(IF('Beginner Adv 15M - Bracket'!EG13="","",'Beginner Adv 15M - Bracket'!EG13),"")</f>
        <v/>
      </c>
      <c r="L230" s="90" t="str">
        <f>IFERROR(IF('Beginner Adv 15M - Bracket'!EF13="","",'Beginner Adv 15M - Bracket'!EF13),"")</f>
        <v/>
      </c>
      <c r="M230" s="90" t="str">
        <f>IFERROR(IF('Beginner Adv 15M - Bracket'!EE13="","",'Beginner Adv 15M - Bracket'!EE13),"")</f>
        <v/>
      </c>
      <c r="N230" s="90" t="str">
        <f>IFERROR(IF('Beginner Adv 15M - Bracket'!ED13="","",'Beginner Adv 15M - Bracket'!ED13),"")</f>
        <v/>
      </c>
      <c r="O230" s="90" t="str">
        <f>IFERROR(IF('Beginner Adv 15M - Bracket'!EC13="","",'Beginner Adv 15M - Bracket'!EC13),"")</f>
        <v/>
      </c>
      <c r="P230" s="90" t="str">
        <f>IFERROR(IF('Beginner Adv 15M - Bracket'!EB13="","",'Beginner Adv 15M - Bracket'!EB13),"")</f>
        <v/>
      </c>
      <c r="Q230" s="84" t="s">
        <v>224</v>
      </c>
    </row>
    <row r="231" spans="1:17" ht="21.75" customHeight="1" x14ac:dyDescent="0.35">
      <c r="A231" s="84" t="s">
        <v>227</v>
      </c>
      <c r="B231" s="90" t="str">
        <f>IFERROR(IF('Beginner Adv 15M - Bracket'!EI11="","",'Beginner Adv 15M - Bracket'!EI11),"")</f>
        <v/>
      </c>
      <c r="C231" s="90" t="str">
        <f>IFERROR(IF('Beginner Adv 15M - Bracket'!EJ11="","",'Beginner Adv 15M - Bracket'!EJ11),"")</f>
        <v/>
      </c>
      <c r="D231" s="90" t="str">
        <f>IFERROR(IF('Beginner Adv 15M - Bracket'!EK11="","",'Beginner Adv 15M - Bracket'!EK11),"")</f>
        <v/>
      </c>
      <c r="E231" s="90" t="str">
        <f>IFERROR(IF('Beginner Adv 15M - Bracket'!EL11="","",'Beginner Adv 15M - Bracket'!EL11),"")</f>
        <v/>
      </c>
      <c r="F231" s="90" t="str">
        <f>IFERROR(IF('Beginner Adv 15M - Bracket'!EM11="","",'Beginner Adv 15M - Bracket'!EM11),"")</f>
        <v/>
      </c>
      <c r="G231" s="90" t="str">
        <f>IFERROR(IF('Beginner Adv 15M - Bracket'!EN11="","",'Beginner Adv 15M - Bracket'!EN11),"")</f>
        <v/>
      </c>
      <c r="H231" s="32">
        <f>IFERROR(IF(ISNUMBER('Beginner Adv 15M - Bracket'!EO11),'Beginner Adv 15M - Bracket'!EO11,0),0)</f>
        <v>0</v>
      </c>
      <c r="I231" s="91" t="str">
        <f>IF(AND(ISNUMBER('Beginner Adv 15M - Bracket'!EO11),ISNUMBER('Beginner Adv 15M - Bracket'!EO13)),IF('Beginner Adv 15M - Bracket'!EO11&gt;'Beginner Adv 15M - Bracket'!EO13,"2-0",IF('Beginner Adv 15M - Bracket'!EO11='Beginner Adv 15M - Bracket'!EO13,"1-1","0-2")),"—")</f>
        <v>—</v>
      </c>
      <c r="J231" s="32">
        <f>IFERROR(IF(ISNUMBER('Beginner Adv 15M - Bracket'!EO13),'Beginner Adv 15M - Bracket'!EO13,0),0)</f>
        <v>0</v>
      </c>
      <c r="K231" s="90" t="str">
        <f>IFERROR(IF('Beginner Adv 15M - Bracket'!EN13="","",'Beginner Adv 15M - Bracket'!EN13),"")</f>
        <v/>
      </c>
      <c r="L231" s="90" t="str">
        <f>IFERROR(IF('Beginner Adv 15M - Bracket'!EM13="","",'Beginner Adv 15M - Bracket'!EM13),"")</f>
        <v/>
      </c>
      <c r="M231" s="90" t="str">
        <f>IFERROR(IF('Beginner Adv 15M - Bracket'!EL13="","",'Beginner Adv 15M - Bracket'!EL13),"")</f>
        <v/>
      </c>
      <c r="N231" s="90" t="str">
        <f>IFERROR(IF('Beginner Adv 15M - Bracket'!EK13="","",'Beginner Adv 15M - Bracket'!EK13),"")</f>
        <v/>
      </c>
      <c r="O231" s="90" t="str">
        <f>IFERROR(IF('Beginner Adv 15M - Bracket'!EJ13="","",'Beginner Adv 15M - Bracket'!EJ13),"")</f>
        <v/>
      </c>
      <c r="P231" s="90" t="str">
        <f>IFERROR(IF('Beginner Adv 15M - Bracket'!EI13="","",'Beginner Adv 15M - Bracket'!EI13),"")</f>
        <v/>
      </c>
      <c r="Q231" s="84" t="s">
        <v>227</v>
      </c>
    </row>
    <row r="232" spans="1:17" ht="21.75" customHeight="1" x14ac:dyDescent="0.35">
      <c r="A232" s="84" t="s">
        <v>228</v>
      </c>
      <c r="B232" s="90" t="str">
        <f>IFERROR(IF('Beginner Adv 15M - Bracket'!EP11="","",'Beginner Adv 15M - Bracket'!EP11),"")</f>
        <v/>
      </c>
      <c r="C232" s="90" t="str">
        <f>IFERROR(IF('Beginner Adv 15M - Bracket'!EQ11="","",'Beginner Adv 15M - Bracket'!EQ11),"")</f>
        <v/>
      </c>
      <c r="D232" s="90" t="str">
        <f>IFERROR(IF('Beginner Adv 15M - Bracket'!ER11="","",'Beginner Adv 15M - Bracket'!ER11),"")</f>
        <v/>
      </c>
      <c r="E232" s="90" t="str">
        <f>IFERROR(IF('Beginner Adv 15M - Bracket'!ES11="","",'Beginner Adv 15M - Bracket'!ES11),"")</f>
        <v/>
      </c>
      <c r="F232" s="90" t="str">
        <f>IFERROR(IF('Beginner Adv 15M - Bracket'!ET11="","",'Beginner Adv 15M - Bracket'!ET11),"")</f>
        <v/>
      </c>
      <c r="G232" s="90" t="str">
        <f>IFERROR(IF('Beginner Adv 15M - Bracket'!EU11="","",'Beginner Adv 15M - Bracket'!EU11),"")</f>
        <v/>
      </c>
      <c r="H232" s="32">
        <f>IFERROR(IF(ISNUMBER('Beginner Adv 15M - Bracket'!EV11),'Beginner Adv 15M - Bracket'!EV11,0),0)</f>
        <v>0</v>
      </c>
      <c r="I232" s="91" t="str">
        <f>IF(AND(ISNUMBER('Beginner Adv 15M - Bracket'!EV11),ISNUMBER('Beginner Adv 15M - Bracket'!EV13)),IF('Beginner Adv 15M - Bracket'!EV11&gt;'Beginner Adv 15M - Bracket'!EV13,"2-0",IF('Beginner Adv 15M - Bracket'!EV11='Beginner Adv 15M - Bracket'!EV13,"1-1","0-2")),"—")</f>
        <v>—</v>
      </c>
      <c r="J232" s="32">
        <f>IFERROR(IF(ISNUMBER('Beginner Adv 15M - Bracket'!EV13),'Beginner Adv 15M - Bracket'!EV13,0),0)</f>
        <v>0</v>
      </c>
      <c r="K232" s="90" t="str">
        <f>IFERROR(IF('Beginner Adv 15M - Bracket'!EU13="","",'Beginner Adv 15M - Bracket'!EU13),"")</f>
        <v/>
      </c>
      <c r="L232" s="90" t="str">
        <f>IFERROR(IF('Beginner Adv 15M - Bracket'!ET13="","",'Beginner Adv 15M - Bracket'!ET13),"")</f>
        <v/>
      </c>
      <c r="M232" s="90" t="str">
        <f>IFERROR(IF('Beginner Adv 15M - Bracket'!ES13="","",'Beginner Adv 15M - Bracket'!ES13),"")</f>
        <v/>
      </c>
      <c r="N232" s="90" t="str">
        <f>IFERROR(IF('Beginner Adv 15M - Bracket'!ER13="","",'Beginner Adv 15M - Bracket'!ER13),"")</f>
        <v/>
      </c>
      <c r="O232" s="90" t="str">
        <f>IFERROR(IF('Beginner Adv 15M - Bracket'!EQ13="","",'Beginner Adv 15M - Bracket'!EQ13),"")</f>
        <v/>
      </c>
      <c r="P232" s="90" t="str">
        <f>IFERROR(IF('Beginner Adv 15M - Bracket'!EP13="","",'Beginner Adv 15M - Bracket'!EP13),"")</f>
        <v/>
      </c>
      <c r="Q232" s="84" t="s">
        <v>228</v>
      </c>
    </row>
    <row r="233" spans="1:17" ht="21.75" customHeight="1" x14ac:dyDescent="0.35">
      <c r="A233" s="92" t="s">
        <v>237</v>
      </c>
      <c r="B233" s="93" t="str">
        <f>IFERROR(IF('Beginner Adv 15M - Bracket'!EW11="","",'Beginner Adv 15M - Bracket'!EW11),"")</f>
        <v/>
      </c>
      <c r="C233" s="93" t="str">
        <f>IFERROR(IF('Beginner Adv 15M - Bracket'!EX11="","",'Beginner Adv 15M - Bracket'!EX11),"")</f>
        <v/>
      </c>
      <c r="D233" s="93" t="str">
        <f>IFERROR(IF('Beginner Adv 15M - Bracket'!EY11="","",'Beginner Adv 15M - Bracket'!EY11),"")</f>
        <v/>
      </c>
      <c r="E233" s="93" t="str">
        <f>IFERROR(IF('Beginner Adv 15M - Bracket'!EZ11="","",'Beginner Adv 15M - Bracket'!EZ11),"")</f>
        <v/>
      </c>
      <c r="F233" s="93" t="str">
        <f>IFERROR(IF('Beginner Adv 15M - Bracket'!FA11="","",'Beginner Adv 15M - Bracket'!FA11),"")</f>
        <v/>
      </c>
      <c r="G233" s="93" t="str">
        <f>IFERROR(IF('Beginner Adv 15M - Bracket'!FB11="","",'Beginner Adv 15M - Bracket'!FB11),"")</f>
        <v/>
      </c>
      <c r="H233" s="32">
        <f>IFERROR(IF(ISNUMBER('Beginner Adv 15M - Bracket'!FC11),'Beginner Adv 15M - Bracket'!FC11,0),0)</f>
        <v>0</v>
      </c>
      <c r="I233" s="91" t="str">
        <f>IF(AND(ISNUMBER('Beginner Adv 15M - Bracket'!FC11),ISNUMBER('Beginner Adv 15M - Bracket'!FC13)),IF('Beginner Adv 15M - Bracket'!FC11&gt;'Beginner Adv 15M - Bracket'!FC13,"2-0",IF('Beginner Adv 15M - Bracket'!FC11='Beginner Adv 15M - Bracket'!FC13,"1-1","0-2")),"—")</f>
        <v>—</v>
      </c>
      <c r="J233" s="32">
        <f>IFERROR(IF(ISNUMBER('Beginner Adv 15M - Bracket'!FC13),'Beginner Adv 15M - Bracket'!FC13,0),0)</f>
        <v>0</v>
      </c>
      <c r="K233" s="93" t="str">
        <f>IFERROR(IF('Beginner Adv 15M - Bracket'!FB13="","",'Beginner Adv 15M - Bracket'!FB13),"")</f>
        <v/>
      </c>
      <c r="L233" s="93" t="str">
        <f>IFERROR(IF('Beginner Adv 15M - Bracket'!FA13="","",'Beginner Adv 15M - Bracket'!FA13),"")</f>
        <v/>
      </c>
      <c r="M233" s="93" t="str">
        <f>IFERROR(IF('Beginner Adv 15M - Bracket'!EZ13="","",'Beginner Adv 15M - Bracket'!EZ13),"")</f>
        <v/>
      </c>
      <c r="N233" s="93" t="str">
        <f>IFERROR(IF('Beginner Adv 15M - Bracket'!EY13="","",'Beginner Adv 15M - Bracket'!EY13),"")</f>
        <v/>
      </c>
      <c r="O233" s="93" t="str">
        <f>IFERROR(IF('Beginner Adv 15M - Bracket'!EX13="","",'Beginner Adv 15M - Bracket'!EX13),"")</f>
        <v/>
      </c>
      <c r="P233" s="93" t="str">
        <f>IFERROR(IF('Beginner Adv 15M - Bracket'!EW13="","",'Beginner Adv 15M - Bracket'!EW13),"")</f>
        <v/>
      </c>
      <c r="Q233" s="92" t="s">
        <v>237</v>
      </c>
    </row>
    <row r="234" spans="1:17" ht="4.5" customHeight="1" x14ac:dyDescent="0.35"/>
    <row r="235" spans="1:17" ht="31.5" customHeight="1" x14ac:dyDescent="0.35">
      <c r="A235" s="130">
        <f>IFERROR(IF(ISNUMBER('Beginner Adv 15M - Bracket'!FD11),'Beginner Adv 15M - Bracket'!FD11,0),0)</f>
        <v>0</v>
      </c>
      <c r="B235" s="130"/>
      <c r="C235" s="130"/>
      <c r="D235" s="130"/>
      <c r="E235" s="130"/>
      <c r="F235" s="130"/>
      <c r="G235" s="130"/>
      <c r="H235" s="94" t="str">
        <f>IFERROR('Beginner Adv 15M - Bracket'!FG11,"")</f>
        <v>&gt;&gt; Advance</v>
      </c>
      <c r="I235" s="86"/>
      <c r="J235" s="94" t="str">
        <f>IFERROR('Beginner Adv 15M - Bracket'!FG13,"")</f>
        <v>&gt;&gt; Advance</v>
      </c>
      <c r="K235" s="130">
        <f>IFERROR(IF(ISNUMBER('Beginner Adv 15M - Bracket'!FD13),'Beginner Adv 15M - Bracket'!FD13,0),0)</f>
        <v>0</v>
      </c>
      <c r="L235" s="130"/>
      <c r="M235" s="130"/>
      <c r="N235" s="130"/>
      <c r="O235" s="130"/>
      <c r="P235" s="130"/>
      <c r="Q235" s="130"/>
    </row>
    <row r="236" spans="1:17" ht="21.75" customHeight="1" x14ac:dyDescent="0.35">
      <c r="A236" s="130"/>
      <c r="B236" s="130"/>
      <c r="C236" s="130"/>
      <c r="D236" s="130"/>
      <c r="E236" s="130"/>
      <c r="F236" s="130"/>
      <c r="G236" s="130"/>
      <c r="K236" s="130"/>
      <c r="L236" s="130"/>
      <c r="M236" s="130"/>
      <c r="N236" s="130"/>
      <c r="O236" s="130"/>
      <c r="P236" s="130"/>
      <c r="Q236" s="130"/>
    </row>
    <row r="237" spans="1:17" ht="4.5" customHeight="1" x14ac:dyDescent="0.35"/>
    <row r="238" spans="1:17" ht="12" customHeight="1" x14ac:dyDescent="0.35">
      <c r="A238" s="126"/>
      <c r="B238" s="126"/>
      <c r="C238" s="126"/>
      <c r="D238" s="126"/>
      <c r="E238" s="126"/>
      <c r="F238" s="126"/>
      <c r="G238" s="126"/>
      <c r="H238" s="126"/>
      <c r="I238" s="126"/>
      <c r="J238" s="126"/>
      <c r="K238" s="126"/>
      <c r="L238" s="126"/>
      <c r="M238" s="126"/>
      <c r="N238" s="126"/>
      <c r="O238" s="126"/>
      <c r="P238" s="126"/>
      <c r="Q238" s="126"/>
    </row>
    <row r="239" spans="1:17" ht="7.5" customHeight="1" x14ac:dyDescent="0.35"/>
    <row r="240" spans="1:17" ht="19.5" customHeight="1" x14ac:dyDescent="0.35">
      <c r="A240" s="133" t="s">
        <v>251</v>
      </c>
      <c r="B240" s="133"/>
      <c r="C240" s="133"/>
      <c r="D240" s="133"/>
      <c r="E240" s="133"/>
      <c r="F240" s="133"/>
      <c r="G240" s="133"/>
      <c r="H240" s="133"/>
      <c r="I240" s="133"/>
      <c r="J240" s="133"/>
      <c r="K240" s="133"/>
      <c r="L240" s="133"/>
      <c r="M240" s="133"/>
      <c r="N240" s="133"/>
      <c r="O240" s="133"/>
      <c r="P240" s="133"/>
      <c r="Q240" s="133"/>
    </row>
    <row r="241" spans="1:17" ht="4.5" customHeight="1" x14ac:dyDescent="0.35"/>
    <row r="242" spans="1:17" ht="21.75" customHeight="1" x14ac:dyDescent="0.35">
      <c r="A242" s="84" t="s">
        <v>232</v>
      </c>
      <c r="B242" s="128" t="str">
        <f>IFERROR(IF('Beginner Adv 15M - Bracket'!FK6="","TBD",'Beginner Adv 15M - Bracket'!FK6),"TBD")</f>
        <v>Sheena Marie Monico</v>
      </c>
      <c r="C242" s="128"/>
      <c r="D242" s="128"/>
      <c r="E242" s="128"/>
      <c r="F242" s="128"/>
      <c r="G242" s="128"/>
      <c r="H242" s="128"/>
      <c r="I242" s="84" t="s">
        <v>233</v>
      </c>
      <c r="J242" s="128" t="str">
        <f>IFERROR(IF('Beginner Adv 15M - Bracket'!FK8="","TBD",'Beginner Adv 15M - Bracket'!FK8),"TBD")</f>
        <v>TBD</v>
      </c>
      <c r="K242" s="128"/>
      <c r="L242" s="128"/>
      <c r="M242" s="128"/>
      <c r="N242" s="128"/>
      <c r="O242" s="128"/>
      <c r="P242" s="128"/>
      <c r="Q242" s="84" t="s">
        <v>232</v>
      </c>
    </row>
    <row r="243" spans="1:17" ht="13.5" customHeight="1" x14ac:dyDescent="0.35">
      <c r="A243" s="85" t="s">
        <v>234</v>
      </c>
      <c r="B243" s="129" t="str">
        <f>IFERROR('Beginner Adv 15M - Bracket'!FJ6,"")</f>
        <v>"W-SF1"</v>
      </c>
      <c r="C243" s="129"/>
      <c r="D243" s="129"/>
      <c r="E243" s="129"/>
      <c r="F243" s="129"/>
      <c r="G243" s="129"/>
      <c r="H243" s="129"/>
      <c r="I243" s="86"/>
      <c r="J243" s="129" t="str">
        <f>IFERROR('Beginner Adv 15M - Bracket'!FJ8,"")</f>
        <v>"W-SF2"</v>
      </c>
      <c r="K243" s="129"/>
      <c r="L243" s="129"/>
      <c r="M243" s="129"/>
      <c r="N243" s="129"/>
      <c r="O243" s="129"/>
      <c r="P243" s="129"/>
      <c r="Q243" s="85" t="s">
        <v>234</v>
      </c>
    </row>
    <row r="244" spans="1:17" ht="19.5" customHeight="1" x14ac:dyDescent="0.35">
      <c r="A244" s="87" t="s">
        <v>235</v>
      </c>
      <c r="B244" s="88" t="s">
        <v>83</v>
      </c>
      <c r="C244" s="88" t="s">
        <v>84</v>
      </c>
      <c r="D244" s="88" t="s">
        <v>85</v>
      </c>
      <c r="E244" s="88" t="s">
        <v>86</v>
      </c>
      <c r="F244" s="88" t="s">
        <v>87</v>
      </c>
      <c r="G244" s="88" t="s">
        <v>88</v>
      </c>
      <c r="H244" s="24" t="s">
        <v>236</v>
      </c>
      <c r="I244" s="89"/>
      <c r="J244" s="24" t="s">
        <v>236</v>
      </c>
      <c r="K244" s="88" t="s">
        <v>88</v>
      </c>
      <c r="L244" s="88" t="s">
        <v>87</v>
      </c>
      <c r="M244" s="88" t="s">
        <v>86</v>
      </c>
      <c r="N244" s="88" t="s">
        <v>85</v>
      </c>
      <c r="O244" s="88" t="s">
        <v>84</v>
      </c>
      <c r="P244" s="88" t="s">
        <v>83</v>
      </c>
      <c r="Q244" s="87" t="s">
        <v>235</v>
      </c>
    </row>
    <row r="245" spans="1:17" ht="21.75" customHeight="1" x14ac:dyDescent="0.35">
      <c r="A245" s="84" t="s">
        <v>222</v>
      </c>
      <c r="B245" s="90" t="str">
        <f>IFERROR(IF('Beginner Adv 15M - Bracket'!FQ6="","",'Beginner Adv 15M - Bracket'!FQ6),"")</f>
        <v/>
      </c>
      <c r="C245" s="90" t="str">
        <f>IFERROR(IF('Beginner Adv 15M - Bracket'!FR6="","",'Beginner Adv 15M - Bracket'!FR6),"")</f>
        <v/>
      </c>
      <c r="D245" s="90" t="str">
        <f>IFERROR(IF('Beginner Adv 15M - Bracket'!FS6="","",'Beginner Adv 15M - Bracket'!FS6),"")</f>
        <v/>
      </c>
      <c r="E245" s="90" t="str">
        <f>IFERROR(IF('Beginner Adv 15M - Bracket'!FT6="","",'Beginner Adv 15M - Bracket'!FT6),"")</f>
        <v/>
      </c>
      <c r="F245" s="90" t="str">
        <f>IFERROR(IF('Beginner Adv 15M - Bracket'!FU6="","",'Beginner Adv 15M - Bracket'!FU6),"")</f>
        <v/>
      </c>
      <c r="G245" s="90" t="str">
        <f>IFERROR(IF('Beginner Adv 15M - Bracket'!FV6="","",'Beginner Adv 15M - Bracket'!FV6),"")</f>
        <v/>
      </c>
      <c r="H245" s="32">
        <f>IFERROR(IF(ISNUMBER('Beginner Adv 15M - Bracket'!FW6),'Beginner Adv 15M - Bracket'!FW6,0),0)</f>
        <v>0</v>
      </c>
      <c r="I245" s="91" t="str">
        <f>IF(AND(ISNUMBER('Beginner Adv 15M - Bracket'!FW6),ISNUMBER('Beginner Adv 15M - Bracket'!FW8)),IF('Beginner Adv 15M - Bracket'!FW6&gt;'Beginner Adv 15M - Bracket'!FW8,"2-0",IF('Beginner Adv 15M - Bracket'!FW6='Beginner Adv 15M - Bracket'!FW8,"1-1","0-2")),"—")</f>
        <v>—</v>
      </c>
      <c r="J245" s="32">
        <f>IFERROR(IF(ISNUMBER('Beginner Adv 15M - Bracket'!FW8),'Beginner Adv 15M - Bracket'!FW8,0),0)</f>
        <v>0</v>
      </c>
      <c r="K245" s="90" t="str">
        <f>IFERROR(IF('Beginner Adv 15M - Bracket'!FV8="","",'Beginner Adv 15M - Bracket'!FV8),"")</f>
        <v/>
      </c>
      <c r="L245" s="90" t="str">
        <f>IFERROR(IF('Beginner Adv 15M - Bracket'!FU8="","",'Beginner Adv 15M - Bracket'!FU8),"")</f>
        <v/>
      </c>
      <c r="M245" s="90" t="str">
        <f>IFERROR(IF('Beginner Adv 15M - Bracket'!FT8="","",'Beginner Adv 15M - Bracket'!FT8),"")</f>
        <v/>
      </c>
      <c r="N245" s="90" t="str">
        <f>IFERROR(IF('Beginner Adv 15M - Bracket'!FS8="","",'Beginner Adv 15M - Bracket'!FS8),"")</f>
        <v/>
      </c>
      <c r="O245" s="90" t="str">
        <f>IFERROR(IF('Beginner Adv 15M - Bracket'!FR8="","",'Beginner Adv 15M - Bracket'!FR8),"")</f>
        <v/>
      </c>
      <c r="P245" s="90" t="str">
        <f>IFERROR(IF('Beginner Adv 15M - Bracket'!FQ8="","",'Beginner Adv 15M - Bracket'!FQ8),"")</f>
        <v/>
      </c>
      <c r="Q245" s="84" t="s">
        <v>222</v>
      </c>
    </row>
    <row r="246" spans="1:17" ht="21.75" customHeight="1" x14ac:dyDescent="0.35">
      <c r="A246" s="84" t="s">
        <v>223</v>
      </c>
      <c r="B246" s="90" t="str">
        <f>IFERROR(IF('Beginner Adv 15M - Bracket'!FX6="","",'Beginner Adv 15M - Bracket'!FX6),"")</f>
        <v/>
      </c>
      <c r="C246" s="90" t="str">
        <f>IFERROR(IF('Beginner Adv 15M - Bracket'!FY6="","",'Beginner Adv 15M - Bracket'!FY6),"")</f>
        <v/>
      </c>
      <c r="D246" s="90" t="str">
        <f>IFERROR(IF('Beginner Adv 15M - Bracket'!FZ6="","",'Beginner Adv 15M - Bracket'!FZ6),"")</f>
        <v/>
      </c>
      <c r="E246" s="90" t="str">
        <f>IFERROR(IF('Beginner Adv 15M - Bracket'!GA6="","",'Beginner Adv 15M - Bracket'!GA6),"")</f>
        <v/>
      </c>
      <c r="F246" s="90" t="str">
        <f>IFERROR(IF('Beginner Adv 15M - Bracket'!GB6="","",'Beginner Adv 15M - Bracket'!GB6),"")</f>
        <v/>
      </c>
      <c r="G246" s="90" t="str">
        <f>IFERROR(IF('Beginner Adv 15M - Bracket'!GC6="","",'Beginner Adv 15M - Bracket'!GC6),"")</f>
        <v/>
      </c>
      <c r="H246" s="32">
        <f>IFERROR(IF(ISNUMBER('Beginner Adv 15M - Bracket'!GD6),'Beginner Adv 15M - Bracket'!GD6,0),0)</f>
        <v>0</v>
      </c>
      <c r="I246" s="91" t="str">
        <f>IF(AND(ISNUMBER('Beginner Adv 15M - Bracket'!GD6),ISNUMBER('Beginner Adv 15M - Bracket'!GD8)),IF('Beginner Adv 15M - Bracket'!GD6&gt;'Beginner Adv 15M - Bracket'!GD8,"2-0",IF('Beginner Adv 15M - Bracket'!GD6='Beginner Adv 15M - Bracket'!GD8,"1-1","0-2")),"—")</f>
        <v>—</v>
      </c>
      <c r="J246" s="32">
        <f>IFERROR(IF(ISNUMBER('Beginner Adv 15M - Bracket'!GD8),'Beginner Adv 15M - Bracket'!GD8,0),0)</f>
        <v>0</v>
      </c>
      <c r="K246" s="90" t="str">
        <f>IFERROR(IF('Beginner Adv 15M - Bracket'!GC8="","",'Beginner Adv 15M - Bracket'!GC8),"")</f>
        <v/>
      </c>
      <c r="L246" s="90" t="str">
        <f>IFERROR(IF('Beginner Adv 15M - Bracket'!GB8="","",'Beginner Adv 15M - Bracket'!GB8),"")</f>
        <v/>
      </c>
      <c r="M246" s="90" t="str">
        <f>IFERROR(IF('Beginner Adv 15M - Bracket'!GA8="","",'Beginner Adv 15M - Bracket'!GA8),"")</f>
        <v/>
      </c>
      <c r="N246" s="90" t="str">
        <f>IFERROR(IF('Beginner Adv 15M - Bracket'!FZ8="","",'Beginner Adv 15M - Bracket'!FZ8),"")</f>
        <v/>
      </c>
      <c r="O246" s="90" t="str">
        <f>IFERROR(IF('Beginner Adv 15M - Bracket'!FY8="","",'Beginner Adv 15M - Bracket'!FY8),"")</f>
        <v/>
      </c>
      <c r="P246" s="90" t="str">
        <f>IFERROR(IF('Beginner Adv 15M - Bracket'!FX8="","",'Beginner Adv 15M - Bracket'!FX8),"")</f>
        <v/>
      </c>
      <c r="Q246" s="84" t="s">
        <v>223</v>
      </c>
    </row>
    <row r="247" spans="1:17" ht="21.75" customHeight="1" x14ac:dyDescent="0.35">
      <c r="A247" s="84" t="s">
        <v>224</v>
      </c>
      <c r="B247" s="90" t="str">
        <f>IFERROR(IF('Beginner Adv 15M - Bracket'!GE6="","",'Beginner Adv 15M - Bracket'!GE6),"")</f>
        <v/>
      </c>
      <c r="C247" s="90" t="str">
        <f>IFERROR(IF('Beginner Adv 15M - Bracket'!GF6="","",'Beginner Adv 15M - Bracket'!GF6),"")</f>
        <v/>
      </c>
      <c r="D247" s="90" t="str">
        <f>IFERROR(IF('Beginner Adv 15M - Bracket'!GG6="","",'Beginner Adv 15M - Bracket'!GG6),"")</f>
        <v/>
      </c>
      <c r="E247" s="90" t="str">
        <f>IFERROR(IF('Beginner Adv 15M - Bracket'!GH6="","",'Beginner Adv 15M - Bracket'!GH6),"")</f>
        <v/>
      </c>
      <c r="F247" s="90" t="str">
        <f>IFERROR(IF('Beginner Adv 15M - Bracket'!GI6="","",'Beginner Adv 15M - Bracket'!GI6),"")</f>
        <v/>
      </c>
      <c r="G247" s="90" t="str">
        <f>IFERROR(IF('Beginner Adv 15M - Bracket'!GJ6="","",'Beginner Adv 15M - Bracket'!GJ6),"")</f>
        <v/>
      </c>
      <c r="H247" s="32">
        <f>IFERROR(IF(ISNUMBER('Beginner Adv 15M - Bracket'!GK6),'Beginner Adv 15M - Bracket'!GK6,0),0)</f>
        <v>0</v>
      </c>
      <c r="I247" s="91" t="str">
        <f>IF(AND(ISNUMBER('Beginner Adv 15M - Bracket'!GK6),ISNUMBER('Beginner Adv 15M - Bracket'!GK8)),IF('Beginner Adv 15M - Bracket'!GK6&gt;'Beginner Adv 15M - Bracket'!GK8,"2-0",IF('Beginner Adv 15M - Bracket'!GK6='Beginner Adv 15M - Bracket'!GK8,"1-1","0-2")),"—")</f>
        <v>—</v>
      </c>
      <c r="J247" s="32">
        <f>IFERROR(IF(ISNUMBER('Beginner Adv 15M - Bracket'!GK8),'Beginner Adv 15M - Bracket'!GK8,0),0)</f>
        <v>0</v>
      </c>
      <c r="K247" s="90" t="str">
        <f>IFERROR(IF('Beginner Adv 15M - Bracket'!GJ8="","",'Beginner Adv 15M - Bracket'!GJ8),"")</f>
        <v/>
      </c>
      <c r="L247" s="90" t="str">
        <f>IFERROR(IF('Beginner Adv 15M - Bracket'!GI8="","",'Beginner Adv 15M - Bracket'!GI8),"")</f>
        <v/>
      </c>
      <c r="M247" s="90" t="str">
        <f>IFERROR(IF('Beginner Adv 15M - Bracket'!GH8="","",'Beginner Adv 15M - Bracket'!GH8),"")</f>
        <v/>
      </c>
      <c r="N247" s="90" t="str">
        <f>IFERROR(IF('Beginner Adv 15M - Bracket'!GG8="","",'Beginner Adv 15M - Bracket'!GG8),"")</f>
        <v/>
      </c>
      <c r="O247" s="90" t="str">
        <f>IFERROR(IF('Beginner Adv 15M - Bracket'!GF8="","",'Beginner Adv 15M - Bracket'!GF8),"")</f>
        <v/>
      </c>
      <c r="P247" s="90" t="str">
        <f>IFERROR(IF('Beginner Adv 15M - Bracket'!GE8="","",'Beginner Adv 15M - Bracket'!GE8),"")</f>
        <v/>
      </c>
      <c r="Q247" s="84" t="s">
        <v>224</v>
      </c>
    </row>
    <row r="248" spans="1:17" ht="21.75" customHeight="1" x14ac:dyDescent="0.35">
      <c r="A248" s="84" t="s">
        <v>227</v>
      </c>
      <c r="B248" s="90" t="str">
        <f>IFERROR(IF('Beginner Adv 15M - Bracket'!GL6="","",'Beginner Adv 15M - Bracket'!GL6),"")</f>
        <v/>
      </c>
      <c r="C248" s="90" t="str">
        <f>IFERROR(IF('Beginner Adv 15M - Bracket'!GM6="","",'Beginner Adv 15M - Bracket'!GM6),"")</f>
        <v/>
      </c>
      <c r="D248" s="90" t="str">
        <f>IFERROR(IF('Beginner Adv 15M - Bracket'!GN6="","",'Beginner Adv 15M - Bracket'!GN6),"")</f>
        <v/>
      </c>
      <c r="E248" s="90" t="str">
        <f>IFERROR(IF('Beginner Adv 15M - Bracket'!GO6="","",'Beginner Adv 15M - Bracket'!GO6),"")</f>
        <v/>
      </c>
      <c r="F248" s="90" t="str">
        <f>IFERROR(IF('Beginner Adv 15M - Bracket'!GP6="","",'Beginner Adv 15M - Bracket'!GP6),"")</f>
        <v/>
      </c>
      <c r="G248" s="90" t="str">
        <f>IFERROR(IF('Beginner Adv 15M - Bracket'!GQ6="","",'Beginner Adv 15M - Bracket'!GQ6),"")</f>
        <v/>
      </c>
      <c r="H248" s="32">
        <f>IFERROR(IF(ISNUMBER('Beginner Adv 15M - Bracket'!GR6),'Beginner Adv 15M - Bracket'!GR6,0),0)</f>
        <v>0</v>
      </c>
      <c r="I248" s="91" t="str">
        <f>IF(AND(ISNUMBER('Beginner Adv 15M - Bracket'!GR6),ISNUMBER('Beginner Adv 15M - Bracket'!GR8)),IF('Beginner Adv 15M - Bracket'!GR6&gt;'Beginner Adv 15M - Bracket'!GR8,"2-0",IF('Beginner Adv 15M - Bracket'!GR6='Beginner Adv 15M - Bracket'!GR8,"1-1","0-2")),"—")</f>
        <v>—</v>
      </c>
      <c r="J248" s="32">
        <f>IFERROR(IF(ISNUMBER('Beginner Adv 15M - Bracket'!GR8),'Beginner Adv 15M - Bracket'!GR8,0),0)</f>
        <v>0</v>
      </c>
      <c r="K248" s="90" t="str">
        <f>IFERROR(IF('Beginner Adv 15M - Bracket'!GQ8="","",'Beginner Adv 15M - Bracket'!GQ8),"")</f>
        <v/>
      </c>
      <c r="L248" s="90" t="str">
        <f>IFERROR(IF('Beginner Adv 15M - Bracket'!GP8="","",'Beginner Adv 15M - Bracket'!GP8),"")</f>
        <v/>
      </c>
      <c r="M248" s="90" t="str">
        <f>IFERROR(IF('Beginner Adv 15M - Bracket'!GO8="","",'Beginner Adv 15M - Bracket'!GO8),"")</f>
        <v/>
      </c>
      <c r="N248" s="90" t="str">
        <f>IFERROR(IF('Beginner Adv 15M - Bracket'!GN8="","",'Beginner Adv 15M - Bracket'!GN8),"")</f>
        <v/>
      </c>
      <c r="O248" s="90" t="str">
        <f>IFERROR(IF('Beginner Adv 15M - Bracket'!GM8="","",'Beginner Adv 15M - Bracket'!GM8),"")</f>
        <v/>
      </c>
      <c r="P248" s="90" t="str">
        <f>IFERROR(IF('Beginner Adv 15M - Bracket'!GL8="","",'Beginner Adv 15M - Bracket'!GL8),"")</f>
        <v/>
      </c>
      <c r="Q248" s="84" t="s">
        <v>227</v>
      </c>
    </row>
    <row r="249" spans="1:17" ht="21.75" customHeight="1" x14ac:dyDescent="0.35">
      <c r="A249" s="84" t="s">
        <v>228</v>
      </c>
      <c r="B249" s="90" t="str">
        <f>IFERROR(IF('Beginner Adv 15M - Bracket'!GS6="","",'Beginner Adv 15M - Bracket'!GS6),"")</f>
        <v/>
      </c>
      <c r="C249" s="90" t="str">
        <f>IFERROR(IF('Beginner Adv 15M - Bracket'!GT6="","",'Beginner Adv 15M - Bracket'!GT6),"")</f>
        <v/>
      </c>
      <c r="D249" s="90" t="str">
        <f>IFERROR(IF('Beginner Adv 15M - Bracket'!GU6="","",'Beginner Adv 15M - Bracket'!GU6),"")</f>
        <v/>
      </c>
      <c r="E249" s="90" t="str">
        <f>IFERROR(IF('Beginner Adv 15M - Bracket'!GV6="","",'Beginner Adv 15M - Bracket'!GV6),"")</f>
        <v/>
      </c>
      <c r="F249" s="90" t="str">
        <f>IFERROR(IF('Beginner Adv 15M - Bracket'!GW6="","",'Beginner Adv 15M - Bracket'!GW6),"")</f>
        <v/>
      </c>
      <c r="G249" s="90" t="str">
        <f>IFERROR(IF('Beginner Adv 15M - Bracket'!GX6="","",'Beginner Adv 15M - Bracket'!GX6),"")</f>
        <v/>
      </c>
      <c r="H249" s="32">
        <f>IFERROR(IF(ISNUMBER('Beginner Adv 15M - Bracket'!GY6),'Beginner Adv 15M - Bracket'!GY6,0),0)</f>
        <v>0</v>
      </c>
      <c r="I249" s="91" t="str">
        <f>IF(AND(ISNUMBER('Beginner Adv 15M - Bracket'!GY6),ISNUMBER('Beginner Adv 15M - Bracket'!GY8)),IF('Beginner Adv 15M - Bracket'!GY6&gt;'Beginner Adv 15M - Bracket'!GY8,"2-0",IF('Beginner Adv 15M - Bracket'!GY6='Beginner Adv 15M - Bracket'!GY8,"1-1","0-2")),"—")</f>
        <v>—</v>
      </c>
      <c r="J249" s="32">
        <f>IFERROR(IF(ISNUMBER('Beginner Adv 15M - Bracket'!GY8),'Beginner Adv 15M - Bracket'!GY8,0),0)</f>
        <v>0</v>
      </c>
      <c r="K249" s="90" t="str">
        <f>IFERROR(IF('Beginner Adv 15M - Bracket'!GX8="","",'Beginner Adv 15M - Bracket'!GX8),"")</f>
        <v/>
      </c>
      <c r="L249" s="90" t="str">
        <f>IFERROR(IF('Beginner Adv 15M - Bracket'!GW8="","",'Beginner Adv 15M - Bracket'!GW8),"")</f>
        <v/>
      </c>
      <c r="M249" s="90" t="str">
        <f>IFERROR(IF('Beginner Adv 15M - Bracket'!GV8="","",'Beginner Adv 15M - Bracket'!GV8),"")</f>
        <v/>
      </c>
      <c r="N249" s="90" t="str">
        <f>IFERROR(IF('Beginner Adv 15M - Bracket'!GU8="","",'Beginner Adv 15M - Bracket'!GU8),"")</f>
        <v/>
      </c>
      <c r="O249" s="90" t="str">
        <f>IFERROR(IF('Beginner Adv 15M - Bracket'!GT8="","",'Beginner Adv 15M - Bracket'!GT8),"")</f>
        <v/>
      </c>
      <c r="P249" s="90" t="str">
        <f>IFERROR(IF('Beginner Adv 15M - Bracket'!GS8="","",'Beginner Adv 15M - Bracket'!GS8),"")</f>
        <v/>
      </c>
      <c r="Q249" s="84" t="s">
        <v>228</v>
      </c>
    </row>
    <row r="250" spans="1:17" ht="21.75" customHeight="1" x14ac:dyDescent="0.35">
      <c r="A250" s="92" t="s">
        <v>237</v>
      </c>
      <c r="B250" s="93" t="str">
        <f>IFERROR(IF('Beginner Adv 15M - Bracket'!GZ6="","",'Beginner Adv 15M - Bracket'!GZ6),"")</f>
        <v/>
      </c>
      <c r="C250" s="93" t="str">
        <f>IFERROR(IF('Beginner Adv 15M - Bracket'!HA6="","",'Beginner Adv 15M - Bracket'!HA6),"")</f>
        <v/>
      </c>
      <c r="D250" s="93" t="str">
        <f>IFERROR(IF('Beginner Adv 15M - Bracket'!HB6="","",'Beginner Adv 15M - Bracket'!HB6),"")</f>
        <v/>
      </c>
      <c r="E250" s="93" t="str">
        <f>IFERROR(IF('Beginner Adv 15M - Bracket'!HC6="","",'Beginner Adv 15M - Bracket'!HC6),"")</f>
        <v/>
      </c>
      <c r="F250" s="93" t="str">
        <f>IFERROR(IF('Beginner Adv 15M - Bracket'!HD6="","",'Beginner Adv 15M - Bracket'!HD6),"")</f>
        <v/>
      </c>
      <c r="G250" s="93" t="str">
        <f>IFERROR(IF('Beginner Adv 15M - Bracket'!HE6="","",'Beginner Adv 15M - Bracket'!HE6),"")</f>
        <v/>
      </c>
      <c r="H250" s="32">
        <f>IFERROR(IF(ISNUMBER('Beginner Adv 15M - Bracket'!HF6),'Beginner Adv 15M - Bracket'!HF6,0),0)</f>
        <v>0</v>
      </c>
      <c r="I250" s="91" t="str">
        <f>IF(AND(ISNUMBER('Beginner Adv 15M - Bracket'!HF6),ISNUMBER('Beginner Adv 15M - Bracket'!HF8)),IF('Beginner Adv 15M - Bracket'!HF6&gt;'Beginner Adv 15M - Bracket'!HF8,"2-0",IF('Beginner Adv 15M - Bracket'!HF6='Beginner Adv 15M - Bracket'!HF8,"1-1","0-2")),"—")</f>
        <v>—</v>
      </c>
      <c r="J250" s="32">
        <f>IFERROR(IF(ISNUMBER('Beginner Adv 15M - Bracket'!HF8),'Beginner Adv 15M - Bracket'!HF8,0),0)</f>
        <v>0</v>
      </c>
      <c r="K250" s="93" t="str">
        <f>IFERROR(IF('Beginner Adv 15M - Bracket'!HE8="","",'Beginner Adv 15M - Bracket'!HE8),"")</f>
        <v/>
      </c>
      <c r="L250" s="93" t="str">
        <f>IFERROR(IF('Beginner Adv 15M - Bracket'!HD8="","",'Beginner Adv 15M - Bracket'!HD8),"")</f>
        <v/>
      </c>
      <c r="M250" s="93" t="str">
        <f>IFERROR(IF('Beginner Adv 15M - Bracket'!HC8="","",'Beginner Adv 15M - Bracket'!HC8),"")</f>
        <v/>
      </c>
      <c r="N250" s="93" t="str">
        <f>IFERROR(IF('Beginner Adv 15M - Bracket'!HB8="","",'Beginner Adv 15M - Bracket'!HB8),"")</f>
        <v/>
      </c>
      <c r="O250" s="93" t="str">
        <f>IFERROR(IF('Beginner Adv 15M - Bracket'!HA8="","",'Beginner Adv 15M - Bracket'!HA8),"")</f>
        <v/>
      </c>
      <c r="P250" s="93" t="str">
        <f>IFERROR(IF('Beginner Adv 15M - Bracket'!GZ8="","",'Beginner Adv 15M - Bracket'!GZ8),"")</f>
        <v/>
      </c>
      <c r="Q250" s="92" t="s">
        <v>237</v>
      </c>
    </row>
    <row r="251" spans="1:17" ht="4.5" customHeight="1" x14ac:dyDescent="0.35"/>
    <row r="252" spans="1:17" ht="31.5" customHeight="1" x14ac:dyDescent="0.35">
      <c r="A252" s="130">
        <f>IFERROR(IF(ISNUMBER('Beginner Adv 15M - Bracket'!HG6),'Beginner Adv 15M - Bracket'!HG6,0),0)</f>
        <v>0</v>
      </c>
      <c r="B252" s="130"/>
      <c r="C252" s="130"/>
      <c r="D252" s="130"/>
      <c r="E252" s="130"/>
      <c r="F252" s="130"/>
      <c r="G252" s="130"/>
      <c r="H252" s="94" t="str">
        <f>IFERROR('Beginner Adv 15M - Bracket'!HJ6,"")</f>
        <v>&gt;&gt; Advance</v>
      </c>
      <c r="I252" s="86"/>
      <c r="J252" s="94" t="str">
        <f>IFERROR('Beginner Adv 15M - Bracket'!HJ8,"")</f>
        <v>BYE</v>
      </c>
      <c r="K252" s="130">
        <f>IFERROR(IF(ISNUMBER('Beginner Adv 15M - Bracket'!HG8),'Beginner Adv 15M - Bracket'!HG8,0),0)</f>
        <v>0</v>
      </c>
      <c r="L252" s="130"/>
      <c r="M252" s="130"/>
      <c r="N252" s="130"/>
      <c r="O252" s="130"/>
      <c r="P252" s="130"/>
      <c r="Q252" s="130"/>
    </row>
    <row r="253" spans="1:17" ht="21.75" customHeight="1" x14ac:dyDescent="0.35">
      <c r="A253" s="130"/>
      <c r="B253" s="130"/>
      <c r="C253" s="130"/>
      <c r="D253" s="130"/>
      <c r="E253" s="130"/>
      <c r="F253" s="130"/>
      <c r="G253" s="130"/>
      <c r="K253" s="130"/>
      <c r="L253" s="130"/>
      <c r="M253" s="130"/>
      <c r="N253" s="130"/>
      <c r="O253" s="130"/>
      <c r="P253" s="130"/>
      <c r="Q253" s="130"/>
    </row>
    <row r="254" spans="1:17" ht="4.5" customHeight="1" x14ac:dyDescent="0.35"/>
    <row r="255" spans="1:17" ht="12" customHeight="1" x14ac:dyDescent="0.35">
      <c r="A255" s="126"/>
      <c r="B255" s="126"/>
      <c r="C255" s="126"/>
      <c r="D255" s="126"/>
      <c r="E255" s="126"/>
      <c r="F255" s="126"/>
      <c r="G255" s="126"/>
      <c r="H255" s="126"/>
      <c r="I255" s="126"/>
      <c r="J255" s="126"/>
      <c r="K255" s="126"/>
      <c r="L255" s="126"/>
      <c r="M255" s="126"/>
      <c r="N255" s="126"/>
      <c r="O255" s="126"/>
      <c r="P255" s="126"/>
      <c r="Q255" s="126"/>
    </row>
    <row r="256" spans="1:17" ht="7.5" customHeight="1" x14ac:dyDescent="0.35"/>
    <row r="257" spans="1:17" ht="19.5" customHeight="1" x14ac:dyDescent="0.35">
      <c r="A257" s="134" t="s">
        <v>252</v>
      </c>
      <c r="B257" s="134"/>
      <c r="C257" s="134"/>
      <c r="D257" s="134"/>
      <c r="E257" s="134"/>
      <c r="F257" s="134"/>
      <c r="G257" s="134"/>
      <c r="H257" s="134"/>
      <c r="I257" s="134"/>
      <c r="J257" s="134"/>
      <c r="K257" s="134"/>
      <c r="L257" s="134"/>
      <c r="M257" s="134"/>
      <c r="N257" s="134"/>
      <c r="O257" s="134"/>
      <c r="P257" s="134"/>
      <c r="Q257" s="134"/>
    </row>
    <row r="258" spans="1:17" ht="4.5" customHeight="1" x14ac:dyDescent="0.35"/>
    <row r="259" spans="1:17" ht="21.75" customHeight="1" x14ac:dyDescent="0.35">
      <c r="A259" s="84" t="s">
        <v>232</v>
      </c>
      <c r="B259" s="128" t="str">
        <f>IFERROR(IF('Beginner Adv 15M - Bracket'!B11="","TBD",'Beginner Adv 15M - Bracket'!B11),"TBD")</f>
        <v>TBD</v>
      </c>
      <c r="C259" s="128"/>
      <c r="D259" s="128"/>
      <c r="E259" s="128"/>
      <c r="F259" s="128"/>
      <c r="G259" s="128"/>
      <c r="H259" s="128"/>
      <c r="I259" s="84" t="s">
        <v>233</v>
      </c>
      <c r="J259" s="128" t="str">
        <f>IFERROR(IF('Beginner Adv 15M - Bracket'!B13="","TBD",'Beginner Adv 15M - Bracket'!B13),"TBD")</f>
        <v>TBD</v>
      </c>
      <c r="K259" s="128"/>
      <c r="L259" s="128"/>
      <c r="M259" s="128"/>
      <c r="N259" s="128"/>
      <c r="O259" s="128"/>
      <c r="P259" s="128"/>
      <c r="Q259" s="84" t="s">
        <v>232</v>
      </c>
    </row>
    <row r="260" spans="1:17" ht="13.5" customHeight="1" x14ac:dyDescent="0.35">
      <c r="A260" s="85" t="s">
        <v>234</v>
      </c>
      <c r="B260" s="129" t="str">
        <f>IFERROR('Beginner Adv 15M - Bracket'!A11,"")</f>
        <v>BYE</v>
      </c>
      <c r="C260" s="129"/>
      <c r="D260" s="129"/>
      <c r="E260" s="129"/>
      <c r="F260" s="129"/>
      <c r="G260" s="129"/>
      <c r="H260" s="129"/>
      <c r="I260" s="86"/>
      <c r="J260" s="129" t="str">
        <f>IFERROR('Beginner Adv 15M - Bracket'!A13,"")</f>
        <v>BYE</v>
      </c>
      <c r="K260" s="129"/>
      <c r="L260" s="129"/>
      <c r="M260" s="129"/>
      <c r="N260" s="129"/>
      <c r="O260" s="129"/>
      <c r="P260" s="129"/>
      <c r="Q260" s="85" t="s">
        <v>234</v>
      </c>
    </row>
    <row r="261" spans="1:17" ht="19.5" customHeight="1" x14ac:dyDescent="0.35">
      <c r="A261" s="87" t="s">
        <v>235</v>
      </c>
      <c r="B261" s="88" t="s">
        <v>83</v>
      </c>
      <c r="C261" s="88" t="s">
        <v>84</v>
      </c>
      <c r="D261" s="88" t="s">
        <v>85</v>
      </c>
      <c r="E261" s="88" t="s">
        <v>86</v>
      </c>
      <c r="F261" s="88" t="s">
        <v>87</v>
      </c>
      <c r="G261" s="88" t="s">
        <v>88</v>
      </c>
      <c r="H261" s="24" t="s">
        <v>236</v>
      </c>
      <c r="I261" s="89"/>
      <c r="J261" s="24" t="s">
        <v>236</v>
      </c>
      <c r="K261" s="88" t="s">
        <v>88</v>
      </c>
      <c r="L261" s="88" t="s">
        <v>87</v>
      </c>
      <c r="M261" s="88" t="s">
        <v>86</v>
      </c>
      <c r="N261" s="88" t="s">
        <v>85</v>
      </c>
      <c r="O261" s="88" t="s">
        <v>84</v>
      </c>
      <c r="P261" s="88" t="s">
        <v>83</v>
      </c>
      <c r="Q261" s="87" t="s">
        <v>235</v>
      </c>
    </row>
    <row r="262" spans="1:17" ht="21.75" customHeight="1" x14ac:dyDescent="0.35">
      <c r="A262" s="84" t="s">
        <v>222</v>
      </c>
      <c r="B262" s="90" t="str">
        <f>IFERROR(IF('Beginner Adv 15M - Bracket'!H11="","",'Beginner Adv 15M - Bracket'!H11),"")</f>
        <v/>
      </c>
      <c r="C262" s="90" t="str">
        <f>IFERROR(IF('Beginner Adv 15M - Bracket'!I11="","",'Beginner Adv 15M - Bracket'!I11),"")</f>
        <v/>
      </c>
      <c r="D262" s="90" t="str">
        <f>IFERROR(IF('Beginner Adv 15M - Bracket'!J11="","",'Beginner Adv 15M - Bracket'!J11),"")</f>
        <v/>
      </c>
      <c r="E262" s="90" t="str">
        <f>IFERROR(IF('Beginner Adv 15M - Bracket'!K11="","",'Beginner Adv 15M - Bracket'!K11),"")</f>
        <v/>
      </c>
      <c r="F262" s="90" t="str">
        <f>IFERROR(IF('Beginner Adv 15M - Bracket'!L11="","",'Beginner Adv 15M - Bracket'!L11),"")</f>
        <v/>
      </c>
      <c r="G262" s="90" t="str">
        <f>IFERROR(IF('Beginner Adv 15M - Bracket'!M11="","",'Beginner Adv 15M - Bracket'!M11),"")</f>
        <v/>
      </c>
      <c r="H262" s="32">
        <f>IFERROR(IF(ISNUMBER('Beginner Adv 15M - Bracket'!N11),'Beginner Adv 15M - Bracket'!N11,0),0)</f>
        <v>0</v>
      </c>
      <c r="I262" s="91" t="str">
        <f>IF(AND(ISNUMBER('Beginner Adv 15M - Bracket'!N11),ISNUMBER('Beginner Adv 15M - Bracket'!N13)),IF('Beginner Adv 15M - Bracket'!N11&gt;'Beginner Adv 15M - Bracket'!N13,"2-0",IF('Beginner Adv 15M - Bracket'!N11='Beginner Adv 15M - Bracket'!N13,"1-1","0-2")),"—")</f>
        <v>—</v>
      </c>
      <c r="J262" s="32">
        <f>IFERROR(IF(ISNUMBER('Beginner Adv 15M - Bracket'!N13),'Beginner Adv 15M - Bracket'!N13,0),0)</f>
        <v>0</v>
      </c>
      <c r="K262" s="90" t="str">
        <f>IFERROR(IF('Beginner Adv 15M - Bracket'!M13="","",'Beginner Adv 15M - Bracket'!M13),"")</f>
        <v/>
      </c>
      <c r="L262" s="90" t="str">
        <f>IFERROR(IF('Beginner Adv 15M - Bracket'!L13="","",'Beginner Adv 15M - Bracket'!L13),"")</f>
        <v/>
      </c>
      <c r="M262" s="90" t="str">
        <f>IFERROR(IF('Beginner Adv 15M - Bracket'!K13="","",'Beginner Adv 15M - Bracket'!K13),"")</f>
        <v/>
      </c>
      <c r="N262" s="90" t="str">
        <f>IFERROR(IF('Beginner Adv 15M - Bracket'!J13="","",'Beginner Adv 15M - Bracket'!J13),"")</f>
        <v/>
      </c>
      <c r="O262" s="90" t="str">
        <f>IFERROR(IF('Beginner Adv 15M - Bracket'!I13="","",'Beginner Adv 15M - Bracket'!I13),"")</f>
        <v/>
      </c>
      <c r="P262" s="90" t="str">
        <f>IFERROR(IF('Beginner Adv 15M - Bracket'!H13="","",'Beginner Adv 15M - Bracket'!H13),"")</f>
        <v/>
      </c>
      <c r="Q262" s="84" t="s">
        <v>222</v>
      </c>
    </row>
    <row r="263" spans="1:17" ht="21.75" customHeight="1" x14ac:dyDescent="0.35">
      <c r="A263" s="84" t="s">
        <v>223</v>
      </c>
      <c r="B263" s="90" t="str">
        <f>IFERROR(IF('Beginner Adv 15M - Bracket'!O11="","",'Beginner Adv 15M - Bracket'!O11),"")</f>
        <v/>
      </c>
      <c r="C263" s="90" t="str">
        <f>IFERROR(IF('Beginner Adv 15M - Bracket'!P11="","",'Beginner Adv 15M - Bracket'!P11),"")</f>
        <v/>
      </c>
      <c r="D263" s="90" t="str">
        <f>IFERROR(IF('Beginner Adv 15M - Bracket'!Q11="","",'Beginner Adv 15M - Bracket'!Q11),"")</f>
        <v/>
      </c>
      <c r="E263" s="90" t="str">
        <f>IFERROR(IF('Beginner Adv 15M - Bracket'!R11="","",'Beginner Adv 15M - Bracket'!R11),"")</f>
        <v/>
      </c>
      <c r="F263" s="90" t="str">
        <f>IFERROR(IF('Beginner Adv 15M - Bracket'!S11="","",'Beginner Adv 15M - Bracket'!S11),"")</f>
        <v/>
      </c>
      <c r="G263" s="90" t="str">
        <f>IFERROR(IF('Beginner Adv 15M - Bracket'!T11="","",'Beginner Adv 15M - Bracket'!T11),"")</f>
        <v/>
      </c>
      <c r="H263" s="32">
        <f>IFERROR(IF(ISNUMBER('Beginner Adv 15M - Bracket'!U11),'Beginner Adv 15M - Bracket'!U11,0),0)</f>
        <v>0</v>
      </c>
      <c r="I263" s="91" t="str">
        <f>IF(AND(ISNUMBER('Beginner Adv 15M - Bracket'!U11),ISNUMBER('Beginner Adv 15M - Bracket'!U13)),IF('Beginner Adv 15M - Bracket'!U11&gt;'Beginner Adv 15M - Bracket'!U13,"2-0",IF('Beginner Adv 15M - Bracket'!U11='Beginner Adv 15M - Bracket'!U13,"1-1","0-2")),"—")</f>
        <v>—</v>
      </c>
      <c r="J263" s="32">
        <f>IFERROR(IF(ISNUMBER('Beginner Adv 15M - Bracket'!U13),'Beginner Adv 15M - Bracket'!U13,0),0)</f>
        <v>0</v>
      </c>
      <c r="K263" s="90" t="str">
        <f>IFERROR(IF('Beginner Adv 15M - Bracket'!T13="","",'Beginner Adv 15M - Bracket'!T13),"")</f>
        <v/>
      </c>
      <c r="L263" s="90" t="str">
        <f>IFERROR(IF('Beginner Adv 15M - Bracket'!S13="","",'Beginner Adv 15M - Bracket'!S13),"")</f>
        <v/>
      </c>
      <c r="M263" s="90" t="str">
        <f>IFERROR(IF('Beginner Adv 15M - Bracket'!R13="","",'Beginner Adv 15M - Bracket'!R13),"")</f>
        <v/>
      </c>
      <c r="N263" s="90" t="str">
        <f>IFERROR(IF('Beginner Adv 15M - Bracket'!Q13="","",'Beginner Adv 15M - Bracket'!Q13),"")</f>
        <v/>
      </c>
      <c r="O263" s="90" t="str">
        <f>IFERROR(IF('Beginner Adv 15M - Bracket'!P13="","",'Beginner Adv 15M - Bracket'!P13),"")</f>
        <v/>
      </c>
      <c r="P263" s="90" t="str">
        <f>IFERROR(IF('Beginner Adv 15M - Bracket'!O13="","",'Beginner Adv 15M - Bracket'!O13),"")</f>
        <v/>
      </c>
      <c r="Q263" s="84" t="s">
        <v>223</v>
      </c>
    </row>
    <row r="264" spans="1:17" ht="21.75" customHeight="1" x14ac:dyDescent="0.35">
      <c r="A264" s="84" t="s">
        <v>224</v>
      </c>
      <c r="B264" s="90" t="str">
        <f>IFERROR(IF('Beginner Adv 15M - Bracket'!V11="","",'Beginner Adv 15M - Bracket'!V11),"")</f>
        <v/>
      </c>
      <c r="C264" s="90" t="str">
        <f>IFERROR(IF('Beginner Adv 15M - Bracket'!W11="","",'Beginner Adv 15M - Bracket'!W11),"")</f>
        <v/>
      </c>
      <c r="D264" s="90" t="str">
        <f>IFERROR(IF('Beginner Adv 15M - Bracket'!X11="","",'Beginner Adv 15M - Bracket'!X11),"")</f>
        <v/>
      </c>
      <c r="E264" s="90" t="str">
        <f>IFERROR(IF('Beginner Adv 15M - Bracket'!Y11="","",'Beginner Adv 15M - Bracket'!Y11),"")</f>
        <v/>
      </c>
      <c r="F264" s="90" t="str">
        <f>IFERROR(IF('Beginner Adv 15M - Bracket'!Z11="","",'Beginner Adv 15M - Bracket'!Z11),"")</f>
        <v/>
      </c>
      <c r="G264" s="90" t="str">
        <f>IFERROR(IF('Beginner Adv 15M - Bracket'!AA11="","",'Beginner Adv 15M - Bracket'!AA11),"")</f>
        <v/>
      </c>
      <c r="H264" s="32">
        <f>IFERROR(IF(ISNUMBER('Beginner Adv 15M - Bracket'!AB11),'Beginner Adv 15M - Bracket'!AB11,0),0)</f>
        <v>0</v>
      </c>
      <c r="I264" s="91" t="str">
        <f>IF(AND(ISNUMBER('Beginner Adv 15M - Bracket'!AB11),ISNUMBER('Beginner Adv 15M - Bracket'!AB13)),IF('Beginner Adv 15M - Bracket'!AB11&gt;'Beginner Adv 15M - Bracket'!AB13,"2-0",IF('Beginner Adv 15M - Bracket'!AB11='Beginner Adv 15M - Bracket'!AB13,"1-1","0-2")),"—")</f>
        <v>—</v>
      </c>
      <c r="J264" s="32">
        <f>IFERROR(IF(ISNUMBER('Beginner Adv 15M - Bracket'!AB13),'Beginner Adv 15M - Bracket'!AB13,0),0)</f>
        <v>0</v>
      </c>
      <c r="K264" s="90" t="str">
        <f>IFERROR(IF('Beginner Adv 15M - Bracket'!AA13="","",'Beginner Adv 15M - Bracket'!AA13),"")</f>
        <v/>
      </c>
      <c r="L264" s="90" t="str">
        <f>IFERROR(IF('Beginner Adv 15M - Bracket'!Z13="","",'Beginner Adv 15M - Bracket'!Z13),"")</f>
        <v/>
      </c>
      <c r="M264" s="90" t="str">
        <f>IFERROR(IF('Beginner Adv 15M - Bracket'!Y13="","",'Beginner Adv 15M - Bracket'!Y13),"")</f>
        <v/>
      </c>
      <c r="N264" s="90" t="str">
        <f>IFERROR(IF('Beginner Adv 15M - Bracket'!X13="","",'Beginner Adv 15M - Bracket'!X13),"")</f>
        <v/>
      </c>
      <c r="O264" s="90" t="str">
        <f>IFERROR(IF('Beginner Adv 15M - Bracket'!W13="","",'Beginner Adv 15M - Bracket'!W13),"")</f>
        <v/>
      </c>
      <c r="P264" s="90" t="str">
        <f>IFERROR(IF('Beginner Adv 15M - Bracket'!V13="","",'Beginner Adv 15M - Bracket'!V13),"")</f>
        <v/>
      </c>
      <c r="Q264" s="84" t="s">
        <v>224</v>
      </c>
    </row>
    <row r="265" spans="1:17" ht="21.75" customHeight="1" x14ac:dyDescent="0.35">
      <c r="A265" s="84" t="s">
        <v>227</v>
      </c>
      <c r="B265" s="90" t="str">
        <f>IFERROR(IF('Beginner Adv 15M - Bracket'!AC11="","",'Beginner Adv 15M - Bracket'!AC11),"")</f>
        <v/>
      </c>
      <c r="C265" s="90" t="str">
        <f>IFERROR(IF('Beginner Adv 15M - Bracket'!AD11="","",'Beginner Adv 15M - Bracket'!AD11),"")</f>
        <v/>
      </c>
      <c r="D265" s="90" t="str">
        <f>IFERROR(IF('Beginner Adv 15M - Bracket'!AE11="","",'Beginner Adv 15M - Bracket'!AE11),"")</f>
        <v/>
      </c>
      <c r="E265" s="90" t="str">
        <f>IFERROR(IF('Beginner Adv 15M - Bracket'!AF11="","",'Beginner Adv 15M - Bracket'!AF11),"")</f>
        <v/>
      </c>
      <c r="F265" s="90" t="str">
        <f>IFERROR(IF('Beginner Adv 15M - Bracket'!AG11="","",'Beginner Adv 15M - Bracket'!AG11),"")</f>
        <v/>
      </c>
      <c r="G265" s="90" t="str">
        <f>IFERROR(IF('Beginner Adv 15M - Bracket'!AH11="","",'Beginner Adv 15M - Bracket'!AH11),"")</f>
        <v/>
      </c>
      <c r="H265" s="32">
        <f>IFERROR(IF(ISNUMBER('Beginner Adv 15M - Bracket'!AI11),'Beginner Adv 15M - Bracket'!AI11,0),0)</f>
        <v>0</v>
      </c>
      <c r="I265" s="91" t="str">
        <f>IF(AND(ISNUMBER('Beginner Adv 15M - Bracket'!AI11),ISNUMBER('Beginner Adv 15M - Bracket'!AI13)),IF('Beginner Adv 15M - Bracket'!AI11&gt;'Beginner Adv 15M - Bracket'!AI13,"2-0",IF('Beginner Adv 15M - Bracket'!AI11='Beginner Adv 15M - Bracket'!AI13,"1-1","0-2")),"—")</f>
        <v>—</v>
      </c>
      <c r="J265" s="32">
        <f>IFERROR(IF(ISNUMBER('Beginner Adv 15M - Bracket'!AI13),'Beginner Adv 15M - Bracket'!AI13,0),0)</f>
        <v>0</v>
      </c>
      <c r="K265" s="90" t="str">
        <f>IFERROR(IF('Beginner Adv 15M - Bracket'!AH13="","",'Beginner Adv 15M - Bracket'!AH13),"")</f>
        <v/>
      </c>
      <c r="L265" s="90" t="str">
        <f>IFERROR(IF('Beginner Adv 15M - Bracket'!AG13="","",'Beginner Adv 15M - Bracket'!AG13),"")</f>
        <v/>
      </c>
      <c r="M265" s="90" t="str">
        <f>IFERROR(IF('Beginner Adv 15M - Bracket'!AF13="","",'Beginner Adv 15M - Bracket'!AF13),"")</f>
        <v/>
      </c>
      <c r="N265" s="90" t="str">
        <f>IFERROR(IF('Beginner Adv 15M - Bracket'!AE13="","",'Beginner Adv 15M - Bracket'!AE13),"")</f>
        <v/>
      </c>
      <c r="O265" s="90" t="str">
        <f>IFERROR(IF('Beginner Adv 15M - Bracket'!AD13="","",'Beginner Adv 15M - Bracket'!AD13),"")</f>
        <v/>
      </c>
      <c r="P265" s="90" t="str">
        <f>IFERROR(IF('Beginner Adv 15M - Bracket'!AC13="","",'Beginner Adv 15M - Bracket'!AC13),"")</f>
        <v/>
      </c>
      <c r="Q265" s="84" t="s">
        <v>227</v>
      </c>
    </row>
    <row r="266" spans="1:17" ht="21.75" customHeight="1" x14ac:dyDescent="0.35">
      <c r="A266" s="84" t="s">
        <v>228</v>
      </c>
      <c r="B266" s="90" t="str">
        <f>IFERROR(IF('Beginner Adv 15M - Bracket'!AJ11="","",'Beginner Adv 15M - Bracket'!AJ11),"")</f>
        <v/>
      </c>
      <c r="C266" s="90" t="str">
        <f>IFERROR(IF('Beginner Adv 15M - Bracket'!AK11="","",'Beginner Adv 15M - Bracket'!AK11),"")</f>
        <v/>
      </c>
      <c r="D266" s="90" t="str">
        <f>IFERROR(IF('Beginner Adv 15M - Bracket'!AL11="","",'Beginner Adv 15M - Bracket'!AL11),"")</f>
        <v/>
      </c>
      <c r="E266" s="90" t="str">
        <f>IFERROR(IF('Beginner Adv 15M - Bracket'!AM11="","",'Beginner Adv 15M - Bracket'!AM11),"")</f>
        <v/>
      </c>
      <c r="F266" s="90" t="str">
        <f>IFERROR(IF('Beginner Adv 15M - Bracket'!AN11="","",'Beginner Adv 15M - Bracket'!AN11),"")</f>
        <v/>
      </c>
      <c r="G266" s="90" t="str">
        <f>IFERROR(IF('Beginner Adv 15M - Bracket'!AO11="","",'Beginner Adv 15M - Bracket'!AO11),"")</f>
        <v/>
      </c>
      <c r="H266" s="32">
        <f>IFERROR(IF(ISNUMBER('Beginner Adv 15M - Bracket'!AP11),'Beginner Adv 15M - Bracket'!AP11,0),0)</f>
        <v>0</v>
      </c>
      <c r="I266" s="91" t="str">
        <f>IF(AND(ISNUMBER('Beginner Adv 15M - Bracket'!AP11),ISNUMBER('Beginner Adv 15M - Bracket'!AP13)),IF('Beginner Adv 15M - Bracket'!AP11&gt;'Beginner Adv 15M - Bracket'!AP13,"2-0",IF('Beginner Adv 15M - Bracket'!AP11='Beginner Adv 15M - Bracket'!AP13,"1-1","0-2")),"—")</f>
        <v>—</v>
      </c>
      <c r="J266" s="32">
        <f>IFERROR(IF(ISNUMBER('Beginner Adv 15M - Bracket'!AP13),'Beginner Adv 15M - Bracket'!AP13,0),0)</f>
        <v>0</v>
      </c>
      <c r="K266" s="90" t="str">
        <f>IFERROR(IF('Beginner Adv 15M - Bracket'!AO13="","",'Beginner Adv 15M - Bracket'!AO13),"")</f>
        <v/>
      </c>
      <c r="L266" s="90" t="str">
        <f>IFERROR(IF('Beginner Adv 15M - Bracket'!AN13="","",'Beginner Adv 15M - Bracket'!AN13),"")</f>
        <v/>
      </c>
      <c r="M266" s="90" t="str">
        <f>IFERROR(IF('Beginner Adv 15M - Bracket'!AM13="","",'Beginner Adv 15M - Bracket'!AM13),"")</f>
        <v/>
      </c>
      <c r="N266" s="90" t="str">
        <f>IFERROR(IF('Beginner Adv 15M - Bracket'!AL13="","",'Beginner Adv 15M - Bracket'!AL13),"")</f>
        <v/>
      </c>
      <c r="O266" s="90" t="str">
        <f>IFERROR(IF('Beginner Adv 15M - Bracket'!AK13="","",'Beginner Adv 15M - Bracket'!AK13),"")</f>
        <v/>
      </c>
      <c r="P266" s="90" t="str">
        <f>IFERROR(IF('Beginner Adv 15M - Bracket'!AJ13="","",'Beginner Adv 15M - Bracket'!AJ13),"")</f>
        <v/>
      </c>
      <c r="Q266" s="84" t="s">
        <v>228</v>
      </c>
    </row>
    <row r="267" spans="1:17" ht="21.75" customHeight="1" x14ac:dyDescent="0.35">
      <c r="A267" s="92" t="s">
        <v>237</v>
      </c>
      <c r="B267" s="93" t="str">
        <f>IFERROR(IF('Beginner Adv 15M - Bracket'!AQ11="","",'Beginner Adv 15M - Bracket'!AQ11),"")</f>
        <v/>
      </c>
      <c r="C267" s="93" t="str">
        <f>IFERROR(IF('Beginner Adv 15M - Bracket'!AR11="","",'Beginner Adv 15M - Bracket'!AR11),"")</f>
        <v/>
      </c>
      <c r="D267" s="93" t="str">
        <f>IFERROR(IF('Beginner Adv 15M - Bracket'!AS11="","",'Beginner Adv 15M - Bracket'!AS11),"")</f>
        <v/>
      </c>
      <c r="E267" s="93" t="str">
        <f>IFERROR(IF('Beginner Adv 15M - Bracket'!AT11="","",'Beginner Adv 15M - Bracket'!AT11),"")</f>
        <v/>
      </c>
      <c r="F267" s="93" t="str">
        <f>IFERROR(IF('Beginner Adv 15M - Bracket'!AU11="","",'Beginner Adv 15M - Bracket'!AU11),"")</f>
        <v/>
      </c>
      <c r="G267" s="93" t="str">
        <f>IFERROR(IF('Beginner Adv 15M - Bracket'!AV11="","",'Beginner Adv 15M - Bracket'!AV11),"")</f>
        <v/>
      </c>
      <c r="H267" s="32">
        <f>IFERROR(IF(ISNUMBER('Beginner Adv 15M - Bracket'!AW11),'Beginner Adv 15M - Bracket'!AW11,0),0)</f>
        <v>0</v>
      </c>
      <c r="I267" s="91" t="str">
        <f>IF(AND(ISNUMBER('Beginner Adv 15M - Bracket'!AW11),ISNUMBER('Beginner Adv 15M - Bracket'!AW13)),IF('Beginner Adv 15M - Bracket'!AW11&gt;'Beginner Adv 15M - Bracket'!AW13,"2-0",IF('Beginner Adv 15M - Bracket'!AW11='Beginner Adv 15M - Bracket'!AW13,"1-1","0-2")),"—")</f>
        <v>—</v>
      </c>
      <c r="J267" s="32">
        <f>IFERROR(IF(ISNUMBER('Beginner Adv 15M - Bracket'!AW13),'Beginner Adv 15M - Bracket'!AW13,0),0)</f>
        <v>0</v>
      </c>
      <c r="K267" s="93" t="str">
        <f>IFERROR(IF('Beginner Adv 15M - Bracket'!AV13="","",'Beginner Adv 15M - Bracket'!AV13),"")</f>
        <v/>
      </c>
      <c r="L267" s="93" t="str">
        <f>IFERROR(IF('Beginner Adv 15M - Bracket'!AU13="","",'Beginner Adv 15M - Bracket'!AU13),"")</f>
        <v/>
      </c>
      <c r="M267" s="93" t="str">
        <f>IFERROR(IF('Beginner Adv 15M - Bracket'!AT13="","",'Beginner Adv 15M - Bracket'!AT13),"")</f>
        <v/>
      </c>
      <c r="N267" s="93" t="str">
        <f>IFERROR(IF('Beginner Adv 15M - Bracket'!AS13="","",'Beginner Adv 15M - Bracket'!AS13),"")</f>
        <v/>
      </c>
      <c r="O267" s="93" t="str">
        <f>IFERROR(IF('Beginner Adv 15M - Bracket'!AR13="","",'Beginner Adv 15M - Bracket'!AR13),"")</f>
        <v/>
      </c>
      <c r="P267" s="93" t="str">
        <f>IFERROR(IF('Beginner Adv 15M - Bracket'!AQ13="","",'Beginner Adv 15M - Bracket'!AQ13),"")</f>
        <v/>
      </c>
      <c r="Q267" s="92" t="s">
        <v>237</v>
      </c>
    </row>
    <row r="268" spans="1:17" ht="4.5" customHeight="1" x14ac:dyDescent="0.35"/>
    <row r="269" spans="1:17" ht="31.5" customHeight="1" x14ac:dyDescent="0.35">
      <c r="A269" s="130">
        <f>IFERROR(IF(ISNUMBER('Beginner Adv 15M - Bracket'!AX11),'Beginner Adv 15M - Bracket'!AX11,0),0)</f>
        <v>0</v>
      </c>
      <c r="B269" s="130"/>
      <c r="C269" s="130"/>
      <c r="D269" s="130"/>
      <c r="E269" s="130"/>
      <c r="F269" s="130"/>
      <c r="G269" s="130"/>
      <c r="H269" s="94" t="str">
        <f>IFERROR('Beginner Adv 15M - Bracket'!BA11,"")</f>
        <v>&gt;&gt; Advance</v>
      </c>
      <c r="I269" s="86"/>
      <c r="J269" s="94" t="str">
        <f>IFERROR('Beginner Adv 15M - Bracket'!BA13,"")</f>
        <v>&gt;&gt; Advance</v>
      </c>
      <c r="K269" s="130">
        <f>IFERROR(IF(ISNUMBER('Beginner Adv 15M - Bracket'!AX13),'Beginner Adv 15M - Bracket'!AX13,0),0)</f>
        <v>0</v>
      </c>
      <c r="L269" s="130"/>
      <c r="M269" s="130"/>
      <c r="N269" s="130"/>
      <c r="O269" s="130"/>
      <c r="P269" s="130"/>
      <c r="Q269" s="130"/>
    </row>
    <row r="270" spans="1:17" ht="21.75" customHeight="1" x14ac:dyDescent="0.35">
      <c r="A270" s="130"/>
      <c r="B270" s="130"/>
      <c r="C270" s="130"/>
      <c r="D270" s="130"/>
      <c r="E270" s="130"/>
      <c r="F270" s="130"/>
      <c r="G270" s="130"/>
      <c r="K270" s="130"/>
      <c r="L270" s="130"/>
      <c r="M270" s="130"/>
      <c r="N270" s="130"/>
      <c r="O270" s="130"/>
      <c r="P270" s="130"/>
      <c r="Q270" s="130"/>
    </row>
    <row r="271" spans="1:17" ht="4.5" customHeight="1" x14ac:dyDescent="0.35"/>
    <row r="272" spans="1:17" ht="12" customHeight="1" x14ac:dyDescent="0.35">
      <c r="A272" s="126"/>
      <c r="B272" s="126"/>
      <c r="C272" s="126"/>
      <c r="D272" s="126"/>
      <c r="E272" s="126"/>
      <c r="F272" s="126"/>
      <c r="G272" s="126"/>
      <c r="H272" s="126"/>
      <c r="I272" s="126"/>
      <c r="J272" s="126"/>
      <c r="K272" s="126"/>
      <c r="L272" s="126"/>
      <c r="M272" s="126"/>
      <c r="N272" s="126"/>
      <c r="O272" s="126"/>
      <c r="P272" s="126"/>
      <c r="Q272" s="126"/>
    </row>
  </sheetData>
  <mergeCells count="128">
    <mergeCell ref="A269:G270"/>
    <mergeCell ref="K269:Q270"/>
    <mergeCell ref="A272:Q272"/>
    <mergeCell ref="B243:H243"/>
    <mergeCell ref="J243:P243"/>
    <mergeCell ref="A252:G253"/>
    <mergeCell ref="K252:Q253"/>
    <mergeCell ref="A255:Q255"/>
    <mergeCell ref="A257:Q257"/>
    <mergeCell ref="B259:H259"/>
    <mergeCell ref="J259:P259"/>
    <mergeCell ref="B260:H260"/>
    <mergeCell ref="J260:P260"/>
    <mergeCell ref="B225:H225"/>
    <mergeCell ref="J225:P225"/>
    <mergeCell ref="B226:H226"/>
    <mergeCell ref="J226:P226"/>
    <mergeCell ref="A235:G236"/>
    <mergeCell ref="K235:Q236"/>
    <mergeCell ref="A238:Q238"/>
    <mergeCell ref="A240:Q240"/>
    <mergeCell ref="B242:H242"/>
    <mergeCell ref="J242:P242"/>
    <mergeCell ref="A206:Q206"/>
    <mergeCell ref="B208:H208"/>
    <mergeCell ref="J208:P208"/>
    <mergeCell ref="B209:H209"/>
    <mergeCell ref="J209:P209"/>
    <mergeCell ref="A218:G219"/>
    <mergeCell ref="K218:Q219"/>
    <mergeCell ref="A221:Q221"/>
    <mergeCell ref="A223:Q223"/>
    <mergeCell ref="A187:Q187"/>
    <mergeCell ref="A189:Q189"/>
    <mergeCell ref="B191:H191"/>
    <mergeCell ref="J191:P191"/>
    <mergeCell ref="B192:H192"/>
    <mergeCell ref="J192:P192"/>
    <mergeCell ref="A201:G202"/>
    <mergeCell ref="K201:Q202"/>
    <mergeCell ref="A204:Q204"/>
    <mergeCell ref="A167:G168"/>
    <mergeCell ref="K167:Q168"/>
    <mergeCell ref="A170:Q170"/>
    <mergeCell ref="A172:Q172"/>
    <mergeCell ref="B174:H174"/>
    <mergeCell ref="J174:P174"/>
    <mergeCell ref="B175:H175"/>
    <mergeCell ref="J175:P175"/>
    <mergeCell ref="A184:G185"/>
    <mergeCell ref="K184:Q185"/>
    <mergeCell ref="B141:H141"/>
    <mergeCell ref="J141:P141"/>
    <mergeCell ref="A150:G151"/>
    <mergeCell ref="K150:Q151"/>
    <mergeCell ref="A153:Q153"/>
    <mergeCell ref="A155:Q155"/>
    <mergeCell ref="B157:H157"/>
    <mergeCell ref="J157:P157"/>
    <mergeCell ref="B158:H158"/>
    <mergeCell ref="J158:P158"/>
    <mergeCell ref="B123:H123"/>
    <mergeCell ref="J123:P123"/>
    <mergeCell ref="B124:H124"/>
    <mergeCell ref="J124:P124"/>
    <mergeCell ref="A133:G134"/>
    <mergeCell ref="K133:Q134"/>
    <mergeCell ref="A136:Q136"/>
    <mergeCell ref="A138:Q138"/>
    <mergeCell ref="B140:H140"/>
    <mergeCell ref="J140:P140"/>
    <mergeCell ref="A104:Q104"/>
    <mergeCell ref="B106:H106"/>
    <mergeCell ref="J106:P106"/>
    <mergeCell ref="B107:H107"/>
    <mergeCell ref="J107:P107"/>
    <mergeCell ref="A116:G117"/>
    <mergeCell ref="K116:Q117"/>
    <mergeCell ref="A119:Q119"/>
    <mergeCell ref="A121:Q121"/>
    <mergeCell ref="A85:Q85"/>
    <mergeCell ref="A87:Q87"/>
    <mergeCell ref="B89:H89"/>
    <mergeCell ref="J89:P89"/>
    <mergeCell ref="B90:H90"/>
    <mergeCell ref="J90:P90"/>
    <mergeCell ref="A99:G100"/>
    <mergeCell ref="K99:Q100"/>
    <mergeCell ref="A102:Q102"/>
    <mergeCell ref="A65:G66"/>
    <mergeCell ref="K65:Q66"/>
    <mergeCell ref="A68:Q68"/>
    <mergeCell ref="A70:Q70"/>
    <mergeCell ref="B72:H72"/>
    <mergeCell ref="J72:P72"/>
    <mergeCell ref="B73:H73"/>
    <mergeCell ref="J73:P73"/>
    <mergeCell ref="A82:G83"/>
    <mergeCell ref="K82:Q83"/>
    <mergeCell ref="B39:H39"/>
    <mergeCell ref="J39:P39"/>
    <mergeCell ref="A48:G49"/>
    <mergeCell ref="K48:Q49"/>
    <mergeCell ref="A51:Q51"/>
    <mergeCell ref="A53:Q53"/>
    <mergeCell ref="B55:H55"/>
    <mergeCell ref="J55:P55"/>
    <mergeCell ref="B56:H56"/>
    <mergeCell ref="J56:P56"/>
    <mergeCell ref="B21:H21"/>
    <mergeCell ref="J21:P21"/>
    <mergeCell ref="B22:H22"/>
    <mergeCell ref="J22:P22"/>
    <mergeCell ref="A31:G32"/>
    <mergeCell ref="K31:Q32"/>
    <mergeCell ref="A34:Q34"/>
    <mergeCell ref="A36:Q36"/>
    <mergeCell ref="B38:H38"/>
    <mergeCell ref="J38:P38"/>
    <mergeCell ref="A2:Q2"/>
    <mergeCell ref="B4:H4"/>
    <mergeCell ref="J4:P4"/>
    <mergeCell ref="B5:H5"/>
    <mergeCell ref="J5:P5"/>
    <mergeCell ref="A14:G15"/>
    <mergeCell ref="K14:Q15"/>
    <mergeCell ref="A17:Q17"/>
    <mergeCell ref="A19:Q19"/>
  </mergeCells>
  <printOptions horizontalCentered="1"/>
  <pageMargins left="0.75" right="0.75" top="1" bottom="1" header="0.511811023622047" footer="0.511811023622047"/>
  <pageSetup paperSize="9" fitToHeight="0" orientation="portrait" horizontalDpi="300" verticalDpi="300"/>
  <rowBreaks count="15" manualBreakCount="15">
    <brk id="1" max="16383" man="1"/>
    <brk id="2" max="16383" man="1"/>
    <brk id="3" max="16383" man="1"/>
    <brk id="4" max="16383" man="1"/>
    <brk id="5" max="16383" man="1"/>
    <brk id="6" max="16383" man="1"/>
    <brk id="7" max="16383" man="1"/>
    <brk id="8" max="16383" man="1"/>
    <brk id="9" max="16383" man="1"/>
    <brk id="10" max="16383" man="1"/>
    <brk id="11" max="16383" man="1"/>
    <brk id="12" max="16383" man="1"/>
    <brk id="13" max="16383" man="1"/>
    <brk id="14" max="16383" man="1"/>
    <brk id="1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277BD"/>
  </sheetPr>
  <dimension ref="A1:BC71"/>
  <sheetViews>
    <sheetView zoomScaleNormal="100" workbookViewId="0">
      <pane xSplit="5" ySplit="5" topLeftCell="F6" activePane="bottomRight" state="frozen"/>
      <selection pane="topRight" activeCell="F1" sqref="F1"/>
      <selection pane="bottomLeft" activeCell="A6" sqref="A6"/>
      <selection pane="bottomRight"/>
    </sheetView>
  </sheetViews>
  <sheetFormatPr defaultColWidth="8.6328125" defaultRowHeight="14.5" x14ac:dyDescent="0.35"/>
  <cols>
    <col min="1" max="1" width="4" customWidth="1"/>
    <col min="2" max="2" width="28" customWidth="1"/>
    <col min="3" max="3" width="16" customWidth="1"/>
    <col min="4" max="4" width="22" customWidth="1"/>
    <col min="5" max="5" width="8" customWidth="1"/>
    <col min="6" max="41" width="5" customWidth="1"/>
    <col min="42" max="47" width="8" customWidth="1"/>
    <col min="48" max="48" width="10" customWidth="1"/>
    <col min="49" max="51" width="8" customWidth="1"/>
    <col min="52" max="52" width="9" customWidth="1"/>
    <col min="53" max="53" width="13" customWidth="1"/>
    <col min="54" max="54" width="10" customWidth="1"/>
  </cols>
  <sheetData>
    <row r="1" spans="1:55" ht="15" customHeight="1" x14ac:dyDescent="0.35">
      <c r="A1" s="11" t="s">
        <v>258</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row>
    <row r="2" spans="1:55" ht="15" customHeight="1" x14ac:dyDescent="0.35">
      <c r="A2" s="10" t="s">
        <v>254</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row>
    <row r="3" spans="1:55" ht="15" customHeight="1" x14ac:dyDescent="0.35">
      <c r="A3" s="9" t="s">
        <v>73</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row>
    <row r="4" spans="1:55" ht="21.75" customHeight="1" x14ac:dyDescent="0.35">
      <c r="A4" s="21" t="s">
        <v>2</v>
      </c>
      <c r="B4" s="21" t="s">
        <v>3</v>
      </c>
      <c r="C4" s="21" t="s">
        <v>6</v>
      </c>
      <c r="D4" s="21" t="s">
        <v>7</v>
      </c>
      <c r="E4" s="21" t="s">
        <v>8</v>
      </c>
      <c r="F4" s="10" t="s">
        <v>74</v>
      </c>
      <c r="G4" s="10"/>
      <c r="H4" s="10"/>
      <c r="I4" s="10"/>
      <c r="J4" s="10"/>
      <c r="K4" s="10"/>
      <c r="L4" s="8" t="s">
        <v>75</v>
      </c>
      <c r="M4" s="8"/>
      <c r="N4" s="8"/>
      <c r="O4" s="8"/>
      <c r="P4" s="8"/>
      <c r="Q4" s="8"/>
      <c r="R4" s="10" t="s">
        <v>76</v>
      </c>
      <c r="S4" s="10"/>
      <c r="T4" s="10"/>
      <c r="U4" s="10"/>
      <c r="V4" s="10"/>
      <c r="W4" s="10"/>
      <c r="X4" s="8" t="s">
        <v>77</v>
      </c>
      <c r="Y4" s="8"/>
      <c r="Z4" s="8"/>
      <c r="AA4" s="8"/>
      <c r="AB4" s="8"/>
      <c r="AC4" s="8"/>
      <c r="AD4" s="10" t="s">
        <v>78</v>
      </c>
      <c r="AE4" s="10"/>
      <c r="AF4" s="10"/>
      <c r="AG4" s="10"/>
      <c r="AH4" s="10"/>
      <c r="AI4" s="10"/>
      <c r="AJ4" s="8" t="s">
        <v>79</v>
      </c>
      <c r="AK4" s="8"/>
      <c r="AL4" s="8"/>
      <c r="AM4" s="8"/>
      <c r="AN4" s="8"/>
      <c r="AO4" s="8"/>
      <c r="AP4" s="10" t="s">
        <v>80</v>
      </c>
      <c r="AQ4" s="10"/>
      <c r="AR4" s="10"/>
      <c r="AS4" s="10"/>
      <c r="AT4" s="10"/>
      <c r="AU4" s="10"/>
      <c r="AV4" s="7" t="s">
        <v>81</v>
      </c>
      <c r="AW4" s="7"/>
      <c r="AX4" s="7"/>
      <c r="AY4" s="7"/>
      <c r="AZ4" s="7"/>
      <c r="BA4" s="7"/>
      <c r="BB4" s="7"/>
    </row>
    <row r="5" spans="1:55" ht="30" customHeight="1" x14ac:dyDescent="0.35">
      <c r="A5" s="6" t="s">
        <v>82</v>
      </c>
      <c r="B5" s="6"/>
      <c r="C5" s="6"/>
      <c r="D5" s="22">
        <v>3</v>
      </c>
      <c r="E5" s="22">
        <v>6</v>
      </c>
      <c r="F5" s="23" t="s">
        <v>83</v>
      </c>
      <c r="G5" s="23" t="s">
        <v>84</v>
      </c>
      <c r="H5" s="23" t="s">
        <v>85</v>
      </c>
      <c r="I5" s="23" t="s">
        <v>86</v>
      </c>
      <c r="J5" s="23" t="s">
        <v>87</v>
      </c>
      <c r="K5" s="23" t="s">
        <v>88</v>
      </c>
      <c r="L5" s="23" t="s">
        <v>89</v>
      </c>
      <c r="M5" s="23" t="s">
        <v>90</v>
      </c>
      <c r="N5" s="23" t="s">
        <v>91</v>
      </c>
      <c r="O5" s="23" t="s">
        <v>92</v>
      </c>
      <c r="P5" s="23" t="s">
        <v>93</v>
      </c>
      <c r="Q5" s="23" t="s">
        <v>94</v>
      </c>
      <c r="R5" s="23" t="s">
        <v>95</v>
      </c>
      <c r="S5" s="23" t="s">
        <v>96</v>
      </c>
      <c r="T5" s="23" t="s">
        <v>97</v>
      </c>
      <c r="U5" s="23" t="s">
        <v>98</v>
      </c>
      <c r="V5" s="23" t="s">
        <v>99</v>
      </c>
      <c r="W5" s="23" t="s">
        <v>100</v>
      </c>
      <c r="X5" s="23" t="s">
        <v>101</v>
      </c>
      <c r="Y5" s="23" t="s">
        <v>102</v>
      </c>
      <c r="Z5" s="23" t="s">
        <v>103</v>
      </c>
      <c r="AA5" s="23" t="s">
        <v>104</v>
      </c>
      <c r="AB5" s="23" t="s">
        <v>105</v>
      </c>
      <c r="AC5" s="23" t="s">
        <v>106</v>
      </c>
      <c r="AD5" s="23" t="s">
        <v>107</v>
      </c>
      <c r="AE5" s="23" t="s">
        <v>108</v>
      </c>
      <c r="AF5" s="23" t="s">
        <v>109</v>
      </c>
      <c r="AG5" s="23" t="s">
        <v>110</v>
      </c>
      <c r="AH5" s="23" t="s">
        <v>111</v>
      </c>
      <c r="AI5" s="23" t="s">
        <v>112</v>
      </c>
      <c r="AJ5" s="23" t="s">
        <v>113</v>
      </c>
      <c r="AK5" s="23" t="s">
        <v>114</v>
      </c>
      <c r="AL5" s="23" t="s">
        <v>115</v>
      </c>
      <c r="AM5" s="23" t="s">
        <v>116</v>
      </c>
      <c r="AN5" s="23" t="s">
        <v>117</v>
      </c>
      <c r="AO5" s="23" t="s">
        <v>118</v>
      </c>
      <c r="AP5" s="23" t="s">
        <v>119</v>
      </c>
      <c r="AQ5" s="23" t="s">
        <v>120</v>
      </c>
      <c r="AR5" s="23" t="s">
        <v>121</v>
      </c>
      <c r="AS5" s="23" t="s">
        <v>122</v>
      </c>
      <c r="AT5" s="23" t="s">
        <v>123</v>
      </c>
      <c r="AU5" s="23" t="s">
        <v>124</v>
      </c>
      <c r="AV5" s="24" t="s">
        <v>125</v>
      </c>
      <c r="AW5" s="25" t="s">
        <v>126</v>
      </c>
      <c r="AX5" s="25" t="s">
        <v>127</v>
      </c>
      <c r="AY5" s="25" t="s">
        <v>128</v>
      </c>
      <c r="AZ5" s="26" t="s">
        <v>129</v>
      </c>
      <c r="BA5" s="25" t="s">
        <v>130</v>
      </c>
      <c r="BB5" s="26" t="s">
        <v>131</v>
      </c>
    </row>
    <row r="6" spans="1:55" ht="21.75" customHeight="1" x14ac:dyDescent="0.35">
      <c r="A6" s="27">
        <f>IF(B6&lt;&gt;"",COUNTA($B$6:B6),"")</f>
        <v>1</v>
      </c>
      <c r="B6" s="28" t="s">
        <v>39</v>
      </c>
      <c r="C6" s="16" t="s">
        <v>22</v>
      </c>
      <c r="D6" s="17" t="s">
        <v>41</v>
      </c>
      <c r="E6" s="29">
        <f>IF(B6="","",IF(COUNTA($B$6:$B$69)&lt;=(E5-D5+1),(D5+MOD(A6-1,(E5-D5+1))),(D5+MOD(A6-1,(E5-D5+1)))&amp;CHAR(65+FLOOR((A6-1)/(E5-D5+1),1))))</f>
        <v>3</v>
      </c>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1">
        <f t="shared" ref="AP6:AP37" si="0">IF(B6&lt;&gt;"",IF(F6="X",10,IF(F6="M",0,IF(ISNUMBER(F6),F6,0)))+IF(G6="X",10,IF(G6="M",0,IF(ISNUMBER(G6),G6,0)))+IF(H6="X",10,IF(H6="M",0,IF(ISNUMBER(H6),H6,0)))+IF(I6="X",10,IF(I6="M",0,IF(ISNUMBER(I6),I6,0)))+IF(J6="X",10,IF(J6="M",0,IF(ISNUMBER(J6),J6,0)))+IF(K6="X",10,IF(K6="M",0,IF(ISNUMBER(K6),K6,0))),"")</f>
        <v>0</v>
      </c>
      <c r="AQ6" s="31">
        <f t="shared" ref="AQ6:AQ37" si="1">IF(B6&lt;&gt;"",IF(L6="X",10,IF(L6="M",0,IF(ISNUMBER(L6),L6,0)))+IF(M6="X",10,IF(M6="M",0,IF(ISNUMBER(M6),M6,0)))+IF(N6="X",10,IF(N6="M",0,IF(ISNUMBER(N6),N6,0)))+IF(O6="X",10,IF(O6="M",0,IF(ISNUMBER(O6),O6,0)))+IF(P6="X",10,IF(P6="M",0,IF(ISNUMBER(P6),P6,0)))+IF(Q6="X",10,IF(Q6="M",0,IF(ISNUMBER(Q6),Q6,0))),"")</f>
        <v>0</v>
      </c>
      <c r="AR6" s="31">
        <f t="shared" ref="AR6:AR37" si="2">IF(B6&lt;&gt;"",IF(R6="X",10,IF(R6="M",0,IF(ISNUMBER(R6),R6,0)))+IF(S6="X",10,IF(S6="M",0,IF(ISNUMBER(S6),S6,0)))+IF(T6="X",10,IF(T6="M",0,IF(ISNUMBER(T6),T6,0)))+IF(U6="X",10,IF(U6="M",0,IF(ISNUMBER(U6),U6,0)))+IF(V6="X",10,IF(V6="M",0,IF(ISNUMBER(V6),V6,0)))+IF(W6="X",10,IF(W6="M",0,IF(ISNUMBER(W6),W6,0))),"")</f>
        <v>0</v>
      </c>
      <c r="AS6" s="31">
        <f t="shared" ref="AS6:AS37" si="3">IF(B6&lt;&gt;"",IF(X6="X",10,IF(X6="M",0,IF(ISNUMBER(X6),X6,0)))+IF(Y6="X",10,IF(Y6="M",0,IF(ISNUMBER(Y6),Y6,0)))+IF(Z6="X",10,IF(Z6="M",0,IF(ISNUMBER(Z6),Z6,0)))+IF(AA6="X",10,IF(AA6="M",0,IF(ISNUMBER(AA6),AA6,0)))+IF(AB6="X",10,IF(AB6="M",0,IF(ISNUMBER(AB6),AB6,0)))+IF(AC6="X",10,IF(AC6="M",0,IF(ISNUMBER(AC6),AC6,0))),"")</f>
        <v>0</v>
      </c>
      <c r="AT6" s="31">
        <f t="shared" ref="AT6:AT37" si="4">IF(B6&lt;&gt;"",IF(AD6="X",10,IF(AD6="M",0,IF(ISNUMBER(AD6),AD6,0)))+IF(AE6="X",10,IF(AE6="M",0,IF(ISNUMBER(AE6),AE6,0)))+IF(AF6="X",10,IF(AF6="M",0,IF(ISNUMBER(AF6),AF6,0)))+IF(AG6="X",10,IF(AG6="M",0,IF(ISNUMBER(AG6),AG6,0)))+IF(AH6="X",10,IF(AH6="M",0,IF(ISNUMBER(AH6),AH6,0)))+IF(AI6="X",10,IF(AI6="M",0,IF(ISNUMBER(AI6),AI6,0))),"")</f>
        <v>0</v>
      </c>
      <c r="AU6" s="31">
        <f t="shared" ref="AU6:AU37" si="5">IF(B6&lt;&gt;"",IF(AJ6="X",10,IF(AJ6="M",0,IF(ISNUMBER(AJ6),AJ6,0)))+IF(AK6="X",10,IF(AK6="M",0,IF(ISNUMBER(AK6),AK6,0)))+IF(AL6="X",10,IF(AL6="M",0,IF(ISNUMBER(AL6),AL6,0)))+IF(AM6="X",10,IF(AM6="M",0,IF(ISNUMBER(AM6),AM6,0)))+IF(AN6="X",10,IF(AN6="M",0,IF(ISNUMBER(AN6),AN6,0)))+IF(AO6="X",10,IF(AO6="M",0,IF(ISNUMBER(AO6),AO6,0))),"")</f>
        <v>0</v>
      </c>
      <c r="AV6" s="32">
        <f t="shared" ref="AV6:AV37" si="6">IF(B6&lt;&gt;"",AP6+AQ6+AR6+AS6+AT6+AU6,"")</f>
        <v>0</v>
      </c>
      <c r="AW6" s="33">
        <f t="shared" ref="AW6:AW37" si="7">IF(B6&lt;&gt;"",IF(F6="X",1,0)+IF(G6="X",1,0)+IF(H6="X",1,0)+IF(I6="X",1,0)+IF(J6="X",1,0)+IF(K6="X",1,0)+IF(L6="X",1,0)+IF(M6="X",1,0)+IF(N6="X",1,0)+IF(O6="X",1,0)+IF(P6="X",1,0)+IF(Q6="X",1,0)+IF(R6="X",1,0)+IF(S6="X",1,0)+IF(T6="X",1,0)+IF(U6="X",1,0)+IF(V6="X",1,0)+IF(W6="X",1,0)+IF(X6="X",1,0)+IF(Y6="X",1,0)+IF(Z6="X",1,0)+IF(AA6="X",1,0)+IF(AB6="X",1,0)+IF(AC6="X",1,0)+IF(AD6="X",1,0)+IF(AE6="X",1,0)+IF(AF6="X",1,0)+IF(AG6="X",1,0)+IF(AH6="X",1,0)+IF(AI6="X",1,0)+IF(AJ6="X",1,0)+IF(AK6="X",1,0)+IF(AL6="X",1,0)+IF(AM6="X",1,0)+IF(AN6="X",1,0)+IF(AO6="X",1,0),"")</f>
        <v>0</v>
      </c>
      <c r="AX6" s="34">
        <f t="shared" ref="AX6:AX37" si="8">IF(B6&lt;&gt;"",IF(OR(F6="X",F6=10),1,0)+IF(OR(G6="X",G6=10),1,0)+IF(OR(H6="X",H6=10),1,0)+IF(OR(I6="X",I6=10),1,0)+IF(OR(J6="X",J6=10),1,0)+IF(OR(K6="X",K6=10),1,0)+IF(OR(L6="X",L6=10),1,0)+IF(OR(M6="X",M6=10),1,0)+IF(OR(N6="X",N6=10),1,0)+IF(OR(O6="X",O6=10),1,0)+IF(OR(P6="X",P6=10),1,0)+IF(OR(Q6="X",Q6=10),1,0)+IF(OR(R6="X",R6=10),1,0)+IF(OR(S6="X",S6=10),1,0)+IF(OR(T6="X",T6=10),1,0)+IF(OR(U6="X",U6=10),1,0)+IF(OR(V6="X",V6=10),1,0)+IF(OR(W6="X",W6=10),1,0)+IF(OR(X6="X",X6=10),1,0)+IF(OR(Y6="X",Y6=10),1,0)+IF(OR(Z6="X",Z6=10),1,0)+IF(OR(AA6="X",AA6=10),1,0)+IF(OR(AB6="X",AB6=10),1,0)+IF(OR(AC6="X",AC6=10),1,0)+IF(OR(AD6="X",AD6=10),1,0)+IF(OR(AE6="X",AE6=10),1,0)+IF(OR(AF6="X",AF6=10),1,0)+IF(OR(AG6="X",AG6=10),1,0)+IF(OR(AH6="X",AH6=10),1,0)+IF(OR(AI6="X",AI6=10),1,0)+IF(OR(AJ6="X",AJ6=10),1,0)+IF(OR(AK6="X",AK6=10),1,0)+IF(OR(AL6="X",AL6=10),1,0)+IF(OR(AM6="X",AM6=10),1,0)+IF(OR(AN6="X",AN6=10),1,0)+IF(OR(AO6="X",AO6=10),1,0),"")</f>
        <v>0</v>
      </c>
      <c r="AY6" s="34">
        <f t="shared" ref="AY6:AY37" si="9">IF(B6&lt;&gt;"",IF(F6=9,1,0)+IF(G6=9,1,0)+IF(H6=9,1,0)+IF(I6=9,1,0)+IF(J6=9,1,0)+IF(K6=9,1,0)+IF(L6=9,1,0)+IF(M6=9,1,0)+IF(N6=9,1,0)+IF(O6=9,1,0)+IF(P6=9,1,0)+IF(Q6=9,1,0)+IF(R6=9,1,0)+IF(S6=9,1,0)+IF(T6=9,1,0)+IF(U6=9,1,0)+IF(V6=9,1,0)+IF(W6=9,1,0)+IF(X6=9,1,0)+IF(Y6=9,1,0)+IF(Z6=9,1,0)+IF(AA6=9,1,0)+IF(AB6=9,1,0)+IF(AC6=9,1,0)+IF(AD6=9,1,0)+IF(AE6=9,1,0)+IF(AF6=9,1,0)+IF(AG6=9,1,0)+IF(AH6=9,1,0)+IF(AI6=9,1,0)+IF(AJ6=9,1,0)+IF(AK6=9,1,0)+IF(AL6=9,1,0)+IF(AM6=9,1,0)+IF(AN6=9,1,0)+IF(AO6=9,1,0),"")</f>
        <v>0</v>
      </c>
      <c r="AZ6" s="35">
        <f t="shared" ref="AZ6:AZ37" si="10">IF(B6&lt;&gt;"",SUMPRODUCT(($AV$6:$AV$1000&gt;AV6)*ISNUMBER($AV$6:$AV$1000))+1+SUMPRODUCT(($AV$6:$AV$1000=AV6)*($AW$6:$AW$1000&gt;AW6)*ISNUMBER($AV$6:$AV$1000)*ISNUMBER($AW$6:$AW$1000))+SUMPRODUCT(($AV$6:$AV$1000=AV6)*($AW$6:$AW$1000=AW6)*($AX$6:$AX$1000&gt;AX6)*ISNUMBER($AV$6:$AV$1000)*ISNUMBER($AX$6:$AX$1000))+SUMPRODUCT(($AV$6:$AV$1000=AV6)*($AW$6:$AW$1000=AW6)*($AX$6:$AX$1000=AX6)*($AY$6:$AY$1000&gt;AY6)*ISNUMBER($AV$6:$AV$1000)*ISNUMBER($AY$6:$AY$1000)),"")</f>
        <v>1</v>
      </c>
      <c r="BA6" s="36"/>
      <c r="BB6" s="37">
        <f t="shared" ref="BB6:BB37" si="11">IF(B6&lt;&gt;"",SUMPRODUCT(($AV$6:$AV$1000&gt;AV6)*ISNUMBER($AV$6:$AV$1000))+1+SUMPRODUCT(($AV$6:$AV$1000=AV6)*($AW$6:$AW$1000&gt;AW6)*ISNUMBER($AV$6:$AV$1000)*ISNUMBER($AW$6:$AW$1000))+SUMPRODUCT(($AV$6:$AV$1000=AV6)*($AW$6:$AW$1000=AW6)*($AX$6:$AX$1000&gt;AX6)*ISNUMBER($AV$6:$AV$1000)*ISNUMBER($AX$6:$AX$1000))+SUMPRODUCT(($AV$6:$AV$1000=AV6)*($AW$6:$AW$1000=AW6)*($AX$6:$AX$1000=AX6)*($AY$6:$AY$1000&gt;AY6)*ISNUMBER($AV$6:$AV$1000)*ISNUMBER($AY$6:$AY$1000))+SUMPRODUCT(($AV$6:$AV$1000=AV6)*($AW$6:$AW$1000=AW6)*($AX$6:$AX$1000=AX6)*($AY$6:$AY$1000=AY6)*($BA$6:$BA$1000&gt;BA6)*ISNUMBER($AV$6:$AV$1000)*ISNUMBER($BA$6:$BA$1000)),"")</f>
        <v>1</v>
      </c>
    </row>
    <row r="7" spans="1:55" ht="21.75" customHeight="1" x14ac:dyDescent="0.35">
      <c r="A7" s="38">
        <f>IF(B7&lt;&gt;"",COUNTA($B$6:B7),"")</f>
        <v>2</v>
      </c>
      <c r="B7" s="39" t="s">
        <v>42</v>
      </c>
      <c r="C7" s="18" t="s">
        <v>17</v>
      </c>
      <c r="D7" s="19" t="s">
        <v>43</v>
      </c>
      <c r="E7" s="29">
        <f>IF(B7="","",IF(COUNTA($B$6:$B$69)&lt;=(E5-D5+1),(D5+MOD(A7-1,(E5-D5+1))),(D5+MOD(A7-1,(E5-D5+1)))&amp;CHAR(65+FLOOR((A7-1)/(E5-D5+1),1))))</f>
        <v>4</v>
      </c>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1">
        <f t="shared" si="0"/>
        <v>0</v>
      </c>
      <c r="AQ7" s="31">
        <f t="shared" si="1"/>
        <v>0</v>
      </c>
      <c r="AR7" s="31">
        <f t="shared" si="2"/>
        <v>0</v>
      </c>
      <c r="AS7" s="31">
        <f t="shared" si="3"/>
        <v>0</v>
      </c>
      <c r="AT7" s="31">
        <f t="shared" si="4"/>
        <v>0</v>
      </c>
      <c r="AU7" s="31">
        <f t="shared" si="5"/>
        <v>0</v>
      </c>
      <c r="AV7" s="32">
        <f t="shared" si="6"/>
        <v>0</v>
      </c>
      <c r="AW7" s="33">
        <f t="shared" si="7"/>
        <v>0</v>
      </c>
      <c r="AX7" s="34">
        <f t="shared" si="8"/>
        <v>0</v>
      </c>
      <c r="AY7" s="34">
        <f t="shared" si="9"/>
        <v>0</v>
      </c>
      <c r="AZ7" s="40">
        <f t="shared" si="10"/>
        <v>1</v>
      </c>
      <c r="BA7" s="36"/>
      <c r="BB7" s="41">
        <f t="shared" si="11"/>
        <v>1</v>
      </c>
    </row>
    <row r="8" spans="1:55" ht="21.75" customHeight="1" x14ac:dyDescent="0.35">
      <c r="A8" s="27">
        <f>IF(B8&lt;&gt;"",COUNTA($B$6:B8),"")</f>
        <v>3</v>
      </c>
      <c r="B8" s="28" t="s">
        <v>44</v>
      </c>
      <c r="C8" s="16" t="s">
        <v>22</v>
      </c>
      <c r="D8" s="17" t="s">
        <v>45</v>
      </c>
      <c r="E8" s="29">
        <f>IF(B8="","",IF(COUNTA($B$6:$B$69)&lt;=(E5-D5+1),(D5+MOD(A8-1,(E5-D5+1))),(D5+MOD(A8-1,(E5-D5+1)))&amp;CHAR(65+FLOOR((A8-1)/(E5-D5+1),1))))</f>
        <v>5</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1">
        <f t="shared" si="0"/>
        <v>0</v>
      </c>
      <c r="AQ8" s="31">
        <f t="shared" si="1"/>
        <v>0</v>
      </c>
      <c r="AR8" s="31">
        <f t="shared" si="2"/>
        <v>0</v>
      </c>
      <c r="AS8" s="31">
        <f t="shared" si="3"/>
        <v>0</v>
      </c>
      <c r="AT8" s="31">
        <f t="shared" si="4"/>
        <v>0</v>
      </c>
      <c r="AU8" s="31">
        <f t="shared" si="5"/>
        <v>0</v>
      </c>
      <c r="AV8" s="32">
        <f t="shared" si="6"/>
        <v>0</v>
      </c>
      <c r="AW8" s="33">
        <f t="shared" si="7"/>
        <v>0</v>
      </c>
      <c r="AX8" s="34">
        <f t="shared" si="8"/>
        <v>0</v>
      </c>
      <c r="AY8" s="34">
        <f t="shared" si="9"/>
        <v>0</v>
      </c>
      <c r="AZ8" s="35">
        <f t="shared" si="10"/>
        <v>1</v>
      </c>
      <c r="BA8" s="36"/>
      <c r="BB8" s="37">
        <f t="shared" si="11"/>
        <v>1</v>
      </c>
    </row>
    <row r="9" spans="1:55" ht="21.75" customHeight="1" x14ac:dyDescent="0.35">
      <c r="A9" s="38" t="str">
        <f>IF(B9&lt;&gt;"",COUNTA($B$6:B9),"")</f>
        <v/>
      </c>
      <c r="B9" s="39"/>
      <c r="C9" s="18"/>
      <c r="D9" s="19"/>
      <c r="E9" s="29" t="str">
        <f>IF(B9="","",IF(COUNTA($B$6:$B$69)&lt;=(E5-D5+1),(D5+MOD(A9-1,(E5-D5+1))),(D5+MOD(A9-1,(E5-D5+1)))&amp;CHAR(65+FLOOR((A9-1)/(E5-D5+1),1))))</f>
        <v/>
      </c>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1" t="str">
        <f t="shared" si="0"/>
        <v/>
      </c>
      <c r="AQ9" s="31" t="str">
        <f t="shared" si="1"/>
        <v/>
      </c>
      <c r="AR9" s="31" t="str">
        <f t="shared" si="2"/>
        <v/>
      </c>
      <c r="AS9" s="31" t="str">
        <f t="shared" si="3"/>
        <v/>
      </c>
      <c r="AT9" s="31" t="str">
        <f t="shared" si="4"/>
        <v/>
      </c>
      <c r="AU9" s="31" t="str">
        <f t="shared" si="5"/>
        <v/>
      </c>
      <c r="AV9" s="32" t="str">
        <f t="shared" si="6"/>
        <v/>
      </c>
      <c r="AW9" s="33" t="str">
        <f t="shared" si="7"/>
        <v/>
      </c>
      <c r="AX9" s="34" t="str">
        <f t="shared" si="8"/>
        <v/>
      </c>
      <c r="AY9" s="34" t="str">
        <f t="shared" si="9"/>
        <v/>
      </c>
      <c r="AZ9" s="40" t="str">
        <f t="shared" si="10"/>
        <v/>
      </c>
      <c r="BA9" s="36"/>
      <c r="BB9" s="41" t="str">
        <f t="shared" si="11"/>
        <v/>
      </c>
    </row>
    <row r="10" spans="1:55" ht="21.75" customHeight="1" x14ac:dyDescent="0.35">
      <c r="A10" s="27" t="str">
        <f>IF(B10&lt;&gt;"",COUNTA($B$6:B10),"")</f>
        <v/>
      </c>
      <c r="B10" s="28"/>
      <c r="C10" s="16"/>
      <c r="D10" s="17"/>
      <c r="E10" s="29" t="str">
        <f>IF(B10="","",IF(COUNTA($B$6:$B$69)&lt;=(E5-D5+1),(D5+MOD(A10-1,(E5-D5+1))),(D5+MOD(A10-1,(E5-D5+1)))&amp;CHAR(65+FLOOR((A10-1)/(E5-D5+1),1))))</f>
        <v/>
      </c>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1" t="str">
        <f t="shared" si="0"/>
        <v/>
      </c>
      <c r="AQ10" s="31" t="str">
        <f t="shared" si="1"/>
        <v/>
      </c>
      <c r="AR10" s="31" t="str">
        <f t="shared" si="2"/>
        <v/>
      </c>
      <c r="AS10" s="31" t="str">
        <f t="shared" si="3"/>
        <v/>
      </c>
      <c r="AT10" s="31" t="str">
        <f t="shared" si="4"/>
        <v/>
      </c>
      <c r="AU10" s="31" t="str">
        <f t="shared" si="5"/>
        <v/>
      </c>
      <c r="AV10" s="32" t="str">
        <f t="shared" si="6"/>
        <v/>
      </c>
      <c r="AW10" s="33" t="str">
        <f t="shared" si="7"/>
        <v/>
      </c>
      <c r="AX10" s="34" t="str">
        <f t="shared" si="8"/>
        <v/>
      </c>
      <c r="AY10" s="34" t="str">
        <f t="shared" si="9"/>
        <v/>
      </c>
      <c r="AZ10" s="35" t="str">
        <f t="shared" si="10"/>
        <v/>
      </c>
      <c r="BA10" s="36"/>
      <c r="BB10" s="37" t="str">
        <f t="shared" si="11"/>
        <v/>
      </c>
    </row>
    <row r="11" spans="1:55" ht="21.75" customHeight="1" x14ac:dyDescent="0.35">
      <c r="A11" s="38" t="str">
        <f>IF(B11&lt;&gt;"",COUNTA($B$6:B11),"")</f>
        <v/>
      </c>
      <c r="B11" s="39"/>
      <c r="C11" s="18"/>
      <c r="D11" s="19"/>
      <c r="E11" s="29" t="str">
        <f>IF(B11="","",IF(COUNTA($B$6:$B$69)&lt;=(E5-D5+1),(D5+MOD(A11-1,(E5-D5+1))),(D5+MOD(A11-1,(E5-D5+1)))&amp;CHAR(65+FLOOR((A11-1)/(E5-D5+1),1))))</f>
        <v/>
      </c>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1" t="str">
        <f t="shared" si="0"/>
        <v/>
      </c>
      <c r="AQ11" s="31" t="str">
        <f t="shared" si="1"/>
        <v/>
      </c>
      <c r="AR11" s="31" t="str">
        <f t="shared" si="2"/>
        <v/>
      </c>
      <c r="AS11" s="31" t="str">
        <f t="shared" si="3"/>
        <v/>
      </c>
      <c r="AT11" s="31" t="str">
        <f t="shared" si="4"/>
        <v/>
      </c>
      <c r="AU11" s="31" t="str">
        <f t="shared" si="5"/>
        <v/>
      </c>
      <c r="AV11" s="32" t="str">
        <f t="shared" si="6"/>
        <v/>
      </c>
      <c r="AW11" s="33" t="str">
        <f t="shared" si="7"/>
        <v/>
      </c>
      <c r="AX11" s="34" t="str">
        <f t="shared" si="8"/>
        <v/>
      </c>
      <c r="AY11" s="34" t="str">
        <f t="shared" si="9"/>
        <v/>
      </c>
      <c r="AZ11" s="40" t="str">
        <f t="shared" si="10"/>
        <v/>
      </c>
      <c r="BA11" s="36"/>
      <c r="BB11" s="41" t="str">
        <f t="shared" si="11"/>
        <v/>
      </c>
    </row>
    <row r="12" spans="1:55" ht="21.75" customHeight="1" x14ac:dyDescent="0.35">
      <c r="A12" s="27" t="str">
        <f>IF(B12&lt;&gt;"",COUNTA($B$6:B12),"")</f>
        <v/>
      </c>
      <c r="B12" s="28"/>
      <c r="C12" s="16"/>
      <c r="D12" s="17"/>
      <c r="E12" s="29" t="str">
        <f>IF(B12="","",IF(COUNTA($B$6:$B$69)&lt;=(E5-D5+1),(D5+MOD(A12-1,(E5-D5+1))),(D5+MOD(A12-1,(E5-D5+1)))&amp;CHAR(65+FLOOR((A12-1)/(E5-D5+1),1))))</f>
        <v/>
      </c>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1" t="str">
        <f t="shared" si="0"/>
        <v/>
      </c>
      <c r="AQ12" s="31" t="str">
        <f t="shared" si="1"/>
        <v/>
      </c>
      <c r="AR12" s="31" t="str">
        <f t="shared" si="2"/>
        <v/>
      </c>
      <c r="AS12" s="31" t="str">
        <f t="shared" si="3"/>
        <v/>
      </c>
      <c r="AT12" s="31" t="str">
        <f t="shared" si="4"/>
        <v/>
      </c>
      <c r="AU12" s="31" t="str">
        <f t="shared" si="5"/>
        <v/>
      </c>
      <c r="AV12" s="32" t="str">
        <f t="shared" si="6"/>
        <v/>
      </c>
      <c r="AW12" s="33" t="str">
        <f t="shared" si="7"/>
        <v/>
      </c>
      <c r="AX12" s="34" t="str">
        <f t="shared" si="8"/>
        <v/>
      </c>
      <c r="AY12" s="34" t="str">
        <f t="shared" si="9"/>
        <v/>
      </c>
      <c r="AZ12" s="35" t="str">
        <f t="shared" si="10"/>
        <v/>
      </c>
      <c r="BA12" s="36"/>
      <c r="BB12" s="37" t="str">
        <f t="shared" si="11"/>
        <v/>
      </c>
    </row>
    <row r="13" spans="1:55" ht="21.75" customHeight="1" x14ac:dyDescent="0.35">
      <c r="A13" s="38" t="str">
        <f>IF(B13&lt;&gt;"",COUNTA($B$6:B13),"")</f>
        <v/>
      </c>
      <c r="B13" s="39"/>
      <c r="C13" s="18"/>
      <c r="D13" s="19"/>
      <c r="E13" s="29" t="str">
        <f>IF(B13="","",IF(COUNTA($B$6:$B$69)&lt;=(E5-D5+1),(D5+MOD(A13-1,(E5-D5+1))),(D5+MOD(A13-1,(E5-D5+1)))&amp;CHAR(65+FLOOR((A13-1)/(E5-D5+1),1))))</f>
        <v/>
      </c>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1" t="str">
        <f t="shared" si="0"/>
        <v/>
      </c>
      <c r="AQ13" s="31" t="str">
        <f t="shared" si="1"/>
        <v/>
      </c>
      <c r="AR13" s="31" t="str">
        <f t="shared" si="2"/>
        <v/>
      </c>
      <c r="AS13" s="31" t="str">
        <f t="shared" si="3"/>
        <v/>
      </c>
      <c r="AT13" s="31" t="str">
        <f t="shared" si="4"/>
        <v/>
      </c>
      <c r="AU13" s="31" t="str">
        <f t="shared" si="5"/>
        <v/>
      </c>
      <c r="AV13" s="32" t="str">
        <f t="shared" si="6"/>
        <v/>
      </c>
      <c r="AW13" s="33" t="str">
        <f t="shared" si="7"/>
        <v/>
      </c>
      <c r="AX13" s="34" t="str">
        <f t="shared" si="8"/>
        <v/>
      </c>
      <c r="AY13" s="34" t="str">
        <f t="shared" si="9"/>
        <v/>
      </c>
      <c r="AZ13" s="40" t="str">
        <f t="shared" si="10"/>
        <v/>
      </c>
      <c r="BA13" s="36"/>
      <c r="BB13" s="41" t="str">
        <f t="shared" si="11"/>
        <v/>
      </c>
    </row>
    <row r="14" spans="1:55" ht="21.75" customHeight="1" x14ac:dyDescent="0.35">
      <c r="A14" s="27" t="str">
        <f>IF(B14&lt;&gt;"",COUNTA($B$6:B14),"")</f>
        <v/>
      </c>
      <c r="B14" s="28"/>
      <c r="C14" s="16"/>
      <c r="D14" s="17"/>
      <c r="E14" s="29" t="str">
        <f>IF(B14="","",IF(COUNTA($B$6:$B$69)&lt;=(E5-D5+1),(D5+MOD(A14-1,(E5-D5+1))),(D5+MOD(A14-1,(E5-D5+1)))&amp;CHAR(65+FLOOR((A14-1)/(E5-D5+1),1))))</f>
        <v/>
      </c>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1" t="str">
        <f t="shared" si="0"/>
        <v/>
      </c>
      <c r="AQ14" s="31" t="str">
        <f t="shared" si="1"/>
        <v/>
      </c>
      <c r="AR14" s="31" t="str">
        <f t="shared" si="2"/>
        <v/>
      </c>
      <c r="AS14" s="31" t="str">
        <f t="shared" si="3"/>
        <v/>
      </c>
      <c r="AT14" s="31" t="str">
        <f t="shared" si="4"/>
        <v/>
      </c>
      <c r="AU14" s="31" t="str">
        <f t="shared" si="5"/>
        <v/>
      </c>
      <c r="AV14" s="32" t="str">
        <f t="shared" si="6"/>
        <v/>
      </c>
      <c r="AW14" s="33" t="str">
        <f t="shared" si="7"/>
        <v/>
      </c>
      <c r="AX14" s="34" t="str">
        <f t="shared" si="8"/>
        <v/>
      </c>
      <c r="AY14" s="34" t="str">
        <f t="shared" si="9"/>
        <v/>
      </c>
      <c r="AZ14" s="35" t="str">
        <f t="shared" si="10"/>
        <v/>
      </c>
      <c r="BA14" s="36"/>
      <c r="BB14" s="37" t="str">
        <f t="shared" si="11"/>
        <v/>
      </c>
    </row>
    <row r="15" spans="1:55" ht="21.75" customHeight="1" x14ac:dyDescent="0.35">
      <c r="A15" s="38" t="str">
        <f>IF(B15&lt;&gt;"",COUNTA($B$6:B15),"")</f>
        <v/>
      </c>
      <c r="B15" s="39"/>
      <c r="C15" s="18"/>
      <c r="D15" s="19"/>
      <c r="E15" s="29" t="str">
        <f>IF(B15="","",IF(COUNTA($B$6:$B$69)&lt;=(E5-D5+1),(D5+MOD(A15-1,(E5-D5+1))),(D5+MOD(A15-1,(E5-D5+1)))&amp;CHAR(65+FLOOR((A15-1)/(E5-D5+1),1))))</f>
        <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1" t="str">
        <f t="shared" si="0"/>
        <v/>
      </c>
      <c r="AQ15" s="31" t="str">
        <f t="shared" si="1"/>
        <v/>
      </c>
      <c r="AR15" s="31" t="str">
        <f t="shared" si="2"/>
        <v/>
      </c>
      <c r="AS15" s="31" t="str">
        <f t="shared" si="3"/>
        <v/>
      </c>
      <c r="AT15" s="31" t="str">
        <f t="shared" si="4"/>
        <v/>
      </c>
      <c r="AU15" s="31" t="str">
        <f t="shared" si="5"/>
        <v/>
      </c>
      <c r="AV15" s="32" t="str">
        <f t="shared" si="6"/>
        <v/>
      </c>
      <c r="AW15" s="33" t="str">
        <f t="shared" si="7"/>
        <v/>
      </c>
      <c r="AX15" s="34" t="str">
        <f t="shared" si="8"/>
        <v/>
      </c>
      <c r="AY15" s="34" t="str">
        <f t="shared" si="9"/>
        <v/>
      </c>
      <c r="AZ15" s="40" t="str">
        <f t="shared" si="10"/>
        <v/>
      </c>
      <c r="BA15" s="36"/>
      <c r="BB15" s="41" t="str">
        <f t="shared" si="11"/>
        <v/>
      </c>
    </row>
    <row r="16" spans="1:55" ht="21.75" customHeight="1" x14ac:dyDescent="0.35">
      <c r="A16" s="27" t="str">
        <f>IF(B16&lt;&gt;"",COUNTA($B$6:B16),"")</f>
        <v/>
      </c>
      <c r="B16" s="28"/>
      <c r="C16" s="16"/>
      <c r="D16" s="17"/>
      <c r="E16" s="29" t="str">
        <f>IF(B16="","",IF(COUNTA($B$6:$B$69)&lt;=(E5-D5+1),(D5+MOD(A16-1,(E5-D5+1))),(D5+MOD(A16-1,(E5-D5+1)))&amp;CHAR(65+FLOOR((A16-1)/(E5-D5+1),1))))</f>
        <v/>
      </c>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1" t="str">
        <f t="shared" si="0"/>
        <v/>
      </c>
      <c r="AQ16" s="31" t="str">
        <f t="shared" si="1"/>
        <v/>
      </c>
      <c r="AR16" s="31" t="str">
        <f t="shared" si="2"/>
        <v/>
      </c>
      <c r="AS16" s="31" t="str">
        <f t="shared" si="3"/>
        <v/>
      </c>
      <c r="AT16" s="31" t="str">
        <f t="shared" si="4"/>
        <v/>
      </c>
      <c r="AU16" s="31" t="str">
        <f t="shared" si="5"/>
        <v/>
      </c>
      <c r="AV16" s="32" t="str">
        <f t="shared" si="6"/>
        <v/>
      </c>
      <c r="AW16" s="33" t="str">
        <f t="shared" si="7"/>
        <v/>
      </c>
      <c r="AX16" s="34" t="str">
        <f t="shared" si="8"/>
        <v/>
      </c>
      <c r="AY16" s="34" t="str">
        <f t="shared" si="9"/>
        <v/>
      </c>
      <c r="AZ16" s="35" t="str">
        <f t="shared" si="10"/>
        <v/>
      </c>
      <c r="BA16" s="36"/>
      <c r="BB16" s="37" t="str">
        <f t="shared" si="11"/>
        <v/>
      </c>
    </row>
    <row r="17" spans="1:54" ht="21.75" customHeight="1" x14ac:dyDescent="0.35">
      <c r="A17" s="38" t="str">
        <f>IF(B17&lt;&gt;"",COUNTA($B$6:B17),"")</f>
        <v/>
      </c>
      <c r="B17" s="39"/>
      <c r="C17" s="18"/>
      <c r="D17" s="19"/>
      <c r="E17" s="29" t="str">
        <f>IF(B17="","",IF(COUNTA($B$6:$B$69)&lt;=(E5-D5+1),(D5+MOD(A17-1,(E5-D5+1))),(D5+MOD(A17-1,(E5-D5+1)))&amp;CHAR(65+FLOOR((A17-1)/(E5-D5+1),1))))</f>
        <v/>
      </c>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1" t="str">
        <f t="shared" si="0"/>
        <v/>
      </c>
      <c r="AQ17" s="31" t="str">
        <f t="shared" si="1"/>
        <v/>
      </c>
      <c r="AR17" s="31" t="str">
        <f t="shared" si="2"/>
        <v/>
      </c>
      <c r="AS17" s="31" t="str">
        <f t="shared" si="3"/>
        <v/>
      </c>
      <c r="AT17" s="31" t="str">
        <f t="shared" si="4"/>
        <v/>
      </c>
      <c r="AU17" s="31" t="str">
        <f t="shared" si="5"/>
        <v/>
      </c>
      <c r="AV17" s="32" t="str">
        <f t="shared" si="6"/>
        <v/>
      </c>
      <c r="AW17" s="33" t="str">
        <f t="shared" si="7"/>
        <v/>
      </c>
      <c r="AX17" s="34" t="str">
        <f t="shared" si="8"/>
        <v/>
      </c>
      <c r="AY17" s="34" t="str">
        <f t="shared" si="9"/>
        <v/>
      </c>
      <c r="AZ17" s="40" t="str">
        <f t="shared" si="10"/>
        <v/>
      </c>
      <c r="BA17" s="36"/>
      <c r="BB17" s="41" t="str">
        <f t="shared" si="11"/>
        <v/>
      </c>
    </row>
    <row r="18" spans="1:54" ht="21.75" customHeight="1" x14ac:dyDescent="0.35">
      <c r="A18" s="27" t="str">
        <f>IF(B18&lt;&gt;"",COUNTA($B$6:B18),"")</f>
        <v/>
      </c>
      <c r="B18" s="28"/>
      <c r="C18" s="16"/>
      <c r="D18" s="17"/>
      <c r="E18" s="29" t="str">
        <f>IF(B18="","",IF(COUNTA($B$6:$B$69)&lt;=(E5-D5+1),(D5+MOD(A18-1,(E5-D5+1))),(D5+MOD(A18-1,(E5-D5+1)))&amp;CHAR(65+FLOOR((A18-1)/(E5-D5+1),1))))</f>
        <v/>
      </c>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1" t="str">
        <f t="shared" si="0"/>
        <v/>
      </c>
      <c r="AQ18" s="31" t="str">
        <f t="shared" si="1"/>
        <v/>
      </c>
      <c r="AR18" s="31" t="str">
        <f t="shared" si="2"/>
        <v/>
      </c>
      <c r="AS18" s="31" t="str">
        <f t="shared" si="3"/>
        <v/>
      </c>
      <c r="AT18" s="31" t="str">
        <f t="shared" si="4"/>
        <v/>
      </c>
      <c r="AU18" s="31" t="str">
        <f t="shared" si="5"/>
        <v/>
      </c>
      <c r="AV18" s="32" t="str">
        <f t="shared" si="6"/>
        <v/>
      </c>
      <c r="AW18" s="33" t="str">
        <f t="shared" si="7"/>
        <v/>
      </c>
      <c r="AX18" s="34" t="str">
        <f t="shared" si="8"/>
        <v/>
      </c>
      <c r="AY18" s="34" t="str">
        <f t="shared" si="9"/>
        <v/>
      </c>
      <c r="AZ18" s="35" t="str">
        <f t="shared" si="10"/>
        <v/>
      </c>
      <c r="BA18" s="36"/>
      <c r="BB18" s="37" t="str">
        <f t="shared" si="11"/>
        <v/>
      </c>
    </row>
    <row r="19" spans="1:54" ht="21.75" customHeight="1" x14ac:dyDescent="0.35">
      <c r="A19" s="38" t="str">
        <f>IF(B19&lt;&gt;"",COUNTA($B$6:B19),"")</f>
        <v/>
      </c>
      <c r="B19" s="39"/>
      <c r="C19" s="18"/>
      <c r="D19" s="19"/>
      <c r="E19" s="29" t="str">
        <f>IF(B19="","",IF(COUNTA($B$6:$B$69)&lt;=(E5-D5+1),(D5+MOD(A19-1,(E5-D5+1))),(D5+MOD(A19-1,(E5-D5+1)))&amp;CHAR(65+FLOOR((A19-1)/(E5-D5+1),1))))</f>
        <v/>
      </c>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1" t="str">
        <f t="shared" si="0"/>
        <v/>
      </c>
      <c r="AQ19" s="31" t="str">
        <f t="shared" si="1"/>
        <v/>
      </c>
      <c r="AR19" s="31" t="str">
        <f t="shared" si="2"/>
        <v/>
      </c>
      <c r="AS19" s="31" t="str">
        <f t="shared" si="3"/>
        <v/>
      </c>
      <c r="AT19" s="31" t="str">
        <f t="shared" si="4"/>
        <v/>
      </c>
      <c r="AU19" s="31" t="str">
        <f t="shared" si="5"/>
        <v/>
      </c>
      <c r="AV19" s="32" t="str">
        <f t="shared" si="6"/>
        <v/>
      </c>
      <c r="AW19" s="33" t="str">
        <f t="shared" si="7"/>
        <v/>
      </c>
      <c r="AX19" s="34" t="str">
        <f t="shared" si="8"/>
        <v/>
      </c>
      <c r="AY19" s="34" t="str">
        <f t="shared" si="9"/>
        <v/>
      </c>
      <c r="AZ19" s="40" t="str">
        <f t="shared" si="10"/>
        <v/>
      </c>
      <c r="BA19" s="36"/>
      <c r="BB19" s="41" t="str">
        <f t="shared" si="11"/>
        <v/>
      </c>
    </row>
    <row r="20" spans="1:54" ht="21.75" customHeight="1" x14ac:dyDescent="0.35">
      <c r="A20" s="27" t="str">
        <f>IF(B20&lt;&gt;"",COUNTA($B$6:B20),"")</f>
        <v/>
      </c>
      <c r="B20" s="28"/>
      <c r="C20" s="16"/>
      <c r="D20" s="17"/>
      <c r="E20" s="29" t="str">
        <f>IF(B20="","",IF(COUNTA($B$6:$B$69)&lt;=(E5-D5+1),(D5+MOD(A20-1,(E5-D5+1))),(D5+MOD(A20-1,(E5-D5+1)))&amp;CHAR(65+FLOOR((A20-1)/(E5-D5+1),1))))</f>
        <v/>
      </c>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1" t="str">
        <f t="shared" si="0"/>
        <v/>
      </c>
      <c r="AQ20" s="31" t="str">
        <f t="shared" si="1"/>
        <v/>
      </c>
      <c r="AR20" s="31" t="str">
        <f t="shared" si="2"/>
        <v/>
      </c>
      <c r="AS20" s="31" t="str">
        <f t="shared" si="3"/>
        <v/>
      </c>
      <c r="AT20" s="31" t="str">
        <f t="shared" si="4"/>
        <v/>
      </c>
      <c r="AU20" s="31" t="str">
        <f t="shared" si="5"/>
        <v/>
      </c>
      <c r="AV20" s="32" t="str">
        <f t="shared" si="6"/>
        <v/>
      </c>
      <c r="AW20" s="33" t="str">
        <f t="shared" si="7"/>
        <v/>
      </c>
      <c r="AX20" s="34" t="str">
        <f t="shared" si="8"/>
        <v/>
      </c>
      <c r="AY20" s="34" t="str">
        <f t="shared" si="9"/>
        <v/>
      </c>
      <c r="AZ20" s="35" t="str">
        <f t="shared" si="10"/>
        <v/>
      </c>
      <c r="BA20" s="36"/>
      <c r="BB20" s="37" t="str">
        <f t="shared" si="11"/>
        <v/>
      </c>
    </row>
    <row r="21" spans="1:54" ht="21.75" customHeight="1" x14ac:dyDescent="0.35">
      <c r="A21" s="38" t="str">
        <f>IF(B21&lt;&gt;"",COUNTA($B$6:B21),"")</f>
        <v/>
      </c>
      <c r="B21" s="39"/>
      <c r="C21" s="18"/>
      <c r="D21" s="19"/>
      <c r="E21" s="29" t="str">
        <f>IF(B21="","",IF(COUNTA($B$6:$B$69)&lt;=(E5-D5+1),(D5+MOD(A21-1,(E5-D5+1))),(D5+MOD(A21-1,(E5-D5+1)))&amp;CHAR(65+FLOOR((A21-1)/(E5-D5+1),1))))</f>
        <v/>
      </c>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1" t="str">
        <f t="shared" si="0"/>
        <v/>
      </c>
      <c r="AQ21" s="31" t="str">
        <f t="shared" si="1"/>
        <v/>
      </c>
      <c r="AR21" s="31" t="str">
        <f t="shared" si="2"/>
        <v/>
      </c>
      <c r="AS21" s="31" t="str">
        <f t="shared" si="3"/>
        <v/>
      </c>
      <c r="AT21" s="31" t="str">
        <f t="shared" si="4"/>
        <v/>
      </c>
      <c r="AU21" s="31" t="str">
        <f t="shared" si="5"/>
        <v/>
      </c>
      <c r="AV21" s="32" t="str">
        <f t="shared" si="6"/>
        <v/>
      </c>
      <c r="AW21" s="33" t="str">
        <f t="shared" si="7"/>
        <v/>
      </c>
      <c r="AX21" s="34" t="str">
        <f t="shared" si="8"/>
        <v/>
      </c>
      <c r="AY21" s="34" t="str">
        <f t="shared" si="9"/>
        <v/>
      </c>
      <c r="AZ21" s="40" t="str">
        <f t="shared" si="10"/>
        <v/>
      </c>
      <c r="BA21" s="36"/>
      <c r="BB21" s="41" t="str">
        <f t="shared" si="11"/>
        <v/>
      </c>
    </row>
    <row r="22" spans="1:54" ht="21.75" customHeight="1" x14ac:dyDescent="0.35">
      <c r="A22" s="27" t="str">
        <f>IF(B22&lt;&gt;"",COUNTA($B$6:B22),"")</f>
        <v/>
      </c>
      <c r="B22" s="28"/>
      <c r="C22" s="16"/>
      <c r="D22" s="17"/>
      <c r="E22" s="29" t="str">
        <f>IF(B22="","",IF(COUNTA($B$6:$B$69)&lt;=(E5-D5+1),(D5+MOD(A22-1,(E5-D5+1))),(D5+MOD(A22-1,(E5-D5+1)))&amp;CHAR(65+FLOOR((A22-1)/(E5-D5+1),1))))</f>
        <v/>
      </c>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1" t="str">
        <f t="shared" si="0"/>
        <v/>
      </c>
      <c r="AQ22" s="31" t="str">
        <f t="shared" si="1"/>
        <v/>
      </c>
      <c r="AR22" s="31" t="str">
        <f t="shared" si="2"/>
        <v/>
      </c>
      <c r="AS22" s="31" t="str">
        <f t="shared" si="3"/>
        <v/>
      </c>
      <c r="AT22" s="31" t="str">
        <f t="shared" si="4"/>
        <v/>
      </c>
      <c r="AU22" s="31" t="str">
        <f t="shared" si="5"/>
        <v/>
      </c>
      <c r="AV22" s="32" t="str">
        <f t="shared" si="6"/>
        <v/>
      </c>
      <c r="AW22" s="33" t="str">
        <f t="shared" si="7"/>
        <v/>
      </c>
      <c r="AX22" s="34" t="str">
        <f t="shared" si="8"/>
        <v/>
      </c>
      <c r="AY22" s="34" t="str">
        <f t="shared" si="9"/>
        <v/>
      </c>
      <c r="AZ22" s="35" t="str">
        <f t="shared" si="10"/>
        <v/>
      </c>
      <c r="BA22" s="36"/>
      <c r="BB22" s="37" t="str">
        <f t="shared" si="11"/>
        <v/>
      </c>
    </row>
    <row r="23" spans="1:54" ht="21.75" customHeight="1" x14ac:dyDescent="0.35">
      <c r="A23" s="38" t="str">
        <f>IF(B23&lt;&gt;"",COUNTA($B$6:B23),"")</f>
        <v/>
      </c>
      <c r="B23" s="39"/>
      <c r="C23" s="18"/>
      <c r="D23" s="19"/>
      <c r="E23" s="29" t="str">
        <f>IF(B23="","",IF(COUNTA($B$6:$B$69)&lt;=(E5-D5+1),(D5+MOD(A23-1,(E5-D5+1))),(D5+MOD(A23-1,(E5-D5+1)))&amp;CHAR(65+FLOOR((A23-1)/(E5-D5+1),1))))</f>
        <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1" t="str">
        <f t="shared" si="0"/>
        <v/>
      </c>
      <c r="AQ23" s="31" t="str">
        <f t="shared" si="1"/>
        <v/>
      </c>
      <c r="AR23" s="31" t="str">
        <f t="shared" si="2"/>
        <v/>
      </c>
      <c r="AS23" s="31" t="str">
        <f t="shared" si="3"/>
        <v/>
      </c>
      <c r="AT23" s="31" t="str">
        <f t="shared" si="4"/>
        <v/>
      </c>
      <c r="AU23" s="31" t="str">
        <f t="shared" si="5"/>
        <v/>
      </c>
      <c r="AV23" s="32" t="str">
        <f t="shared" si="6"/>
        <v/>
      </c>
      <c r="AW23" s="33" t="str">
        <f t="shared" si="7"/>
        <v/>
      </c>
      <c r="AX23" s="34" t="str">
        <f t="shared" si="8"/>
        <v/>
      </c>
      <c r="AY23" s="34" t="str">
        <f t="shared" si="9"/>
        <v/>
      </c>
      <c r="AZ23" s="40" t="str">
        <f t="shared" si="10"/>
        <v/>
      </c>
      <c r="BA23" s="36"/>
      <c r="BB23" s="41" t="str">
        <f t="shared" si="11"/>
        <v/>
      </c>
    </row>
    <row r="24" spans="1:54" ht="21.75" customHeight="1" x14ac:dyDescent="0.35">
      <c r="A24" s="27" t="str">
        <f>IF(B24&lt;&gt;"",COUNTA($B$6:B24),"")</f>
        <v/>
      </c>
      <c r="B24" s="28"/>
      <c r="C24" s="16"/>
      <c r="D24" s="17"/>
      <c r="E24" s="29" t="str">
        <f>IF(B24="","",IF(COUNTA($B$6:$B$69)&lt;=(E5-D5+1),(D5+MOD(A24-1,(E5-D5+1))),(D5+MOD(A24-1,(E5-D5+1)))&amp;CHAR(65+FLOOR((A24-1)/(E5-D5+1),1))))</f>
        <v/>
      </c>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1" t="str">
        <f t="shared" si="0"/>
        <v/>
      </c>
      <c r="AQ24" s="31" t="str">
        <f t="shared" si="1"/>
        <v/>
      </c>
      <c r="AR24" s="31" t="str">
        <f t="shared" si="2"/>
        <v/>
      </c>
      <c r="AS24" s="31" t="str">
        <f t="shared" si="3"/>
        <v/>
      </c>
      <c r="AT24" s="31" t="str">
        <f t="shared" si="4"/>
        <v/>
      </c>
      <c r="AU24" s="31" t="str">
        <f t="shared" si="5"/>
        <v/>
      </c>
      <c r="AV24" s="32" t="str">
        <f t="shared" si="6"/>
        <v/>
      </c>
      <c r="AW24" s="33" t="str">
        <f t="shared" si="7"/>
        <v/>
      </c>
      <c r="AX24" s="34" t="str">
        <f t="shared" si="8"/>
        <v/>
      </c>
      <c r="AY24" s="34" t="str">
        <f t="shared" si="9"/>
        <v/>
      </c>
      <c r="AZ24" s="35" t="str">
        <f t="shared" si="10"/>
        <v/>
      </c>
      <c r="BA24" s="36"/>
      <c r="BB24" s="37" t="str">
        <f t="shared" si="11"/>
        <v/>
      </c>
    </row>
    <row r="25" spans="1:54" ht="21.75" customHeight="1" x14ac:dyDescent="0.35">
      <c r="A25" s="38" t="str">
        <f>IF(B25&lt;&gt;"",COUNTA($B$6:B25),"")</f>
        <v/>
      </c>
      <c r="B25" s="39"/>
      <c r="C25" s="18"/>
      <c r="D25" s="19"/>
      <c r="E25" s="29" t="str">
        <f>IF(B25="","",IF(COUNTA($B$6:$B$69)&lt;=(E5-D5+1),(D5+MOD(A25-1,(E5-D5+1))),(D5+MOD(A25-1,(E5-D5+1)))&amp;CHAR(65+FLOOR((A25-1)/(E5-D5+1),1))))</f>
        <v/>
      </c>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1" t="str">
        <f t="shared" si="0"/>
        <v/>
      </c>
      <c r="AQ25" s="31" t="str">
        <f t="shared" si="1"/>
        <v/>
      </c>
      <c r="AR25" s="31" t="str">
        <f t="shared" si="2"/>
        <v/>
      </c>
      <c r="AS25" s="31" t="str">
        <f t="shared" si="3"/>
        <v/>
      </c>
      <c r="AT25" s="31" t="str">
        <f t="shared" si="4"/>
        <v/>
      </c>
      <c r="AU25" s="31" t="str">
        <f t="shared" si="5"/>
        <v/>
      </c>
      <c r="AV25" s="32" t="str">
        <f t="shared" si="6"/>
        <v/>
      </c>
      <c r="AW25" s="33" t="str">
        <f t="shared" si="7"/>
        <v/>
      </c>
      <c r="AX25" s="34" t="str">
        <f t="shared" si="8"/>
        <v/>
      </c>
      <c r="AY25" s="34" t="str">
        <f t="shared" si="9"/>
        <v/>
      </c>
      <c r="AZ25" s="40" t="str">
        <f t="shared" si="10"/>
        <v/>
      </c>
      <c r="BA25" s="36"/>
      <c r="BB25" s="41" t="str">
        <f t="shared" si="11"/>
        <v/>
      </c>
    </row>
    <row r="26" spans="1:54" ht="21.75" customHeight="1" x14ac:dyDescent="0.35">
      <c r="A26" s="27" t="str">
        <f>IF(B26&lt;&gt;"",COUNTA($B$6:B26),"")</f>
        <v/>
      </c>
      <c r="B26" s="28"/>
      <c r="C26" s="16"/>
      <c r="D26" s="17"/>
      <c r="E26" s="29" t="str">
        <f>IF(B26="","",IF(COUNTA($B$6:$B$69)&lt;=(E5-D5+1),(D5+MOD(A26-1,(E5-D5+1))),(D5+MOD(A26-1,(E5-D5+1)))&amp;CHAR(65+FLOOR((A26-1)/(E5-D5+1),1))))</f>
        <v/>
      </c>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1" t="str">
        <f t="shared" si="0"/>
        <v/>
      </c>
      <c r="AQ26" s="31" t="str">
        <f t="shared" si="1"/>
        <v/>
      </c>
      <c r="AR26" s="31" t="str">
        <f t="shared" si="2"/>
        <v/>
      </c>
      <c r="AS26" s="31" t="str">
        <f t="shared" si="3"/>
        <v/>
      </c>
      <c r="AT26" s="31" t="str">
        <f t="shared" si="4"/>
        <v/>
      </c>
      <c r="AU26" s="31" t="str">
        <f t="shared" si="5"/>
        <v/>
      </c>
      <c r="AV26" s="32" t="str">
        <f t="shared" si="6"/>
        <v/>
      </c>
      <c r="AW26" s="33" t="str">
        <f t="shared" si="7"/>
        <v/>
      </c>
      <c r="AX26" s="34" t="str">
        <f t="shared" si="8"/>
        <v/>
      </c>
      <c r="AY26" s="34" t="str">
        <f t="shared" si="9"/>
        <v/>
      </c>
      <c r="AZ26" s="35" t="str">
        <f t="shared" si="10"/>
        <v/>
      </c>
      <c r="BA26" s="36"/>
      <c r="BB26" s="37" t="str">
        <f t="shared" si="11"/>
        <v/>
      </c>
    </row>
    <row r="27" spans="1:54" ht="21.75" customHeight="1" x14ac:dyDescent="0.35">
      <c r="A27" s="38" t="str">
        <f>IF(B27&lt;&gt;"",COUNTA($B$6:B27),"")</f>
        <v/>
      </c>
      <c r="B27" s="39"/>
      <c r="C27" s="18"/>
      <c r="D27" s="19"/>
      <c r="E27" s="29" t="str">
        <f>IF(B27="","",IF(COUNTA($B$6:$B$69)&lt;=(E5-D5+1),(D5+MOD(A27-1,(E5-D5+1))),(D5+MOD(A27-1,(E5-D5+1)))&amp;CHAR(65+FLOOR((A27-1)/(E5-D5+1),1))))</f>
        <v/>
      </c>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1" t="str">
        <f t="shared" si="0"/>
        <v/>
      </c>
      <c r="AQ27" s="31" t="str">
        <f t="shared" si="1"/>
        <v/>
      </c>
      <c r="AR27" s="31" t="str">
        <f t="shared" si="2"/>
        <v/>
      </c>
      <c r="AS27" s="31" t="str">
        <f t="shared" si="3"/>
        <v/>
      </c>
      <c r="AT27" s="31" t="str">
        <f t="shared" si="4"/>
        <v/>
      </c>
      <c r="AU27" s="31" t="str">
        <f t="shared" si="5"/>
        <v/>
      </c>
      <c r="AV27" s="32" t="str">
        <f t="shared" si="6"/>
        <v/>
      </c>
      <c r="AW27" s="33" t="str">
        <f t="shared" si="7"/>
        <v/>
      </c>
      <c r="AX27" s="34" t="str">
        <f t="shared" si="8"/>
        <v/>
      </c>
      <c r="AY27" s="34" t="str">
        <f t="shared" si="9"/>
        <v/>
      </c>
      <c r="AZ27" s="40" t="str">
        <f t="shared" si="10"/>
        <v/>
      </c>
      <c r="BA27" s="36"/>
      <c r="BB27" s="41" t="str">
        <f t="shared" si="11"/>
        <v/>
      </c>
    </row>
    <row r="28" spans="1:54" ht="21.75" customHeight="1" x14ac:dyDescent="0.35">
      <c r="A28" s="27" t="str">
        <f>IF(B28&lt;&gt;"",COUNTA($B$6:B28),"")</f>
        <v/>
      </c>
      <c r="B28" s="28"/>
      <c r="C28" s="16"/>
      <c r="D28" s="17"/>
      <c r="E28" s="29" t="str">
        <f>IF(B28="","",IF(COUNTA($B$6:$B$69)&lt;=(E5-D5+1),(D5+MOD(A28-1,(E5-D5+1))),(D5+MOD(A28-1,(E5-D5+1)))&amp;CHAR(65+FLOOR((A28-1)/(E5-D5+1),1))))</f>
        <v/>
      </c>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1" t="str">
        <f t="shared" si="0"/>
        <v/>
      </c>
      <c r="AQ28" s="31" t="str">
        <f t="shared" si="1"/>
        <v/>
      </c>
      <c r="AR28" s="31" t="str">
        <f t="shared" si="2"/>
        <v/>
      </c>
      <c r="AS28" s="31" t="str">
        <f t="shared" si="3"/>
        <v/>
      </c>
      <c r="AT28" s="31" t="str">
        <f t="shared" si="4"/>
        <v/>
      </c>
      <c r="AU28" s="31" t="str">
        <f t="shared" si="5"/>
        <v/>
      </c>
      <c r="AV28" s="32" t="str">
        <f t="shared" si="6"/>
        <v/>
      </c>
      <c r="AW28" s="33" t="str">
        <f t="shared" si="7"/>
        <v/>
      </c>
      <c r="AX28" s="34" t="str">
        <f t="shared" si="8"/>
        <v/>
      </c>
      <c r="AY28" s="34" t="str">
        <f t="shared" si="9"/>
        <v/>
      </c>
      <c r="AZ28" s="35" t="str">
        <f t="shared" si="10"/>
        <v/>
      </c>
      <c r="BA28" s="36"/>
      <c r="BB28" s="37" t="str">
        <f t="shared" si="11"/>
        <v/>
      </c>
    </row>
    <row r="29" spans="1:54" ht="21.75" customHeight="1" x14ac:dyDescent="0.35">
      <c r="A29" s="38" t="str">
        <f>IF(B29&lt;&gt;"",COUNTA($B$6:B29),"")</f>
        <v/>
      </c>
      <c r="B29" s="39"/>
      <c r="C29" s="18"/>
      <c r="D29" s="19"/>
      <c r="E29" s="29" t="str">
        <f>IF(B29="","",IF(COUNTA($B$6:$B$69)&lt;=(E5-D5+1),(D5+MOD(A29-1,(E5-D5+1))),(D5+MOD(A29-1,(E5-D5+1)))&amp;CHAR(65+FLOOR((A29-1)/(E5-D5+1),1))))</f>
        <v/>
      </c>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1" t="str">
        <f t="shared" si="0"/>
        <v/>
      </c>
      <c r="AQ29" s="31" t="str">
        <f t="shared" si="1"/>
        <v/>
      </c>
      <c r="AR29" s="31" t="str">
        <f t="shared" si="2"/>
        <v/>
      </c>
      <c r="AS29" s="31" t="str">
        <f t="shared" si="3"/>
        <v/>
      </c>
      <c r="AT29" s="31" t="str">
        <f t="shared" si="4"/>
        <v/>
      </c>
      <c r="AU29" s="31" t="str">
        <f t="shared" si="5"/>
        <v/>
      </c>
      <c r="AV29" s="32" t="str">
        <f t="shared" si="6"/>
        <v/>
      </c>
      <c r="AW29" s="33" t="str">
        <f t="shared" si="7"/>
        <v/>
      </c>
      <c r="AX29" s="34" t="str">
        <f t="shared" si="8"/>
        <v/>
      </c>
      <c r="AY29" s="34" t="str">
        <f t="shared" si="9"/>
        <v/>
      </c>
      <c r="AZ29" s="40" t="str">
        <f t="shared" si="10"/>
        <v/>
      </c>
      <c r="BA29" s="36"/>
      <c r="BB29" s="41" t="str">
        <f t="shared" si="11"/>
        <v/>
      </c>
    </row>
    <row r="30" spans="1:54" ht="21.75" customHeight="1" x14ac:dyDescent="0.35">
      <c r="A30" s="27" t="str">
        <f>IF(B30&lt;&gt;"",COUNTA($B$6:B30),"")</f>
        <v/>
      </c>
      <c r="B30" s="28"/>
      <c r="C30" s="16"/>
      <c r="D30" s="17"/>
      <c r="E30" s="29" t="str">
        <f>IF(B30="","",IF(COUNTA($B$6:$B$69)&lt;=(E5-D5+1),(D5+MOD(A30-1,(E5-D5+1))),(D5+MOD(A30-1,(E5-D5+1)))&amp;CHAR(65+FLOOR((A30-1)/(E5-D5+1),1))))</f>
        <v/>
      </c>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1" t="str">
        <f t="shared" si="0"/>
        <v/>
      </c>
      <c r="AQ30" s="31" t="str">
        <f t="shared" si="1"/>
        <v/>
      </c>
      <c r="AR30" s="31" t="str">
        <f t="shared" si="2"/>
        <v/>
      </c>
      <c r="AS30" s="31" t="str">
        <f t="shared" si="3"/>
        <v/>
      </c>
      <c r="AT30" s="31" t="str">
        <f t="shared" si="4"/>
        <v/>
      </c>
      <c r="AU30" s="31" t="str">
        <f t="shared" si="5"/>
        <v/>
      </c>
      <c r="AV30" s="32" t="str">
        <f t="shared" si="6"/>
        <v/>
      </c>
      <c r="AW30" s="33" t="str">
        <f t="shared" si="7"/>
        <v/>
      </c>
      <c r="AX30" s="34" t="str">
        <f t="shared" si="8"/>
        <v/>
      </c>
      <c r="AY30" s="34" t="str">
        <f t="shared" si="9"/>
        <v/>
      </c>
      <c r="AZ30" s="35" t="str">
        <f t="shared" si="10"/>
        <v/>
      </c>
      <c r="BA30" s="36"/>
      <c r="BB30" s="37" t="str">
        <f t="shared" si="11"/>
        <v/>
      </c>
    </row>
    <row r="31" spans="1:54" ht="21.75" customHeight="1" x14ac:dyDescent="0.35">
      <c r="A31" s="38" t="str">
        <f>IF(B31&lt;&gt;"",COUNTA($B$6:B31),"")</f>
        <v/>
      </c>
      <c r="B31" s="39"/>
      <c r="C31" s="18"/>
      <c r="D31" s="19"/>
      <c r="E31" s="29" t="str">
        <f>IF(B31="","",IF(COUNTA($B$6:$B$69)&lt;=(E5-D5+1),(D5+MOD(A31-1,(E5-D5+1))),(D5+MOD(A31-1,(E5-D5+1)))&amp;CHAR(65+FLOOR((A31-1)/(E5-D5+1),1))))</f>
        <v/>
      </c>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1" t="str">
        <f t="shared" si="0"/>
        <v/>
      </c>
      <c r="AQ31" s="31" t="str">
        <f t="shared" si="1"/>
        <v/>
      </c>
      <c r="AR31" s="31" t="str">
        <f t="shared" si="2"/>
        <v/>
      </c>
      <c r="AS31" s="31" t="str">
        <f t="shared" si="3"/>
        <v/>
      </c>
      <c r="AT31" s="31" t="str">
        <f t="shared" si="4"/>
        <v/>
      </c>
      <c r="AU31" s="31" t="str">
        <f t="shared" si="5"/>
        <v/>
      </c>
      <c r="AV31" s="32" t="str">
        <f t="shared" si="6"/>
        <v/>
      </c>
      <c r="AW31" s="33" t="str">
        <f t="shared" si="7"/>
        <v/>
      </c>
      <c r="AX31" s="34" t="str">
        <f t="shared" si="8"/>
        <v/>
      </c>
      <c r="AY31" s="34" t="str">
        <f t="shared" si="9"/>
        <v/>
      </c>
      <c r="AZ31" s="40" t="str">
        <f t="shared" si="10"/>
        <v/>
      </c>
      <c r="BA31" s="36"/>
      <c r="BB31" s="41" t="str">
        <f t="shared" si="11"/>
        <v/>
      </c>
    </row>
    <row r="32" spans="1:54" ht="21.75" customHeight="1" x14ac:dyDescent="0.35">
      <c r="A32" s="27" t="str">
        <f>IF(B32&lt;&gt;"",COUNTA($B$6:B32),"")</f>
        <v/>
      </c>
      <c r="B32" s="28"/>
      <c r="C32" s="16"/>
      <c r="D32" s="17"/>
      <c r="E32" s="29" t="str">
        <f>IF(B32="","",IF(COUNTA($B$6:$B$69)&lt;=(E5-D5+1),(D5+MOD(A32-1,(E5-D5+1))),(D5+MOD(A32-1,(E5-D5+1)))&amp;CHAR(65+FLOOR((A32-1)/(E5-D5+1),1))))</f>
        <v/>
      </c>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1" t="str">
        <f t="shared" si="0"/>
        <v/>
      </c>
      <c r="AQ32" s="31" t="str">
        <f t="shared" si="1"/>
        <v/>
      </c>
      <c r="AR32" s="31" t="str">
        <f t="shared" si="2"/>
        <v/>
      </c>
      <c r="AS32" s="31" t="str">
        <f t="shared" si="3"/>
        <v/>
      </c>
      <c r="AT32" s="31" t="str">
        <f t="shared" si="4"/>
        <v/>
      </c>
      <c r="AU32" s="31" t="str">
        <f t="shared" si="5"/>
        <v/>
      </c>
      <c r="AV32" s="32" t="str">
        <f t="shared" si="6"/>
        <v/>
      </c>
      <c r="AW32" s="33" t="str">
        <f t="shared" si="7"/>
        <v/>
      </c>
      <c r="AX32" s="34" t="str">
        <f t="shared" si="8"/>
        <v/>
      </c>
      <c r="AY32" s="34" t="str">
        <f t="shared" si="9"/>
        <v/>
      </c>
      <c r="AZ32" s="35" t="str">
        <f t="shared" si="10"/>
        <v/>
      </c>
      <c r="BA32" s="36"/>
      <c r="BB32" s="37" t="str">
        <f t="shared" si="11"/>
        <v/>
      </c>
    </row>
    <row r="33" spans="1:54" ht="21.75" customHeight="1" x14ac:dyDescent="0.35">
      <c r="A33" s="38" t="str">
        <f>IF(B33&lt;&gt;"",COUNTA($B$6:B33),"")</f>
        <v/>
      </c>
      <c r="B33" s="39"/>
      <c r="C33" s="18"/>
      <c r="D33" s="19"/>
      <c r="E33" s="29" t="str">
        <f>IF(B33="","",IF(COUNTA($B$6:$B$69)&lt;=(E5-D5+1),(D5+MOD(A33-1,(E5-D5+1))),(D5+MOD(A33-1,(E5-D5+1)))&amp;CHAR(65+FLOOR((A33-1)/(E5-D5+1),1))))</f>
        <v/>
      </c>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1" t="str">
        <f t="shared" si="0"/>
        <v/>
      </c>
      <c r="AQ33" s="31" t="str">
        <f t="shared" si="1"/>
        <v/>
      </c>
      <c r="AR33" s="31" t="str">
        <f t="shared" si="2"/>
        <v/>
      </c>
      <c r="AS33" s="31" t="str">
        <f t="shared" si="3"/>
        <v/>
      </c>
      <c r="AT33" s="31" t="str">
        <f t="shared" si="4"/>
        <v/>
      </c>
      <c r="AU33" s="31" t="str">
        <f t="shared" si="5"/>
        <v/>
      </c>
      <c r="AV33" s="32" t="str">
        <f t="shared" si="6"/>
        <v/>
      </c>
      <c r="AW33" s="33" t="str">
        <f t="shared" si="7"/>
        <v/>
      </c>
      <c r="AX33" s="34" t="str">
        <f t="shared" si="8"/>
        <v/>
      </c>
      <c r="AY33" s="34" t="str">
        <f t="shared" si="9"/>
        <v/>
      </c>
      <c r="AZ33" s="40" t="str">
        <f t="shared" si="10"/>
        <v/>
      </c>
      <c r="BA33" s="36"/>
      <c r="BB33" s="41" t="str">
        <f t="shared" si="11"/>
        <v/>
      </c>
    </row>
    <row r="34" spans="1:54" ht="21.75" customHeight="1" x14ac:dyDescent="0.35">
      <c r="A34" s="27" t="str">
        <f>IF(B34&lt;&gt;"",COUNTA($B$6:B34),"")</f>
        <v/>
      </c>
      <c r="B34" s="28"/>
      <c r="C34" s="16"/>
      <c r="D34" s="17"/>
      <c r="E34" s="29" t="str">
        <f>IF(B34="","",IF(COUNTA($B$6:$B$69)&lt;=(E5-D5+1),(D5+MOD(A34-1,(E5-D5+1))),(D5+MOD(A34-1,(E5-D5+1)))&amp;CHAR(65+FLOOR((A34-1)/(E5-D5+1),1))))</f>
        <v/>
      </c>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1" t="str">
        <f t="shared" si="0"/>
        <v/>
      </c>
      <c r="AQ34" s="31" t="str">
        <f t="shared" si="1"/>
        <v/>
      </c>
      <c r="AR34" s="31" t="str">
        <f t="shared" si="2"/>
        <v/>
      </c>
      <c r="AS34" s="31" t="str">
        <f t="shared" si="3"/>
        <v/>
      </c>
      <c r="AT34" s="31" t="str">
        <f t="shared" si="4"/>
        <v/>
      </c>
      <c r="AU34" s="31" t="str">
        <f t="shared" si="5"/>
        <v/>
      </c>
      <c r="AV34" s="32" t="str">
        <f t="shared" si="6"/>
        <v/>
      </c>
      <c r="AW34" s="33" t="str">
        <f t="shared" si="7"/>
        <v/>
      </c>
      <c r="AX34" s="34" t="str">
        <f t="shared" si="8"/>
        <v/>
      </c>
      <c r="AY34" s="34" t="str">
        <f t="shared" si="9"/>
        <v/>
      </c>
      <c r="AZ34" s="35" t="str">
        <f t="shared" si="10"/>
        <v/>
      </c>
      <c r="BA34" s="36"/>
      <c r="BB34" s="37" t="str">
        <f t="shared" si="11"/>
        <v/>
      </c>
    </row>
    <row r="35" spans="1:54" ht="21.75" customHeight="1" x14ac:dyDescent="0.35">
      <c r="A35" s="38" t="str">
        <f>IF(B35&lt;&gt;"",COUNTA($B$6:B35),"")</f>
        <v/>
      </c>
      <c r="B35" s="39"/>
      <c r="C35" s="18"/>
      <c r="D35" s="19"/>
      <c r="E35" s="29" t="str">
        <f>IF(B35="","",IF(COUNTA($B$6:$B$69)&lt;=(E5-D5+1),(D5+MOD(A35-1,(E5-D5+1))),(D5+MOD(A35-1,(E5-D5+1)))&amp;CHAR(65+FLOOR((A35-1)/(E5-D5+1),1))))</f>
        <v/>
      </c>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1" t="str">
        <f t="shared" si="0"/>
        <v/>
      </c>
      <c r="AQ35" s="31" t="str">
        <f t="shared" si="1"/>
        <v/>
      </c>
      <c r="AR35" s="31" t="str">
        <f t="shared" si="2"/>
        <v/>
      </c>
      <c r="AS35" s="31" t="str">
        <f t="shared" si="3"/>
        <v/>
      </c>
      <c r="AT35" s="31" t="str">
        <f t="shared" si="4"/>
        <v/>
      </c>
      <c r="AU35" s="31" t="str">
        <f t="shared" si="5"/>
        <v/>
      </c>
      <c r="AV35" s="32" t="str">
        <f t="shared" si="6"/>
        <v/>
      </c>
      <c r="AW35" s="33" t="str">
        <f t="shared" si="7"/>
        <v/>
      </c>
      <c r="AX35" s="34" t="str">
        <f t="shared" si="8"/>
        <v/>
      </c>
      <c r="AY35" s="34" t="str">
        <f t="shared" si="9"/>
        <v/>
      </c>
      <c r="AZ35" s="40" t="str">
        <f t="shared" si="10"/>
        <v/>
      </c>
      <c r="BA35" s="36"/>
      <c r="BB35" s="41" t="str">
        <f t="shared" si="11"/>
        <v/>
      </c>
    </row>
    <row r="36" spans="1:54" ht="21.75" customHeight="1" x14ac:dyDescent="0.35">
      <c r="A36" s="27" t="str">
        <f>IF(B36&lt;&gt;"",COUNTA($B$6:B36),"")</f>
        <v/>
      </c>
      <c r="B36" s="28"/>
      <c r="C36" s="16"/>
      <c r="D36" s="17"/>
      <c r="E36" s="29" t="str">
        <f>IF(B36="","",IF(COUNTA($B$6:$B$69)&lt;=(E5-D5+1),(D5+MOD(A36-1,(E5-D5+1))),(D5+MOD(A36-1,(E5-D5+1)))&amp;CHAR(65+FLOOR((A36-1)/(E5-D5+1),1))))</f>
        <v/>
      </c>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1" t="str">
        <f t="shared" si="0"/>
        <v/>
      </c>
      <c r="AQ36" s="31" t="str">
        <f t="shared" si="1"/>
        <v/>
      </c>
      <c r="AR36" s="31" t="str">
        <f t="shared" si="2"/>
        <v/>
      </c>
      <c r="AS36" s="31" t="str">
        <f t="shared" si="3"/>
        <v/>
      </c>
      <c r="AT36" s="31" t="str">
        <f t="shared" si="4"/>
        <v/>
      </c>
      <c r="AU36" s="31" t="str">
        <f t="shared" si="5"/>
        <v/>
      </c>
      <c r="AV36" s="32" t="str">
        <f t="shared" si="6"/>
        <v/>
      </c>
      <c r="AW36" s="33" t="str">
        <f t="shared" si="7"/>
        <v/>
      </c>
      <c r="AX36" s="34" t="str">
        <f t="shared" si="8"/>
        <v/>
      </c>
      <c r="AY36" s="34" t="str">
        <f t="shared" si="9"/>
        <v/>
      </c>
      <c r="AZ36" s="35" t="str">
        <f t="shared" si="10"/>
        <v/>
      </c>
      <c r="BA36" s="36"/>
      <c r="BB36" s="37" t="str">
        <f t="shared" si="11"/>
        <v/>
      </c>
    </row>
    <row r="37" spans="1:54" ht="21.75" customHeight="1" x14ac:dyDescent="0.35">
      <c r="A37" s="38" t="str">
        <f>IF(B37&lt;&gt;"",COUNTA($B$6:B37),"")</f>
        <v/>
      </c>
      <c r="B37" s="39"/>
      <c r="C37" s="18"/>
      <c r="D37" s="19"/>
      <c r="E37" s="29" t="str">
        <f>IF(B37="","",IF(COUNTA($B$6:$B$69)&lt;=(E5-D5+1),(D5+MOD(A37-1,(E5-D5+1))),(D5+MOD(A37-1,(E5-D5+1)))&amp;CHAR(65+FLOOR((A37-1)/(E5-D5+1),1))))</f>
        <v/>
      </c>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1" t="str">
        <f t="shared" si="0"/>
        <v/>
      </c>
      <c r="AQ37" s="31" t="str">
        <f t="shared" si="1"/>
        <v/>
      </c>
      <c r="AR37" s="31" t="str">
        <f t="shared" si="2"/>
        <v/>
      </c>
      <c r="AS37" s="31" t="str">
        <f t="shared" si="3"/>
        <v/>
      </c>
      <c r="AT37" s="31" t="str">
        <f t="shared" si="4"/>
        <v/>
      </c>
      <c r="AU37" s="31" t="str">
        <f t="shared" si="5"/>
        <v/>
      </c>
      <c r="AV37" s="32" t="str">
        <f t="shared" si="6"/>
        <v/>
      </c>
      <c r="AW37" s="33" t="str">
        <f t="shared" si="7"/>
        <v/>
      </c>
      <c r="AX37" s="34" t="str">
        <f t="shared" si="8"/>
        <v/>
      </c>
      <c r="AY37" s="34" t="str">
        <f t="shared" si="9"/>
        <v/>
      </c>
      <c r="AZ37" s="40" t="str">
        <f t="shared" si="10"/>
        <v/>
      </c>
      <c r="BA37" s="36"/>
      <c r="BB37" s="41" t="str">
        <f t="shared" si="11"/>
        <v/>
      </c>
    </row>
    <row r="38" spans="1:54" ht="21.75" customHeight="1" x14ac:dyDescent="0.35">
      <c r="A38" s="27" t="str">
        <f>IF(B38&lt;&gt;"",COUNTA($B$6:B38),"")</f>
        <v/>
      </c>
      <c r="B38" s="28"/>
      <c r="C38" s="16"/>
      <c r="D38" s="17"/>
      <c r="E38" s="29" t="str">
        <f>IF(B38="","",IF(COUNTA($B$6:$B$69)&lt;=(E5-D5+1),(D5+MOD(A38-1,(E5-D5+1))),(D5+MOD(A38-1,(E5-D5+1)))&amp;CHAR(65+FLOOR((A38-1)/(E5-D5+1),1))))</f>
        <v/>
      </c>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1" t="str">
        <f t="shared" ref="AP38:AP69" si="12">IF(B38&lt;&gt;"",IF(F38="X",10,IF(F38="M",0,IF(ISNUMBER(F38),F38,0)))+IF(G38="X",10,IF(G38="M",0,IF(ISNUMBER(G38),G38,0)))+IF(H38="X",10,IF(H38="M",0,IF(ISNUMBER(H38),H38,0)))+IF(I38="X",10,IF(I38="M",0,IF(ISNUMBER(I38),I38,0)))+IF(J38="X",10,IF(J38="M",0,IF(ISNUMBER(J38),J38,0)))+IF(K38="X",10,IF(K38="M",0,IF(ISNUMBER(K38),K38,0))),"")</f>
        <v/>
      </c>
      <c r="AQ38" s="31" t="str">
        <f t="shared" ref="AQ38:AQ69" si="13">IF(B38&lt;&gt;"",IF(L38="X",10,IF(L38="M",0,IF(ISNUMBER(L38),L38,0)))+IF(M38="X",10,IF(M38="M",0,IF(ISNUMBER(M38),M38,0)))+IF(N38="X",10,IF(N38="M",0,IF(ISNUMBER(N38),N38,0)))+IF(O38="X",10,IF(O38="M",0,IF(ISNUMBER(O38),O38,0)))+IF(P38="X",10,IF(P38="M",0,IF(ISNUMBER(P38),P38,0)))+IF(Q38="X",10,IF(Q38="M",0,IF(ISNUMBER(Q38),Q38,0))),"")</f>
        <v/>
      </c>
      <c r="AR38" s="31" t="str">
        <f t="shared" ref="AR38:AR69" si="14">IF(B38&lt;&gt;"",IF(R38="X",10,IF(R38="M",0,IF(ISNUMBER(R38),R38,0)))+IF(S38="X",10,IF(S38="M",0,IF(ISNUMBER(S38),S38,0)))+IF(T38="X",10,IF(T38="M",0,IF(ISNUMBER(T38),T38,0)))+IF(U38="X",10,IF(U38="M",0,IF(ISNUMBER(U38),U38,0)))+IF(V38="X",10,IF(V38="M",0,IF(ISNUMBER(V38),V38,0)))+IF(W38="X",10,IF(W38="M",0,IF(ISNUMBER(W38),W38,0))),"")</f>
        <v/>
      </c>
      <c r="AS38" s="31" t="str">
        <f t="shared" ref="AS38:AS69" si="15">IF(B38&lt;&gt;"",IF(X38="X",10,IF(X38="M",0,IF(ISNUMBER(X38),X38,0)))+IF(Y38="X",10,IF(Y38="M",0,IF(ISNUMBER(Y38),Y38,0)))+IF(Z38="X",10,IF(Z38="M",0,IF(ISNUMBER(Z38),Z38,0)))+IF(AA38="X",10,IF(AA38="M",0,IF(ISNUMBER(AA38),AA38,0)))+IF(AB38="X",10,IF(AB38="M",0,IF(ISNUMBER(AB38),AB38,0)))+IF(AC38="X",10,IF(AC38="M",0,IF(ISNUMBER(AC38),AC38,0))),"")</f>
        <v/>
      </c>
      <c r="AT38" s="31" t="str">
        <f t="shared" ref="AT38:AT69" si="16">IF(B38&lt;&gt;"",IF(AD38="X",10,IF(AD38="M",0,IF(ISNUMBER(AD38),AD38,0)))+IF(AE38="X",10,IF(AE38="M",0,IF(ISNUMBER(AE38),AE38,0)))+IF(AF38="X",10,IF(AF38="M",0,IF(ISNUMBER(AF38),AF38,0)))+IF(AG38="X",10,IF(AG38="M",0,IF(ISNUMBER(AG38),AG38,0)))+IF(AH38="X",10,IF(AH38="M",0,IF(ISNUMBER(AH38),AH38,0)))+IF(AI38="X",10,IF(AI38="M",0,IF(ISNUMBER(AI38),AI38,0))),"")</f>
        <v/>
      </c>
      <c r="AU38" s="31" t="str">
        <f t="shared" ref="AU38:AU69" si="17">IF(B38&lt;&gt;"",IF(AJ38="X",10,IF(AJ38="M",0,IF(ISNUMBER(AJ38),AJ38,0)))+IF(AK38="X",10,IF(AK38="M",0,IF(ISNUMBER(AK38),AK38,0)))+IF(AL38="X",10,IF(AL38="M",0,IF(ISNUMBER(AL38),AL38,0)))+IF(AM38="X",10,IF(AM38="M",0,IF(ISNUMBER(AM38),AM38,0)))+IF(AN38="X",10,IF(AN38="M",0,IF(ISNUMBER(AN38),AN38,0)))+IF(AO38="X",10,IF(AO38="M",0,IF(ISNUMBER(AO38),AO38,0))),"")</f>
        <v/>
      </c>
      <c r="AV38" s="32" t="str">
        <f t="shared" ref="AV38:AV69" si="18">IF(B38&lt;&gt;"",AP38+AQ38+AR38+AS38+AT38+AU38,"")</f>
        <v/>
      </c>
      <c r="AW38" s="33" t="str">
        <f t="shared" ref="AW38:AW69" si="19">IF(B38&lt;&gt;"",IF(F38="X",1,0)+IF(G38="X",1,0)+IF(H38="X",1,0)+IF(I38="X",1,0)+IF(J38="X",1,0)+IF(K38="X",1,0)+IF(L38="X",1,0)+IF(M38="X",1,0)+IF(N38="X",1,0)+IF(O38="X",1,0)+IF(P38="X",1,0)+IF(Q38="X",1,0)+IF(R38="X",1,0)+IF(S38="X",1,0)+IF(T38="X",1,0)+IF(U38="X",1,0)+IF(V38="X",1,0)+IF(W38="X",1,0)+IF(X38="X",1,0)+IF(Y38="X",1,0)+IF(Z38="X",1,0)+IF(AA38="X",1,0)+IF(AB38="X",1,0)+IF(AC38="X",1,0)+IF(AD38="X",1,0)+IF(AE38="X",1,0)+IF(AF38="X",1,0)+IF(AG38="X",1,0)+IF(AH38="X",1,0)+IF(AI38="X",1,0)+IF(AJ38="X",1,0)+IF(AK38="X",1,0)+IF(AL38="X",1,0)+IF(AM38="X",1,0)+IF(AN38="X",1,0)+IF(AO38="X",1,0),"")</f>
        <v/>
      </c>
      <c r="AX38" s="34" t="str">
        <f t="shared" ref="AX38:AX69" si="20">IF(B38&lt;&gt;"",IF(OR(F38="X",F38=10),1,0)+IF(OR(G38="X",G38=10),1,0)+IF(OR(H38="X",H38=10),1,0)+IF(OR(I38="X",I38=10),1,0)+IF(OR(J38="X",J38=10),1,0)+IF(OR(K38="X",K38=10),1,0)+IF(OR(L38="X",L38=10),1,0)+IF(OR(M38="X",M38=10),1,0)+IF(OR(N38="X",N38=10),1,0)+IF(OR(O38="X",O38=10),1,0)+IF(OR(P38="X",P38=10),1,0)+IF(OR(Q38="X",Q38=10),1,0)+IF(OR(R38="X",R38=10),1,0)+IF(OR(S38="X",S38=10),1,0)+IF(OR(T38="X",T38=10),1,0)+IF(OR(U38="X",U38=10),1,0)+IF(OR(V38="X",V38=10),1,0)+IF(OR(W38="X",W38=10),1,0)+IF(OR(X38="X",X38=10),1,0)+IF(OR(Y38="X",Y38=10),1,0)+IF(OR(Z38="X",Z38=10),1,0)+IF(OR(AA38="X",AA38=10),1,0)+IF(OR(AB38="X",AB38=10),1,0)+IF(OR(AC38="X",AC38=10),1,0)+IF(OR(AD38="X",AD38=10),1,0)+IF(OR(AE38="X",AE38=10),1,0)+IF(OR(AF38="X",AF38=10),1,0)+IF(OR(AG38="X",AG38=10),1,0)+IF(OR(AH38="X",AH38=10),1,0)+IF(OR(AI38="X",AI38=10),1,0)+IF(OR(AJ38="X",AJ38=10),1,0)+IF(OR(AK38="X",AK38=10),1,0)+IF(OR(AL38="X",AL38=10),1,0)+IF(OR(AM38="X",AM38=10),1,0)+IF(OR(AN38="X",AN38=10),1,0)+IF(OR(AO38="X",AO38=10),1,0),"")</f>
        <v/>
      </c>
      <c r="AY38" s="34" t="str">
        <f t="shared" ref="AY38:AY69" si="21">IF(B38&lt;&gt;"",IF(F38=9,1,0)+IF(G38=9,1,0)+IF(H38=9,1,0)+IF(I38=9,1,0)+IF(J38=9,1,0)+IF(K38=9,1,0)+IF(L38=9,1,0)+IF(M38=9,1,0)+IF(N38=9,1,0)+IF(O38=9,1,0)+IF(P38=9,1,0)+IF(Q38=9,1,0)+IF(R38=9,1,0)+IF(S38=9,1,0)+IF(T38=9,1,0)+IF(U38=9,1,0)+IF(V38=9,1,0)+IF(W38=9,1,0)+IF(X38=9,1,0)+IF(Y38=9,1,0)+IF(Z38=9,1,0)+IF(AA38=9,1,0)+IF(AB38=9,1,0)+IF(AC38=9,1,0)+IF(AD38=9,1,0)+IF(AE38=9,1,0)+IF(AF38=9,1,0)+IF(AG38=9,1,0)+IF(AH38=9,1,0)+IF(AI38=9,1,0)+IF(AJ38=9,1,0)+IF(AK38=9,1,0)+IF(AL38=9,1,0)+IF(AM38=9,1,0)+IF(AN38=9,1,0)+IF(AO38=9,1,0),"")</f>
        <v/>
      </c>
      <c r="AZ38" s="35" t="str">
        <f t="shared" ref="AZ38:AZ69" si="22">IF(B38&lt;&gt;"",SUMPRODUCT(($AV$6:$AV$1000&gt;AV38)*ISNUMBER($AV$6:$AV$1000))+1+SUMPRODUCT(($AV$6:$AV$1000=AV38)*($AW$6:$AW$1000&gt;AW38)*ISNUMBER($AV$6:$AV$1000)*ISNUMBER($AW$6:$AW$1000))+SUMPRODUCT(($AV$6:$AV$1000=AV38)*($AW$6:$AW$1000=AW38)*($AX$6:$AX$1000&gt;AX38)*ISNUMBER($AV$6:$AV$1000)*ISNUMBER($AX$6:$AX$1000))+SUMPRODUCT(($AV$6:$AV$1000=AV38)*($AW$6:$AW$1000=AW38)*($AX$6:$AX$1000=AX38)*($AY$6:$AY$1000&gt;AY38)*ISNUMBER($AV$6:$AV$1000)*ISNUMBER($AY$6:$AY$1000)),"")</f>
        <v/>
      </c>
      <c r="BA38" s="36"/>
      <c r="BB38" s="37" t="str">
        <f t="shared" ref="BB38:BB69" si="23">IF(B38&lt;&gt;"",SUMPRODUCT(($AV$6:$AV$1000&gt;AV38)*ISNUMBER($AV$6:$AV$1000))+1+SUMPRODUCT(($AV$6:$AV$1000=AV38)*($AW$6:$AW$1000&gt;AW38)*ISNUMBER($AV$6:$AV$1000)*ISNUMBER($AW$6:$AW$1000))+SUMPRODUCT(($AV$6:$AV$1000=AV38)*($AW$6:$AW$1000=AW38)*($AX$6:$AX$1000&gt;AX38)*ISNUMBER($AV$6:$AV$1000)*ISNUMBER($AX$6:$AX$1000))+SUMPRODUCT(($AV$6:$AV$1000=AV38)*($AW$6:$AW$1000=AW38)*($AX$6:$AX$1000=AX38)*($AY$6:$AY$1000&gt;AY38)*ISNUMBER($AV$6:$AV$1000)*ISNUMBER($AY$6:$AY$1000))+SUMPRODUCT(($AV$6:$AV$1000=AV38)*($AW$6:$AW$1000=AW38)*($AX$6:$AX$1000=AX38)*($AY$6:$AY$1000=AY38)*($BA$6:$BA$1000&gt;BA38)*ISNUMBER($AV$6:$AV$1000)*ISNUMBER($BA$6:$BA$1000)),"")</f>
        <v/>
      </c>
    </row>
    <row r="39" spans="1:54" ht="21.75" customHeight="1" x14ac:dyDescent="0.35">
      <c r="A39" s="38" t="str">
        <f>IF(B39&lt;&gt;"",COUNTA($B$6:B39),"")</f>
        <v/>
      </c>
      <c r="B39" s="39"/>
      <c r="C39" s="18"/>
      <c r="D39" s="19"/>
      <c r="E39" s="29" t="str">
        <f>IF(B39="","",IF(COUNTA($B$6:$B$69)&lt;=(E5-D5+1),(D5+MOD(A39-1,(E5-D5+1))),(D5+MOD(A39-1,(E5-D5+1)))&amp;CHAR(65+FLOOR((A39-1)/(E5-D5+1),1))))</f>
        <v/>
      </c>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1" t="str">
        <f t="shared" si="12"/>
        <v/>
      </c>
      <c r="AQ39" s="31" t="str">
        <f t="shared" si="13"/>
        <v/>
      </c>
      <c r="AR39" s="31" t="str">
        <f t="shared" si="14"/>
        <v/>
      </c>
      <c r="AS39" s="31" t="str">
        <f t="shared" si="15"/>
        <v/>
      </c>
      <c r="AT39" s="31" t="str">
        <f t="shared" si="16"/>
        <v/>
      </c>
      <c r="AU39" s="31" t="str">
        <f t="shared" si="17"/>
        <v/>
      </c>
      <c r="AV39" s="32" t="str">
        <f t="shared" si="18"/>
        <v/>
      </c>
      <c r="AW39" s="33" t="str">
        <f t="shared" si="19"/>
        <v/>
      </c>
      <c r="AX39" s="34" t="str">
        <f t="shared" si="20"/>
        <v/>
      </c>
      <c r="AY39" s="34" t="str">
        <f t="shared" si="21"/>
        <v/>
      </c>
      <c r="AZ39" s="40" t="str">
        <f t="shared" si="22"/>
        <v/>
      </c>
      <c r="BA39" s="36"/>
      <c r="BB39" s="41" t="str">
        <f t="shared" si="23"/>
        <v/>
      </c>
    </row>
    <row r="40" spans="1:54" ht="21.75" customHeight="1" x14ac:dyDescent="0.35">
      <c r="A40" s="27" t="str">
        <f>IF(B40&lt;&gt;"",COUNTA($B$6:B40),"")</f>
        <v/>
      </c>
      <c r="B40" s="28"/>
      <c r="C40" s="16"/>
      <c r="D40" s="17"/>
      <c r="E40" s="29" t="str">
        <f>IF(B40="","",IF(COUNTA($B$6:$B$69)&lt;=(E5-D5+1),(D5+MOD(A40-1,(E5-D5+1))),(D5+MOD(A40-1,(E5-D5+1)))&amp;CHAR(65+FLOOR((A40-1)/(E5-D5+1),1))))</f>
        <v/>
      </c>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1" t="str">
        <f t="shared" si="12"/>
        <v/>
      </c>
      <c r="AQ40" s="31" t="str">
        <f t="shared" si="13"/>
        <v/>
      </c>
      <c r="AR40" s="31" t="str">
        <f t="shared" si="14"/>
        <v/>
      </c>
      <c r="AS40" s="31" t="str">
        <f t="shared" si="15"/>
        <v/>
      </c>
      <c r="AT40" s="31" t="str">
        <f t="shared" si="16"/>
        <v/>
      </c>
      <c r="AU40" s="31" t="str">
        <f t="shared" si="17"/>
        <v/>
      </c>
      <c r="AV40" s="32" t="str">
        <f t="shared" si="18"/>
        <v/>
      </c>
      <c r="AW40" s="33" t="str">
        <f t="shared" si="19"/>
        <v/>
      </c>
      <c r="AX40" s="34" t="str">
        <f t="shared" si="20"/>
        <v/>
      </c>
      <c r="AY40" s="34" t="str">
        <f t="shared" si="21"/>
        <v/>
      </c>
      <c r="AZ40" s="35" t="str">
        <f t="shared" si="22"/>
        <v/>
      </c>
      <c r="BA40" s="36"/>
      <c r="BB40" s="37" t="str">
        <f t="shared" si="23"/>
        <v/>
      </c>
    </row>
    <row r="41" spans="1:54" ht="21.75" customHeight="1" x14ac:dyDescent="0.35">
      <c r="A41" s="38" t="str">
        <f>IF(B41&lt;&gt;"",COUNTA($B$6:B41),"")</f>
        <v/>
      </c>
      <c r="B41" s="39"/>
      <c r="C41" s="18"/>
      <c r="D41" s="19"/>
      <c r="E41" s="29" t="str">
        <f>IF(B41="","",IF(COUNTA($B$6:$B$69)&lt;=(E5-D5+1),(D5+MOD(A41-1,(E5-D5+1))),(D5+MOD(A41-1,(E5-D5+1)))&amp;CHAR(65+FLOOR((A41-1)/(E5-D5+1),1))))</f>
        <v/>
      </c>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1" t="str">
        <f t="shared" si="12"/>
        <v/>
      </c>
      <c r="AQ41" s="31" t="str">
        <f t="shared" si="13"/>
        <v/>
      </c>
      <c r="AR41" s="31" t="str">
        <f t="shared" si="14"/>
        <v/>
      </c>
      <c r="AS41" s="31" t="str">
        <f t="shared" si="15"/>
        <v/>
      </c>
      <c r="AT41" s="31" t="str">
        <f t="shared" si="16"/>
        <v/>
      </c>
      <c r="AU41" s="31" t="str">
        <f t="shared" si="17"/>
        <v/>
      </c>
      <c r="AV41" s="32" t="str">
        <f t="shared" si="18"/>
        <v/>
      </c>
      <c r="AW41" s="33" t="str">
        <f t="shared" si="19"/>
        <v/>
      </c>
      <c r="AX41" s="34" t="str">
        <f t="shared" si="20"/>
        <v/>
      </c>
      <c r="AY41" s="34" t="str">
        <f t="shared" si="21"/>
        <v/>
      </c>
      <c r="AZ41" s="40" t="str">
        <f t="shared" si="22"/>
        <v/>
      </c>
      <c r="BA41" s="36"/>
      <c r="BB41" s="41" t="str">
        <f t="shared" si="23"/>
        <v/>
      </c>
    </row>
    <row r="42" spans="1:54" ht="21.75" customHeight="1" x14ac:dyDescent="0.35">
      <c r="A42" s="27" t="str">
        <f>IF(B42&lt;&gt;"",COUNTA($B$6:B42),"")</f>
        <v/>
      </c>
      <c r="B42" s="28"/>
      <c r="C42" s="16"/>
      <c r="D42" s="17"/>
      <c r="E42" s="29" t="str">
        <f>IF(B42="","",IF(COUNTA($B$6:$B$69)&lt;=(E5-D5+1),(D5+MOD(A42-1,(E5-D5+1))),(D5+MOD(A42-1,(E5-D5+1)))&amp;CHAR(65+FLOOR((A42-1)/(E5-D5+1),1))))</f>
        <v/>
      </c>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1" t="str">
        <f t="shared" si="12"/>
        <v/>
      </c>
      <c r="AQ42" s="31" t="str">
        <f t="shared" si="13"/>
        <v/>
      </c>
      <c r="AR42" s="31" t="str">
        <f t="shared" si="14"/>
        <v/>
      </c>
      <c r="AS42" s="31" t="str">
        <f t="shared" si="15"/>
        <v/>
      </c>
      <c r="AT42" s="31" t="str">
        <f t="shared" si="16"/>
        <v/>
      </c>
      <c r="AU42" s="31" t="str">
        <f t="shared" si="17"/>
        <v/>
      </c>
      <c r="AV42" s="32" t="str">
        <f t="shared" si="18"/>
        <v/>
      </c>
      <c r="AW42" s="33" t="str">
        <f t="shared" si="19"/>
        <v/>
      </c>
      <c r="AX42" s="34" t="str">
        <f t="shared" si="20"/>
        <v/>
      </c>
      <c r="AY42" s="34" t="str">
        <f t="shared" si="21"/>
        <v/>
      </c>
      <c r="AZ42" s="35" t="str">
        <f t="shared" si="22"/>
        <v/>
      </c>
      <c r="BA42" s="36"/>
      <c r="BB42" s="37" t="str">
        <f t="shared" si="23"/>
        <v/>
      </c>
    </row>
    <row r="43" spans="1:54" ht="21.75" customHeight="1" x14ac:dyDescent="0.35">
      <c r="A43" s="38" t="str">
        <f>IF(B43&lt;&gt;"",COUNTA($B$6:B43),"")</f>
        <v/>
      </c>
      <c r="B43" s="39"/>
      <c r="C43" s="18"/>
      <c r="D43" s="19"/>
      <c r="E43" s="29" t="str">
        <f>IF(B43="","",IF(COUNTA($B$6:$B$69)&lt;=(E5-D5+1),(D5+MOD(A43-1,(E5-D5+1))),(D5+MOD(A43-1,(E5-D5+1)))&amp;CHAR(65+FLOOR((A43-1)/(E5-D5+1),1))))</f>
        <v/>
      </c>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1" t="str">
        <f t="shared" si="12"/>
        <v/>
      </c>
      <c r="AQ43" s="31" t="str">
        <f t="shared" si="13"/>
        <v/>
      </c>
      <c r="AR43" s="31" t="str">
        <f t="shared" si="14"/>
        <v/>
      </c>
      <c r="AS43" s="31" t="str">
        <f t="shared" si="15"/>
        <v/>
      </c>
      <c r="AT43" s="31" t="str">
        <f t="shared" si="16"/>
        <v/>
      </c>
      <c r="AU43" s="31" t="str">
        <f t="shared" si="17"/>
        <v/>
      </c>
      <c r="AV43" s="32" t="str">
        <f t="shared" si="18"/>
        <v/>
      </c>
      <c r="AW43" s="33" t="str">
        <f t="shared" si="19"/>
        <v/>
      </c>
      <c r="AX43" s="34" t="str">
        <f t="shared" si="20"/>
        <v/>
      </c>
      <c r="AY43" s="34" t="str">
        <f t="shared" si="21"/>
        <v/>
      </c>
      <c r="AZ43" s="40" t="str">
        <f t="shared" si="22"/>
        <v/>
      </c>
      <c r="BA43" s="36"/>
      <c r="BB43" s="41" t="str">
        <f t="shared" si="23"/>
        <v/>
      </c>
    </row>
    <row r="44" spans="1:54" ht="21.75" customHeight="1" x14ac:dyDescent="0.35">
      <c r="A44" s="27" t="str">
        <f>IF(B44&lt;&gt;"",COUNTA($B$6:B44),"")</f>
        <v/>
      </c>
      <c r="B44" s="28"/>
      <c r="C44" s="16"/>
      <c r="D44" s="17"/>
      <c r="E44" s="29" t="str">
        <f>IF(B44="","",IF(COUNTA($B$6:$B$69)&lt;=(E5-D5+1),(D5+MOD(A44-1,(E5-D5+1))),(D5+MOD(A44-1,(E5-D5+1)))&amp;CHAR(65+FLOOR((A44-1)/(E5-D5+1),1))))</f>
        <v/>
      </c>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1" t="str">
        <f t="shared" si="12"/>
        <v/>
      </c>
      <c r="AQ44" s="31" t="str">
        <f t="shared" si="13"/>
        <v/>
      </c>
      <c r="AR44" s="31" t="str">
        <f t="shared" si="14"/>
        <v/>
      </c>
      <c r="AS44" s="31" t="str">
        <f t="shared" si="15"/>
        <v/>
      </c>
      <c r="AT44" s="31" t="str">
        <f t="shared" si="16"/>
        <v/>
      </c>
      <c r="AU44" s="31" t="str">
        <f t="shared" si="17"/>
        <v/>
      </c>
      <c r="AV44" s="32" t="str">
        <f t="shared" si="18"/>
        <v/>
      </c>
      <c r="AW44" s="33" t="str">
        <f t="shared" si="19"/>
        <v/>
      </c>
      <c r="AX44" s="34" t="str">
        <f t="shared" si="20"/>
        <v/>
      </c>
      <c r="AY44" s="34" t="str">
        <f t="shared" si="21"/>
        <v/>
      </c>
      <c r="AZ44" s="35" t="str">
        <f t="shared" si="22"/>
        <v/>
      </c>
      <c r="BA44" s="36"/>
      <c r="BB44" s="37" t="str">
        <f t="shared" si="23"/>
        <v/>
      </c>
    </row>
    <row r="45" spans="1:54" ht="21.75" customHeight="1" x14ac:dyDescent="0.35">
      <c r="A45" s="38" t="str">
        <f>IF(B45&lt;&gt;"",COUNTA($B$6:B45),"")</f>
        <v/>
      </c>
      <c r="B45" s="39"/>
      <c r="C45" s="18"/>
      <c r="D45" s="19"/>
      <c r="E45" s="29" t="str">
        <f>IF(B45="","",IF(COUNTA($B$6:$B$69)&lt;=(E5-D5+1),(D5+MOD(A45-1,(E5-D5+1))),(D5+MOD(A45-1,(E5-D5+1)))&amp;CHAR(65+FLOOR((A45-1)/(E5-D5+1),1))))</f>
        <v/>
      </c>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1" t="str">
        <f t="shared" si="12"/>
        <v/>
      </c>
      <c r="AQ45" s="31" t="str">
        <f t="shared" si="13"/>
        <v/>
      </c>
      <c r="AR45" s="31" t="str">
        <f t="shared" si="14"/>
        <v/>
      </c>
      <c r="AS45" s="31" t="str">
        <f t="shared" si="15"/>
        <v/>
      </c>
      <c r="AT45" s="31" t="str">
        <f t="shared" si="16"/>
        <v/>
      </c>
      <c r="AU45" s="31" t="str">
        <f t="shared" si="17"/>
        <v/>
      </c>
      <c r="AV45" s="32" t="str">
        <f t="shared" si="18"/>
        <v/>
      </c>
      <c r="AW45" s="33" t="str">
        <f t="shared" si="19"/>
        <v/>
      </c>
      <c r="AX45" s="34" t="str">
        <f t="shared" si="20"/>
        <v/>
      </c>
      <c r="AY45" s="34" t="str">
        <f t="shared" si="21"/>
        <v/>
      </c>
      <c r="AZ45" s="40" t="str">
        <f t="shared" si="22"/>
        <v/>
      </c>
      <c r="BA45" s="36"/>
      <c r="BB45" s="41" t="str">
        <f t="shared" si="23"/>
        <v/>
      </c>
    </row>
    <row r="46" spans="1:54" ht="21.75" customHeight="1" x14ac:dyDescent="0.35">
      <c r="A46" s="27" t="str">
        <f>IF(B46&lt;&gt;"",COUNTA($B$6:B46),"")</f>
        <v/>
      </c>
      <c r="B46" s="28"/>
      <c r="C46" s="16"/>
      <c r="D46" s="17"/>
      <c r="E46" s="29" t="str">
        <f>IF(B46="","",IF(COUNTA($B$6:$B$69)&lt;=(E5-D5+1),(D5+MOD(A46-1,(E5-D5+1))),(D5+MOD(A46-1,(E5-D5+1)))&amp;CHAR(65+FLOOR((A46-1)/(E5-D5+1),1))))</f>
        <v/>
      </c>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1" t="str">
        <f t="shared" si="12"/>
        <v/>
      </c>
      <c r="AQ46" s="31" t="str">
        <f t="shared" si="13"/>
        <v/>
      </c>
      <c r="AR46" s="31" t="str">
        <f t="shared" si="14"/>
        <v/>
      </c>
      <c r="AS46" s="31" t="str">
        <f t="shared" si="15"/>
        <v/>
      </c>
      <c r="AT46" s="31" t="str">
        <f t="shared" si="16"/>
        <v/>
      </c>
      <c r="AU46" s="31" t="str">
        <f t="shared" si="17"/>
        <v/>
      </c>
      <c r="AV46" s="32" t="str">
        <f t="shared" si="18"/>
        <v/>
      </c>
      <c r="AW46" s="33" t="str">
        <f t="shared" si="19"/>
        <v/>
      </c>
      <c r="AX46" s="34" t="str">
        <f t="shared" si="20"/>
        <v/>
      </c>
      <c r="AY46" s="34" t="str">
        <f t="shared" si="21"/>
        <v/>
      </c>
      <c r="AZ46" s="35" t="str">
        <f t="shared" si="22"/>
        <v/>
      </c>
      <c r="BA46" s="36"/>
      <c r="BB46" s="37" t="str">
        <f t="shared" si="23"/>
        <v/>
      </c>
    </row>
    <row r="47" spans="1:54" ht="21.75" customHeight="1" x14ac:dyDescent="0.35">
      <c r="A47" s="38" t="str">
        <f>IF(B47&lt;&gt;"",COUNTA($B$6:B47),"")</f>
        <v/>
      </c>
      <c r="B47" s="39"/>
      <c r="C47" s="18"/>
      <c r="D47" s="19"/>
      <c r="E47" s="29" t="str">
        <f>IF(B47="","",IF(COUNTA($B$6:$B$69)&lt;=(E5-D5+1),(D5+MOD(A47-1,(E5-D5+1))),(D5+MOD(A47-1,(E5-D5+1)))&amp;CHAR(65+FLOOR((A47-1)/(E5-D5+1),1))))</f>
        <v/>
      </c>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1" t="str">
        <f t="shared" si="12"/>
        <v/>
      </c>
      <c r="AQ47" s="31" t="str">
        <f t="shared" si="13"/>
        <v/>
      </c>
      <c r="AR47" s="31" t="str">
        <f t="shared" si="14"/>
        <v/>
      </c>
      <c r="AS47" s="31" t="str">
        <f t="shared" si="15"/>
        <v/>
      </c>
      <c r="AT47" s="31" t="str">
        <f t="shared" si="16"/>
        <v/>
      </c>
      <c r="AU47" s="31" t="str">
        <f t="shared" si="17"/>
        <v/>
      </c>
      <c r="AV47" s="32" t="str">
        <f t="shared" si="18"/>
        <v/>
      </c>
      <c r="AW47" s="33" t="str">
        <f t="shared" si="19"/>
        <v/>
      </c>
      <c r="AX47" s="34" t="str">
        <f t="shared" si="20"/>
        <v/>
      </c>
      <c r="AY47" s="34" t="str">
        <f t="shared" si="21"/>
        <v/>
      </c>
      <c r="AZ47" s="40" t="str">
        <f t="shared" si="22"/>
        <v/>
      </c>
      <c r="BA47" s="36"/>
      <c r="BB47" s="41" t="str">
        <f t="shared" si="23"/>
        <v/>
      </c>
    </row>
    <row r="48" spans="1:54" ht="21.75" customHeight="1" x14ac:dyDescent="0.35">
      <c r="A48" s="27" t="str">
        <f>IF(B48&lt;&gt;"",COUNTA($B$6:B48),"")</f>
        <v/>
      </c>
      <c r="B48" s="28"/>
      <c r="C48" s="16"/>
      <c r="D48" s="17"/>
      <c r="E48" s="29" t="str">
        <f>IF(B48="","",IF(COUNTA($B$6:$B$69)&lt;=(E5-D5+1),(D5+MOD(A48-1,(E5-D5+1))),(D5+MOD(A48-1,(E5-D5+1)))&amp;CHAR(65+FLOOR((A48-1)/(E5-D5+1),1))))</f>
        <v/>
      </c>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1" t="str">
        <f t="shared" si="12"/>
        <v/>
      </c>
      <c r="AQ48" s="31" t="str">
        <f t="shared" si="13"/>
        <v/>
      </c>
      <c r="AR48" s="31" t="str">
        <f t="shared" si="14"/>
        <v/>
      </c>
      <c r="AS48" s="31" t="str">
        <f t="shared" si="15"/>
        <v/>
      </c>
      <c r="AT48" s="31" t="str">
        <f t="shared" si="16"/>
        <v/>
      </c>
      <c r="AU48" s="31" t="str">
        <f t="shared" si="17"/>
        <v/>
      </c>
      <c r="AV48" s="32" t="str">
        <f t="shared" si="18"/>
        <v/>
      </c>
      <c r="AW48" s="33" t="str">
        <f t="shared" si="19"/>
        <v/>
      </c>
      <c r="AX48" s="34" t="str">
        <f t="shared" si="20"/>
        <v/>
      </c>
      <c r="AY48" s="34" t="str">
        <f t="shared" si="21"/>
        <v/>
      </c>
      <c r="AZ48" s="35" t="str">
        <f t="shared" si="22"/>
        <v/>
      </c>
      <c r="BA48" s="36"/>
      <c r="BB48" s="37" t="str">
        <f t="shared" si="23"/>
        <v/>
      </c>
    </row>
    <row r="49" spans="1:54" ht="21.75" customHeight="1" x14ac:dyDescent="0.35">
      <c r="A49" s="38" t="str">
        <f>IF(B49&lt;&gt;"",COUNTA($B$6:B49),"")</f>
        <v/>
      </c>
      <c r="B49" s="39"/>
      <c r="C49" s="18"/>
      <c r="D49" s="19"/>
      <c r="E49" s="29" t="str">
        <f>IF(B49="","",IF(COUNTA($B$6:$B$69)&lt;=(E5-D5+1),(D5+MOD(A49-1,(E5-D5+1))),(D5+MOD(A49-1,(E5-D5+1)))&amp;CHAR(65+FLOOR((A49-1)/(E5-D5+1),1))))</f>
        <v/>
      </c>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1" t="str">
        <f t="shared" si="12"/>
        <v/>
      </c>
      <c r="AQ49" s="31" t="str">
        <f t="shared" si="13"/>
        <v/>
      </c>
      <c r="AR49" s="31" t="str">
        <f t="shared" si="14"/>
        <v/>
      </c>
      <c r="AS49" s="31" t="str">
        <f t="shared" si="15"/>
        <v/>
      </c>
      <c r="AT49" s="31" t="str">
        <f t="shared" si="16"/>
        <v/>
      </c>
      <c r="AU49" s="31" t="str">
        <f t="shared" si="17"/>
        <v/>
      </c>
      <c r="AV49" s="32" t="str">
        <f t="shared" si="18"/>
        <v/>
      </c>
      <c r="AW49" s="33" t="str">
        <f t="shared" si="19"/>
        <v/>
      </c>
      <c r="AX49" s="34" t="str">
        <f t="shared" si="20"/>
        <v/>
      </c>
      <c r="AY49" s="34" t="str">
        <f t="shared" si="21"/>
        <v/>
      </c>
      <c r="AZ49" s="40" t="str">
        <f t="shared" si="22"/>
        <v/>
      </c>
      <c r="BA49" s="36"/>
      <c r="BB49" s="41" t="str">
        <f t="shared" si="23"/>
        <v/>
      </c>
    </row>
    <row r="50" spans="1:54" ht="21.75" customHeight="1" x14ac:dyDescent="0.35">
      <c r="A50" s="27" t="str">
        <f>IF(B50&lt;&gt;"",COUNTA($B$6:B50),"")</f>
        <v/>
      </c>
      <c r="B50" s="28"/>
      <c r="C50" s="16"/>
      <c r="D50" s="17"/>
      <c r="E50" s="29" t="str">
        <f>IF(B50="","",IF(COUNTA($B$6:$B$69)&lt;=(E5-D5+1),(D5+MOD(A50-1,(E5-D5+1))),(D5+MOD(A50-1,(E5-D5+1)))&amp;CHAR(65+FLOOR((A50-1)/(E5-D5+1),1))))</f>
        <v/>
      </c>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1" t="str">
        <f t="shared" si="12"/>
        <v/>
      </c>
      <c r="AQ50" s="31" t="str">
        <f t="shared" si="13"/>
        <v/>
      </c>
      <c r="AR50" s="31" t="str">
        <f t="shared" si="14"/>
        <v/>
      </c>
      <c r="AS50" s="31" t="str">
        <f t="shared" si="15"/>
        <v/>
      </c>
      <c r="AT50" s="31" t="str">
        <f t="shared" si="16"/>
        <v/>
      </c>
      <c r="AU50" s="31" t="str">
        <f t="shared" si="17"/>
        <v/>
      </c>
      <c r="AV50" s="32" t="str">
        <f t="shared" si="18"/>
        <v/>
      </c>
      <c r="AW50" s="33" t="str">
        <f t="shared" si="19"/>
        <v/>
      </c>
      <c r="AX50" s="34" t="str">
        <f t="shared" si="20"/>
        <v/>
      </c>
      <c r="AY50" s="34" t="str">
        <f t="shared" si="21"/>
        <v/>
      </c>
      <c r="AZ50" s="35" t="str">
        <f t="shared" si="22"/>
        <v/>
      </c>
      <c r="BA50" s="36"/>
      <c r="BB50" s="37" t="str">
        <f t="shared" si="23"/>
        <v/>
      </c>
    </row>
    <row r="51" spans="1:54" ht="21.75" customHeight="1" x14ac:dyDescent="0.35">
      <c r="A51" s="38" t="str">
        <f>IF(B51&lt;&gt;"",COUNTA($B$6:B51),"")</f>
        <v/>
      </c>
      <c r="B51" s="39"/>
      <c r="C51" s="18"/>
      <c r="D51" s="19"/>
      <c r="E51" s="29" t="str">
        <f>IF(B51="","",IF(COUNTA($B$6:$B$69)&lt;=(E5-D5+1),(D5+MOD(A51-1,(E5-D5+1))),(D5+MOD(A51-1,(E5-D5+1)))&amp;CHAR(65+FLOOR((A51-1)/(E5-D5+1),1))))</f>
        <v/>
      </c>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1" t="str">
        <f t="shared" si="12"/>
        <v/>
      </c>
      <c r="AQ51" s="31" t="str">
        <f t="shared" si="13"/>
        <v/>
      </c>
      <c r="AR51" s="31" t="str">
        <f t="shared" si="14"/>
        <v/>
      </c>
      <c r="AS51" s="31" t="str">
        <f t="shared" si="15"/>
        <v/>
      </c>
      <c r="AT51" s="31" t="str">
        <f t="shared" si="16"/>
        <v/>
      </c>
      <c r="AU51" s="31" t="str">
        <f t="shared" si="17"/>
        <v/>
      </c>
      <c r="AV51" s="32" t="str">
        <f t="shared" si="18"/>
        <v/>
      </c>
      <c r="AW51" s="33" t="str">
        <f t="shared" si="19"/>
        <v/>
      </c>
      <c r="AX51" s="34" t="str">
        <f t="shared" si="20"/>
        <v/>
      </c>
      <c r="AY51" s="34" t="str">
        <f t="shared" si="21"/>
        <v/>
      </c>
      <c r="AZ51" s="40" t="str">
        <f t="shared" si="22"/>
        <v/>
      </c>
      <c r="BA51" s="36"/>
      <c r="BB51" s="41" t="str">
        <f t="shared" si="23"/>
        <v/>
      </c>
    </row>
    <row r="52" spans="1:54" ht="21.75" customHeight="1" x14ac:dyDescent="0.35">
      <c r="A52" s="27" t="str">
        <f>IF(B52&lt;&gt;"",COUNTA($B$6:B52),"")</f>
        <v/>
      </c>
      <c r="B52" s="28"/>
      <c r="C52" s="16"/>
      <c r="D52" s="17"/>
      <c r="E52" s="29" t="str">
        <f>IF(B52="","",IF(COUNTA($B$6:$B$69)&lt;=(E5-D5+1),(D5+MOD(A52-1,(E5-D5+1))),(D5+MOD(A52-1,(E5-D5+1)))&amp;CHAR(65+FLOOR((A52-1)/(E5-D5+1),1))))</f>
        <v/>
      </c>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1" t="str">
        <f t="shared" si="12"/>
        <v/>
      </c>
      <c r="AQ52" s="31" t="str">
        <f t="shared" si="13"/>
        <v/>
      </c>
      <c r="AR52" s="31" t="str">
        <f t="shared" si="14"/>
        <v/>
      </c>
      <c r="AS52" s="31" t="str">
        <f t="shared" si="15"/>
        <v/>
      </c>
      <c r="AT52" s="31" t="str">
        <f t="shared" si="16"/>
        <v/>
      </c>
      <c r="AU52" s="31" t="str">
        <f t="shared" si="17"/>
        <v/>
      </c>
      <c r="AV52" s="32" t="str">
        <f t="shared" si="18"/>
        <v/>
      </c>
      <c r="AW52" s="33" t="str">
        <f t="shared" si="19"/>
        <v/>
      </c>
      <c r="AX52" s="34" t="str">
        <f t="shared" si="20"/>
        <v/>
      </c>
      <c r="AY52" s="34" t="str">
        <f t="shared" si="21"/>
        <v/>
      </c>
      <c r="AZ52" s="35" t="str">
        <f t="shared" si="22"/>
        <v/>
      </c>
      <c r="BA52" s="36"/>
      <c r="BB52" s="37" t="str">
        <f t="shared" si="23"/>
        <v/>
      </c>
    </row>
    <row r="53" spans="1:54" ht="21.75" customHeight="1" x14ac:dyDescent="0.35">
      <c r="A53" s="38" t="str">
        <f>IF(B53&lt;&gt;"",COUNTA($B$6:B53),"")</f>
        <v/>
      </c>
      <c r="B53" s="39"/>
      <c r="C53" s="18"/>
      <c r="D53" s="19"/>
      <c r="E53" s="29" t="str">
        <f>IF(B53="","",IF(COUNTA($B$6:$B$69)&lt;=(E5-D5+1),(D5+MOD(A53-1,(E5-D5+1))),(D5+MOD(A53-1,(E5-D5+1)))&amp;CHAR(65+FLOOR((A53-1)/(E5-D5+1),1))))</f>
        <v/>
      </c>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1" t="str">
        <f t="shared" si="12"/>
        <v/>
      </c>
      <c r="AQ53" s="31" t="str">
        <f t="shared" si="13"/>
        <v/>
      </c>
      <c r="AR53" s="31" t="str">
        <f t="shared" si="14"/>
        <v/>
      </c>
      <c r="AS53" s="31" t="str">
        <f t="shared" si="15"/>
        <v/>
      </c>
      <c r="AT53" s="31" t="str">
        <f t="shared" si="16"/>
        <v/>
      </c>
      <c r="AU53" s="31" t="str">
        <f t="shared" si="17"/>
        <v/>
      </c>
      <c r="AV53" s="32" t="str">
        <f t="shared" si="18"/>
        <v/>
      </c>
      <c r="AW53" s="33" t="str">
        <f t="shared" si="19"/>
        <v/>
      </c>
      <c r="AX53" s="34" t="str">
        <f t="shared" si="20"/>
        <v/>
      </c>
      <c r="AY53" s="34" t="str">
        <f t="shared" si="21"/>
        <v/>
      </c>
      <c r="AZ53" s="40" t="str">
        <f t="shared" si="22"/>
        <v/>
      </c>
      <c r="BA53" s="36"/>
      <c r="BB53" s="41" t="str">
        <f t="shared" si="23"/>
        <v/>
      </c>
    </row>
    <row r="54" spans="1:54" ht="21.75" customHeight="1" x14ac:dyDescent="0.35">
      <c r="A54" s="27" t="str">
        <f>IF(B54&lt;&gt;"",COUNTA($B$6:B54),"")</f>
        <v/>
      </c>
      <c r="B54" s="28"/>
      <c r="C54" s="16"/>
      <c r="D54" s="17"/>
      <c r="E54" s="29" t="str">
        <f>IF(B54="","",IF(COUNTA($B$6:$B$69)&lt;=(E5-D5+1),(D5+MOD(A54-1,(E5-D5+1))),(D5+MOD(A54-1,(E5-D5+1)))&amp;CHAR(65+FLOOR((A54-1)/(E5-D5+1),1))))</f>
        <v/>
      </c>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1" t="str">
        <f t="shared" si="12"/>
        <v/>
      </c>
      <c r="AQ54" s="31" t="str">
        <f t="shared" si="13"/>
        <v/>
      </c>
      <c r="AR54" s="31" t="str">
        <f t="shared" si="14"/>
        <v/>
      </c>
      <c r="AS54" s="31" t="str">
        <f t="shared" si="15"/>
        <v/>
      </c>
      <c r="AT54" s="31" t="str">
        <f t="shared" si="16"/>
        <v/>
      </c>
      <c r="AU54" s="31" t="str">
        <f t="shared" si="17"/>
        <v/>
      </c>
      <c r="AV54" s="32" t="str">
        <f t="shared" si="18"/>
        <v/>
      </c>
      <c r="AW54" s="33" t="str">
        <f t="shared" si="19"/>
        <v/>
      </c>
      <c r="AX54" s="34" t="str">
        <f t="shared" si="20"/>
        <v/>
      </c>
      <c r="AY54" s="34" t="str">
        <f t="shared" si="21"/>
        <v/>
      </c>
      <c r="AZ54" s="35" t="str">
        <f t="shared" si="22"/>
        <v/>
      </c>
      <c r="BA54" s="36"/>
      <c r="BB54" s="37" t="str">
        <f t="shared" si="23"/>
        <v/>
      </c>
    </row>
    <row r="55" spans="1:54" ht="21.75" customHeight="1" x14ac:dyDescent="0.35">
      <c r="A55" s="38" t="str">
        <f>IF(B55&lt;&gt;"",COUNTA($B$6:B55),"")</f>
        <v/>
      </c>
      <c r="B55" s="39"/>
      <c r="C55" s="18"/>
      <c r="D55" s="19"/>
      <c r="E55" s="29" t="str">
        <f>IF(B55="","",IF(COUNTA($B$6:$B$69)&lt;=(E5-D5+1),(D5+MOD(A55-1,(E5-D5+1))),(D5+MOD(A55-1,(E5-D5+1)))&amp;CHAR(65+FLOOR((A55-1)/(E5-D5+1),1))))</f>
        <v/>
      </c>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1" t="str">
        <f t="shared" si="12"/>
        <v/>
      </c>
      <c r="AQ55" s="31" t="str">
        <f t="shared" si="13"/>
        <v/>
      </c>
      <c r="AR55" s="31" t="str">
        <f t="shared" si="14"/>
        <v/>
      </c>
      <c r="AS55" s="31" t="str">
        <f t="shared" si="15"/>
        <v/>
      </c>
      <c r="AT55" s="31" t="str">
        <f t="shared" si="16"/>
        <v/>
      </c>
      <c r="AU55" s="31" t="str">
        <f t="shared" si="17"/>
        <v/>
      </c>
      <c r="AV55" s="32" t="str">
        <f t="shared" si="18"/>
        <v/>
      </c>
      <c r="AW55" s="33" t="str">
        <f t="shared" si="19"/>
        <v/>
      </c>
      <c r="AX55" s="34" t="str">
        <f t="shared" si="20"/>
        <v/>
      </c>
      <c r="AY55" s="34" t="str">
        <f t="shared" si="21"/>
        <v/>
      </c>
      <c r="AZ55" s="40" t="str">
        <f t="shared" si="22"/>
        <v/>
      </c>
      <c r="BA55" s="36"/>
      <c r="BB55" s="41" t="str">
        <f t="shared" si="23"/>
        <v/>
      </c>
    </row>
    <row r="56" spans="1:54" ht="21.75" customHeight="1" x14ac:dyDescent="0.35">
      <c r="A56" s="27" t="str">
        <f>IF(B56&lt;&gt;"",COUNTA($B$6:B56),"")</f>
        <v/>
      </c>
      <c r="B56" s="28"/>
      <c r="C56" s="16"/>
      <c r="D56" s="17"/>
      <c r="E56" s="29" t="str">
        <f>IF(B56="","",IF(COUNTA($B$6:$B$69)&lt;=(E5-D5+1),(D5+MOD(A56-1,(E5-D5+1))),(D5+MOD(A56-1,(E5-D5+1)))&amp;CHAR(65+FLOOR((A56-1)/(E5-D5+1),1))))</f>
        <v/>
      </c>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1" t="str">
        <f t="shared" si="12"/>
        <v/>
      </c>
      <c r="AQ56" s="31" t="str">
        <f t="shared" si="13"/>
        <v/>
      </c>
      <c r="AR56" s="31" t="str">
        <f t="shared" si="14"/>
        <v/>
      </c>
      <c r="AS56" s="31" t="str">
        <f t="shared" si="15"/>
        <v/>
      </c>
      <c r="AT56" s="31" t="str">
        <f t="shared" si="16"/>
        <v/>
      </c>
      <c r="AU56" s="31" t="str">
        <f t="shared" si="17"/>
        <v/>
      </c>
      <c r="AV56" s="32" t="str">
        <f t="shared" si="18"/>
        <v/>
      </c>
      <c r="AW56" s="33" t="str">
        <f t="shared" si="19"/>
        <v/>
      </c>
      <c r="AX56" s="34" t="str">
        <f t="shared" si="20"/>
        <v/>
      </c>
      <c r="AY56" s="34" t="str">
        <f t="shared" si="21"/>
        <v/>
      </c>
      <c r="AZ56" s="35" t="str">
        <f t="shared" si="22"/>
        <v/>
      </c>
      <c r="BA56" s="36"/>
      <c r="BB56" s="37" t="str">
        <f t="shared" si="23"/>
        <v/>
      </c>
    </row>
    <row r="57" spans="1:54" ht="21.75" customHeight="1" x14ac:dyDescent="0.35">
      <c r="A57" s="38" t="str">
        <f>IF(B57&lt;&gt;"",COUNTA($B$6:B57),"")</f>
        <v/>
      </c>
      <c r="B57" s="39"/>
      <c r="C57" s="18"/>
      <c r="D57" s="19"/>
      <c r="E57" s="29" t="str">
        <f>IF(B57="","",IF(COUNTA($B$6:$B$69)&lt;=(E5-D5+1),(D5+MOD(A57-1,(E5-D5+1))),(D5+MOD(A57-1,(E5-D5+1)))&amp;CHAR(65+FLOOR((A57-1)/(E5-D5+1),1))))</f>
        <v/>
      </c>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1" t="str">
        <f t="shared" si="12"/>
        <v/>
      </c>
      <c r="AQ57" s="31" t="str">
        <f t="shared" si="13"/>
        <v/>
      </c>
      <c r="AR57" s="31" t="str">
        <f t="shared" si="14"/>
        <v/>
      </c>
      <c r="AS57" s="31" t="str">
        <f t="shared" si="15"/>
        <v/>
      </c>
      <c r="AT57" s="31" t="str">
        <f t="shared" si="16"/>
        <v/>
      </c>
      <c r="AU57" s="31" t="str">
        <f t="shared" si="17"/>
        <v/>
      </c>
      <c r="AV57" s="32" t="str">
        <f t="shared" si="18"/>
        <v/>
      </c>
      <c r="AW57" s="33" t="str">
        <f t="shared" si="19"/>
        <v/>
      </c>
      <c r="AX57" s="34" t="str">
        <f t="shared" si="20"/>
        <v/>
      </c>
      <c r="AY57" s="34" t="str">
        <f t="shared" si="21"/>
        <v/>
      </c>
      <c r="AZ57" s="40" t="str">
        <f t="shared" si="22"/>
        <v/>
      </c>
      <c r="BA57" s="36"/>
      <c r="BB57" s="41" t="str">
        <f t="shared" si="23"/>
        <v/>
      </c>
    </row>
    <row r="58" spans="1:54" ht="21.75" customHeight="1" x14ac:dyDescent="0.35">
      <c r="A58" s="27" t="str">
        <f>IF(B58&lt;&gt;"",COUNTA($B$6:B58),"")</f>
        <v/>
      </c>
      <c r="B58" s="28"/>
      <c r="C58" s="16"/>
      <c r="D58" s="17"/>
      <c r="E58" s="29" t="str">
        <f>IF(B58="","",IF(COUNTA($B$6:$B$69)&lt;=(E5-D5+1),(D5+MOD(A58-1,(E5-D5+1))),(D5+MOD(A58-1,(E5-D5+1)))&amp;CHAR(65+FLOOR((A58-1)/(E5-D5+1),1))))</f>
        <v/>
      </c>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1" t="str">
        <f t="shared" si="12"/>
        <v/>
      </c>
      <c r="AQ58" s="31" t="str">
        <f t="shared" si="13"/>
        <v/>
      </c>
      <c r="AR58" s="31" t="str">
        <f t="shared" si="14"/>
        <v/>
      </c>
      <c r="AS58" s="31" t="str">
        <f t="shared" si="15"/>
        <v/>
      </c>
      <c r="AT58" s="31" t="str">
        <f t="shared" si="16"/>
        <v/>
      </c>
      <c r="AU58" s="31" t="str">
        <f t="shared" si="17"/>
        <v/>
      </c>
      <c r="AV58" s="32" t="str">
        <f t="shared" si="18"/>
        <v/>
      </c>
      <c r="AW58" s="33" t="str">
        <f t="shared" si="19"/>
        <v/>
      </c>
      <c r="AX58" s="34" t="str">
        <f t="shared" si="20"/>
        <v/>
      </c>
      <c r="AY58" s="34" t="str">
        <f t="shared" si="21"/>
        <v/>
      </c>
      <c r="AZ58" s="35" t="str">
        <f t="shared" si="22"/>
        <v/>
      </c>
      <c r="BA58" s="36"/>
      <c r="BB58" s="37" t="str">
        <f t="shared" si="23"/>
        <v/>
      </c>
    </row>
    <row r="59" spans="1:54" ht="21.75" customHeight="1" x14ac:dyDescent="0.35">
      <c r="A59" s="38" t="str">
        <f>IF(B59&lt;&gt;"",COUNTA($B$6:B59),"")</f>
        <v/>
      </c>
      <c r="B59" s="39"/>
      <c r="C59" s="18"/>
      <c r="D59" s="19"/>
      <c r="E59" s="29" t="str">
        <f>IF(B59="","",IF(COUNTA($B$6:$B$69)&lt;=(E5-D5+1),(D5+MOD(A59-1,(E5-D5+1))),(D5+MOD(A59-1,(E5-D5+1)))&amp;CHAR(65+FLOOR((A59-1)/(E5-D5+1),1))))</f>
        <v/>
      </c>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1" t="str">
        <f t="shared" si="12"/>
        <v/>
      </c>
      <c r="AQ59" s="31" t="str">
        <f t="shared" si="13"/>
        <v/>
      </c>
      <c r="AR59" s="31" t="str">
        <f t="shared" si="14"/>
        <v/>
      </c>
      <c r="AS59" s="31" t="str">
        <f t="shared" si="15"/>
        <v/>
      </c>
      <c r="AT59" s="31" t="str">
        <f t="shared" si="16"/>
        <v/>
      </c>
      <c r="AU59" s="31" t="str">
        <f t="shared" si="17"/>
        <v/>
      </c>
      <c r="AV59" s="32" t="str">
        <f t="shared" si="18"/>
        <v/>
      </c>
      <c r="AW59" s="33" t="str">
        <f t="shared" si="19"/>
        <v/>
      </c>
      <c r="AX59" s="34" t="str">
        <f t="shared" si="20"/>
        <v/>
      </c>
      <c r="AY59" s="34" t="str">
        <f t="shared" si="21"/>
        <v/>
      </c>
      <c r="AZ59" s="40" t="str">
        <f t="shared" si="22"/>
        <v/>
      </c>
      <c r="BA59" s="36"/>
      <c r="BB59" s="41" t="str">
        <f t="shared" si="23"/>
        <v/>
      </c>
    </row>
    <row r="60" spans="1:54" ht="21.75" customHeight="1" x14ac:dyDescent="0.35">
      <c r="A60" s="27" t="str">
        <f>IF(B60&lt;&gt;"",COUNTA($B$6:B60),"")</f>
        <v/>
      </c>
      <c r="B60" s="28"/>
      <c r="C60" s="16"/>
      <c r="D60" s="17"/>
      <c r="E60" s="29" t="str">
        <f>IF(B60="","",IF(COUNTA($B$6:$B$69)&lt;=(E5-D5+1),(D5+MOD(A60-1,(E5-D5+1))),(D5+MOD(A60-1,(E5-D5+1)))&amp;CHAR(65+FLOOR((A60-1)/(E5-D5+1),1))))</f>
        <v/>
      </c>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1" t="str">
        <f t="shared" si="12"/>
        <v/>
      </c>
      <c r="AQ60" s="31" t="str">
        <f t="shared" si="13"/>
        <v/>
      </c>
      <c r="AR60" s="31" t="str">
        <f t="shared" si="14"/>
        <v/>
      </c>
      <c r="AS60" s="31" t="str">
        <f t="shared" si="15"/>
        <v/>
      </c>
      <c r="AT60" s="31" t="str">
        <f t="shared" si="16"/>
        <v/>
      </c>
      <c r="AU60" s="31" t="str">
        <f t="shared" si="17"/>
        <v/>
      </c>
      <c r="AV60" s="32" t="str">
        <f t="shared" si="18"/>
        <v/>
      </c>
      <c r="AW60" s="33" t="str">
        <f t="shared" si="19"/>
        <v/>
      </c>
      <c r="AX60" s="34" t="str">
        <f t="shared" si="20"/>
        <v/>
      </c>
      <c r="AY60" s="34" t="str">
        <f t="shared" si="21"/>
        <v/>
      </c>
      <c r="AZ60" s="35" t="str">
        <f t="shared" si="22"/>
        <v/>
      </c>
      <c r="BA60" s="36"/>
      <c r="BB60" s="37" t="str">
        <f t="shared" si="23"/>
        <v/>
      </c>
    </row>
    <row r="61" spans="1:54" ht="21.75" customHeight="1" x14ac:dyDescent="0.35">
      <c r="A61" s="38" t="str">
        <f>IF(B61&lt;&gt;"",COUNTA($B$6:B61),"")</f>
        <v/>
      </c>
      <c r="B61" s="39"/>
      <c r="C61" s="18"/>
      <c r="D61" s="19"/>
      <c r="E61" s="29" t="str">
        <f>IF(B61="","",IF(COUNTA($B$6:$B$69)&lt;=(E5-D5+1),(D5+MOD(A61-1,(E5-D5+1))),(D5+MOD(A61-1,(E5-D5+1)))&amp;CHAR(65+FLOOR((A61-1)/(E5-D5+1),1))))</f>
        <v/>
      </c>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1" t="str">
        <f t="shared" si="12"/>
        <v/>
      </c>
      <c r="AQ61" s="31" t="str">
        <f t="shared" si="13"/>
        <v/>
      </c>
      <c r="AR61" s="31" t="str">
        <f t="shared" si="14"/>
        <v/>
      </c>
      <c r="AS61" s="31" t="str">
        <f t="shared" si="15"/>
        <v/>
      </c>
      <c r="AT61" s="31" t="str">
        <f t="shared" si="16"/>
        <v/>
      </c>
      <c r="AU61" s="31" t="str">
        <f t="shared" si="17"/>
        <v/>
      </c>
      <c r="AV61" s="32" t="str">
        <f t="shared" si="18"/>
        <v/>
      </c>
      <c r="AW61" s="33" t="str">
        <f t="shared" si="19"/>
        <v/>
      </c>
      <c r="AX61" s="34" t="str">
        <f t="shared" si="20"/>
        <v/>
      </c>
      <c r="AY61" s="34" t="str">
        <f t="shared" si="21"/>
        <v/>
      </c>
      <c r="AZ61" s="40" t="str">
        <f t="shared" si="22"/>
        <v/>
      </c>
      <c r="BA61" s="36"/>
      <c r="BB61" s="41" t="str">
        <f t="shared" si="23"/>
        <v/>
      </c>
    </row>
    <row r="62" spans="1:54" ht="21.75" customHeight="1" x14ac:dyDescent="0.35">
      <c r="A62" s="27" t="str">
        <f>IF(B62&lt;&gt;"",COUNTA($B$6:B62),"")</f>
        <v/>
      </c>
      <c r="B62" s="28"/>
      <c r="C62" s="16"/>
      <c r="D62" s="17"/>
      <c r="E62" s="29" t="str">
        <f>IF(B62="","",IF(COUNTA($B$6:$B$69)&lt;=(E5-D5+1),(D5+MOD(A62-1,(E5-D5+1))),(D5+MOD(A62-1,(E5-D5+1)))&amp;CHAR(65+FLOOR((A62-1)/(E5-D5+1),1))))</f>
        <v/>
      </c>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1" t="str">
        <f t="shared" si="12"/>
        <v/>
      </c>
      <c r="AQ62" s="31" t="str">
        <f t="shared" si="13"/>
        <v/>
      </c>
      <c r="AR62" s="31" t="str">
        <f t="shared" si="14"/>
        <v/>
      </c>
      <c r="AS62" s="31" t="str">
        <f t="shared" si="15"/>
        <v/>
      </c>
      <c r="AT62" s="31" t="str">
        <f t="shared" si="16"/>
        <v/>
      </c>
      <c r="AU62" s="31" t="str">
        <f t="shared" si="17"/>
        <v/>
      </c>
      <c r="AV62" s="32" t="str">
        <f t="shared" si="18"/>
        <v/>
      </c>
      <c r="AW62" s="33" t="str">
        <f t="shared" si="19"/>
        <v/>
      </c>
      <c r="AX62" s="34" t="str">
        <f t="shared" si="20"/>
        <v/>
      </c>
      <c r="AY62" s="34" t="str">
        <f t="shared" si="21"/>
        <v/>
      </c>
      <c r="AZ62" s="35" t="str">
        <f t="shared" si="22"/>
        <v/>
      </c>
      <c r="BA62" s="36"/>
      <c r="BB62" s="37" t="str">
        <f t="shared" si="23"/>
        <v/>
      </c>
    </row>
    <row r="63" spans="1:54" ht="21.75" customHeight="1" x14ac:dyDescent="0.35">
      <c r="A63" s="38" t="str">
        <f>IF(B63&lt;&gt;"",COUNTA($B$6:B63),"")</f>
        <v/>
      </c>
      <c r="B63" s="39"/>
      <c r="C63" s="18"/>
      <c r="D63" s="19"/>
      <c r="E63" s="29" t="str">
        <f>IF(B63="","",IF(COUNTA($B$6:$B$69)&lt;=(E5-D5+1),(D5+MOD(A63-1,(E5-D5+1))),(D5+MOD(A63-1,(E5-D5+1)))&amp;CHAR(65+FLOOR((A63-1)/(E5-D5+1),1))))</f>
        <v/>
      </c>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1" t="str">
        <f t="shared" si="12"/>
        <v/>
      </c>
      <c r="AQ63" s="31" t="str">
        <f t="shared" si="13"/>
        <v/>
      </c>
      <c r="AR63" s="31" t="str">
        <f t="shared" si="14"/>
        <v/>
      </c>
      <c r="AS63" s="31" t="str">
        <f t="shared" si="15"/>
        <v/>
      </c>
      <c r="AT63" s="31" t="str">
        <f t="shared" si="16"/>
        <v/>
      </c>
      <c r="AU63" s="31" t="str">
        <f t="shared" si="17"/>
        <v/>
      </c>
      <c r="AV63" s="32" t="str">
        <f t="shared" si="18"/>
        <v/>
      </c>
      <c r="AW63" s="33" t="str">
        <f t="shared" si="19"/>
        <v/>
      </c>
      <c r="AX63" s="34" t="str">
        <f t="shared" si="20"/>
        <v/>
      </c>
      <c r="AY63" s="34" t="str">
        <f t="shared" si="21"/>
        <v/>
      </c>
      <c r="AZ63" s="40" t="str">
        <f t="shared" si="22"/>
        <v/>
      </c>
      <c r="BA63" s="36"/>
      <c r="BB63" s="41" t="str">
        <f t="shared" si="23"/>
        <v/>
      </c>
    </row>
    <row r="64" spans="1:54" ht="21.75" customHeight="1" x14ac:dyDescent="0.35">
      <c r="A64" s="27" t="str">
        <f>IF(B64&lt;&gt;"",COUNTA($B$6:B64),"")</f>
        <v/>
      </c>
      <c r="B64" s="28"/>
      <c r="C64" s="16"/>
      <c r="D64" s="17"/>
      <c r="E64" s="29" t="str">
        <f>IF(B64="","",IF(COUNTA($B$6:$B$69)&lt;=(E5-D5+1),(D5+MOD(A64-1,(E5-D5+1))),(D5+MOD(A64-1,(E5-D5+1)))&amp;CHAR(65+FLOOR((A64-1)/(E5-D5+1),1))))</f>
        <v/>
      </c>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1" t="str">
        <f t="shared" si="12"/>
        <v/>
      </c>
      <c r="AQ64" s="31" t="str">
        <f t="shared" si="13"/>
        <v/>
      </c>
      <c r="AR64" s="31" t="str">
        <f t="shared" si="14"/>
        <v/>
      </c>
      <c r="AS64" s="31" t="str">
        <f t="shared" si="15"/>
        <v/>
      </c>
      <c r="AT64" s="31" t="str">
        <f t="shared" si="16"/>
        <v/>
      </c>
      <c r="AU64" s="31" t="str">
        <f t="shared" si="17"/>
        <v/>
      </c>
      <c r="AV64" s="32" t="str">
        <f t="shared" si="18"/>
        <v/>
      </c>
      <c r="AW64" s="33" t="str">
        <f t="shared" si="19"/>
        <v/>
      </c>
      <c r="AX64" s="34" t="str">
        <f t="shared" si="20"/>
        <v/>
      </c>
      <c r="AY64" s="34" t="str">
        <f t="shared" si="21"/>
        <v/>
      </c>
      <c r="AZ64" s="35" t="str">
        <f t="shared" si="22"/>
        <v/>
      </c>
      <c r="BA64" s="36"/>
      <c r="BB64" s="37" t="str">
        <f t="shared" si="23"/>
        <v/>
      </c>
    </row>
    <row r="65" spans="1:55" ht="21.75" customHeight="1" x14ac:dyDescent="0.35">
      <c r="A65" s="38" t="str">
        <f>IF(B65&lt;&gt;"",COUNTA($B$6:B65),"")</f>
        <v/>
      </c>
      <c r="B65" s="39"/>
      <c r="C65" s="18"/>
      <c r="D65" s="19"/>
      <c r="E65" s="29" t="str">
        <f>IF(B65="","",IF(COUNTA($B$6:$B$69)&lt;=(E5-D5+1),(D5+MOD(A65-1,(E5-D5+1))),(D5+MOD(A65-1,(E5-D5+1)))&amp;CHAR(65+FLOOR((A65-1)/(E5-D5+1),1))))</f>
        <v/>
      </c>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1" t="str">
        <f t="shared" si="12"/>
        <v/>
      </c>
      <c r="AQ65" s="31" t="str">
        <f t="shared" si="13"/>
        <v/>
      </c>
      <c r="AR65" s="31" t="str">
        <f t="shared" si="14"/>
        <v/>
      </c>
      <c r="AS65" s="31" t="str">
        <f t="shared" si="15"/>
        <v/>
      </c>
      <c r="AT65" s="31" t="str">
        <f t="shared" si="16"/>
        <v/>
      </c>
      <c r="AU65" s="31" t="str">
        <f t="shared" si="17"/>
        <v/>
      </c>
      <c r="AV65" s="32" t="str">
        <f t="shared" si="18"/>
        <v/>
      </c>
      <c r="AW65" s="33" t="str">
        <f t="shared" si="19"/>
        <v/>
      </c>
      <c r="AX65" s="34" t="str">
        <f t="shared" si="20"/>
        <v/>
      </c>
      <c r="AY65" s="34" t="str">
        <f t="shared" si="21"/>
        <v/>
      </c>
      <c r="AZ65" s="40" t="str">
        <f t="shared" si="22"/>
        <v/>
      </c>
      <c r="BA65" s="36"/>
      <c r="BB65" s="41" t="str">
        <f t="shared" si="23"/>
        <v/>
      </c>
    </row>
    <row r="66" spans="1:55" ht="21.75" customHeight="1" x14ac:dyDescent="0.35">
      <c r="A66" s="27" t="str">
        <f>IF(B66&lt;&gt;"",COUNTA($B$6:B66),"")</f>
        <v/>
      </c>
      <c r="B66" s="28"/>
      <c r="C66" s="16"/>
      <c r="D66" s="17"/>
      <c r="E66" s="29" t="str">
        <f>IF(B66="","",IF(COUNTA($B$6:$B$69)&lt;=(E5-D5+1),(D5+MOD(A66-1,(E5-D5+1))),(D5+MOD(A66-1,(E5-D5+1)))&amp;CHAR(65+FLOOR((A66-1)/(E5-D5+1),1))))</f>
        <v/>
      </c>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1" t="str">
        <f t="shared" si="12"/>
        <v/>
      </c>
      <c r="AQ66" s="31" t="str">
        <f t="shared" si="13"/>
        <v/>
      </c>
      <c r="AR66" s="31" t="str">
        <f t="shared" si="14"/>
        <v/>
      </c>
      <c r="AS66" s="31" t="str">
        <f t="shared" si="15"/>
        <v/>
      </c>
      <c r="AT66" s="31" t="str">
        <f t="shared" si="16"/>
        <v/>
      </c>
      <c r="AU66" s="31" t="str">
        <f t="shared" si="17"/>
        <v/>
      </c>
      <c r="AV66" s="32" t="str">
        <f t="shared" si="18"/>
        <v/>
      </c>
      <c r="AW66" s="33" t="str">
        <f t="shared" si="19"/>
        <v/>
      </c>
      <c r="AX66" s="34" t="str">
        <f t="shared" si="20"/>
        <v/>
      </c>
      <c r="AY66" s="34" t="str">
        <f t="shared" si="21"/>
        <v/>
      </c>
      <c r="AZ66" s="35" t="str">
        <f t="shared" si="22"/>
        <v/>
      </c>
      <c r="BA66" s="36"/>
      <c r="BB66" s="37" t="str">
        <f t="shared" si="23"/>
        <v/>
      </c>
    </row>
    <row r="67" spans="1:55" ht="21.75" customHeight="1" x14ac:dyDescent="0.35">
      <c r="A67" s="38" t="str">
        <f>IF(B67&lt;&gt;"",COUNTA($B$6:B67),"")</f>
        <v/>
      </c>
      <c r="B67" s="39"/>
      <c r="C67" s="18"/>
      <c r="D67" s="19"/>
      <c r="E67" s="29" t="str">
        <f>IF(B67="","",IF(COUNTA($B$6:$B$69)&lt;=(E5-D5+1),(D5+MOD(A67-1,(E5-D5+1))),(D5+MOD(A67-1,(E5-D5+1)))&amp;CHAR(65+FLOOR((A67-1)/(E5-D5+1),1))))</f>
        <v/>
      </c>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1" t="str">
        <f t="shared" si="12"/>
        <v/>
      </c>
      <c r="AQ67" s="31" t="str">
        <f t="shared" si="13"/>
        <v/>
      </c>
      <c r="AR67" s="31" t="str">
        <f t="shared" si="14"/>
        <v/>
      </c>
      <c r="AS67" s="31" t="str">
        <f t="shared" si="15"/>
        <v/>
      </c>
      <c r="AT67" s="31" t="str">
        <f t="shared" si="16"/>
        <v/>
      </c>
      <c r="AU67" s="31" t="str">
        <f t="shared" si="17"/>
        <v/>
      </c>
      <c r="AV67" s="32" t="str">
        <f t="shared" si="18"/>
        <v/>
      </c>
      <c r="AW67" s="33" t="str">
        <f t="shared" si="19"/>
        <v/>
      </c>
      <c r="AX67" s="34" t="str">
        <f t="shared" si="20"/>
        <v/>
      </c>
      <c r="AY67" s="34" t="str">
        <f t="shared" si="21"/>
        <v/>
      </c>
      <c r="AZ67" s="40" t="str">
        <f t="shared" si="22"/>
        <v/>
      </c>
      <c r="BA67" s="36"/>
      <c r="BB67" s="41" t="str">
        <f t="shared" si="23"/>
        <v/>
      </c>
    </row>
    <row r="68" spans="1:55" ht="21.75" customHeight="1" x14ac:dyDescent="0.35">
      <c r="A68" s="27" t="str">
        <f>IF(B68&lt;&gt;"",COUNTA($B$6:B68),"")</f>
        <v/>
      </c>
      <c r="B68" s="28"/>
      <c r="C68" s="16"/>
      <c r="D68" s="17"/>
      <c r="E68" s="29" t="str">
        <f>IF(B68="","",IF(COUNTA($B$6:$B$69)&lt;=(E5-D5+1),(D5+MOD(A68-1,(E5-D5+1))),(D5+MOD(A68-1,(E5-D5+1)))&amp;CHAR(65+FLOOR((A68-1)/(E5-D5+1),1))))</f>
        <v/>
      </c>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1" t="str">
        <f t="shared" si="12"/>
        <v/>
      </c>
      <c r="AQ68" s="31" t="str">
        <f t="shared" si="13"/>
        <v/>
      </c>
      <c r="AR68" s="31" t="str">
        <f t="shared" si="14"/>
        <v/>
      </c>
      <c r="AS68" s="31" t="str">
        <f t="shared" si="15"/>
        <v/>
      </c>
      <c r="AT68" s="31" t="str">
        <f t="shared" si="16"/>
        <v/>
      </c>
      <c r="AU68" s="31" t="str">
        <f t="shared" si="17"/>
        <v/>
      </c>
      <c r="AV68" s="32" t="str">
        <f t="shared" si="18"/>
        <v/>
      </c>
      <c r="AW68" s="33" t="str">
        <f t="shared" si="19"/>
        <v/>
      </c>
      <c r="AX68" s="34" t="str">
        <f t="shared" si="20"/>
        <v/>
      </c>
      <c r="AY68" s="34" t="str">
        <f t="shared" si="21"/>
        <v/>
      </c>
      <c r="AZ68" s="35" t="str">
        <f t="shared" si="22"/>
        <v/>
      </c>
      <c r="BA68" s="36"/>
      <c r="BB68" s="37" t="str">
        <f t="shared" si="23"/>
        <v/>
      </c>
    </row>
    <row r="69" spans="1:55" ht="21.75" customHeight="1" x14ac:dyDescent="0.35">
      <c r="A69" s="38" t="str">
        <f>IF(B69&lt;&gt;"",COUNTA($B$6:B69),"")</f>
        <v/>
      </c>
      <c r="B69" s="39"/>
      <c r="C69" s="18"/>
      <c r="D69" s="19"/>
      <c r="E69" s="29" t="str">
        <f>IF(B69="","",IF(COUNTA($B$6:$B$69)&lt;=(E5-D5+1),(D5+MOD(A69-1,(E5-D5+1))),(D5+MOD(A69-1,(E5-D5+1)))&amp;CHAR(65+FLOOR((A69-1)/(E5-D5+1),1))))</f>
        <v/>
      </c>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1" t="str">
        <f t="shared" si="12"/>
        <v/>
      </c>
      <c r="AQ69" s="31" t="str">
        <f t="shared" si="13"/>
        <v/>
      </c>
      <c r="AR69" s="31" t="str">
        <f t="shared" si="14"/>
        <v/>
      </c>
      <c r="AS69" s="31" t="str">
        <f t="shared" si="15"/>
        <v/>
      </c>
      <c r="AT69" s="31" t="str">
        <f t="shared" si="16"/>
        <v/>
      </c>
      <c r="AU69" s="31" t="str">
        <f t="shared" si="17"/>
        <v/>
      </c>
      <c r="AV69" s="32" t="str">
        <f t="shared" si="18"/>
        <v/>
      </c>
      <c r="AW69" s="33" t="str">
        <f t="shared" si="19"/>
        <v/>
      </c>
      <c r="AX69" s="34" t="str">
        <f t="shared" si="20"/>
        <v/>
      </c>
      <c r="AY69" s="34" t="str">
        <f t="shared" si="21"/>
        <v/>
      </c>
      <c r="AZ69" s="40" t="str">
        <f t="shared" si="22"/>
        <v/>
      </c>
      <c r="BA69" s="36"/>
      <c r="BB69" s="41" t="str">
        <f t="shared" si="23"/>
        <v/>
      </c>
    </row>
    <row r="71" spans="1:55" ht="15" customHeight="1" x14ac:dyDescent="0.35">
      <c r="A71" s="5" t="s">
        <v>132</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row>
  </sheetData>
  <mergeCells count="13">
    <mergeCell ref="A5:C5"/>
    <mergeCell ref="A71:BC71"/>
    <mergeCell ref="A1:BC1"/>
    <mergeCell ref="A2:BC2"/>
    <mergeCell ref="A3:BC3"/>
    <mergeCell ref="F4:K4"/>
    <mergeCell ref="L4:Q4"/>
    <mergeCell ref="R4:W4"/>
    <mergeCell ref="X4:AC4"/>
    <mergeCell ref="AD4:AI4"/>
    <mergeCell ref="AJ4:AO4"/>
    <mergeCell ref="AP4:AU4"/>
    <mergeCell ref="AV4:BB4"/>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9A825"/>
  </sheetPr>
  <dimension ref="A1:N39"/>
  <sheetViews>
    <sheetView zoomScaleNormal="100" workbookViewId="0">
      <pane ySplit="4" topLeftCell="A5" activePane="bottomLeft" state="frozen"/>
      <selection pane="bottomLeft"/>
    </sheetView>
  </sheetViews>
  <sheetFormatPr defaultColWidth="8.6328125" defaultRowHeight="14.5" x14ac:dyDescent="0.35"/>
  <cols>
    <col min="1" max="1" width="6" customWidth="1"/>
    <col min="2" max="2" width="30" customWidth="1"/>
    <col min="3" max="3" width="20" customWidth="1"/>
    <col min="4" max="6" width="28" customWidth="1"/>
    <col min="7" max="9" width="9" customWidth="1"/>
    <col min="10" max="10" width="11" customWidth="1"/>
    <col min="11" max="12" width="9" customWidth="1"/>
    <col min="13" max="13" width="8" customWidth="1"/>
    <col min="14" max="14" width="16" customWidth="1"/>
  </cols>
  <sheetData>
    <row r="1" spans="1:14" ht="15" customHeight="1" x14ac:dyDescent="0.35">
      <c r="A1" s="11" t="s">
        <v>259</v>
      </c>
      <c r="B1" s="11"/>
      <c r="C1" s="11"/>
      <c r="D1" s="11"/>
      <c r="E1" s="11"/>
      <c r="F1" s="11"/>
      <c r="G1" s="11"/>
      <c r="H1" s="11"/>
      <c r="I1" s="11"/>
      <c r="J1" s="11"/>
      <c r="K1" s="11"/>
      <c r="L1" s="11"/>
      <c r="M1" s="11"/>
      <c r="N1" s="11"/>
    </row>
    <row r="2" spans="1:14" ht="15" customHeight="1" x14ac:dyDescent="0.35">
      <c r="A2" s="10" t="s">
        <v>134</v>
      </c>
      <c r="B2" s="10"/>
      <c r="C2" s="10"/>
      <c r="D2" s="10"/>
      <c r="E2" s="10"/>
      <c r="F2" s="10"/>
      <c r="G2" s="10"/>
      <c r="H2" s="10"/>
      <c r="I2" s="10"/>
      <c r="J2" s="10"/>
      <c r="K2" s="10"/>
      <c r="L2" s="10"/>
      <c r="M2" s="10"/>
      <c r="N2" s="10"/>
    </row>
    <row r="3" spans="1:14" ht="15" customHeight="1" x14ac:dyDescent="0.35">
      <c r="A3" s="8" t="s">
        <v>135</v>
      </c>
      <c r="B3" s="8"/>
      <c r="C3" s="8"/>
      <c r="D3" s="42" t="s">
        <v>136</v>
      </c>
      <c r="E3" s="4" t="s">
        <v>137</v>
      </c>
      <c r="F3" s="4"/>
      <c r="G3" s="4"/>
      <c r="H3" s="4"/>
      <c r="I3" s="4"/>
      <c r="J3" s="4"/>
      <c r="K3" s="4"/>
      <c r="L3" s="4"/>
      <c r="M3" s="4"/>
      <c r="N3" s="4"/>
    </row>
    <row r="4" spans="1:14" ht="15" customHeight="1" x14ac:dyDescent="0.35">
      <c r="A4" s="8" t="s">
        <v>138</v>
      </c>
      <c r="B4" s="8"/>
      <c r="C4" s="8"/>
      <c r="D4" s="42" t="s">
        <v>139</v>
      </c>
      <c r="E4" s="4" t="s">
        <v>140</v>
      </c>
      <c r="F4" s="4"/>
      <c r="G4" s="4"/>
      <c r="H4" s="4"/>
      <c r="I4" s="4"/>
      <c r="J4" s="4"/>
      <c r="K4" s="4"/>
      <c r="L4" s="4"/>
      <c r="M4" s="4"/>
      <c r="N4" s="4"/>
    </row>
    <row r="5" spans="1:14" ht="42" customHeight="1" x14ac:dyDescent="0.35">
      <c r="A5" s="43" t="s">
        <v>141</v>
      </c>
      <c r="B5" s="43" t="s">
        <v>142</v>
      </c>
      <c r="C5" s="23" t="s">
        <v>143</v>
      </c>
      <c r="D5" s="23" t="s">
        <v>144</v>
      </c>
      <c r="E5" s="23" t="s">
        <v>145</v>
      </c>
      <c r="F5" s="23" t="s">
        <v>146</v>
      </c>
      <c r="G5" s="23" t="s">
        <v>147</v>
      </c>
      <c r="H5" s="23" t="s">
        <v>148</v>
      </c>
      <c r="I5" s="23" t="s">
        <v>149</v>
      </c>
      <c r="J5" s="44" t="s">
        <v>150</v>
      </c>
      <c r="K5" s="25" t="s">
        <v>151</v>
      </c>
      <c r="L5" s="26" t="s">
        <v>152</v>
      </c>
      <c r="M5" s="23" t="s">
        <v>153</v>
      </c>
      <c r="N5" s="45" t="s">
        <v>154</v>
      </c>
    </row>
    <row r="6" spans="1:14" ht="21.75" customHeight="1" x14ac:dyDescent="0.35">
      <c r="A6" s="46">
        <f>IF($D$3="Individual",IFERROR(VLOOKUP(D6,'Novice 15M - Scoring'!$B:$BB,53,0),99),IF(J6&lt;&gt;"",SUMPRODUCT((J$6:J$1000&gt;J6)*ISNUMBER(J$6:J$1000))+1+SUMPRODUCT((J$6:J$1000=J6)*(K$6:K$1000&gt;K6)*ISNUMBER(J$6:J$1000)*ISNUMBER(K$6:K$1000))+SUMPRODUCT((J$6:J$1000=J6)*(K$6:K$1000=K6)*(ROW(J$6:J$1000)&lt;6)*ISNUMBER(J$6:J$1000)),""))</f>
        <v>1</v>
      </c>
      <c r="B6" s="20" t="str">
        <f t="shared" ref="B6:B37" si="0">IF($D$3="Individual",D6,IF(N6&lt;&gt;"",N6,IF($D$3="Double",IF(AND(D6&lt;&gt;"",E6&lt;&gt;""),D6&amp;" &amp; "&amp;E6,""),IF(AND(D6&lt;&gt;"",E6&lt;&gt;"",F6&lt;&gt;""),D6&amp;" &amp; "&amp;E6&amp;" &amp; "&amp;F6,""))))</f>
        <v>Michael Allan Corpuz</v>
      </c>
      <c r="C6" s="47" t="str">
        <f>IFERROR(IF(D6&lt;&gt;"",VLOOKUP(D6,'Novice 15M - Scoring'!$B:$D,3,0),""),"")</f>
        <v>Attack Arena AC</v>
      </c>
      <c r="D6" s="48" t="str">
        <f>IF($D$4="By Club",IFERROR(IFERROR(INDEX('Novice 15M - Scoring'!$B:$B,MATCH(_xludf.aggregate(15,6,IF('Novice 15M - Scoring'!$D$2:$D$1000="Attack Arena AC",'Novice 15M - Scoring'!$BB$2:$BB$1000),1),'Novice 15M - Scoring'!$BB:$BB,0)),'Novice 15M - Scoring'!B6),""),IF($D$3="Individual",IF(1&lt;=COUNTA('Novice 15M - Scoring'!$B$6:$B$1000),IFERROR(IF(ISNUMBER(MATCH(1,'Novice 15M - Scoring'!$BB:$BB,0)),IFERROR(INDEX('Novice 15M - Scoring'!$B:$B,MATCH(1,'Novice 15M - Scoring'!$BB:$BB,0)),""),'Novice 15M - Scoring'!B6),""),""),IF($D$3="Double",IF(1&lt;=INT(COUNTA('Novice 15M - Scoring'!$B$6:$B$1000)/2),IFERROR(IF(ISNUMBER(MATCH(1,'Novice 15M - Scoring'!$BB:$BB,0)),IFERROR(INDEX('Novice 15M - Scoring'!$B:$B,MATCH(1,'Novice 15M - Scoring'!$BB:$BB,0)),""),'Novice 15M - Scoring'!B6),""),""),IF(1&lt;=INT(COUNTA('Novice 15M - Scoring'!$B$6:$B$1000)/3),IFERROR(IF(ISNUMBER(MATCH(1,'Novice 15M - Scoring'!$BB:$BB,0)),IFERROR(INDEX('Novice 15M - Scoring'!$B:$B,MATCH(1,'Novice 15M - Scoring'!$BB:$BB,0)),""),'Novice 15M - Scoring'!B6),""),""))))</f>
        <v>Michael Allan Corpuz</v>
      </c>
      <c r="E6" s="49" t="str">
        <f>IF($D$3="Individual","",IF($D$4="By Club",IFERROR("",""),IF($D$3="Double",IF(1&lt;=INT(COUNTA('Novice 15M - Scoring'!$B$6:$B$1000)/2),IFERROR(IF(ISNUMBER(MATCH((COUNTA('Novice 15M - Scoring'!$B$6:$B$1000)-MOD(COUNTA('Novice 15M - Scoring'!$B$6:$B$1000),2))+1-1,'Novice 15M - Scoring'!$BB:$BB,0)),IFERROR(INDEX('Novice 15M - Scoring'!$B:$B,MATCH((COUNTA('Novice 15M - Scoring'!$B$6:$B$1000)-MOD(COUNTA('Novice 15M - Scoring'!$B$6:$B$1000),2))+1-1,'Novice 15M - Scoring'!$BB:$BB,0)),""),'Novice 15M - Scoring'!B7),""),""),IF(1&lt;=INT(COUNTA('Novice 15M - Scoring'!$B$6:$B$1000)/3),IFERROR(IF(ISNUMBER(MATCH((COUNTA('Novice 15M - Scoring'!$B$6:$B$1000)-MOD(COUNTA('Novice 15M - Scoring'!$B$6:$B$1000),3))+1-1,'Novice 15M - Scoring'!$BB:$BB,0)),IFERROR(INDEX('Novice 15M - Scoring'!$B:$B,MATCH((COUNTA('Novice 15M - Scoring'!$B$6:$B$1000)-MOD(COUNTA('Novice 15M - Scoring'!$B$6:$B$1000),3))+1-1,'Novice 15M - Scoring'!$BB:$BB,0)),""),'Novice 15M - Scoring'!B8),""),""))))</f>
        <v/>
      </c>
      <c r="F6" s="49" t="str">
        <f>IF($D$3&lt;&gt;"Team (3 archers)","",IF($D$4="By Club",IFERROR("",""),IF(1&lt;=INT(COUNTA('Novice 15M - Scoring'!$B$6:$B$1000)/3),IFERROR(IF(ISNUMBER(MATCH(INT((COUNTA('Novice 15M - Scoring'!$B$6:$B$1000)-MOD(COUNTA('Novice 15M - Scoring'!$B$6:$B$1000),3))/3)+1,'Novice 15M - Scoring'!$BB:$BB,0)),IFERROR(INDEX('Novice 15M - Scoring'!$B:$B,MATCH(INT((COUNTA('Novice 15M - Scoring'!$B$6:$B$1000)-MOD(COUNTA('Novice 15M - Scoring'!$B$6:$B$1000),3))/3)+1,'Novice 15M - Scoring'!$BB:$BB,0)),""),'Novice 15M - Scoring'!B7),""),"")))</f>
        <v/>
      </c>
      <c r="G6" s="50">
        <f>IFERROR(IF(D6&lt;&gt;"",VLOOKUP(D6,'Novice 15M - Scoring'!$B:$AV,47,0),0),0)</f>
        <v>0</v>
      </c>
      <c r="H6" s="50">
        <f>IFERROR(IF(AND(OR($D$3="Double",$D$3="Team (3 archers)"),E6&lt;&gt;""),VLOOKUP(E6,'Novice 15M - Scoring'!$B:$AV,47,0),0),0)</f>
        <v>0</v>
      </c>
      <c r="I6" s="50">
        <f>IFERROR(IF(AND($D$3="Team (3 archers)",F6&lt;&gt;""),VLOOKUP(F6,'Novice 15M - Scoring'!$B:$AV,47,0),0),0)</f>
        <v>0</v>
      </c>
      <c r="J6" s="51">
        <f t="shared" ref="J6:J37" si="1">IF(D6&lt;&gt;"",G6+H6+I6,"")</f>
        <v>0</v>
      </c>
      <c r="K6" s="52">
        <f>IF(D6&lt;&gt;"",IFERROR(IF(D6&lt;&gt;"",VLOOKUP(D6,'Novice 15M - Scoring'!$B:$BA,52,0),0),0)+IFERROR(IF(AND(OR($D$3="Double",$D$3="Team (3 archers)"),E6&lt;&gt;""),VLOOKUP(E6,'Novice 15M - Scoring'!$B:$BA,52,0),0),0)+IFERROR(IF(AND($D$3="Team (3 archers)",F6&lt;&gt;""),VLOOKUP(F6,'Novice 15M - Scoring'!$B:$BA,52,0),0),0),"")</f>
        <v>0</v>
      </c>
      <c r="L6" s="53" t="s">
        <v>155</v>
      </c>
      <c r="M6" s="54" t="str">
        <f t="shared" ref="M6:M37" si="2">IF(AND($D$4="By Club",D6&lt;&gt;""),C6,"")</f>
        <v/>
      </c>
      <c r="N6" s="55"/>
    </row>
    <row r="7" spans="1:14" ht="21.75" customHeight="1" x14ac:dyDescent="0.35">
      <c r="A7" s="46">
        <f>IF($D$3="Individual",IFERROR(VLOOKUP(D7,'Novice 15M - Scoring'!$B:$BB,53,0),99),IF(J7&lt;&gt;"",SUMPRODUCT((J$6:J$1000&gt;J7)*ISNUMBER(J$6:J$1000))+1+SUMPRODUCT((J$6:J$1000=J7)*(K$6:K$1000&gt;K7)*ISNUMBER(J$6:J$1000)*ISNUMBER(K$6:K$1000))+SUMPRODUCT((J$6:J$1000=J7)*(K$6:K$1000=K7)*(ROW(J$6:J$1000)&lt;7)*ISNUMBER(J$6:J$1000)),""))</f>
        <v>1</v>
      </c>
      <c r="B7" s="20" t="str">
        <f t="shared" si="0"/>
        <v>Valerie Shantalle Buenaventura</v>
      </c>
      <c r="C7" s="47" t="str">
        <f>IFERROR(IF(D7&lt;&gt;"",VLOOKUP(D7,'Novice 15M - Scoring'!$B:$D,3,0),""),"")</f>
        <v>Greenpark Camp</v>
      </c>
      <c r="D7" s="48" t="str">
        <f>IF($D$4="By Club",IFERROR(IFERROR(INDEX('Novice 15M - Scoring'!$B:$B,MATCH(_xludf.aggregate(15,6,IF('Novice 15M - Scoring'!$D$2:$D$1000="Greenpark Camp",'Novice 15M - Scoring'!$BB$2:$BB$1000),1),'Novice 15M - Scoring'!$BB:$BB,0)),'Novice 15M - Scoring'!B7),""),IF($D$3="Individual",IF(2&lt;=COUNTA('Novice 15M - Scoring'!$B$6:$B$1000),IFERROR(IF(ISNUMBER(MATCH(2,'Novice 15M - Scoring'!$BB:$BB,0)),IFERROR(INDEX('Novice 15M - Scoring'!$B:$B,MATCH(2,'Novice 15M - Scoring'!$BB:$BB,0)),""),'Novice 15M - Scoring'!B7),""),""),IF($D$3="Double",IF(2&lt;=INT(COUNTA('Novice 15M - Scoring'!$B$6:$B$1000)/2),IFERROR(IF(ISNUMBER(MATCH(2,'Novice 15M - Scoring'!$BB:$BB,0)),IFERROR(INDEX('Novice 15M - Scoring'!$B:$B,MATCH(2,'Novice 15M - Scoring'!$BB:$BB,0)),""),'Novice 15M - Scoring'!B7),""),""),IF(2&lt;=INT(COUNTA('Novice 15M - Scoring'!$B$6:$B$1000)/3),IFERROR(IF(ISNUMBER(MATCH(2,'Novice 15M - Scoring'!$BB:$BB,0)),IFERROR(INDEX('Novice 15M - Scoring'!$B:$B,MATCH(2,'Novice 15M - Scoring'!$BB:$BB,0)),""),'Novice 15M - Scoring'!B7),""),""))))</f>
        <v>Valerie Shantalle Buenaventura</v>
      </c>
      <c r="E7" s="49" t="str">
        <f>IF($D$3="Individual","",IF($D$4="By Club",IFERROR("",""),IF($D$3="Double",IF(2&lt;=INT(COUNTA('Novice 15M - Scoring'!$B$6:$B$1000)/2),IFERROR(IF(ISNUMBER(MATCH((COUNTA('Novice 15M - Scoring'!$B$6:$B$1000)-MOD(COUNTA('Novice 15M - Scoring'!$B$6:$B$1000),2))+1-2,'Novice 15M - Scoring'!$BB:$BB,0)),IFERROR(INDEX('Novice 15M - Scoring'!$B:$B,MATCH((COUNTA('Novice 15M - Scoring'!$B$6:$B$1000)-MOD(COUNTA('Novice 15M - Scoring'!$B$6:$B$1000),2))+1-2,'Novice 15M - Scoring'!$BB:$BB,0)),""),'Novice 15M - Scoring'!B6),""),""),IF(2&lt;=INT(COUNTA('Novice 15M - Scoring'!$B$6:$B$1000)/3),IFERROR(IF(ISNUMBER(MATCH((COUNTA('Novice 15M - Scoring'!$B$6:$B$1000)-MOD(COUNTA('Novice 15M - Scoring'!$B$6:$B$1000),3))+1-2,'Novice 15M - Scoring'!$BB:$BB,0)),IFERROR(INDEX('Novice 15M - Scoring'!$B:$B,MATCH((COUNTA('Novice 15M - Scoring'!$B$6:$B$1000)-MOD(COUNTA('Novice 15M - Scoring'!$B$6:$B$1000),3))+1-2,'Novice 15M - Scoring'!$BB:$BB,0)),""),'Novice 15M - Scoring'!B7),""),""))))</f>
        <v/>
      </c>
      <c r="F7" s="49" t="str">
        <f>IF($D$3&lt;&gt;"Team (3 archers)","",IF($D$4="By Club",IFERROR("",""),IF(2&lt;=INT(COUNTA('Novice 15M - Scoring'!$B$6:$B$1000)/3),IFERROR(IF(ISNUMBER(MATCH(INT((COUNTA('Novice 15M - Scoring'!$B$6:$B$1000)-MOD(COUNTA('Novice 15M - Scoring'!$B$6:$B$1000),3))/3)+2,'Novice 15M - Scoring'!$BB:$BB,0)),IFERROR(INDEX('Novice 15M - Scoring'!$B:$B,MATCH(INT((COUNTA('Novice 15M - Scoring'!$B$6:$B$1000)-MOD(COUNTA('Novice 15M - Scoring'!$B$6:$B$1000),3))/3)+2,'Novice 15M - Scoring'!$BB:$BB,0)),""),'Novice 15M - Scoring'!B8),""),"")))</f>
        <v/>
      </c>
      <c r="G7" s="50">
        <f>IFERROR(IF(D7&lt;&gt;"",VLOOKUP(D7,'Novice 15M - Scoring'!$B:$AV,47,0),0),0)</f>
        <v>0</v>
      </c>
      <c r="H7" s="50">
        <f>IFERROR(IF(AND(OR($D$3="Double",$D$3="Team (3 archers)"),E7&lt;&gt;""),VLOOKUP(E7,'Novice 15M - Scoring'!$B:$AV,47,0),0),0)</f>
        <v>0</v>
      </c>
      <c r="I7" s="50">
        <f>IFERROR(IF(AND($D$3="Team (3 archers)",F7&lt;&gt;""),VLOOKUP(F7,'Novice 15M - Scoring'!$B:$AV,47,0),0),0)</f>
        <v>0</v>
      </c>
      <c r="J7" s="51">
        <f t="shared" si="1"/>
        <v>0</v>
      </c>
      <c r="K7" s="52">
        <f>IF(D7&lt;&gt;"",IFERROR(IF(D7&lt;&gt;"",VLOOKUP(D7,'Novice 15M - Scoring'!$B:$BA,52,0),0),0)+IFERROR(IF(AND(OR($D$3="Double",$D$3="Team (3 archers)"),E7&lt;&gt;""),VLOOKUP(E7,'Novice 15M - Scoring'!$B:$BA,52,0),0),0)+IFERROR(IF(AND($D$3="Team (3 archers)",F7&lt;&gt;""),VLOOKUP(F7,'Novice 15M - Scoring'!$B:$BA,52,0),0),0),"")</f>
        <v>0</v>
      </c>
      <c r="L7" s="40" t="s">
        <v>155</v>
      </c>
      <c r="M7" s="54" t="str">
        <f t="shared" si="2"/>
        <v/>
      </c>
      <c r="N7" s="55"/>
    </row>
    <row r="8" spans="1:14" ht="21.75" customHeight="1" x14ac:dyDescent="0.35">
      <c r="A8" s="46">
        <f>IF($D$3="Individual",IFERROR(VLOOKUP(D8,'Novice 15M - Scoring'!$B:$BB,53,0),99),IF(J8&lt;&gt;"",SUMPRODUCT((J$6:J$1000&gt;J8)*ISNUMBER(J$6:J$1000))+1+SUMPRODUCT((J$6:J$1000=J8)*(K$6:K$1000&gt;K8)*ISNUMBER(J$6:J$1000)*ISNUMBER(K$6:K$1000))+SUMPRODUCT((J$6:J$1000=J8)*(K$6:K$1000=K8)*(ROW(J$6:J$1000)&lt;8)*ISNUMBER(J$6:J$1000)),""))</f>
        <v>1</v>
      </c>
      <c r="B8" s="20" t="str">
        <f t="shared" si="0"/>
        <v>Kyara Lorielle Zate</v>
      </c>
      <c r="C8" s="47" t="str">
        <f>IFERROR(IF(D8&lt;&gt;"",VLOOKUP(D8,'Novice 15M - Scoring'!$B:$D,3,0),""),"")</f>
        <v>Pasig Greenpark AC</v>
      </c>
      <c r="D8" s="48" t="str">
        <f>IF($D$4="By Club",IFERROR(IFERROR(INDEX('Novice 15M - Scoring'!$B:$B,MATCH(_xludf.aggregate(15,6,IF('Novice 15M - Scoring'!$D$2:$D$1000="Pasig Greenpark AC",'Novice 15M - Scoring'!$BB$2:$BB$1000),1),'Novice 15M - Scoring'!$BB:$BB,0)),'Novice 15M - Scoring'!B8),""),IF($D$3="Individual",IF(3&lt;=COUNTA('Novice 15M - Scoring'!$B$6:$B$1000),IFERROR(IF(ISNUMBER(MATCH(3,'Novice 15M - Scoring'!$BB:$BB,0)),IFERROR(INDEX('Novice 15M - Scoring'!$B:$B,MATCH(3,'Novice 15M - Scoring'!$BB:$BB,0)),""),'Novice 15M - Scoring'!B8),""),""),IF($D$3="Double",IF(3&lt;=INT(COUNTA('Novice 15M - Scoring'!$B$6:$B$1000)/2),IFERROR(IF(ISNUMBER(MATCH(3,'Novice 15M - Scoring'!$BB:$BB,0)),IFERROR(INDEX('Novice 15M - Scoring'!$B:$B,MATCH(3,'Novice 15M - Scoring'!$BB:$BB,0)),""),'Novice 15M - Scoring'!B8),""),""),IF(3&lt;=INT(COUNTA('Novice 15M - Scoring'!$B$6:$B$1000)/3),IFERROR(IF(ISNUMBER(MATCH(3,'Novice 15M - Scoring'!$BB:$BB,0)),IFERROR(INDEX('Novice 15M - Scoring'!$B:$B,MATCH(3,'Novice 15M - Scoring'!$BB:$BB,0)),""),'Novice 15M - Scoring'!B8),""),""))))</f>
        <v>Kyara Lorielle Zate</v>
      </c>
      <c r="E8" s="49" t="str">
        <f>IF($D$3="Individual","",IF($D$4="By Club",IFERROR("",""),IF($D$3="Double",IF(3&lt;=INT(COUNTA('Novice 15M - Scoring'!$B$6:$B$1000)/2),IFERROR(IF(ISNUMBER(MATCH((COUNTA('Novice 15M - Scoring'!$B$6:$B$1000)-MOD(COUNTA('Novice 15M - Scoring'!$B$6:$B$1000),2))+1-3,'Novice 15M - Scoring'!$BB:$BB,0)),IFERROR(INDEX('Novice 15M - Scoring'!$B:$B,MATCH((COUNTA('Novice 15M - Scoring'!$B$6:$B$1000)-MOD(COUNTA('Novice 15M - Scoring'!$B$6:$B$1000),2))+1-3,'Novice 15M - Scoring'!$BB:$BB,0)),""),""),""),""),IF(3&lt;=INT(COUNTA('Novice 15M - Scoring'!$B$6:$B$1000)/3),IFERROR(IF(ISNUMBER(MATCH((COUNTA('Novice 15M - Scoring'!$B$6:$B$1000)-MOD(COUNTA('Novice 15M - Scoring'!$B$6:$B$1000),3))+1-3,'Novice 15M - Scoring'!$BB:$BB,0)),IFERROR(INDEX('Novice 15M - Scoring'!$B:$B,MATCH((COUNTA('Novice 15M - Scoring'!$B$6:$B$1000)-MOD(COUNTA('Novice 15M - Scoring'!$B$6:$B$1000),3))+1-3,'Novice 15M - Scoring'!$BB:$BB,0)),""),'Novice 15M - Scoring'!B6),""),""))))</f>
        <v/>
      </c>
      <c r="F8" s="49" t="str">
        <f>IF($D$3&lt;&gt;"Team (3 archers)","",IF($D$4="By Club",IFERROR("",""),IF(3&lt;=INT(COUNTA('Novice 15M - Scoring'!$B$6:$B$1000)/3),IFERROR(IF(ISNUMBER(MATCH(INT((COUNTA('Novice 15M - Scoring'!$B$6:$B$1000)-MOD(COUNTA('Novice 15M - Scoring'!$B$6:$B$1000),3))/3)+3,'Novice 15M - Scoring'!$BB:$BB,0)),IFERROR(INDEX('Novice 15M - Scoring'!$B:$B,MATCH(INT((COUNTA('Novice 15M - Scoring'!$B$6:$B$1000)-MOD(COUNTA('Novice 15M - Scoring'!$B$6:$B$1000),3))/3)+3,'Novice 15M - Scoring'!$BB:$BB,0)),""),""),""),"")))</f>
        <v/>
      </c>
      <c r="G8" s="50">
        <f>IFERROR(IF(D8&lt;&gt;"",VLOOKUP(D8,'Novice 15M - Scoring'!$B:$AV,47,0),0),0)</f>
        <v>0</v>
      </c>
      <c r="H8" s="50">
        <f>IFERROR(IF(AND(OR($D$3="Double",$D$3="Team (3 archers)"),E8&lt;&gt;""),VLOOKUP(E8,'Novice 15M - Scoring'!$B:$AV,47,0),0),0)</f>
        <v>0</v>
      </c>
      <c r="I8" s="50">
        <f>IFERROR(IF(AND($D$3="Team (3 archers)",F8&lt;&gt;""),VLOOKUP(F8,'Novice 15M - Scoring'!$B:$AV,47,0),0),0)</f>
        <v>0</v>
      </c>
      <c r="J8" s="51">
        <f t="shared" si="1"/>
        <v>0</v>
      </c>
      <c r="K8" s="52">
        <f>IF(D8&lt;&gt;"",IFERROR(IF(D8&lt;&gt;"",VLOOKUP(D8,'Novice 15M - Scoring'!$B:$BA,52,0),0),0)+IFERROR(IF(AND(OR($D$3="Double",$D$3="Team (3 archers)"),E8&lt;&gt;""),VLOOKUP(E8,'Novice 15M - Scoring'!$B:$BA,52,0),0),0)+IFERROR(IF(AND($D$3="Team (3 archers)",F8&lt;&gt;""),VLOOKUP(F8,'Novice 15M - Scoring'!$B:$BA,52,0),0),0),"")</f>
        <v>0</v>
      </c>
      <c r="L8" s="53" t="s">
        <v>155</v>
      </c>
      <c r="M8" s="54" t="str">
        <f t="shared" si="2"/>
        <v/>
      </c>
      <c r="N8" s="55"/>
    </row>
    <row r="9" spans="1:14" ht="21.75" customHeight="1" x14ac:dyDescent="0.35">
      <c r="A9" s="46">
        <f>IF($D$3="Individual",IFERROR(VLOOKUP(D9,'Novice 15M - Scoring'!$B:$BB,53,0),99),IF(J9&lt;&gt;"",SUMPRODUCT((J$6:J$1000&gt;J9)*ISNUMBER(J$6:J$1000))+1+SUMPRODUCT((J$6:J$1000=J9)*(K$6:K$1000&gt;K9)*ISNUMBER(J$6:J$1000)*ISNUMBER(K$6:K$1000))+SUMPRODUCT((J$6:J$1000=J9)*(K$6:K$1000=K9)*(ROW(J$6:J$1000)&lt;9)*ISNUMBER(J$6:J$1000)),""))</f>
        <v>99</v>
      </c>
      <c r="B9" s="20" t="str">
        <f t="shared" si="0"/>
        <v/>
      </c>
      <c r="C9" s="47" t="str">
        <f>IFERROR(IF(D9&lt;&gt;"",VLOOKUP(D9,'Novice 15M - Scoring'!$B:$D,3,0),""),"")</f>
        <v/>
      </c>
      <c r="D9" s="48" t="str">
        <f>IF($D$4="By Club",IFERROR("",""),IF($D$3="Individual",IF(4&lt;=COUNTA('Novice 15M - Scoring'!$B$6:$B$1000),IFERROR(IF(ISNUMBER(MATCH(4,'Novice 15M - Scoring'!$BB:$BB,0)),IFERROR(INDEX('Novice 15M - Scoring'!$B:$B,MATCH(4,'Novice 15M - Scoring'!$BB:$BB,0)),""),""),""),""),IF($D$3="Double",IF(4&lt;=INT(COUNTA('Novice 15M - Scoring'!$B$6:$B$1000)/2),IFERROR(IF(ISNUMBER(MATCH(4,'Novice 15M - Scoring'!$BB:$BB,0)),IFERROR(INDEX('Novice 15M - Scoring'!$B:$B,MATCH(4,'Novice 15M - Scoring'!$BB:$BB,0)),""),""),""),""),IF(4&lt;=INT(COUNTA('Novice 15M - Scoring'!$B$6:$B$1000)/3),IFERROR(IF(ISNUMBER(MATCH(4,'Novice 15M - Scoring'!$BB:$BB,0)),IFERROR(INDEX('Novice 15M - Scoring'!$B:$B,MATCH(4,'Novice 15M - Scoring'!$BB:$BB,0)),""),""),""),""))))</f>
        <v/>
      </c>
      <c r="E9" s="49" t="str">
        <f>IF($D$3="Individual","",IF($D$4="By Club",IFERROR("",""),IF($D$3="Double",IF(4&lt;=INT(COUNTA('Novice 15M - Scoring'!$B$6:$B$1000)/2),IFERROR(IF(ISNUMBER(MATCH((COUNTA('Novice 15M - Scoring'!$B$6:$B$1000)-MOD(COUNTA('Novice 15M - Scoring'!$B$6:$B$1000),2))+1-4,'Novice 15M - Scoring'!$BB:$BB,0)),IFERROR(INDEX('Novice 15M - Scoring'!$B:$B,MATCH((COUNTA('Novice 15M - Scoring'!$B$6:$B$1000)-MOD(COUNTA('Novice 15M - Scoring'!$B$6:$B$1000),2))+1-4,'Novice 15M - Scoring'!$BB:$BB,0)),""),""),""),""),IF(4&lt;=INT(COUNTA('Novice 15M - Scoring'!$B$6:$B$1000)/3),IFERROR(IF(ISNUMBER(MATCH((COUNTA('Novice 15M - Scoring'!$B$6:$B$1000)-MOD(COUNTA('Novice 15M - Scoring'!$B$6:$B$1000),3))+1-4,'Novice 15M - Scoring'!$BB:$BB,0)),IFERROR(INDEX('Novice 15M - Scoring'!$B:$B,MATCH((COUNTA('Novice 15M - Scoring'!$B$6:$B$1000)-MOD(COUNTA('Novice 15M - Scoring'!$B$6:$B$1000),3))+1-4,'Novice 15M - Scoring'!$BB:$BB,0)),""),""),""),""))))</f>
        <v/>
      </c>
      <c r="F9" s="49" t="str">
        <f>IF($D$3&lt;&gt;"Team (3 archers)","",IF($D$4="By Club",IFERROR("",""),IF(4&lt;=INT(COUNTA('Novice 15M - Scoring'!$B$6:$B$1000)/3),IFERROR(IF(ISNUMBER(MATCH(INT((COUNTA('Novice 15M - Scoring'!$B$6:$B$1000)-MOD(COUNTA('Novice 15M - Scoring'!$B$6:$B$1000),3))/3)+4,'Novice 15M - Scoring'!$BB:$BB,0)),IFERROR(INDEX('Novice 15M - Scoring'!$B:$B,MATCH(INT((COUNTA('Novice 15M - Scoring'!$B$6:$B$1000)-MOD(COUNTA('Novice 15M - Scoring'!$B$6:$B$1000),3))/3)+4,'Novice 15M - Scoring'!$BB:$BB,0)),""),""),""),"")))</f>
        <v/>
      </c>
      <c r="G9" s="50">
        <f>IFERROR(IF(D9&lt;&gt;"",VLOOKUP(D9,'Novice 15M - Scoring'!$B:$AV,47,0),0),0)</f>
        <v>0</v>
      </c>
      <c r="H9" s="50">
        <f>IFERROR(IF(AND(OR($D$3="Double",$D$3="Team (3 archers)"),E9&lt;&gt;""),VLOOKUP(E9,'Novice 15M - Scoring'!$B:$AV,47,0),0),0)</f>
        <v>0</v>
      </c>
      <c r="I9" s="50">
        <f>IFERROR(IF(AND($D$3="Team (3 archers)",F9&lt;&gt;""),VLOOKUP(F9,'Novice 15M - Scoring'!$B:$AV,47,0),0),0)</f>
        <v>0</v>
      </c>
      <c r="J9" s="51" t="str">
        <f t="shared" si="1"/>
        <v/>
      </c>
      <c r="K9" s="52" t="str">
        <f>IF(D9&lt;&gt;"",IFERROR(IF(D9&lt;&gt;"",VLOOKUP(D9,'Novice 15M - Scoring'!$B:$BA,52,0),0),0)+IFERROR(IF(AND(OR($D$3="Double",$D$3="Team (3 archers)"),E9&lt;&gt;""),VLOOKUP(E9,'Novice 15M - Scoring'!$B:$BA,52,0),0),0)+IFERROR(IF(AND($D$3="Team (3 archers)",F9&lt;&gt;""),VLOOKUP(F9,'Novice 15M - Scoring'!$B:$BA,52,0),0),0),"")</f>
        <v/>
      </c>
      <c r="L9" s="40" t="s">
        <v>155</v>
      </c>
      <c r="M9" s="54" t="str">
        <f t="shared" si="2"/>
        <v/>
      </c>
      <c r="N9" s="55"/>
    </row>
    <row r="10" spans="1:14" ht="21.75" customHeight="1" x14ac:dyDescent="0.35">
      <c r="A10" s="46">
        <f>IF($D$3="Individual",IFERROR(VLOOKUP(D10,'Novice 15M - Scoring'!$B:$BB,53,0),99),IF(J10&lt;&gt;"",SUMPRODUCT((J$6:J$1000&gt;J10)*ISNUMBER(J$6:J$1000))+1+SUMPRODUCT((J$6:J$1000=J10)*(K$6:K$1000&gt;K10)*ISNUMBER(J$6:J$1000)*ISNUMBER(K$6:K$1000))+SUMPRODUCT((J$6:J$1000=J10)*(K$6:K$1000=K10)*(ROW(J$6:J$1000)&lt;10)*ISNUMBER(J$6:J$1000)),""))</f>
        <v>99</v>
      </c>
      <c r="B10" s="20" t="str">
        <f t="shared" si="0"/>
        <v/>
      </c>
      <c r="C10" s="47" t="str">
        <f>IFERROR(IF(D10&lt;&gt;"",VLOOKUP(D10,'Novice 15M - Scoring'!$B:$D,3,0),""),"")</f>
        <v/>
      </c>
      <c r="D10" s="48" t="str">
        <f>IF($D$4="By Club",IFERROR("",""),IF($D$3="Individual",IF(5&lt;=COUNTA('Novice 15M - Scoring'!$B$6:$B$1000),IFERROR(IF(ISNUMBER(MATCH(5,'Novice 15M - Scoring'!$BB:$BB,0)),IFERROR(INDEX('Novice 15M - Scoring'!$B:$B,MATCH(5,'Novice 15M - Scoring'!$BB:$BB,0)),""),""),""),""),IF($D$3="Double",IF(5&lt;=INT(COUNTA('Novice 15M - Scoring'!$B$6:$B$1000)/2),IFERROR(IF(ISNUMBER(MATCH(5,'Novice 15M - Scoring'!$BB:$BB,0)),IFERROR(INDEX('Novice 15M - Scoring'!$B:$B,MATCH(5,'Novice 15M - Scoring'!$BB:$BB,0)),""),""),""),""),IF(5&lt;=INT(COUNTA('Novice 15M - Scoring'!$B$6:$B$1000)/3),IFERROR(IF(ISNUMBER(MATCH(5,'Novice 15M - Scoring'!$BB:$BB,0)),IFERROR(INDEX('Novice 15M - Scoring'!$B:$B,MATCH(5,'Novice 15M - Scoring'!$BB:$BB,0)),""),""),""),""))))</f>
        <v/>
      </c>
      <c r="E10" s="49" t="str">
        <f>IF($D$3="Individual","",IF($D$4="By Club",IFERROR("",""),IF($D$3="Double",IF(5&lt;=INT(COUNTA('Novice 15M - Scoring'!$B$6:$B$1000)/2),IFERROR(IF(ISNUMBER(MATCH((COUNTA('Novice 15M - Scoring'!$B$6:$B$1000)-MOD(COUNTA('Novice 15M - Scoring'!$B$6:$B$1000),2))+1-5,'Novice 15M - Scoring'!$BB:$BB,0)),IFERROR(INDEX('Novice 15M - Scoring'!$B:$B,MATCH((COUNTA('Novice 15M - Scoring'!$B$6:$B$1000)-MOD(COUNTA('Novice 15M - Scoring'!$B$6:$B$1000),2))+1-5,'Novice 15M - Scoring'!$BB:$BB,0)),""),""),""),""),IF(5&lt;=INT(COUNTA('Novice 15M - Scoring'!$B$6:$B$1000)/3),IFERROR(IF(ISNUMBER(MATCH((COUNTA('Novice 15M - Scoring'!$B$6:$B$1000)-MOD(COUNTA('Novice 15M - Scoring'!$B$6:$B$1000),3))+1-5,'Novice 15M - Scoring'!$BB:$BB,0)),IFERROR(INDEX('Novice 15M - Scoring'!$B:$B,MATCH((COUNTA('Novice 15M - Scoring'!$B$6:$B$1000)-MOD(COUNTA('Novice 15M - Scoring'!$B$6:$B$1000),3))+1-5,'Novice 15M - Scoring'!$BB:$BB,0)),""),""),""),""))))</f>
        <v/>
      </c>
      <c r="F10" s="49" t="str">
        <f>IF($D$3&lt;&gt;"Team (3 archers)","",IF($D$4="By Club",IFERROR("",""),IF(5&lt;=INT(COUNTA('Novice 15M - Scoring'!$B$6:$B$1000)/3),IFERROR(IF(ISNUMBER(MATCH(INT((COUNTA('Novice 15M - Scoring'!$B$6:$B$1000)-MOD(COUNTA('Novice 15M - Scoring'!$B$6:$B$1000),3))/3)+5,'Novice 15M - Scoring'!$BB:$BB,0)),IFERROR(INDEX('Novice 15M - Scoring'!$B:$B,MATCH(INT((COUNTA('Novice 15M - Scoring'!$B$6:$B$1000)-MOD(COUNTA('Novice 15M - Scoring'!$B$6:$B$1000),3))/3)+5,'Novice 15M - Scoring'!$BB:$BB,0)),""),""),""),"")))</f>
        <v/>
      </c>
      <c r="G10" s="50">
        <f>IFERROR(IF(D10&lt;&gt;"",VLOOKUP(D10,'Novice 15M - Scoring'!$B:$AV,47,0),0),0)</f>
        <v>0</v>
      </c>
      <c r="H10" s="50">
        <f>IFERROR(IF(AND(OR($D$3="Double",$D$3="Team (3 archers)"),E10&lt;&gt;""),VLOOKUP(E10,'Novice 15M - Scoring'!$B:$AV,47,0),0),0)</f>
        <v>0</v>
      </c>
      <c r="I10" s="50">
        <f>IFERROR(IF(AND($D$3="Team (3 archers)",F10&lt;&gt;""),VLOOKUP(F10,'Novice 15M - Scoring'!$B:$AV,47,0),0),0)</f>
        <v>0</v>
      </c>
      <c r="J10" s="51" t="str">
        <f t="shared" si="1"/>
        <v/>
      </c>
      <c r="K10" s="52" t="str">
        <f>IF(D10&lt;&gt;"",IFERROR(IF(D10&lt;&gt;"",VLOOKUP(D10,'Novice 15M - Scoring'!$B:$BA,52,0),0),0)+IFERROR(IF(AND(OR($D$3="Double",$D$3="Team (3 archers)"),E10&lt;&gt;""),VLOOKUP(E10,'Novice 15M - Scoring'!$B:$BA,52,0),0),0)+IFERROR(IF(AND($D$3="Team (3 archers)",F10&lt;&gt;""),VLOOKUP(F10,'Novice 15M - Scoring'!$B:$BA,52,0),0),0),"")</f>
        <v/>
      </c>
      <c r="L10" s="53" t="s">
        <v>155</v>
      </c>
      <c r="M10" s="54" t="str">
        <f t="shared" si="2"/>
        <v/>
      </c>
      <c r="N10" s="55"/>
    </row>
    <row r="11" spans="1:14" ht="21.75" customHeight="1" x14ac:dyDescent="0.35">
      <c r="A11" s="46">
        <f>IF($D$3="Individual",IFERROR(VLOOKUP(D11,'Novice 15M - Scoring'!$B:$BB,53,0),99),IF(J11&lt;&gt;"",SUMPRODUCT((J$6:J$1000&gt;J11)*ISNUMBER(J$6:J$1000))+1+SUMPRODUCT((J$6:J$1000=J11)*(K$6:K$1000&gt;K11)*ISNUMBER(J$6:J$1000)*ISNUMBER(K$6:K$1000))+SUMPRODUCT((J$6:J$1000=J11)*(K$6:K$1000=K11)*(ROW(J$6:J$1000)&lt;11)*ISNUMBER(J$6:J$1000)),""))</f>
        <v>99</v>
      </c>
      <c r="B11" s="20" t="str">
        <f t="shared" si="0"/>
        <v/>
      </c>
      <c r="C11" s="47" t="str">
        <f>IFERROR(IF(D11&lt;&gt;"",VLOOKUP(D11,'Novice 15M - Scoring'!$B:$D,3,0),""),"")</f>
        <v/>
      </c>
      <c r="D11" s="48" t="str">
        <f>IF($D$4="By Club",IFERROR("",""),IF($D$3="Individual",IF(6&lt;=COUNTA('Novice 15M - Scoring'!$B$6:$B$1000),IFERROR(IF(ISNUMBER(MATCH(6,'Novice 15M - Scoring'!$BB:$BB,0)),IFERROR(INDEX('Novice 15M - Scoring'!$B:$B,MATCH(6,'Novice 15M - Scoring'!$BB:$BB,0)),""),""),""),""),IF($D$3="Double",IF(6&lt;=INT(COUNTA('Novice 15M - Scoring'!$B$6:$B$1000)/2),IFERROR(IF(ISNUMBER(MATCH(6,'Novice 15M - Scoring'!$BB:$BB,0)),IFERROR(INDEX('Novice 15M - Scoring'!$B:$B,MATCH(6,'Novice 15M - Scoring'!$BB:$BB,0)),""),""),""),""),IF(6&lt;=INT(COUNTA('Novice 15M - Scoring'!$B$6:$B$1000)/3),IFERROR(IF(ISNUMBER(MATCH(6,'Novice 15M - Scoring'!$BB:$BB,0)),IFERROR(INDEX('Novice 15M - Scoring'!$B:$B,MATCH(6,'Novice 15M - Scoring'!$BB:$BB,0)),""),""),""),""))))</f>
        <v/>
      </c>
      <c r="E11" s="49" t="str">
        <f>IF($D$3="Individual","",IF($D$4="By Club",IFERROR("",""),IF($D$3="Double",IF(6&lt;=INT(COUNTA('Novice 15M - Scoring'!$B$6:$B$1000)/2),IFERROR(IF(ISNUMBER(MATCH((COUNTA('Novice 15M - Scoring'!$B$6:$B$1000)-MOD(COUNTA('Novice 15M - Scoring'!$B$6:$B$1000),2))+1-6,'Novice 15M - Scoring'!$BB:$BB,0)),IFERROR(INDEX('Novice 15M - Scoring'!$B:$B,MATCH((COUNTA('Novice 15M - Scoring'!$B$6:$B$1000)-MOD(COUNTA('Novice 15M - Scoring'!$B$6:$B$1000),2))+1-6,'Novice 15M - Scoring'!$BB:$BB,0)),""),""),""),""),IF(6&lt;=INT(COUNTA('Novice 15M - Scoring'!$B$6:$B$1000)/3),IFERROR(IF(ISNUMBER(MATCH((COUNTA('Novice 15M - Scoring'!$B$6:$B$1000)-MOD(COUNTA('Novice 15M - Scoring'!$B$6:$B$1000),3))+1-6,'Novice 15M - Scoring'!$BB:$BB,0)),IFERROR(INDEX('Novice 15M - Scoring'!$B:$B,MATCH((COUNTA('Novice 15M - Scoring'!$B$6:$B$1000)-MOD(COUNTA('Novice 15M - Scoring'!$B$6:$B$1000),3))+1-6,'Novice 15M - Scoring'!$BB:$BB,0)),""),""),""),""))))</f>
        <v/>
      </c>
      <c r="F11" s="49" t="str">
        <f>IF($D$3&lt;&gt;"Team (3 archers)","",IF($D$4="By Club",IFERROR("",""),IF(6&lt;=INT(COUNTA('Novice 15M - Scoring'!$B$6:$B$1000)/3),IFERROR(IF(ISNUMBER(MATCH(INT((COUNTA('Novice 15M - Scoring'!$B$6:$B$1000)-MOD(COUNTA('Novice 15M - Scoring'!$B$6:$B$1000),3))/3)+6,'Novice 15M - Scoring'!$BB:$BB,0)),IFERROR(INDEX('Novice 15M - Scoring'!$B:$B,MATCH(INT((COUNTA('Novice 15M - Scoring'!$B$6:$B$1000)-MOD(COUNTA('Novice 15M - Scoring'!$B$6:$B$1000),3))/3)+6,'Novice 15M - Scoring'!$BB:$BB,0)),""),""),""),"")))</f>
        <v/>
      </c>
      <c r="G11" s="50">
        <f>IFERROR(IF(D11&lt;&gt;"",VLOOKUP(D11,'Novice 15M - Scoring'!$B:$AV,47,0),0),0)</f>
        <v>0</v>
      </c>
      <c r="H11" s="50">
        <f>IFERROR(IF(AND(OR($D$3="Double",$D$3="Team (3 archers)"),E11&lt;&gt;""),VLOOKUP(E11,'Novice 15M - Scoring'!$B:$AV,47,0),0),0)</f>
        <v>0</v>
      </c>
      <c r="I11" s="50">
        <f>IFERROR(IF(AND($D$3="Team (3 archers)",F11&lt;&gt;""),VLOOKUP(F11,'Novice 15M - Scoring'!$B:$AV,47,0),0),0)</f>
        <v>0</v>
      </c>
      <c r="J11" s="51" t="str">
        <f t="shared" si="1"/>
        <v/>
      </c>
      <c r="K11" s="52" t="str">
        <f>IF(D11&lt;&gt;"",IFERROR(IF(D11&lt;&gt;"",VLOOKUP(D11,'Novice 15M - Scoring'!$B:$BA,52,0),0),0)+IFERROR(IF(AND(OR($D$3="Double",$D$3="Team (3 archers)"),E11&lt;&gt;""),VLOOKUP(E11,'Novice 15M - Scoring'!$B:$BA,52,0),0),0)+IFERROR(IF(AND($D$3="Team (3 archers)",F11&lt;&gt;""),VLOOKUP(F11,'Novice 15M - Scoring'!$B:$BA,52,0),0),0),"")</f>
        <v/>
      </c>
      <c r="L11" s="40" t="s">
        <v>155</v>
      </c>
      <c r="M11" s="54" t="str">
        <f t="shared" si="2"/>
        <v/>
      </c>
      <c r="N11" s="55"/>
    </row>
    <row r="12" spans="1:14" ht="21.75" customHeight="1" x14ac:dyDescent="0.35">
      <c r="A12" s="46">
        <f>IF($D$3="Individual",IFERROR(VLOOKUP(D12,'Novice 15M - Scoring'!$B:$BB,53,0),99),IF(J12&lt;&gt;"",SUMPRODUCT((J$6:J$1000&gt;J12)*ISNUMBER(J$6:J$1000))+1+SUMPRODUCT((J$6:J$1000=J12)*(K$6:K$1000&gt;K12)*ISNUMBER(J$6:J$1000)*ISNUMBER(K$6:K$1000))+SUMPRODUCT((J$6:J$1000=J12)*(K$6:K$1000=K12)*(ROW(J$6:J$1000)&lt;12)*ISNUMBER(J$6:J$1000)),""))</f>
        <v>99</v>
      </c>
      <c r="B12" s="20" t="str">
        <f t="shared" si="0"/>
        <v/>
      </c>
      <c r="C12" s="47" t="str">
        <f>IFERROR(IF(D12&lt;&gt;"",VLOOKUP(D12,'Novice 15M - Scoring'!$B:$D,3,0),""),"")</f>
        <v/>
      </c>
      <c r="D12" s="48" t="str">
        <f>IF($D$4="By Club",IFERROR("",""),IF($D$3="Individual",IF(7&lt;=COUNTA('Novice 15M - Scoring'!$B$6:$B$1000),IFERROR(IF(ISNUMBER(MATCH(7,'Novice 15M - Scoring'!$BB:$BB,0)),IFERROR(INDEX('Novice 15M - Scoring'!$B:$B,MATCH(7,'Novice 15M - Scoring'!$BB:$BB,0)),""),""),""),""),IF($D$3="Double",IF(7&lt;=INT(COUNTA('Novice 15M - Scoring'!$B$6:$B$1000)/2),IFERROR(IF(ISNUMBER(MATCH(7,'Novice 15M - Scoring'!$BB:$BB,0)),IFERROR(INDEX('Novice 15M - Scoring'!$B:$B,MATCH(7,'Novice 15M - Scoring'!$BB:$BB,0)),""),""),""),""),IF(7&lt;=INT(COUNTA('Novice 15M - Scoring'!$B$6:$B$1000)/3),IFERROR(IF(ISNUMBER(MATCH(7,'Novice 15M - Scoring'!$BB:$BB,0)),IFERROR(INDEX('Novice 15M - Scoring'!$B:$B,MATCH(7,'Novice 15M - Scoring'!$BB:$BB,0)),""),""),""),""))))</f>
        <v/>
      </c>
      <c r="E12" s="49" t="str">
        <f>IF($D$3="Individual","",IF($D$4="By Club",IFERROR("",""),IF($D$3="Double",IF(7&lt;=INT(COUNTA('Novice 15M - Scoring'!$B$6:$B$1000)/2),IFERROR(IF(ISNUMBER(MATCH((COUNTA('Novice 15M - Scoring'!$B$6:$B$1000)-MOD(COUNTA('Novice 15M - Scoring'!$B$6:$B$1000),2))+1-7,'Novice 15M - Scoring'!$BB:$BB,0)),IFERROR(INDEX('Novice 15M - Scoring'!$B:$B,MATCH((COUNTA('Novice 15M - Scoring'!$B$6:$B$1000)-MOD(COUNTA('Novice 15M - Scoring'!$B$6:$B$1000),2))+1-7,'Novice 15M - Scoring'!$BB:$BB,0)),""),""),""),""),IF(7&lt;=INT(COUNTA('Novice 15M - Scoring'!$B$6:$B$1000)/3),IFERROR(IF(ISNUMBER(MATCH((COUNTA('Novice 15M - Scoring'!$B$6:$B$1000)-MOD(COUNTA('Novice 15M - Scoring'!$B$6:$B$1000),3))+1-7,'Novice 15M - Scoring'!$BB:$BB,0)),IFERROR(INDEX('Novice 15M - Scoring'!$B:$B,MATCH((COUNTA('Novice 15M - Scoring'!$B$6:$B$1000)-MOD(COUNTA('Novice 15M - Scoring'!$B$6:$B$1000),3))+1-7,'Novice 15M - Scoring'!$BB:$BB,0)),""),""),""),""))))</f>
        <v/>
      </c>
      <c r="F12" s="49" t="str">
        <f>IF($D$3&lt;&gt;"Team (3 archers)","",IF($D$4="By Club",IFERROR("",""),IF(7&lt;=INT(COUNTA('Novice 15M - Scoring'!$B$6:$B$1000)/3),IFERROR(IF(ISNUMBER(MATCH(INT((COUNTA('Novice 15M - Scoring'!$B$6:$B$1000)-MOD(COUNTA('Novice 15M - Scoring'!$B$6:$B$1000),3))/3)+7,'Novice 15M - Scoring'!$BB:$BB,0)),IFERROR(INDEX('Novice 15M - Scoring'!$B:$B,MATCH(INT((COUNTA('Novice 15M - Scoring'!$B$6:$B$1000)-MOD(COUNTA('Novice 15M - Scoring'!$B$6:$B$1000),3))/3)+7,'Novice 15M - Scoring'!$BB:$BB,0)),""),""),""),"")))</f>
        <v/>
      </c>
      <c r="G12" s="50">
        <f>IFERROR(IF(D12&lt;&gt;"",VLOOKUP(D12,'Novice 15M - Scoring'!$B:$AV,47,0),0),0)</f>
        <v>0</v>
      </c>
      <c r="H12" s="50">
        <f>IFERROR(IF(AND(OR($D$3="Double",$D$3="Team (3 archers)"),E12&lt;&gt;""),VLOOKUP(E12,'Novice 15M - Scoring'!$B:$AV,47,0),0),0)</f>
        <v>0</v>
      </c>
      <c r="I12" s="50">
        <f>IFERROR(IF(AND($D$3="Team (3 archers)",F12&lt;&gt;""),VLOOKUP(F12,'Novice 15M - Scoring'!$B:$AV,47,0),0),0)</f>
        <v>0</v>
      </c>
      <c r="J12" s="51" t="str">
        <f t="shared" si="1"/>
        <v/>
      </c>
      <c r="K12" s="52" t="str">
        <f>IF(D12&lt;&gt;"",IFERROR(IF(D12&lt;&gt;"",VLOOKUP(D12,'Novice 15M - Scoring'!$B:$BA,52,0),0),0)+IFERROR(IF(AND(OR($D$3="Double",$D$3="Team (3 archers)"),E12&lt;&gt;""),VLOOKUP(E12,'Novice 15M - Scoring'!$B:$BA,52,0),0),0)+IFERROR(IF(AND($D$3="Team (3 archers)",F12&lt;&gt;""),VLOOKUP(F12,'Novice 15M - Scoring'!$B:$BA,52,0),0),0),"")</f>
        <v/>
      </c>
      <c r="L12" s="53" t="s">
        <v>155</v>
      </c>
      <c r="M12" s="54" t="str">
        <f t="shared" si="2"/>
        <v/>
      </c>
      <c r="N12" s="55"/>
    </row>
    <row r="13" spans="1:14" ht="21.75" customHeight="1" x14ac:dyDescent="0.35">
      <c r="A13" s="46">
        <f>IF($D$3="Individual",IFERROR(VLOOKUP(D13,'Novice 15M - Scoring'!$B:$BB,53,0),99),IF(J13&lt;&gt;"",SUMPRODUCT((J$6:J$1000&gt;J13)*ISNUMBER(J$6:J$1000))+1+SUMPRODUCT((J$6:J$1000=J13)*(K$6:K$1000&gt;K13)*ISNUMBER(J$6:J$1000)*ISNUMBER(K$6:K$1000))+SUMPRODUCT((J$6:J$1000=J13)*(K$6:K$1000=K13)*(ROW(J$6:J$1000)&lt;13)*ISNUMBER(J$6:J$1000)),""))</f>
        <v>99</v>
      </c>
      <c r="B13" s="20" t="str">
        <f t="shared" si="0"/>
        <v/>
      </c>
      <c r="C13" s="47" t="str">
        <f>IFERROR(IF(D13&lt;&gt;"",VLOOKUP(D13,'Novice 15M - Scoring'!$B:$D,3,0),""),"")</f>
        <v/>
      </c>
      <c r="D13" s="48" t="str">
        <f>IF($D$4="By Club",IFERROR("",""),IF($D$3="Individual",IF(8&lt;=COUNTA('Novice 15M - Scoring'!$B$6:$B$1000),IFERROR(IF(ISNUMBER(MATCH(8,'Novice 15M - Scoring'!$BB:$BB,0)),IFERROR(INDEX('Novice 15M - Scoring'!$B:$B,MATCH(8,'Novice 15M - Scoring'!$BB:$BB,0)),""),""),""),""),IF($D$3="Double",IF(8&lt;=INT(COUNTA('Novice 15M - Scoring'!$B$6:$B$1000)/2),IFERROR(IF(ISNUMBER(MATCH(8,'Novice 15M - Scoring'!$BB:$BB,0)),IFERROR(INDEX('Novice 15M - Scoring'!$B:$B,MATCH(8,'Novice 15M - Scoring'!$BB:$BB,0)),""),""),""),""),IF(8&lt;=INT(COUNTA('Novice 15M - Scoring'!$B$6:$B$1000)/3),IFERROR(IF(ISNUMBER(MATCH(8,'Novice 15M - Scoring'!$BB:$BB,0)),IFERROR(INDEX('Novice 15M - Scoring'!$B:$B,MATCH(8,'Novice 15M - Scoring'!$BB:$BB,0)),""),""),""),""))))</f>
        <v/>
      </c>
      <c r="E13" s="49" t="str">
        <f>IF($D$3="Individual","",IF($D$4="By Club",IFERROR("",""),IF($D$3="Double",IF(8&lt;=INT(COUNTA('Novice 15M - Scoring'!$B$6:$B$1000)/2),IFERROR(IF(ISNUMBER(MATCH((COUNTA('Novice 15M - Scoring'!$B$6:$B$1000)-MOD(COUNTA('Novice 15M - Scoring'!$B$6:$B$1000),2))+1-8,'Novice 15M - Scoring'!$BB:$BB,0)),IFERROR(INDEX('Novice 15M - Scoring'!$B:$B,MATCH((COUNTA('Novice 15M - Scoring'!$B$6:$B$1000)-MOD(COUNTA('Novice 15M - Scoring'!$B$6:$B$1000),2))+1-8,'Novice 15M - Scoring'!$BB:$BB,0)),""),""),""),""),IF(8&lt;=INT(COUNTA('Novice 15M - Scoring'!$B$6:$B$1000)/3),IFERROR(IF(ISNUMBER(MATCH((COUNTA('Novice 15M - Scoring'!$B$6:$B$1000)-MOD(COUNTA('Novice 15M - Scoring'!$B$6:$B$1000),3))+1-8,'Novice 15M - Scoring'!$BB:$BB,0)),IFERROR(INDEX('Novice 15M - Scoring'!$B:$B,MATCH((COUNTA('Novice 15M - Scoring'!$B$6:$B$1000)-MOD(COUNTA('Novice 15M - Scoring'!$B$6:$B$1000),3))+1-8,'Novice 15M - Scoring'!$BB:$BB,0)),""),""),""),""))))</f>
        <v/>
      </c>
      <c r="F13" s="49" t="str">
        <f>IF($D$3&lt;&gt;"Team (3 archers)","",IF($D$4="By Club",IFERROR("",""),IF(8&lt;=INT(COUNTA('Novice 15M - Scoring'!$B$6:$B$1000)/3),IFERROR(IF(ISNUMBER(MATCH(INT((COUNTA('Novice 15M - Scoring'!$B$6:$B$1000)-MOD(COUNTA('Novice 15M - Scoring'!$B$6:$B$1000),3))/3)+8,'Novice 15M - Scoring'!$BB:$BB,0)),IFERROR(INDEX('Novice 15M - Scoring'!$B:$B,MATCH(INT((COUNTA('Novice 15M - Scoring'!$B$6:$B$1000)-MOD(COUNTA('Novice 15M - Scoring'!$B$6:$B$1000),3))/3)+8,'Novice 15M - Scoring'!$BB:$BB,0)),""),""),""),"")))</f>
        <v/>
      </c>
      <c r="G13" s="50">
        <f>IFERROR(IF(D13&lt;&gt;"",VLOOKUP(D13,'Novice 15M - Scoring'!$B:$AV,47,0),0),0)</f>
        <v>0</v>
      </c>
      <c r="H13" s="50">
        <f>IFERROR(IF(AND(OR($D$3="Double",$D$3="Team (3 archers)"),E13&lt;&gt;""),VLOOKUP(E13,'Novice 15M - Scoring'!$B:$AV,47,0),0),0)</f>
        <v>0</v>
      </c>
      <c r="I13" s="50">
        <f>IFERROR(IF(AND($D$3="Team (3 archers)",F13&lt;&gt;""),VLOOKUP(F13,'Novice 15M - Scoring'!$B:$AV,47,0),0),0)</f>
        <v>0</v>
      </c>
      <c r="J13" s="51" t="str">
        <f t="shared" si="1"/>
        <v/>
      </c>
      <c r="K13" s="52" t="str">
        <f>IF(D13&lt;&gt;"",IFERROR(IF(D13&lt;&gt;"",VLOOKUP(D13,'Novice 15M - Scoring'!$B:$BA,52,0),0),0)+IFERROR(IF(AND(OR($D$3="Double",$D$3="Team (3 archers)"),E13&lt;&gt;""),VLOOKUP(E13,'Novice 15M - Scoring'!$B:$BA,52,0),0),0)+IFERROR(IF(AND($D$3="Team (3 archers)",F13&lt;&gt;""),VLOOKUP(F13,'Novice 15M - Scoring'!$B:$BA,52,0),0),0),"")</f>
        <v/>
      </c>
      <c r="L13" s="40" t="s">
        <v>155</v>
      </c>
      <c r="M13" s="54" t="str">
        <f t="shared" si="2"/>
        <v/>
      </c>
      <c r="N13" s="55"/>
    </row>
    <row r="14" spans="1:14" ht="21.75" customHeight="1" x14ac:dyDescent="0.35">
      <c r="A14" s="46">
        <f>IF($D$3="Individual",IFERROR(VLOOKUP(D14,'Novice 15M - Scoring'!$B:$BB,53,0),99),IF(J14&lt;&gt;"",SUMPRODUCT((J$6:J$1000&gt;J14)*ISNUMBER(J$6:J$1000))+1+SUMPRODUCT((J$6:J$1000=J14)*(K$6:K$1000&gt;K14)*ISNUMBER(J$6:J$1000)*ISNUMBER(K$6:K$1000))+SUMPRODUCT((J$6:J$1000=J14)*(K$6:K$1000=K14)*(ROW(J$6:J$1000)&lt;14)*ISNUMBER(J$6:J$1000)),""))</f>
        <v>99</v>
      </c>
      <c r="B14" s="20" t="str">
        <f t="shared" si="0"/>
        <v/>
      </c>
      <c r="C14" s="47" t="str">
        <f>IFERROR(IF(D14&lt;&gt;"",VLOOKUP(D14,'Novice 15M - Scoring'!$B:$D,3,0),""),"")</f>
        <v/>
      </c>
      <c r="D14" s="48" t="str">
        <f>IF($D$4="By Club",IFERROR("",""),IF($D$3="Individual",IF(9&lt;=COUNTA('Novice 15M - Scoring'!$B$6:$B$1000),IFERROR(IF(ISNUMBER(MATCH(9,'Novice 15M - Scoring'!$BB:$BB,0)),IFERROR(INDEX('Novice 15M - Scoring'!$B:$B,MATCH(9,'Novice 15M - Scoring'!$BB:$BB,0)),""),""),""),""),IF($D$3="Double",IF(9&lt;=INT(COUNTA('Novice 15M - Scoring'!$B$6:$B$1000)/2),IFERROR(IF(ISNUMBER(MATCH(9,'Novice 15M - Scoring'!$BB:$BB,0)),IFERROR(INDEX('Novice 15M - Scoring'!$B:$B,MATCH(9,'Novice 15M - Scoring'!$BB:$BB,0)),""),""),""),""),IF(9&lt;=INT(COUNTA('Novice 15M - Scoring'!$B$6:$B$1000)/3),IFERROR(IF(ISNUMBER(MATCH(9,'Novice 15M - Scoring'!$BB:$BB,0)),IFERROR(INDEX('Novice 15M - Scoring'!$B:$B,MATCH(9,'Novice 15M - Scoring'!$BB:$BB,0)),""),""),""),""))))</f>
        <v/>
      </c>
      <c r="E14" s="49" t="str">
        <f>IF($D$3="Individual","",IF($D$4="By Club",IFERROR("",""),IF($D$3="Double",IF(9&lt;=INT(COUNTA('Novice 15M - Scoring'!$B$6:$B$1000)/2),IFERROR(IF(ISNUMBER(MATCH((COUNTA('Novice 15M - Scoring'!$B$6:$B$1000)-MOD(COUNTA('Novice 15M - Scoring'!$B$6:$B$1000),2))+1-9,'Novice 15M - Scoring'!$BB:$BB,0)),IFERROR(INDEX('Novice 15M - Scoring'!$B:$B,MATCH((COUNTA('Novice 15M - Scoring'!$B$6:$B$1000)-MOD(COUNTA('Novice 15M - Scoring'!$B$6:$B$1000),2))+1-9,'Novice 15M - Scoring'!$BB:$BB,0)),""),""),""),""),IF(9&lt;=INT(COUNTA('Novice 15M - Scoring'!$B$6:$B$1000)/3),IFERROR(IF(ISNUMBER(MATCH((COUNTA('Novice 15M - Scoring'!$B$6:$B$1000)-MOD(COUNTA('Novice 15M - Scoring'!$B$6:$B$1000),3))+1-9,'Novice 15M - Scoring'!$BB:$BB,0)),IFERROR(INDEX('Novice 15M - Scoring'!$B:$B,MATCH((COUNTA('Novice 15M - Scoring'!$B$6:$B$1000)-MOD(COUNTA('Novice 15M - Scoring'!$B$6:$B$1000),3))+1-9,'Novice 15M - Scoring'!$BB:$BB,0)),""),""),""),""))))</f>
        <v/>
      </c>
      <c r="F14" s="49" t="str">
        <f>IF($D$3&lt;&gt;"Team (3 archers)","",IF($D$4="By Club",IFERROR("",""),IF(9&lt;=INT(COUNTA('Novice 15M - Scoring'!$B$6:$B$1000)/3),IFERROR(IF(ISNUMBER(MATCH(INT((COUNTA('Novice 15M - Scoring'!$B$6:$B$1000)-MOD(COUNTA('Novice 15M - Scoring'!$B$6:$B$1000),3))/3)+9,'Novice 15M - Scoring'!$BB:$BB,0)),IFERROR(INDEX('Novice 15M - Scoring'!$B:$B,MATCH(INT((COUNTA('Novice 15M - Scoring'!$B$6:$B$1000)-MOD(COUNTA('Novice 15M - Scoring'!$B$6:$B$1000),3))/3)+9,'Novice 15M - Scoring'!$BB:$BB,0)),""),""),""),"")))</f>
        <v/>
      </c>
      <c r="G14" s="50">
        <f>IFERROR(IF(D14&lt;&gt;"",VLOOKUP(D14,'Novice 15M - Scoring'!$B:$AV,47,0),0),0)</f>
        <v>0</v>
      </c>
      <c r="H14" s="50">
        <f>IFERROR(IF(AND(OR($D$3="Double",$D$3="Team (3 archers)"),E14&lt;&gt;""),VLOOKUP(E14,'Novice 15M - Scoring'!$B:$AV,47,0),0),0)</f>
        <v>0</v>
      </c>
      <c r="I14" s="50">
        <f>IFERROR(IF(AND($D$3="Team (3 archers)",F14&lt;&gt;""),VLOOKUP(F14,'Novice 15M - Scoring'!$B:$AV,47,0),0),0)</f>
        <v>0</v>
      </c>
      <c r="J14" s="51" t="str">
        <f t="shared" si="1"/>
        <v/>
      </c>
      <c r="K14" s="52" t="str">
        <f>IF(D14&lt;&gt;"",IFERROR(IF(D14&lt;&gt;"",VLOOKUP(D14,'Novice 15M - Scoring'!$B:$BA,52,0),0),0)+IFERROR(IF(AND(OR($D$3="Double",$D$3="Team (3 archers)"),E14&lt;&gt;""),VLOOKUP(E14,'Novice 15M - Scoring'!$B:$BA,52,0),0),0)+IFERROR(IF(AND($D$3="Team (3 archers)",F14&lt;&gt;""),VLOOKUP(F14,'Novice 15M - Scoring'!$B:$BA,52,0),0),0),"")</f>
        <v/>
      </c>
      <c r="L14" s="53" t="s">
        <v>155</v>
      </c>
      <c r="M14" s="54" t="str">
        <f t="shared" si="2"/>
        <v/>
      </c>
      <c r="N14" s="55"/>
    </row>
    <row r="15" spans="1:14" ht="21.75" customHeight="1" x14ac:dyDescent="0.35">
      <c r="A15" s="46">
        <f>IF($D$3="Individual",IFERROR(VLOOKUP(D15,'Novice 15M - Scoring'!$B:$BB,53,0),99),IF(J15&lt;&gt;"",SUMPRODUCT((J$6:J$1000&gt;J15)*ISNUMBER(J$6:J$1000))+1+SUMPRODUCT((J$6:J$1000=J15)*(K$6:K$1000&gt;K15)*ISNUMBER(J$6:J$1000)*ISNUMBER(K$6:K$1000))+SUMPRODUCT((J$6:J$1000=J15)*(K$6:K$1000=K15)*(ROW(J$6:J$1000)&lt;15)*ISNUMBER(J$6:J$1000)),""))</f>
        <v>99</v>
      </c>
      <c r="B15" s="20" t="str">
        <f t="shared" si="0"/>
        <v/>
      </c>
      <c r="C15" s="47" t="str">
        <f>IFERROR(IF(D15&lt;&gt;"",VLOOKUP(D15,'Novice 15M - Scoring'!$B:$D,3,0),""),"")</f>
        <v/>
      </c>
      <c r="D15" s="48" t="str">
        <f>IF($D$4="By Club",IFERROR("",""),IF($D$3="Individual",IF(10&lt;=COUNTA('Novice 15M - Scoring'!$B$6:$B$1000),IFERROR(IF(ISNUMBER(MATCH(10,'Novice 15M - Scoring'!$BB:$BB,0)),IFERROR(INDEX('Novice 15M - Scoring'!$B:$B,MATCH(10,'Novice 15M - Scoring'!$BB:$BB,0)),""),""),""),""),IF($D$3="Double",IF(10&lt;=INT(COUNTA('Novice 15M - Scoring'!$B$6:$B$1000)/2),IFERROR(IF(ISNUMBER(MATCH(10,'Novice 15M - Scoring'!$BB:$BB,0)),IFERROR(INDEX('Novice 15M - Scoring'!$B:$B,MATCH(10,'Novice 15M - Scoring'!$BB:$BB,0)),""),""),""),""),IF(10&lt;=INT(COUNTA('Novice 15M - Scoring'!$B$6:$B$1000)/3),IFERROR(IF(ISNUMBER(MATCH(10,'Novice 15M - Scoring'!$BB:$BB,0)),IFERROR(INDEX('Novice 15M - Scoring'!$B:$B,MATCH(10,'Novice 15M - Scoring'!$BB:$BB,0)),""),""),""),""))))</f>
        <v/>
      </c>
      <c r="E15" s="49" t="str">
        <f>IF($D$3="Individual","",IF($D$4="By Club",IFERROR("",""),IF($D$3="Double",IF(10&lt;=INT(COUNTA('Novice 15M - Scoring'!$B$6:$B$1000)/2),IFERROR(IF(ISNUMBER(MATCH((COUNTA('Novice 15M - Scoring'!$B$6:$B$1000)-MOD(COUNTA('Novice 15M - Scoring'!$B$6:$B$1000),2))+1-10,'Novice 15M - Scoring'!$BB:$BB,0)),IFERROR(INDEX('Novice 15M - Scoring'!$B:$B,MATCH((COUNTA('Novice 15M - Scoring'!$B$6:$B$1000)-MOD(COUNTA('Novice 15M - Scoring'!$B$6:$B$1000),2))+1-10,'Novice 15M - Scoring'!$BB:$BB,0)),""),""),""),""),IF(10&lt;=INT(COUNTA('Novice 15M - Scoring'!$B$6:$B$1000)/3),IFERROR(IF(ISNUMBER(MATCH((COUNTA('Novice 15M - Scoring'!$B$6:$B$1000)-MOD(COUNTA('Novice 15M - Scoring'!$B$6:$B$1000),3))+1-10,'Novice 15M - Scoring'!$BB:$BB,0)),IFERROR(INDEX('Novice 15M - Scoring'!$B:$B,MATCH((COUNTA('Novice 15M - Scoring'!$B$6:$B$1000)-MOD(COUNTA('Novice 15M - Scoring'!$B$6:$B$1000),3))+1-10,'Novice 15M - Scoring'!$BB:$BB,0)),""),""),""),""))))</f>
        <v/>
      </c>
      <c r="F15" s="49" t="str">
        <f>IF($D$3&lt;&gt;"Team (3 archers)","",IF($D$4="By Club",IFERROR("",""),IF(10&lt;=INT(COUNTA('Novice 15M - Scoring'!$B$6:$B$1000)/3),IFERROR(IF(ISNUMBER(MATCH(INT((COUNTA('Novice 15M - Scoring'!$B$6:$B$1000)-MOD(COUNTA('Novice 15M - Scoring'!$B$6:$B$1000),3))/3)+10,'Novice 15M - Scoring'!$BB:$BB,0)),IFERROR(INDEX('Novice 15M - Scoring'!$B:$B,MATCH(INT((COUNTA('Novice 15M - Scoring'!$B$6:$B$1000)-MOD(COUNTA('Novice 15M - Scoring'!$B$6:$B$1000),3))/3)+10,'Novice 15M - Scoring'!$BB:$BB,0)),""),""),""),"")))</f>
        <v/>
      </c>
      <c r="G15" s="50">
        <f>IFERROR(IF(D15&lt;&gt;"",VLOOKUP(D15,'Novice 15M - Scoring'!$B:$AV,47,0),0),0)</f>
        <v>0</v>
      </c>
      <c r="H15" s="50">
        <f>IFERROR(IF(AND(OR($D$3="Double",$D$3="Team (3 archers)"),E15&lt;&gt;""),VLOOKUP(E15,'Novice 15M - Scoring'!$B:$AV,47,0),0),0)</f>
        <v>0</v>
      </c>
      <c r="I15" s="50">
        <f>IFERROR(IF(AND($D$3="Team (3 archers)",F15&lt;&gt;""),VLOOKUP(F15,'Novice 15M - Scoring'!$B:$AV,47,0),0),0)</f>
        <v>0</v>
      </c>
      <c r="J15" s="51" t="str">
        <f t="shared" si="1"/>
        <v/>
      </c>
      <c r="K15" s="52" t="str">
        <f>IF(D15&lt;&gt;"",IFERROR(IF(D15&lt;&gt;"",VLOOKUP(D15,'Novice 15M - Scoring'!$B:$BA,52,0),0),0)+IFERROR(IF(AND(OR($D$3="Double",$D$3="Team (3 archers)"),E15&lt;&gt;""),VLOOKUP(E15,'Novice 15M - Scoring'!$B:$BA,52,0),0),0)+IFERROR(IF(AND($D$3="Team (3 archers)",F15&lt;&gt;""),VLOOKUP(F15,'Novice 15M - Scoring'!$B:$BA,52,0),0),0),"")</f>
        <v/>
      </c>
      <c r="L15" s="40" t="s">
        <v>155</v>
      </c>
      <c r="M15" s="54" t="str">
        <f t="shared" si="2"/>
        <v/>
      </c>
      <c r="N15" s="55"/>
    </row>
    <row r="16" spans="1:14" ht="21.75" customHeight="1" x14ac:dyDescent="0.35">
      <c r="A16" s="46">
        <f>IF($D$3="Individual",IFERROR(VLOOKUP(D16,'Novice 15M - Scoring'!$B:$BB,53,0),99),IF(J16&lt;&gt;"",SUMPRODUCT((J$6:J$1000&gt;J16)*ISNUMBER(J$6:J$1000))+1+SUMPRODUCT((J$6:J$1000=J16)*(K$6:K$1000&gt;K16)*ISNUMBER(J$6:J$1000)*ISNUMBER(K$6:K$1000))+SUMPRODUCT((J$6:J$1000=J16)*(K$6:K$1000=K16)*(ROW(J$6:J$1000)&lt;16)*ISNUMBER(J$6:J$1000)),""))</f>
        <v>99</v>
      </c>
      <c r="B16" s="20" t="str">
        <f t="shared" si="0"/>
        <v/>
      </c>
      <c r="C16" s="47" t="str">
        <f>IFERROR(IF(D16&lt;&gt;"",VLOOKUP(D16,'Novice 15M - Scoring'!$B:$D,3,0),""),"")</f>
        <v/>
      </c>
      <c r="D16" s="48" t="str">
        <f>IF($D$4="By Club",IFERROR("",""),IF($D$3="Individual",IF(11&lt;=COUNTA('Novice 15M - Scoring'!$B$6:$B$1000),IFERROR(IF(ISNUMBER(MATCH(11,'Novice 15M - Scoring'!$BB:$BB,0)),IFERROR(INDEX('Novice 15M - Scoring'!$B:$B,MATCH(11,'Novice 15M - Scoring'!$BB:$BB,0)),""),""),""),""),IF($D$3="Double",IF(11&lt;=INT(COUNTA('Novice 15M - Scoring'!$B$6:$B$1000)/2),IFERROR(IF(ISNUMBER(MATCH(11,'Novice 15M - Scoring'!$BB:$BB,0)),IFERROR(INDEX('Novice 15M - Scoring'!$B:$B,MATCH(11,'Novice 15M - Scoring'!$BB:$BB,0)),""),""),""),""),IF(11&lt;=INT(COUNTA('Novice 15M - Scoring'!$B$6:$B$1000)/3),IFERROR(IF(ISNUMBER(MATCH(11,'Novice 15M - Scoring'!$BB:$BB,0)),IFERROR(INDEX('Novice 15M - Scoring'!$B:$B,MATCH(11,'Novice 15M - Scoring'!$BB:$BB,0)),""),""),""),""))))</f>
        <v/>
      </c>
      <c r="E16" s="49" t="str">
        <f>IF($D$3="Individual","",IF($D$4="By Club",IFERROR("",""),IF($D$3="Double",IF(11&lt;=INT(COUNTA('Novice 15M - Scoring'!$B$6:$B$1000)/2),IFERROR(IF(ISNUMBER(MATCH((COUNTA('Novice 15M - Scoring'!$B$6:$B$1000)-MOD(COUNTA('Novice 15M - Scoring'!$B$6:$B$1000),2))+1-11,'Novice 15M - Scoring'!$BB:$BB,0)),IFERROR(INDEX('Novice 15M - Scoring'!$B:$B,MATCH((COUNTA('Novice 15M - Scoring'!$B$6:$B$1000)-MOD(COUNTA('Novice 15M - Scoring'!$B$6:$B$1000),2))+1-11,'Novice 15M - Scoring'!$BB:$BB,0)),""),""),""),""),IF(11&lt;=INT(COUNTA('Novice 15M - Scoring'!$B$6:$B$1000)/3),IFERROR(IF(ISNUMBER(MATCH((COUNTA('Novice 15M - Scoring'!$B$6:$B$1000)-MOD(COUNTA('Novice 15M - Scoring'!$B$6:$B$1000),3))+1-11,'Novice 15M - Scoring'!$BB:$BB,0)),IFERROR(INDEX('Novice 15M - Scoring'!$B:$B,MATCH((COUNTA('Novice 15M - Scoring'!$B$6:$B$1000)-MOD(COUNTA('Novice 15M - Scoring'!$B$6:$B$1000),3))+1-11,'Novice 15M - Scoring'!$BB:$BB,0)),""),""),""),""))))</f>
        <v/>
      </c>
      <c r="F16" s="49" t="str">
        <f>IF($D$3&lt;&gt;"Team (3 archers)","",IF($D$4="By Club",IFERROR("",""),IF(11&lt;=INT(COUNTA('Novice 15M - Scoring'!$B$6:$B$1000)/3),IFERROR(IF(ISNUMBER(MATCH(INT((COUNTA('Novice 15M - Scoring'!$B$6:$B$1000)-MOD(COUNTA('Novice 15M - Scoring'!$B$6:$B$1000),3))/3)+11,'Novice 15M - Scoring'!$BB:$BB,0)),IFERROR(INDEX('Novice 15M - Scoring'!$B:$B,MATCH(INT((COUNTA('Novice 15M - Scoring'!$B$6:$B$1000)-MOD(COUNTA('Novice 15M - Scoring'!$B$6:$B$1000),3))/3)+11,'Novice 15M - Scoring'!$BB:$BB,0)),""),""),""),"")))</f>
        <v/>
      </c>
      <c r="G16" s="50">
        <f>IFERROR(IF(D16&lt;&gt;"",VLOOKUP(D16,'Novice 15M - Scoring'!$B:$AV,47,0),0),0)</f>
        <v>0</v>
      </c>
      <c r="H16" s="50">
        <f>IFERROR(IF(AND(OR($D$3="Double",$D$3="Team (3 archers)"),E16&lt;&gt;""),VLOOKUP(E16,'Novice 15M - Scoring'!$B:$AV,47,0),0),0)</f>
        <v>0</v>
      </c>
      <c r="I16" s="50">
        <f>IFERROR(IF(AND($D$3="Team (3 archers)",F16&lt;&gt;""),VLOOKUP(F16,'Novice 15M - Scoring'!$B:$AV,47,0),0),0)</f>
        <v>0</v>
      </c>
      <c r="J16" s="51" t="str">
        <f t="shared" si="1"/>
        <v/>
      </c>
      <c r="K16" s="52" t="str">
        <f>IF(D16&lt;&gt;"",IFERROR(IF(D16&lt;&gt;"",VLOOKUP(D16,'Novice 15M - Scoring'!$B:$BA,52,0),0),0)+IFERROR(IF(AND(OR($D$3="Double",$D$3="Team (3 archers)"),E16&lt;&gt;""),VLOOKUP(E16,'Novice 15M - Scoring'!$B:$BA,52,0),0),0)+IFERROR(IF(AND($D$3="Team (3 archers)",F16&lt;&gt;""),VLOOKUP(F16,'Novice 15M - Scoring'!$B:$BA,52,0),0),0),"")</f>
        <v/>
      </c>
      <c r="L16" s="53" t="s">
        <v>155</v>
      </c>
      <c r="M16" s="54" t="str">
        <f t="shared" si="2"/>
        <v/>
      </c>
      <c r="N16" s="55"/>
    </row>
    <row r="17" spans="1:14" ht="21.75" customHeight="1" x14ac:dyDescent="0.35">
      <c r="A17" s="46">
        <f>IF($D$3="Individual",IFERROR(VLOOKUP(D17,'Novice 15M - Scoring'!$B:$BB,53,0),99),IF(J17&lt;&gt;"",SUMPRODUCT((J$6:J$1000&gt;J17)*ISNUMBER(J$6:J$1000))+1+SUMPRODUCT((J$6:J$1000=J17)*(K$6:K$1000&gt;K17)*ISNUMBER(J$6:J$1000)*ISNUMBER(K$6:K$1000))+SUMPRODUCT((J$6:J$1000=J17)*(K$6:K$1000=K17)*(ROW(J$6:J$1000)&lt;17)*ISNUMBER(J$6:J$1000)),""))</f>
        <v>99</v>
      </c>
      <c r="B17" s="20" t="str">
        <f t="shared" si="0"/>
        <v/>
      </c>
      <c r="C17" s="47" t="str">
        <f>IFERROR(IF(D17&lt;&gt;"",VLOOKUP(D17,'Novice 15M - Scoring'!$B:$D,3,0),""),"")</f>
        <v/>
      </c>
      <c r="D17" s="48" t="str">
        <f>IF($D$4="By Club",IFERROR("",""),IF($D$3="Individual",IF(12&lt;=COUNTA('Novice 15M - Scoring'!$B$6:$B$1000),IFERROR(IF(ISNUMBER(MATCH(12,'Novice 15M - Scoring'!$BB:$BB,0)),IFERROR(INDEX('Novice 15M - Scoring'!$B:$B,MATCH(12,'Novice 15M - Scoring'!$BB:$BB,0)),""),""),""),""),IF($D$3="Double",IF(12&lt;=INT(COUNTA('Novice 15M - Scoring'!$B$6:$B$1000)/2),IFERROR(IF(ISNUMBER(MATCH(12,'Novice 15M - Scoring'!$BB:$BB,0)),IFERROR(INDEX('Novice 15M - Scoring'!$B:$B,MATCH(12,'Novice 15M - Scoring'!$BB:$BB,0)),""),""),""),""),IF(12&lt;=INT(COUNTA('Novice 15M - Scoring'!$B$6:$B$1000)/3),IFERROR(IF(ISNUMBER(MATCH(12,'Novice 15M - Scoring'!$BB:$BB,0)),IFERROR(INDEX('Novice 15M - Scoring'!$B:$B,MATCH(12,'Novice 15M - Scoring'!$BB:$BB,0)),""),""),""),""))))</f>
        <v/>
      </c>
      <c r="E17" s="49" t="str">
        <f>IF($D$3="Individual","",IF($D$4="By Club",IFERROR("",""),IF($D$3="Double",IF(12&lt;=INT(COUNTA('Novice 15M - Scoring'!$B$6:$B$1000)/2),IFERROR(IF(ISNUMBER(MATCH((COUNTA('Novice 15M - Scoring'!$B$6:$B$1000)-MOD(COUNTA('Novice 15M - Scoring'!$B$6:$B$1000),2))+1-12,'Novice 15M - Scoring'!$BB:$BB,0)),IFERROR(INDEX('Novice 15M - Scoring'!$B:$B,MATCH((COUNTA('Novice 15M - Scoring'!$B$6:$B$1000)-MOD(COUNTA('Novice 15M - Scoring'!$B$6:$B$1000),2))+1-12,'Novice 15M - Scoring'!$BB:$BB,0)),""),""),""),""),IF(12&lt;=INT(COUNTA('Novice 15M - Scoring'!$B$6:$B$1000)/3),IFERROR(IF(ISNUMBER(MATCH((COUNTA('Novice 15M - Scoring'!$B$6:$B$1000)-MOD(COUNTA('Novice 15M - Scoring'!$B$6:$B$1000),3))+1-12,'Novice 15M - Scoring'!$BB:$BB,0)),IFERROR(INDEX('Novice 15M - Scoring'!$B:$B,MATCH((COUNTA('Novice 15M - Scoring'!$B$6:$B$1000)-MOD(COUNTA('Novice 15M - Scoring'!$B$6:$B$1000),3))+1-12,'Novice 15M - Scoring'!$BB:$BB,0)),""),""),""),""))))</f>
        <v/>
      </c>
      <c r="F17" s="49" t="str">
        <f>IF($D$3&lt;&gt;"Team (3 archers)","",IF($D$4="By Club",IFERROR("",""),IF(12&lt;=INT(COUNTA('Novice 15M - Scoring'!$B$6:$B$1000)/3),IFERROR(IF(ISNUMBER(MATCH(INT((COUNTA('Novice 15M - Scoring'!$B$6:$B$1000)-MOD(COUNTA('Novice 15M - Scoring'!$B$6:$B$1000),3))/3)+12,'Novice 15M - Scoring'!$BB:$BB,0)),IFERROR(INDEX('Novice 15M - Scoring'!$B:$B,MATCH(INT((COUNTA('Novice 15M - Scoring'!$B$6:$B$1000)-MOD(COUNTA('Novice 15M - Scoring'!$B$6:$B$1000),3))/3)+12,'Novice 15M - Scoring'!$BB:$BB,0)),""),""),""),"")))</f>
        <v/>
      </c>
      <c r="G17" s="50">
        <f>IFERROR(IF(D17&lt;&gt;"",VLOOKUP(D17,'Novice 15M - Scoring'!$B:$AV,47,0),0),0)</f>
        <v>0</v>
      </c>
      <c r="H17" s="50">
        <f>IFERROR(IF(AND(OR($D$3="Double",$D$3="Team (3 archers)"),E17&lt;&gt;""),VLOOKUP(E17,'Novice 15M - Scoring'!$B:$AV,47,0),0),0)</f>
        <v>0</v>
      </c>
      <c r="I17" s="50">
        <f>IFERROR(IF(AND($D$3="Team (3 archers)",F17&lt;&gt;""),VLOOKUP(F17,'Novice 15M - Scoring'!$B:$AV,47,0),0),0)</f>
        <v>0</v>
      </c>
      <c r="J17" s="51" t="str">
        <f t="shared" si="1"/>
        <v/>
      </c>
      <c r="K17" s="52" t="str">
        <f>IF(D17&lt;&gt;"",IFERROR(IF(D17&lt;&gt;"",VLOOKUP(D17,'Novice 15M - Scoring'!$B:$BA,52,0),0),0)+IFERROR(IF(AND(OR($D$3="Double",$D$3="Team (3 archers)"),E17&lt;&gt;""),VLOOKUP(E17,'Novice 15M - Scoring'!$B:$BA,52,0),0),0)+IFERROR(IF(AND($D$3="Team (3 archers)",F17&lt;&gt;""),VLOOKUP(F17,'Novice 15M - Scoring'!$B:$BA,52,0),0),0),"")</f>
        <v/>
      </c>
      <c r="L17" s="40" t="s">
        <v>155</v>
      </c>
      <c r="M17" s="54" t="str">
        <f t="shared" si="2"/>
        <v/>
      </c>
      <c r="N17" s="55"/>
    </row>
    <row r="18" spans="1:14" ht="21.75" customHeight="1" x14ac:dyDescent="0.35">
      <c r="A18" s="46">
        <f>IF($D$3="Individual",IFERROR(VLOOKUP(D18,'Novice 15M - Scoring'!$B:$BB,53,0),99),IF(J18&lt;&gt;"",SUMPRODUCT((J$6:J$1000&gt;J18)*ISNUMBER(J$6:J$1000))+1+SUMPRODUCT((J$6:J$1000=J18)*(K$6:K$1000&gt;K18)*ISNUMBER(J$6:J$1000)*ISNUMBER(K$6:K$1000))+SUMPRODUCT((J$6:J$1000=J18)*(K$6:K$1000=K18)*(ROW(J$6:J$1000)&lt;18)*ISNUMBER(J$6:J$1000)),""))</f>
        <v>99</v>
      </c>
      <c r="B18" s="20" t="str">
        <f t="shared" si="0"/>
        <v/>
      </c>
      <c r="C18" s="47" t="str">
        <f>IFERROR(IF(D18&lt;&gt;"",VLOOKUP(D18,'Novice 15M - Scoring'!$B:$D,3,0),""),"")</f>
        <v/>
      </c>
      <c r="D18" s="48" t="str">
        <f>IF($D$4="By Club",IFERROR("",""),IF($D$3="Individual",IF(13&lt;=COUNTA('Novice 15M - Scoring'!$B$6:$B$1000),IFERROR(IF(ISNUMBER(MATCH(13,'Novice 15M - Scoring'!$BB:$BB,0)),IFERROR(INDEX('Novice 15M - Scoring'!$B:$B,MATCH(13,'Novice 15M - Scoring'!$BB:$BB,0)),""),""),""),""),IF($D$3="Double",IF(13&lt;=INT(COUNTA('Novice 15M - Scoring'!$B$6:$B$1000)/2),IFERROR(IF(ISNUMBER(MATCH(13,'Novice 15M - Scoring'!$BB:$BB,0)),IFERROR(INDEX('Novice 15M - Scoring'!$B:$B,MATCH(13,'Novice 15M - Scoring'!$BB:$BB,0)),""),""),""),""),IF(13&lt;=INT(COUNTA('Novice 15M - Scoring'!$B$6:$B$1000)/3),IFERROR(IF(ISNUMBER(MATCH(13,'Novice 15M - Scoring'!$BB:$BB,0)),IFERROR(INDEX('Novice 15M - Scoring'!$B:$B,MATCH(13,'Novice 15M - Scoring'!$BB:$BB,0)),""),""),""),""))))</f>
        <v/>
      </c>
      <c r="E18" s="49" t="str">
        <f>IF($D$3="Individual","",IF($D$4="By Club",IFERROR("",""),IF($D$3="Double",IF(13&lt;=INT(COUNTA('Novice 15M - Scoring'!$B$6:$B$1000)/2),IFERROR(IF(ISNUMBER(MATCH((COUNTA('Novice 15M - Scoring'!$B$6:$B$1000)-MOD(COUNTA('Novice 15M - Scoring'!$B$6:$B$1000),2))+1-13,'Novice 15M - Scoring'!$BB:$BB,0)),IFERROR(INDEX('Novice 15M - Scoring'!$B:$B,MATCH((COUNTA('Novice 15M - Scoring'!$B$6:$B$1000)-MOD(COUNTA('Novice 15M - Scoring'!$B$6:$B$1000),2))+1-13,'Novice 15M - Scoring'!$BB:$BB,0)),""),""),""),""),IF(13&lt;=INT(COUNTA('Novice 15M - Scoring'!$B$6:$B$1000)/3),IFERROR(IF(ISNUMBER(MATCH((COUNTA('Novice 15M - Scoring'!$B$6:$B$1000)-MOD(COUNTA('Novice 15M - Scoring'!$B$6:$B$1000),3))+1-13,'Novice 15M - Scoring'!$BB:$BB,0)),IFERROR(INDEX('Novice 15M - Scoring'!$B:$B,MATCH((COUNTA('Novice 15M - Scoring'!$B$6:$B$1000)-MOD(COUNTA('Novice 15M - Scoring'!$B$6:$B$1000),3))+1-13,'Novice 15M - Scoring'!$BB:$BB,0)),""),""),""),""))))</f>
        <v/>
      </c>
      <c r="F18" s="49" t="str">
        <f>IF($D$3&lt;&gt;"Team (3 archers)","",IF($D$4="By Club",IFERROR("",""),IF(13&lt;=INT(COUNTA('Novice 15M - Scoring'!$B$6:$B$1000)/3),IFERROR(IF(ISNUMBER(MATCH(INT((COUNTA('Novice 15M - Scoring'!$B$6:$B$1000)-MOD(COUNTA('Novice 15M - Scoring'!$B$6:$B$1000),3))/3)+13,'Novice 15M - Scoring'!$BB:$BB,0)),IFERROR(INDEX('Novice 15M - Scoring'!$B:$B,MATCH(INT((COUNTA('Novice 15M - Scoring'!$B$6:$B$1000)-MOD(COUNTA('Novice 15M - Scoring'!$B$6:$B$1000),3))/3)+13,'Novice 15M - Scoring'!$BB:$BB,0)),""),""),""),"")))</f>
        <v/>
      </c>
      <c r="G18" s="50">
        <f>IFERROR(IF(D18&lt;&gt;"",VLOOKUP(D18,'Novice 15M - Scoring'!$B:$AV,47,0),0),0)</f>
        <v>0</v>
      </c>
      <c r="H18" s="50">
        <f>IFERROR(IF(AND(OR($D$3="Double",$D$3="Team (3 archers)"),E18&lt;&gt;""),VLOOKUP(E18,'Novice 15M - Scoring'!$B:$AV,47,0),0),0)</f>
        <v>0</v>
      </c>
      <c r="I18" s="50">
        <f>IFERROR(IF(AND($D$3="Team (3 archers)",F18&lt;&gt;""),VLOOKUP(F18,'Novice 15M - Scoring'!$B:$AV,47,0),0),0)</f>
        <v>0</v>
      </c>
      <c r="J18" s="51" t="str">
        <f t="shared" si="1"/>
        <v/>
      </c>
      <c r="K18" s="52" t="str">
        <f>IF(D18&lt;&gt;"",IFERROR(IF(D18&lt;&gt;"",VLOOKUP(D18,'Novice 15M - Scoring'!$B:$BA,52,0),0),0)+IFERROR(IF(AND(OR($D$3="Double",$D$3="Team (3 archers)"),E18&lt;&gt;""),VLOOKUP(E18,'Novice 15M - Scoring'!$B:$BA,52,0),0),0)+IFERROR(IF(AND($D$3="Team (3 archers)",F18&lt;&gt;""),VLOOKUP(F18,'Novice 15M - Scoring'!$B:$BA,52,0),0),0),"")</f>
        <v/>
      </c>
      <c r="L18" s="53" t="s">
        <v>155</v>
      </c>
      <c r="M18" s="54" t="str">
        <f t="shared" si="2"/>
        <v/>
      </c>
      <c r="N18" s="55"/>
    </row>
    <row r="19" spans="1:14" ht="21.75" customHeight="1" x14ac:dyDescent="0.35">
      <c r="A19" s="46">
        <f>IF($D$3="Individual",IFERROR(VLOOKUP(D19,'Novice 15M - Scoring'!$B:$BB,53,0),99),IF(J19&lt;&gt;"",SUMPRODUCT((J$6:J$1000&gt;J19)*ISNUMBER(J$6:J$1000))+1+SUMPRODUCT((J$6:J$1000=J19)*(K$6:K$1000&gt;K19)*ISNUMBER(J$6:J$1000)*ISNUMBER(K$6:K$1000))+SUMPRODUCT((J$6:J$1000=J19)*(K$6:K$1000=K19)*(ROW(J$6:J$1000)&lt;19)*ISNUMBER(J$6:J$1000)),""))</f>
        <v>99</v>
      </c>
      <c r="B19" s="20" t="str">
        <f t="shared" si="0"/>
        <v/>
      </c>
      <c r="C19" s="47" t="str">
        <f>IFERROR(IF(D19&lt;&gt;"",VLOOKUP(D19,'Novice 15M - Scoring'!$B:$D,3,0),""),"")</f>
        <v/>
      </c>
      <c r="D19" s="48" t="str">
        <f>IF($D$4="By Club",IFERROR("",""),IF($D$3="Individual",IF(14&lt;=COUNTA('Novice 15M - Scoring'!$B$6:$B$1000),IFERROR(IF(ISNUMBER(MATCH(14,'Novice 15M - Scoring'!$BB:$BB,0)),IFERROR(INDEX('Novice 15M - Scoring'!$B:$B,MATCH(14,'Novice 15M - Scoring'!$BB:$BB,0)),""),""),""),""),IF($D$3="Double",IF(14&lt;=INT(COUNTA('Novice 15M - Scoring'!$B$6:$B$1000)/2),IFERROR(IF(ISNUMBER(MATCH(14,'Novice 15M - Scoring'!$BB:$BB,0)),IFERROR(INDEX('Novice 15M - Scoring'!$B:$B,MATCH(14,'Novice 15M - Scoring'!$BB:$BB,0)),""),""),""),""),IF(14&lt;=INT(COUNTA('Novice 15M - Scoring'!$B$6:$B$1000)/3),IFERROR(IF(ISNUMBER(MATCH(14,'Novice 15M - Scoring'!$BB:$BB,0)),IFERROR(INDEX('Novice 15M - Scoring'!$B:$B,MATCH(14,'Novice 15M - Scoring'!$BB:$BB,0)),""),""),""),""))))</f>
        <v/>
      </c>
      <c r="E19" s="49" t="str">
        <f>IF($D$3="Individual","",IF($D$4="By Club",IFERROR("",""),IF($D$3="Double",IF(14&lt;=INT(COUNTA('Novice 15M - Scoring'!$B$6:$B$1000)/2),IFERROR(IF(ISNUMBER(MATCH((COUNTA('Novice 15M - Scoring'!$B$6:$B$1000)-MOD(COUNTA('Novice 15M - Scoring'!$B$6:$B$1000),2))+1-14,'Novice 15M - Scoring'!$BB:$BB,0)),IFERROR(INDEX('Novice 15M - Scoring'!$B:$B,MATCH((COUNTA('Novice 15M - Scoring'!$B$6:$B$1000)-MOD(COUNTA('Novice 15M - Scoring'!$B$6:$B$1000),2))+1-14,'Novice 15M - Scoring'!$BB:$BB,0)),""),""),""),""),IF(14&lt;=INT(COUNTA('Novice 15M - Scoring'!$B$6:$B$1000)/3),IFERROR(IF(ISNUMBER(MATCH((COUNTA('Novice 15M - Scoring'!$B$6:$B$1000)-MOD(COUNTA('Novice 15M - Scoring'!$B$6:$B$1000),3))+1-14,'Novice 15M - Scoring'!$BB:$BB,0)),IFERROR(INDEX('Novice 15M - Scoring'!$B:$B,MATCH((COUNTA('Novice 15M - Scoring'!$B$6:$B$1000)-MOD(COUNTA('Novice 15M - Scoring'!$B$6:$B$1000),3))+1-14,'Novice 15M - Scoring'!$BB:$BB,0)),""),""),""),""))))</f>
        <v/>
      </c>
      <c r="F19" s="49" t="str">
        <f>IF($D$3&lt;&gt;"Team (3 archers)","",IF($D$4="By Club",IFERROR("",""),IF(14&lt;=INT(COUNTA('Novice 15M - Scoring'!$B$6:$B$1000)/3),IFERROR(IF(ISNUMBER(MATCH(INT((COUNTA('Novice 15M - Scoring'!$B$6:$B$1000)-MOD(COUNTA('Novice 15M - Scoring'!$B$6:$B$1000),3))/3)+14,'Novice 15M - Scoring'!$BB:$BB,0)),IFERROR(INDEX('Novice 15M - Scoring'!$B:$B,MATCH(INT((COUNTA('Novice 15M - Scoring'!$B$6:$B$1000)-MOD(COUNTA('Novice 15M - Scoring'!$B$6:$B$1000),3))/3)+14,'Novice 15M - Scoring'!$BB:$BB,0)),""),""),""),"")))</f>
        <v/>
      </c>
      <c r="G19" s="50">
        <f>IFERROR(IF(D19&lt;&gt;"",VLOOKUP(D19,'Novice 15M - Scoring'!$B:$AV,47,0),0),0)</f>
        <v>0</v>
      </c>
      <c r="H19" s="50">
        <f>IFERROR(IF(AND(OR($D$3="Double",$D$3="Team (3 archers)"),E19&lt;&gt;""),VLOOKUP(E19,'Novice 15M - Scoring'!$B:$AV,47,0),0),0)</f>
        <v>0</v>
      </c>
      <c r="I19" s="50">
        <f>IFERROR(IF(AND($D$3="Team (3 archers)",F19&lt;&gt;""),VLOOKUP(F19,'Novice 15M - Scoring'!$B:$AV,47,0),0),0)</f>
        <v>0</v>
      </c>
      <c r="J19" s="51" t="str">
        <f t="shared" si="1"/>
        <v/>
      </c>
      <c r="K19" s="52" t="str">
        <f>IF(D19&lt;&gt;"",IFERROR(IF(D19&lt;&gt;"",VLOOKUP(D19,'Novice 15M - Scoring'!$B:$BA,52,0),0),0)+IFERROR(IF(AND(OR($D$3="Double",$D$3="Team (3 archers)"),E19&lt;&gt;""),VLOOKUP(E19,'Novice 15M - Scoring'!$B:$BA,52,0),0),0)+IFERROR(IF(AND($D$3="Team (3 archers)",F19&lt;&gt;""),VLOOKUP(F19,'Novice 15M - Scoring'!$B:$BA,52,0),0),0),"")</f>
        <v/>
      </c>
      <c r="L19" s="40" t="s">
        <v>155</v>
      </c>
      <c r="M19" s="54" t="str">
        <f t="shared" si="2"/>
        <v/>
      </c>
      <c r="N19" s="55"/>
    </row>
    <row r="20" spans="1:14" ht="21.75" customHeight="1" x14ac:dyDescent="0.35">
      <c r="A20" s="46">
        <f>IF($D$3="Individual",IFERROR(VLOOKUP(D20,'Novice 15M - Scoring'!$B:$BB,53,0),99),IF(J20&lt;&gt;"",SUMPRODUCT((J$6:J$1000&gt;J20)*ISNUMBER(J$6:J$1000))+1+SUMPRODUCT((J$6:J$1000=J20)*(K$6:K$1000&gt;K20)*ISNUMBER(J$6:J$1000)*ISNUMBER(K$6:K$1000))+SUMPRODUCT((J$6:J$1000=J20)*(K$6:K$1000=K20)*(ROW(J$6:J$1000)&lt;20)*ISNUMBER(J$6:J$1000)),""))</f>
        <v>99</v>
      </c>
      <c r="B20" s="20" t="str">
        <f t="shared" si="0"/>
        <v/>
      </c>
      <c r="C20" s="47" t="str">
        <f>IFERROR(IF(D20&lt;&gt;"",VLOOKUP(D20,'Novice 15M - Scoring'!$B:$D,3,0),""),"")</f>
        <v/>
      </c>
      <c r="D20" s="48" t="str">
        <f>IF($D$4="By Club",IFERROR("",""),IF($D$3="Individual",IF(15&lt;=COUNTA('Novice 15M - Scoring'!$B$6:$B$1000),IFERROR(IF(ISNUMBER(MATCH(15,'Novice 15M - Scoring'!$BB:$BB,0)),IFERROR(INDEX('Novice 15M - Scoring'!$B:$B,MATCH(15,'Novice 15M - Scoring'!$BB:$BB,0)),""),""),""),""),IF($D$3="Double",IF(15&lt;=INT(COUNTA('Novice 15M - Scoring'!$B$6:$B$1000)/2),IFERROR(IF(ISNUMBER(MATCH(15,'Novice 15M - Scoring'!$BB:$BB,0)),IFERROR(INDEX('Novice 15M - Scoring'!$B:$B,MATCH(15,'Novice 15M - Scoring'!$BB:$BB,0)),""),""),""),""),IF(15&lt;=INT(COUNTA('Novice 15M - Scoring'!$B$6:$B$1000)/3),IFERROR(IF(ISNUMBER(MATCH(15,'Novice 15M - Scoring'!$BB:$BB,0)),IFERROR(INDEX('Novice 15M - Scoring'!$B:$B,MATCH(15,'Novice 15M - Scoring'!$BB:$BB,0)),""),""),""),""))))</f>
        <v/>
      </c>
      <c r="E20" s="49" t="str">
        <f>IF($D$3="Individual","",IF($D$4="By Club",IFERROR("",""),IF($D$3="Double",IF(15&lt;=INT(COUNTA('Novice 15M - Scoring'!$B$6:$B$1000)/2),IFERROR(IF(ISNUMBER(MATCH((COUNTA('Novice 15M - Scoring'!$B$6:$B$1000)-MOD(COUNTA('Novice 15M - Scoring'!$B$6:$B$1000),2))+1-15,'Novice 15M - Scoring'!$BB:$BB,0)),IFERROR(INDEX('Novice 15M - Scoring'!$B:$B,MATCH((COUNTA('Novice 15M - Scoring'!$B$6:$B$1000)-MOD(COUNTA('Novice 15M - Scoring'!$B$6:$B$1000),2))+1-15,'Novice 15M - Scoring'!$BB:$BB,0)),""),""),""),""),IF(15&lt;=INT(COUNTA('Novice 15M - Scoring'!$B$6:$B$1000)/3),IFERROR(IF(ISNUMBER(MATCH((COUNTA('Novice 15M - Scoring'!$B$6:$B$1000)-MOD(COUNTA('Novice 15M - Scoring'!$B$6:$B$1000),3))+1-15,'Novice 15M - Scoring'!$BB:$BB,0)),IFERROR(INDEX('Novice 15M - Scoring'!$B:$B,MATCH((COUNTA('Novice 15M - Scoring'!$B$6:$B$1000)-MOD(COUNTA('Novice 15M - Scoring'!$B$6:$B$1000),3))+1-15,'Novice 15M - Scoring'!$BB:$BB,0)),""),""),""),""))))</f>
        <v/>
      </c>
      <c r="F20" s="49" t="str">
        <f>IF($D$3&lt;&gt;"Team (3 archers)","",IF($D$4="By Club",IFERROR("",""),IF(15&lt;=INT(COUNTA('Novice 15M - Scoring'!$B$6:$B$1000)/3),IFERROR(IF(ISNUMBER(MATCH(INT((COUNTA('Novice 15M - Scoring'!$B$6:$B$1000)-MOD(COUNTA('Novice 15M - Scoring'!$B$6:$B$1000),3))/3)+15,'Novice 15M - Scoring'!$BB:$BB,0)),IFERROR(INDEX('Novice 15M - Scoring'!$B:$B,MATCH(INT((COUNTA('Novice 15M - Scoring'!$B$6:$B$1000)-MOD(COUNTA('Novice 15M - Scoring'!$B$6:$B$1000),3))/3)+15,'Novice 15M - Scoring'!$BB:$BB,0)),""),""),""),"")))</f>
        <v/>
      </c>
      <c r="G20" s="50">
        <f>IFERROR(IF(D20&lt;&gt;"",VLOOKUP(D20,'Novice 15M - Scoring'!$B:$AV,47,0),0),0)</f>
        <v>0</v>
      </c>
      <c r="H20" s="50">
        <f>IFERROR(IF(AND(OR($D$3="Double",$D$3="Team (3 archers)"),E20&lt;&gt;""),VLOOKUP(E20,'Novice 15M - Scoring'!$B:$AV,47,0),0),0)</f>
        <v>0</v>
      </c>
      <c r="I20" s="50">
        <f>IFERROR(IF(AND($D$3="Team (3 archers)",F20&lt;&gt;""),VLOOKUP(F20,'Novice 15M - Scoring'!$B:$AV,47,0),0),0)</f>
        <v>0</v>
      </c>
      <c r="J20" s="51" t="str">
        <f t="shared" si="1"/>
        <v/>
      </c>
      <c r="K20" s="52" t="str">
        <f>IF(D20&lt;&gt;"",IFERROR(IF(D20&lt;&gt;"",VLOOKUP(D20,'Novice 15M - Scoring'!$B:$BA,52,0),0),0)+IFERROR(IF(AND(OR($D$3="Double",$D$3="Team (3 archers)"),E20&lt;&gt;""),VLOOKUP(E20,'Novice 15M - Scoring'!$B:$BA,52,0),0),0)+IFERROR(IF(AND($D$3="Team (3 archers)",F20&lt;&gt;""),VLOOKUP(F20,'Novice 15M - Scoring'!$B:$BA,52,0),0),0),"")</f>
        <v/>
      </c>
      <c r="L20" s="53" t="s">
        <v>155</v>
      </c>
      <c r="M20" s="54" t="str">
        <f t="shared" si="2"/>
        <v/>
      </c>
      <c r="N20" s="55"/>
    </row>
    <row r="21" spans="1:14" ht="21.75" customHeight="1" x14ac:dyDescent="0.35">
      <c r="A21" s="46">
        <f>IF($D$3="Individual",IFERROR(VLOOKUP(D21,'Novice 15M - Scoring'!$B:$BB,53,0),99),IF(J21&lt;&gt;"",SUMPRODUCT((J$6:J$1000&gt;J21)*ISNUMBER(J$6:J$1000))+1+SUMPRODUCT((J$6:J$1000=J21)*(K$6:K$1000&gt;K21)*ISNUMBER(J$6:J$1000)*ISNUMBER(K$6:K$1000))+SUMPRODUCT((J$6:J$1000=J21)*(K$6:K$1000=K21)*(ROW(J$6:J$1000)&lt;21)*ISNUMBER(J$6:J$1000)),""))</f>
        <v>99</v>
      </c>
      <c r="B21" s="20" t="str">
        <f t="shared" si="0"/>
        <v/>
      </c>
      <c r="C21" s="47" t="str">
        <f>IFERROR(IF(D21&lt;&gt;"",VLOOKUP(D21,'Novice 15M - Scoring'!$B:$D,3,0),""),"")</f>
        <v/>
      </c>
      <c r="D21" s="48" t="str">
        <f>IF($D$4="By Club",IFERROR("",""),IF($D$3="Individual",IF(16&lt;=COUNTA('Novice 15M - Scoring'!$B$6:$B$1000),IFERROR(IF(ISNUMBER(MATCH(16,'Novice 15M - Scoring'!$BB:$BB,0)),IFERROR(INDEX('Novice 15M - Scoring'!$B:$B,MATCH(16,'Novice 15M - Scoring'!$BB:$BB,0)),""),""),""),""),IF($D$3="Double",IF(16&lt;=INT(COUNTA('Novice 15M - Scoring'!$B$6:$B$1000)/2),IFERROR(IF(ISNUMBER(MATCH(16,'Novice 15M - Scoring'!$BB:$BB,0)),IFERROR(INDEX('Novice 15M - Scoring'!$B:$B,MATCH(16,'Novice 15M - Scoring'!$BB:$BB,0)),""),""),""),""),IF(16&lt;=INT(COUNTA('Novice 15M - Scoring'!$B$6:$B$1000)/3),IFERROR(IF(ISNUMBER(MATCH(16,'Novice 15M - Scoring'!$BB:$BB,0)),IFERROR(INDEX('Novice 15M - Scoring'!$B:$B,MATCH(16,'Novice 15M - Scoring'!$BB:$BB,0)),""),""),""),""))))</f>
        <v/>
      </c>
      <c r="E21" s="49" t="str">
        <f>IF($D$3="Individual","",IF($D$4="By Club",IFERROR("",""),IF($D$3="Double",IF(16&lt;=INT(COUNTA('Novice 15M - Scoring'!$B$6:$B$1000)/2),IFERROR(IF(ISNUMBER(MATCH((COUNTA('Novice 15M - Scoring'!$B$6:$B$1000)-MOD(COUNTA('Novice 15M - Scoring'!$B$6:$B$1000),2))+1-16,'Novice 15M - Scoring'!$BB:$BB,0)),IFERROR(INDEX('Novice 15M - Scoring'!$B:$B,MATCH((COUNTA('Novice 15M - Scoring'!$B$6:$B$1000)-MOD(COUNTA('Novice 15M - Scoring'!$B$6:$B$1000),2))+1-16,'Novice 15M - Scoring'!$BB:$BB,0)),""),""),""),""),IF(16&lt;=INT(COUNTA('Novice 15M - Scoring'!$B$6:$B$1000)/3),IFERROR(IF(ISNUMBER(MATCH((COUNTA('Novice 15M - Scoring'!$B$6:$B$1000)-MOD(COUNTA('Novice 15M - Scoring'!$B$6:$B$1000),3))+1-16,'Novice 15M - Scoring'!$BB:$BB,0)),IFERROR(INDEX('Novice 15M - Scoring'!$B:$B,MATCH((COUNTA('Novice 15M - Scoring'!$B$6:$B$1000)-MOD(COUNTA('Novice 15M - Scoring'!$B$6:$B$1000),3))+1-16,'Novice 15M - Scoring'!$BB:$BB,0)),""),""),""),""))))</f>
        <v/>
      </c>
      <c r="F21" s="49" t="str">
        <f>IF($D$3&lt;&gt;"Team (3 archers)","",IF($D$4="By Club",IFERROR("",""),IF(16&lt;=INT(COUNTA('Novice 15M - Scoring'!$B$6:$B$1000)/3),IFERROR(IF(ISNUMBER(MATCH(INT((COUNTA('Novice 15M - Scoring'!$B$6:$B$1000)-MOD(COUNTA('Novice 15M - Scoring'!$B$6:$B$1000),3))/3)+16,'Novice 15M - Scoring'!$BB:$BB,0)),IFERROR(INDEX('Novice 15M - Scoring'!$B:$B,MATCH(INT((COUNTA('Novice 15M - Scoring'!$B$6:$B$1000)-MOD(COUNTA('Novice 15M - Scoring'!$B$6:$B$1000),3))/3)+16,'Novice 15M - Scoring'!$BB:$BB,0)),""),""),""),"")))</f>
        <v/>
      </c>
      <c r="G21" s="50">
        <f>IFERROR(IF(D21&lt;&gt;"",VLOOKUP(D21,'Novice 15M - Scoring'!$B:$AV,47,0),0),0)</f>
        <v>0</v>
      </c>
      <c r="H21" s="50">
        <f>IFERROR(IF(AND(OR($D$3="Double",$D$3="Team (3 archers)"),E21&lt;&gt;""),VLOOKUP(E21,'Novice 15M - Scoring'!$B:$AV,47,0),0),0)</f>
        <v>0</v>
      </c>
      <c r="I21" s="50">
        <f>IFERROR(IF(AND($D$3="Team (3 archers)",F21&lt;&gt;""),VLOOKUP(F21,'Novice 15M - Scoring'!$B:$AV,47,0),0),0)</f>
        <v>0</v>
      </c>
      <c r="J21" s="51" t="str">
        <f t="shared" si="1"/>
        <v/>
      </c>
      <c r="K21" s="52" t="str">
        <f>IF(D21&lt;&gt;"",IFERROR(IF(D21&lt;&gt;"",VLOOKUP(D21,'Novice 15M - Scoring'!$B:$BA,52,0),0),0)+IFERROR(IF(AND(OR($D$3="Double",$D$3="Team (3 archers)"),E21&lt;&gt;""),VLOOKUP(E21,'Novice 15M - Scoring'!$B:$BA,52,0),0),0)+IFERROR(IF(AND($D$3="Team (3 archers)",F21&lt;&gt;""),VLOOKUP(F21,'Novice 15M - Scoring'!$B:$BA,52,0),0),0),"")</f>
        <v/>
      </c>
      <c r="L21" s="40" t="s">
        <v>155</v>
      </c>
      <c r="M21" s="54" t="str">
        <f t="shared" si="2"/>
        <v/>
      </c>
      <c r="N21" s="55"/>
    </row>
    <row r="22" spans="1:14" ht="21.75" customHeight="1" x14ac:dyDescent="0.35">
      <c r="A22" s="46">
        <f>IF($D$3="Individual",IFERROR(VLOOKUP(D22,'Novice 15M - Scoring'!$B:$BB,53,0),99),IF(J22&lt;&gt;"",SUMPRODUCT((J$6:J$1000&gt;J22)*ISNUMBER(J$6:J$1000))+1+SUMPRODUCT((J$6:J$1000=J22)*(K$6:K$1000&gt;K22)*ISNUMBER(J$6:J$1000)*ISNUMBER(K$6:K$1000))+SUMPRODUCT((J$6:J$1000=J22)*(K$6:K$1000=K22)*(ROW(J$6:J$1000)&lt;22)*ISNUMBER(J$6:J$1000)),""))</f>
        <v>99</v>
      </c>
      <c r="B22" s="20" t="str">
        <f t="shared" si="0"/>
        <v/>
      </c>
      <c r="C22" s="47" t="str">
        <f>IFERROR(IF(D22&lt;&gt;"",VLOOKUP(D22,'Novice 15M - Scoring'!$B:$D,3,0),""),"")</f>
        <v/>
      </c>
      <c r="D22" s="48" t="str">
        <f>IF($D$4="By Club",IFERROR("",""),IF($D$3="Individual",IF(17&lt;=COUNTA('Novice 15M - Scoring'!$B$6:$B$1000),IFERROR(IF(ISNUMBER(MATCH(17,'Novice 15M - Scoring'!$BB:$BB,0)),IFERROR(INDEX('Novice 15M - Scoring'!$B:$B,MATCH(17,'Novice 15M - Scoring'!$BB:$BB,0)),""),""),""),""),IF($D$3="Double",IF(17&lt;=INT(COUNTA('Novice 15M - Scoring'!$B$6:$B$1000)/2),IFERROR(IF(ISNUMBER(MATCH(17,'Novice 15M - Scoring'!$BB:$BB,0)),IFERROR(INDEX('Novice 15M - Scoring'!$B:$B,MATCH(17,'Novice 15M - Scoring'!$BB:$BB,0)),""),""),""),""),IF(17&lt;=INT(COUNTA('Novice 15M - Scoring'!$B$6:$B$1000)/3),IFERROR(IF(ISNUMBER(MATCH(17,'Novice 15M - Scoring'!$BB:$BB,0)),IFERROR(INDEX('Novice 15M - Scoring'!$B:$B,MATCH(17,'Novice 15M - Scoring'!$BB:$BB,0)),""),""),""),""))))</f>
        <v/>
      </c>
      <c r="E22" s="49" t="str">
        <f>IF($D$3="Individual","",IF($D$4="By Club",IFERROR("",""),IF($D$3="Double",IF(17&lt;=INT(COUNTA('Novice 15M - Scoring'!$B$6:$B$1000)/2),IFERROR(IF(ISNUMBER(MATCH((COUNTA('Novice 15M - Scoring'!$B$6:$B$1000)-MOD(COUNTA('Novice 15M - Scoring'!$B$6:$B$1000),2))+1-17,'Novice 15M - Scoring'!$BB:$BB,0)),IFERROR(INDEX('Novice 15M - Scoring'!$B:$B,MATCH((COUNTA('Novice 15M - Scoring'!$B$6:$B$1000)-MOD(COUNTA('Novice 15M - Scoring'!$B$6:$B$1000),2))+1-17,'Novice 15M - Scoring'!$BB:$BB,0)),""),""),""),""),IF(17&lt;=INT(COUNTA('Novice 15M - Scoring'!$B$6:$B$1000)/3),IFERROR(IF(ISNUMBER(MATCH((COUNTA('Novice 15M - Scoring'!$B$6:$B$1000)-MOD(COUNTA('Novice 15M - Scoring'!$B$6:$B$1000),3))+1-17,'Novice 15M - Scoring'!$BB:$BB,0)),IFERROR(INDEX('Novice 15M - Scoring'!$B:$B,MATCH((COUNTA('Novice 15M - Scoring'!$B$6:$B$1000)-MOD(COUNTA('Novice 15M - Scoring'!$B$6:$B$1000),3))+1-17,'Novice 15M - Scoring'!$BB:$BB,0)),""),""),""),""))))</f>
        <v/>
      </c>
      <c r="F22" s="49" t="str">
        <f>IF($D$3&lt;&gt;"Team (3 archers)","",IF($D$4="By Club",IFERROR("",""),IF(17&lt;=INT(COUNTA('Novice 15M - Scoring'!$B$6:$B$1000)/3),IFERROR(IF(ISNUMBER(MATCH(INT((COUNTA('Novice 15M - Scoring'!$B$6:$B$1000)-MOD(COUNTA('Novice 15M - Scoring'!$B$6:$B$1000),3))/3)+17,'Novice 15M - Scoring'!$BB:$BB,0)),IFERROR(INDEX('Novice 15M - Scoring'!$B:$B,MATCH(INT((COUNTA('Novice 15M - Scoring'!$B$6:$B$1000)-MOD(COUNTA('Novice 15M - Scoring'!$B$6:$B$1000),3))/3)+17,'Novice 15M - Scoring'!$BB:$BB,0)),""),""),""),"")))</f>
        <v/>
      </c>
      <c r="G22" s="50">
        <f>IFERROR(IF(D22&lt;&gt;"",VLOOKUP(D22,'Novice 15M - Scoring'!$B:$AV,47,0),0),0)</f>
        <v>0</v>
      </c>
      <c r="H22" s="50">
        <f>IFERROR(IF(AND(OR($D$3="Double",$D$3="Team (3 archers)"),E22&lt;&gt;""),VLOOKUP(E22,'Novice 15M - Scoring'!$B:$AV,47,0),0),0)</f>
        <v>0</v>
      </c>
      <c r="I22" s="50">
        <f>IFERROR(IF(AND($D$3="Team (3 archers)",F22&lt;&gt;""),VLOOKUP(F22,'Novice 15M - Scoring'!$B:$AV,47,0),0),0)</f>
        <v>0</v>
      </c>
      <c r="J22" s="51" t="str">
        <f t="shared" si="1"/>
        <v/>
      </c>
      <c r="K22" s="52" t="str">
        <f>IF(D22&lt;&gt;"",IFERROR(IF(D22&lt;&gt;"",VLOOKUP(D22,'Novice 15M - Scoring'!$B:$BA,52,0),0),0)+IFERROR(IF(AND(OR($D$3="Double",$D$3="Team (3 archers)"),E22&lt;&gt;""),VLOOKUP(E22,'Novice 15M - Scoring'!$B:$BA,52,0),0),0)+IFERROR(IF(AND($D$3="Team (3 archers)",F22&lt;&gt;""),VLOOKUP(F22,'Novice 15M - Scoring'!$B:$BA,52,0),0),0),"")</f>
        <v/>
      </c>
      <c r="L22" s="53" t="s">
        <v>155</v>
      </c>
      <c r="M22" s="54" t="str">
        <f t="shared" si="2"/>
        <v/>
      </c>
      <c r="N22" s="55"/>
    </row>
    <row r="23" spans="1:14" ht="21.75" customHeight="1" x14ac:dyDescent="0.35">
      <c r="A23" s="46">
        <f>IF($D$3="Individual",IFERROR(VLOOKUP(D23,'Novice 15M - Scoring'!$B:$BB,53,0),99),IF(J23&lt;&gt;"",SUMPRODUCT((J$6:J$1000&gt;J23)*ISNUMBER(J$6:J$1000))+1+SUMPRODUCT((J$6:J$1000=J23)*(K$6:K$1000&gt;K23)*ISNUMBER(J$6:J$1000)*ISNUMBER(K$6:K$1000))+SUMPRODUCT((J$6:J$1000=J23)*(K$6:K$1000=K23)*(ROW(J$6:J$1000)&lt;23)*ISNUMBER(J$6:J$1000)),""))</f>
        <v>99</v>
      </c>
      <c r="B23" s="20" t="str">
        <f t="shared" si="0"/>
        <v/>
      </c>
      <c r="C23" s="47" t="str">
        <f>IFERROR(IF(D23&lt;&gt;"",VLOOKUP(D23,'Novice 15M - Scoring'!$B:$D,3,0),""),"")</f>
        <v/>
      </c>
      <c r="D23" s="48" t="str">
        <f>IF($D$4="By Club",IFERROR("",""),IF($D$3="Individual",IF(18&lt;=COUNTA('Novice 15M - Scoring'!$B$6:$B$1000),IFERROR(IF(ISNUMBER(MATCH(18,'Novice 15M - Scoring'!$BB:$BB,0)),IFERROR(INDEX('Novice 15M - Scoring'!$B:$B,MATCH(18,'Novice 15M - Scoring'!$BB:$BB,0)),""),""),""),""),IF($D$3="Double",IF(18&lt;=INT(COUNTA('Novice 15M - Scoring'!$B$6:$B$1000)/2),IFERROR(IF(ISNUMBER(MATCH(18,'Novice 15M - Scoring'!$BB:$BB,0)),IFERROR(INDEX('Novice 15M - Scoring'!$B:$B,MATCH(18,'Novice 15M - Scoring'!$BB:$BB,0)),""),""),""),""),IF(18&lt;=INT(COUNTA('Novice 15M - Scoring'!$B$6:$B$1000)/3),IFERROR(IF(ISNUMBER(MATCH(18,'Novice 15M - Scoring'!$BB:$BB,0)),IFERROR(INDEX('Novice 15M - Scoring'!$B:$B,MATCH(18,'Novice 15M - Scoring'!$BB:$BB,0)),""),""),""),""))))</f>
        <v/>
      </c>
      <c r="E23" s="49" t="str">
        <f>IF($D$3="Individual","",IF($D$4="By Club",IFERROR("",""),IF($D$3="Double",IF(18&lt;=INT(COUNTA('Novice 15M - Scoring'!$B$6:$B$1000)/2),IFERROR(IF(ISNUMBER(MATCH((COUNTA('Novice 15M - Scoring'!$B$6:$B$1000)-MOD(COUNTA('Novice 15M - Scoring'!$B$6:$B$1000),2))+1-18,'Novice 15M - Scoring'!$BB:$BB,0)),IFERROR(INDEX('Novice 15M - Scoring'!$B:$B,MATCH((COUNTA('Novice 15M - Scoring'!$B$6:$B$1000)-MOD(COUNTA('Novice 15M - Scoring'!$B$6:$B$1000),2))+1-18,'Novice 15M - Scoring'!$BB:$BB,0)),""),""),""),""),IF(18&lt;=INT(COUNTA('Novice 15M - Scoring'!$B$6:$B$1000)/3),IFERROR(IF(ISNUMBER(MATCH((COUNTA('Novice 15M - Scoring'!$B$6:$B$1000)-MOD(COUNTA('Novice 15M - Scoring'!$B$6:$B$1000),3))+1-18,'Novice 15M - Scoring'!$BB:$BB,0)),IFERROR(INDEX('Novice 15M - Scoring'!$B:$B,MATCH((COUNTA('Novice 15M - Scoring'!$B$6:$B$1000)-MOD(COUNTA('Novice 15M - Scoring'!$B$6:$B$1000),3))+1-18,'Novice 15M - Scoring'!$BB:$BB,0)),""),""),""),""))))</f>
        <v/>
      </c>
      <c r="F23" s="49" t="str">
        <f>IF($D$3&lt;&gt;"Team (3 archers)","",IF($D$4="By Club",IFERROR("",""),IF(18&lt;=INT(COUNTA('Novice 15M - Scoring'!$B$6:$B$1000)/3),IFERROR(IF(ISNUMBER(MATCH(INT((COUNTA('Novice 15M - Scoring'!$B$6:$B$1000)-MOD(COUNTA('Novice 15M - Scoring'!$B$6:$B$1000),3))/3)+18,'Novice 15M - Scoring'!$BB:$BB,0)),IFERROR(INDEX('Novice 15M - Scoring'!$B:$B,MATCH(INT((COUNTA('Novice 15M - Scoring'!$B$6:$B$1000)-MOD(COUNTA('Novice 15M - Scoring'!$B$6:$B$1000),3))/3)+18,'Novice 15M - Scoring'!$BB:$BB,0)),""),""),""),"")))</f>
        <v/>
      </c>
      <c r="G23" s="50">
        <f>IFERROR(IF(D23&lt;&gt;"",VLOOKUP(D23,'Novice 15M - Scoring'!$B:$AV,47,0),0),0)</f>
        <v>0</v>
      </c>
      <c r="H23" s="50">
        <f>IFERROR(IF(AND(OR($D$3="Double",$D$3="Team (3 archers)"),E23&lt;&gt;""),VLOOKUP(E23,'Novice 15M - Scoring'!$B:$AV,47,0),0),0)</f>
        <v>0</v>
      </c>
      <c r="I23" s="50">
        <f>IFERROR(IF(AND($D$3="Team (3 archers)",F23&lt;&gt;""),VLOOKUP(F23,'Novice 15M - Scoring'!$B:$AV,47,0),0),0)</f>
        <v>0</v>
      </c>
      <c r="J23" s="51" t="str">
        <f t="shared" si="1"/>
        <v/>
      </c>
      <c r="K23" s="52" t="str">
        <f>IF(D23&lt;&gt;"",IFERROR(IF(D23&lt;&gt;"",VLOOKUP(D23,'Novice 15M - Scoring'!$B:$BA,52,0),0),0)+IFERROR(IF(AND(OR($D$3="Double",$D$3="Team (3 archers)"),E23&lt;&gt;""),VLOOKUP(E23,'Novice 15M - Scoring'!$B:$BA,52,0),0),0)+IFERROR(IF(AND($D$3="Team (3 archers)",F23&lt;&gt;""),VLOOKUP(F23,'Novice 15M - Scoring'!$B:$BA,52,0),0),0),"")</f>
        <v/>
      </c>
      <c r="L23" s="40" t="s">
        <v>155</v>
      </c>
      <c r="M23" s="54" t="str">
        <f t="shared" si="2"/>
        <v/>
      </c>
      <c r="N23" s="55"/>
    </row>
    <row r="24" spans="1:14" ht="21.75" customHeight="1" x14ac:dyDescent="0.35">
      <c r="A24" s="46">
        <f>IF($D$3="Individual",IFERROR(VLOOKUP(D24,'Novice 15M - Scoring'!$B:$BB,53,0),99),IF(J24&lt;&gt;"",SUMPRODUCT((J$6:J$1000&gt;J24)*ISNUMBER(J$6:J$1000))+1+SUMPRODUCT((J$6:J$1000=J24)*(K$6:K$1000&gt;K24)*ISNUMBER(J$6:J$1000)*ISNUMBER(K$6:K$1000))+SUMPRODUCT((J$6:J$1000=J24)*(K$6:K$1000=K24)*(ROW(J$6:J$1000)&lt;24)*ISNUMBER(J$6:J$1000)),""))</f>
        <v>99</v>
      </c>
      <c r="B24" s="20" t="str">
        <f t="shared" si="0"/>
        <v/>
      </c>
      <c r="C24" s="47" t="str">
        <f>IFERROR(IF(D24&lt;&gt;"",VLOOKUP(D24,'Novice 15M - Scoring'!$B:$D,3,0),""),"")</f>
        <v/>
      </c>
      <c r="D24" s="48" t="str">
        <f>IF($D$4="By Club",IFERROR("",""),IF($D$3="Individual",IF(19&lt;=COUNTA('Novice 15M - Scoring'!$B$6:$B$1000),IFERROR(IF(ISNUMBER(MATCH(19,'Novice 15M - Scoring'!$BB:$BB,0)),IFERROR(INDEX('Novice 15M - Scoring'!$B:$B,MATCH(19,'Novice 15M - Scoring'!$BB:$BB,0)),""),""),""),""),IF($D$3="Double",IF(19&lt;=INT(COUNTA('Novice 15M - Scoring'!$B$6:$B$1000)/2),IFERROR(IF(ISNUMBER(MATCH(19,'Novice 15M - Scoring'!$BB:$BB,0)),IFERROR(INDEX('Novice 15M - Scoring'!$B:$B,MATCH(19,'Novice 15M - Scoring'!$BB:$BB,0)),""),""),""),""),IF(19&lt;=INT(COUNTA('Novice 15M - Scoring'!$B$6:$B$1000)/3),IFERROR(IF(ISNUMBER(MATCH(19,'Novice 15M - Scoring'!$BB:$BB,0)),IFERROR(INDEX('Novice 15M - Scoring'!$B:$B,MATCH(19,'Novice 15M - Scoring'!$BB:$BB,0)),""),""),""),""))))</f>
        <v/>
      </c>
      <c r="E24" s="49" t="str">
        <f>IF($D$3="Individual","",IF($D$4="By Club",IFERROR("",""),IF($D$3="Double",IF(19&lt;=INT(COUNTA('Novice 15M - Scoring'!$B$6:$B$1000)/2),IFERROR(IF(ISNUMBER(MATCH((COUNTA('Novice 15M - Scoring'!$B$6:$B$1000)-MOD(COUNTA('Novice 15M - Scoring'!$B$6:$B$1000),2))+1-19,'Novice 15M - Scoring'!$BB:$BB,0)),IFERROR(INDEX('Novice 15M - Scoring'!$B:$B,MATCH((COUNTA('Novice 15M - Scoring'!$B$6:$B$1000)-MOD(COUNTA('Novice 15M - Scoring'!$B$6:$B$1000),2))+1-19,'Novice 15M - Scoring'!$BB:$BB,0)),""),""),""),""),IF(19&lt;=INT(COUNTA('Novice 15M - Scoring'!$B$6:$B$1000)/3),IFERROR(IF(ISNUMBER(MATCH((COUNTA('Novice 15M - Scoring'!$B$6:$B$1000)-MOD(COUNTA('Novice 15M - Scoring'!$B$6:$B$1000),3))+1-19,'Novice 15M - Scoring'!$BB:$BB,0)),IFERROR(INDEX('Novice 15M - Scoring'!$B:$B,MATCH((COUNTA('Novice 15M - Scoring'!$B$6:$B$1000)-MOD(COUNTA('Novice 15M - Scoring'!$B$6:$B$1000),3))+1-19,'Novice 15M - Scoring'!$BB:$BB,0)),""),""),""),""))))</f>
        <v/>
      </c>
      <c r="F24" s="49" t="str">
        <f>IF($D$3&lt;&gt;"Team (3 archers)","",IF($D$4="By Club",IFERROR("",""),IF(19&lt;=INT(COUNTA('Novice 15M - Scoring'!$B$6:$B$1000)/3),IFERROR(IF(ISNUMBER(MATCH(INT((COUNTA('Novice 15M - Scoring'!$B$6:$B$1000)-MOD(COUNTA('Novice 15M - Scoring'!$B$6:$B$1000),3))/3)+19,'Novice 15M - Scoring'!$BB:$BB,0)),IFERROR(INDEX('Novice 15M - Scoring'!$B:$B,MATCH(INT((COUNTA('Novice 15M - Scoring'!$B$6:$B$1000)-MOD(COUNTA('Novice 15M - Scoring'!$B$6:$B$1000),3))/3)+19,'Novice 15M - Scoring'!$BB:$BB,0)),""),""),""),"")))</f>
        <v/>
      </c>
      <c r="G24" s="50">
        <f>IFERROR(IF(D24&lt;&gt;"",VLOOKUP(D24,'Novice 15M - Scoring'!$B:$AV,47,0),0),0)</f>
        <v>0</v>
      </c>
      <c r="H24" s="50">
        <f>IFERROR(IF(AND(OR($D$3="Double",$D$3="Team (3 archers)"),E24&lt;&gt;""),VLOOKUP(E24,'Novice 15M - Scoring'!$B:$AV,47,0),0),0)</f>
        <v>0</v>
      </c>
      <c r="I24" s="50">
        <f>IFERROR(IF(AND($D$3="Team (3 archers)",F24&lt;&gt;""),VLOOKUP(F24,'Novice 15M - Scoring'!$B:$AV,47,0),0),0)</f>
        <v>0</v>
      </c>
      <c r="J24" s="51" t="str">
        <f t="shared" si="1"/>
        <v/>
      </c>
      <c r="K24" s="52" t="str">
        <f>IF(D24&lt;&gt;"",IFERROR(IF(D24&lt;&gt;"",VLOOKUP(D24,'Novice 15M - Scoring'!$B:$BA,52,0),0),0)+IFERROR(IF(AND(OR($D$3="Double",$D$3="Team (3 archers)"),E24&lt;&gt;""),VLOOKUP(E24,'Novice 15M - Scoring'!$B:$BA,52,0),0),0)+IFERROR(IF(AND($D$3="Team (3 archers)",F24&lt;&gt;""),VLOOKUP(F24,'Novice 15M - Scoring'!$B:$BA,52,0),0),0),"")</f>
        <v/>
      </c>
      <c r="L24" s="53" t="s">
        <v>155</v>
      </c>
      <c r="M24" s="54" t="str">
        <f t="shared" si="2"/>
        <v/>
      </c>
      <c r="N24" s="55"/>
    </row>
    <row r="25" spans="1:14" ht="21.75" customHeight="1" x14ac:dyDescent="0.35">
      <c r="A25" s="46">
        <f>IF($D$3="Individual",IFERROR(VLOOKUP(D25,'Novice 15M - Scoring'!$B:$BB,53,0),99),IF(J25&lt;&gt;"",SUMPRODUCT((J$6:J$1000&gt;J25)*ISNUMBER(J$6:J$1000))+1+SUMPRODUCT((J$6:J$1000=J25)*(K$6:K$1000&gt;K25)*ISNUMBER(J$6:J$1000)*ISNUMBER(K$6:K$1000))+SUMPRODUCT((J$6:J$1000=J25)*(K$6:K$1000=K25)*(ROW(J$6:J$1000)&lt;25)*ISNUMBER(J$6:J$1000)),""))</f>
        <v>99</v>
      </c>
      <c r="B25" s="20" t="str">
        <f t="shared" si="0"/>
        <v/>
      </c>
      <c r="C25" s="47" t="str">
        <f>IFERROR(IF(D25&lt;&gt;"",VLOOKUP(D25,'Novice 15M - Scoring'!$B:$D,3,0),""),"")</f>
        <v/>
      </c>
      <c r="D25" s="48" t="str">
        <f>IF($D$4="By Club",IFERROR("",""),IF($D$3="Individual",IF(20&lt;=COUNTA('Novice 15M - Scoring'!$B$6:$B$1000),IFERROR(IF(ISNUMBER(MATCH(20,'Novice 15M - Scoring'!$BB:$BB,0)),IFERROR(INDEX('Novice 15M - Scoring'!$B:$B,MATCH(20,'Novice 15M - Scoring'!$BB:$BB,0)),""),""),""),""),IF($D$3="Double",IF(20&lt;=INT(COUNTA('Novice 15M - Scoring'!$B$6:$B$1000)/2),IFERROR(IF(ISNUMBER(MATCH(20,'Novice 15M - Scoring'!$BB:$BB,0)),IFERROR(INDEX('Novice 15M - Scoring'!$B:$B,MATCH(20,'Novice 15M - Scoring'!$BB:$BB,0)),""),""),""),""),IF(20&lt;=INT(COUNTA('Novice 15M - Scoring'!$B$6:$B$1000)/3),IFERROR(IF(ISNUMBER(MATCH(20,'Novice 15M - Scoring'!$BB:$BB,0)),IFERROR(INDEX('Novice 15M - Scoring'!$B:$B,MATCH(20,'Novice 15M - Scoring'!$BB:$BB,0)),""),""),""),""))))</f>
        <v/>
      </c>
      <c r="E25" s="49" t="str">
        <f>IF($D$3="Individual","",IF($D$4="By Club",IFERROR("",""),IF($D$3="Double",IF(20&lt;=INT(COUNTA('Novice 15M - Scoring'!$B$6:$B$1000)/2),IFERROR(IF(ISNUMBER(MATCH((COUNTA('Novice 15M - Scoring'!$B$6:$B$1000)-MOD(COUNTA('Novice 15M - Scoring'!$B$6:$B$1000),2))+1-20,'Novice 15M - Scoring'!$BB:$BB,0)),IFERROR(INDEX('Novice 15M - Scoring'!$B:$B,MATCH((COUNTA('Novice 15M - Scoring'!$B$6:$B$1000)-MOD(COUNTA('Novice 15M - Scoring'!$B$6:$B$1000),2))+1-20,'Novice 15M - Scoring'!$BB:$BB,0)),""),""),""),""),IF(20&lt;=INT(COUNTA('Novice 15M - Scoring'!$B$6:$B$1000)/3),IFERROR(IF(ISNUMBER(MATCH((COUNTA('Novice 15M - Scoring'!$B$6:$B$1000)-MOD(COUNTA('Novice 15M - Scoring'!$B$6:$B$1000),3))+1-20,'Novice 15M - Scoring'!$BB:$BB,0)),IFERROR(INDEX('Novice 15M - Scoring'!$B:$B,MATCH((COUNTA('Novice 15M - Scoring'!$B$6:$B$1000)-MOD(COUNTA('Novice 15M - Scoring'!$B$6:$B$1000),3))+1-20,'Novice 15M - Scoring'!$BB:$BB,0)),""),""),""),""))))</f>
        <v/>
      </c>
      <c r="F25" s="49" t="str">
        <f>IF($D$3&lt;&gt;"Team (3 archers)","",IF($D$4="By Club",IFERROR("",""),IF(20&lt;=INT(COUNTA('Novice 15M - Scoring'!$B$6:$B$1000)/3),IFERROR(IF(ISNUMBER(MATCH(INT((COUNTA('Novice 15M - Scoring'!$B$6:$B$1000)-MOD(COUNTA('Novice 15M - Scoring'!$B$6:$B$1000),3))/3)+20,'Novice 15M - Scoring'!$BB:$BB,0)),IFERROR(INDEX('Novice 15M - Scoring'!$B:$B,MATCH(INT((COUNTA('Novice 15M - Scoring'!$B$6:$B$1000)-MOD(COUNTA('Novice 15M - Scoring'!$B$6:$B$1000),3))/3)+20,'Novice 15M - Scoring'!$BB:$BB,0)),""),""),""),"")))</f>
        <v/>
      </c>
      <c r="G25" s="50">
        <f>IFERROR(IF(D25&lt;&gt;"",VLOOKUP(D25,'Novice 15M - Scoring'!$B:$AV,47,0),0),0)</f>
        <v>0</v>
      </c>
      <c r="H25" s="50">
        <f>IFERROR(IF(AND(OR($D$3="Double",$D$3="Team (3 archers)"),E25&lt;&gt;""),VLOOKUP(E25,'Novice 15M - Scoring'!$B:$AV,47,0),0),0)</f>
        <v>0</v>
      </c>
      <c r="I25" s="50">
        <f>IFERROR(IF(AND($D$3="Team (3 archers)",F25&lt;&gt;""),VLOOKUP(F25,'Novice 15M - Scoring'!$B:$AV,47,0),0),0)</f>
        <v>0</v>
      </c>
      <c r="J25" s="51" t="str">
        <f t="shared" si="1"/>
        <v/>
      </c>
      <c r="K25" s="52" t="str">
        <f>IF(D25&lt;&gt;"",IFERROR(IF(D25&lt;&gt;"",VLOOKUP(D25,'Novice 15M - Scoring'!$B:$BA,52,0),0),0)+IFERROR(IF(AND(OR($D$3="Double",$D$3="Team (3 archers)"),E25&lt;&gt;""),VLOOKUP(E25,'Novice 15M - Scoring'!$B:$BA,52,0),0),0)+IFERROR(IF(AND($D$3="Team (3 archers)",F25&lt;&gt;""),VLOOKUP(F25,'Novice 15M - Scoring'!$B:$BA,52,0),0),0),"")</f>
        <v/>
      </c>
      <c r="L25" s="40" t="s">
        <v>155</v>
      </c>
      <c r="M25" s="54" t="str">
        <f t="shared" si="2"/>
        <v/>
      </c>
      <c r="N25" s="55"/>
    </row>
    <row r="26" spans="1:14" ht="21.75" customHeight="1" x14ac:dyDescent="0.35">
      <c r="A26" s="46">
        <f>IF($D$3="Individual",IFERROR(VLOOKUP(D26,'Novice 15M - Scoring'!$B:$BB,53,0),99),IF(J26&lt;&gt;"",SUMPRODUCT((J$6:J$1000&gt;J26)*ISNUMBER(J$6:J$1000))+1+SUMPRODUCT((J$6:J$1000=J26)*(K$6:K$1000&gt;K26)*ISNUMBER(J$6:J$1000)*ISNUMBER(K$6:K$1000))+SUMPRODUCT((J$6:J$1000=J26)*(K$6:K$1000=K26)*(ROW(J$6:J$1000)&lt;26)*ISNUMBER(J$6:J$1000)),""))</f>
        <v>99</v>
      </c>
      <c r="B26" s="20" t="str">
        <f t="shared" si="0"/>
        <v/>
      </c>
      <c r="C26" s="47" t="str">
        <f>IFERROR(IF(D26&lt;&gt;"",VLOOKUP(D26,'Novice 15M - Scoring'!$B:$D,3,0),""),"")</f>
        <v/>
      </c>
      <c r="D26" s="48" t="str">
        <f>IF($D$4="By Club",IFERROR("",""),IF($D$3="Individual",IF(21&lt;=COUNTA('Novice 15M - Scoring'!$B$6:$B$1000),IFERROR(IF(ISNUMBER(MATCH(21,'Novice 15M - Scoring'!$BB:$BB,0)),IFERROR(INDEX('Novice 15M - Scoring'!$B:$B,MATCH(21,'Novice 15M - Scoring'!$BB:$BB,0)),""),""),""),""),IF($D$3="Double",IF(21&lt;=INT(COUNTA('Novice 15M - Scoring'!$B$6:$B$1000)/2),IFERROR(IF(ISNUMBER(MATCH(21,'Novice 15M - Scoring'!$BB:$BB,0)),IFERROR(INDEX('Novice 15M - Scoring'!$B:$B,MATCH(21,'Novice 15M - Scoring'!$BB:$BB,0)),""),""),""),""),IF(21&lt;=INT(COUNTA('Novice 15M - Scoring'!$B$6:$B$1000)/3),IFERROR(IF(ISNUMBER(MATCH(21,'Novice 15M - Scoring'!$BB:$BB,0)),IFERROR(INDEX('Novice 15M - Scoring'!$B:$B,MATCH(21,'Novice 15M - Scoring'!$BB:$BB,0)),""),""),""),""))))</f>
        <v/>
      </c>
      <c r="E26" s="49" t="str">
        <f>IF($D$3="Individual","",IF($D$4="By Club",IFERROR("",""),IF($D$3="Double",IF(21&lt;=INT(COUNTA('Novice 15M - Scoring'!$B$6:$B$1000)/2),IFERROR(IF(ISNUMBER(MATCH((COUNTA('Novice 15M - Scoring'!$B$6:$B$1000)-MOD(COUNTA('Novice 15M - Scoring'!$B$6:$B$1000),2))+1-21,'Novice 15M - Scoring'!$BB:$BB,0)),IFERROR(INDEX('Novice 15M - Scoring'!$B:$B,MATCH((COUNTA('Novice 15M - Scoring'!$B$6:$B$1000)-MOD(COUNTA('Novice 15M - Scoring'!$B$6:$B$1000),2))+1-21,'Novice 15M - Scoring'!$BB:$BB,0)),""),""),""),""),IF(21&lt;=INT(COUNTA('Novice 15M - Scoring'!$B$6:$B$1000)/3),IFERROR(IF(ISNUMBER(MATCH((COUNTA('Novice 15M - Scoring'!$B$6:$B$1000)-MOD(COUNTA('Novice 15M - Scoring'!$B$6:$B$1000),3))+1-21,'Novice 15M - Scoring'!$BB:$BB,0)),IFERROR(INDEX('Novice 15M - Scoring'!$B:$B,MATCH((COUNTA('Novice 15M - Scoring'!$B$6:$B$1000)-MOD(COUNTA('Novice 15M - Scoring'!$B$6:$B$1000),3))+1-21,'Novice 15M - Scoring'!$BB:$BB,0)),""),""),""),""))))</f>
        <v/>
      </c>
      <c r="F26" s="49" t="str">
        <f>IF($D$3&lt;&gt;"Team (3 archers)","",IF($D$4="By Club",IFERROR("",""),IF(21&lt;=INT(COUNTA('Novice 15M - Scoring'!$B$6:$B$1000)/3),IFERROR(IF(ISNUMBER(MATCH(INT((COUNTA('Novice 15M - Scoring'!$B$6:$B$1000)-MOD(COUNTA('Novice 15M - Scoring'!$B$6:$B$1000),3))/3)+21,'Novice 15M - Scoring'!$BB:$BB,0)),IFERROR(INDEX('Novice 15M - Scoring'!$B:$B,MATCH(INT((COUNTA('Novice 15M - Scoring'!$B$6:$B$1000)-MOD(COUNTA('Novice 15M - Scoring'!$B$6:$B$1000),3))/3)+21,'Novice 15M - Scoring'!$BB:$BB,0)),""),""),""),"")))</f>
        <v/>
      </c>
      <c r="G26" s="50">
        <f>IFERROR(IF(D26&lt;&gt;"",VLOOKUP(D26,'Novice 15M - Scoring'!$B:$AV,47,0),0),0)</f>
        <v>0</v>
      </c>
      <c r="H26" s="50">
        <f>IFERROR(IF(AND(OR($D$3="Double",$D$3="Team (3 archers)"),E26&lt;&gt;""),VLOOKUP(E26,'Novice 15M - Scoring'!$B:$AV,47,0),0),0)</f>
        <v>0</v>
      </c>
      <c r="I26" s="50">
        <f>IFERROR(IF(AND($D$3="Team (3 archers)",F26&lt;&gt;""),VLOOKUP(F26,'Novice 15M - Scoring'!$B:$AV,47,0),0),0)</f>
        <v>0</v>
      </c>
      <c r="J26" s="51" t="str">
        <f t="shared" si="1"/>
        <v/>
      </c>
      <c r="K26" s="52" t="str">
        <f>IF(D26&lt;&gt;"",IFERROR(IF(D26&lt;&gt;"",VLOOKUP(D26,'Novice 15M - Scoring'!$B:$BA,52,0),0),0)+IFERROR(IF(AND(OR($D$3="Double",$D$3="Team (3 archers)"),E26&lt;&gt;""),VLOOKUP(E26,'Novice 15M - Scoring'!$B:$BA,52,0),0),0)+IFERROR(IF(AND($D$3="Team (3 archers)",F26&lt;&gt;""),VLOOKUP(F26,'Novice 15M - Scoring'!$B:$BA,52,0),0),0),"")</f>
        <v/>
      </c>
      <c r="L26" s="53" t="s">
        <v>155</v>
      </c>
      <c r="M26" s="54" t="str">
        <f t="shared" si="2"/>
        <v/>
      </c>
      <c r="N26" s="55"/>
    </row>
    <row r="27" spans="1:14" ht="21.75" customHeight="1" x14ac:dyDescent="0.35">
      <c r="A27" s="46">
        <f>IF($D$3="Individual",IFERROR(VLOOKUP(D27,'Novice 15M - Scoring'!$B:$BB,53,0),99),IF(J27&lt;&gt;"",SUMPRODUCT((J$6:J$1000&gt;J27)*ISNUMBER(J$6:J$1000))+1+SUMPRODUCT((J$6:J$1000=J27)*(K$6:K$1000&gt;K27)*ISNUMBER(J$6:J$1000)*ISNUMBER(K$6:K$1000))+SUMPRODUCT((J$6:J$1000=J27)*(K$6:K$1000=K27)*(ROW(J$6:J$1000)&lt;27)*ISNUMBER(J$6:J$1000)),""))</f>
        <v>99</v>
      </c>
      <c r="B27" s="20" t="str">
        <f t="shared" si="0"/>
        <v/>
      </c>
      <c r="C27" s="47" t="str">
        <f>IFERROR(IF(D27&lt;&gt;"",VLOOKUP(D27,'Novice 15M - Scoring'!$B:$D,3,0),""),"")</f>
        <v/>
      </c>
      <c r="D27" s="48" t="str">
        <f>IF($D$4="By Club",IFERROR("",""),IF($D$3="Individual",IF(22&lt;=COUNTA('Novice 15M - Scoring'!$B$6:$B$1000),IFERROR(IF(ISNUMBER(MATCH(22,'Novice 15M - Scoring'!$BB:$BB,0)),IFERROR(INDEX('Novice 15M - Scoring'!$B:$B,MATCH(22,'Novice 15M - Scoring'!$BB:$BB,0)),""),""),""),""),IF($D$3="Double",IF(22&lt;=INT(COUNTA('Novice 15M - Scoring'!$B$6:$B$1000)/2),IFERROR(IF(ISNUMBER(MATCH(22,'Novice 15M - Scoring'!$BB:$BB,0)),IFERROR(INDEX('Novice 15M - Scoring'!$B:$B,MATCH(22,'Novice 15M - Scoring'!$BB:$BB,0)),""),""),""),""),IF(22&lt;=INT(COUNTA('Novice 15M - Scoring'!$B$6:$B$1000)/3),IFERROR(IF(ISNUMBER(MATCH(22,'Novice 15M - Scoring'!$BB:$BB,0)),IFERROR(INDEX('Novice 15M - Scoring'!$B:$B,MATCH(22,'Novice 15M - Scoring'!$BB:$BB,0)),""),""),""),""))))</f>
        <v/>
      </c>
      <c r="E27" s="49" t="str">
        <f>IF($D$3="Individual","",IF($D$4="By Club",IFERROR("",""),IF($D$3="Double",IF(22&lt;=INT(COUNTA('Novice 15M - Scoring'!$B$6:$B$1000)/2),IFERROR(IF(ISNUMBER(MATCH((COUNTA('Novice 15M - Scoring'!$B$6:$B$1000)-MOD(COUNTA('Novice 15M - Scoring'!$B$6:$B$1000),2))+1-22,'Novice 15M - Scoring'!$BB:$BB,0)),IFERROR(INDEX('Novice 15M - Scoring'!$B:$B,MATCH((COUNTA('Novice 15M - Scoring'!$B$6:$B$1000)-MOD(COUNTA('Novice 15M - Scoring'!$B$6:$B$1000),2))+1-22,'Novice 15M - Scoring'!$BB:$BB,0)),""),""),""),""),IF(22&lt;=INT(COUNTA('Novice 15M - Scoring'!$B$6:$B$1000)/3),IFERROR(IF(ISNUMBER(MATCH((COUNTA('Novice 15M - Scoring'!$B$6:$B$1000)-MOD(COUNTA('Novice 15M - Scoring'!$B$6:$B$1000),3))+1-22,'Novice 15M - Scoring'!$BB:$BB,0)),IFERROR(INDEX('Novice 15M - Scoring'!$B:$B,MATCH((COUNTA('Novice 15M - Scoring'!$B$6:$B$1000)-MOD(COUNTA('Novice 15M - Scoring'!$B$6:$B$1000),3))+1-22,'Novice 15M - Scoring'!$BB:$BB,0)),""),""),""),""))))</f>
        <v/>
      </c>
      <c r="F27" s="49" t="str">
        <f>IF($D$3&lt;&gt;"Team (3 archers)","",IF($D$4="By Club",IFERROR("",""),IF(22&lt;=INT(COUNTA('Novice 15M - Scoring'!$B$6:$B$1000)/3),IFERROR(IF(ISNUMBER(MATCH(INT((COUNTA('Novice 15M - Scoring'!$B$6:$B$1000)-MOD(COUNTA('Novice 15M - Scoring'!$B$6:$B$1000),3))/3)+22,'Novice 15M - Scoring'!$BB:$BB,0)),IFERROR(INDEX('Novice 15M - Scoring'!$B:$B,MATCH(INT((COUNTA('Novice 15M - Scoring'!$B$6:$B$1000)-MOD(COUNTA('Novice 15M - Scoring'!$B$6:$B$1000),3))/3)+22,'Novice 15M - Scoring'!$BB:$BB,0)),""),""),""),"")))</f>
        <v/>
      </c>
      <c r="G27" s="50">
        <f>IFERROR(IF(D27&lt;&gt;"",VLOOKUP(D27,'Novice 15M - Scoring'!$B:$AV,47,0),0),0)</f>
        <v>0</v>
      </c>
      <c r="H27" s="50">
        <f>IFERROR(IF(AND(OR($D$3="Double",$D$3="Team (3 archers)"),E27&lt;&gt;""),VLOOKUP(E27,'Novice 15M - Scoring'!$B:$AV,47,0),0),0)</f>
        <v>0</v>
      </c>
      <c r="I27" s="50">
        <f>IFERROR(IF(AND($D$3="Team (3 archers)",F27&lt;&gt;""),VLOOKUP(F27,'Novice 15M - Scoring'!$B:$AV,47,0),0),0)</f>
        <v>0</v>
      </c>
      <c r="J27" s="51" t="str">
        <f t="shared" si="1"/>
        <v/>
      </c>
      <c r="K27" s="52" t="str">
        <f>IF(D27&lt;&gt;"",IFERROR(IF(D27&lt;&gt;"",VLOOKUP(D27,'Novice 15M - Scoring'!$B:$BA,52,0),0),0)+IFERROR(IF(AND(OR($D$3="Double",$D$3="Team (3 archers)"),E27&lt;&gt;""),VLOOKUP(E27,'Novice 15M - Scoring'!$B:$BA,52,0),0),0)+IFERROR(IF(AND($D$3="Team (3 archers)",F27&lt;&gt;""),VLOOKUP(F27,'Novice 15M - Scoring'!$B:$BA,52,0),0),0),"")</f>
        <v/>
      </c>
      <c r="L27" s="40" t="s">
        <v>155</v>
      </c>
      <c r="M27" s="54" t="str">
        <f t="shared" si="2"/>
        <v/>
      </c>
      <c r="N27" s="55"/>
    </row>
    <row r="28" spans="1:14" ht="21.75" customHeight="1" x14ac:dyDescent="0.35">
      <c r="A28" s="46">
        <f>IF($D$3="Individual",IFERROR(VLOOKUP(D28,'Novice 15M - Scoring'!$B:$BB,53,0),99),IF(J28&lt;&gt;"",SUMPRODUCT((J$6:J$1000&gt;J28)*ISNUMBER(J$6:J$1000))+1+SUMPRODUCT((J$6:J$1000=J28)*(K$6:K$1000&gt;K28)*ISNUMBER(J$6:J$1000)*ISNUMBER(K$6:K$1000))+SUMPRODUCT((J$6:J$1000=J28)*(K$6:K$1000=K28)*(ROW(J$6:J$1000)&lt;28)*ISNUMBER(J$6:J$1000)),""))</f>
        <v>99</v>
      </c>
      <c r="B28" s="20" t="str">
        <f t="shared" si="0"/>
        <v/>
      </c>
      <c r="C28" s="47" t="str">
        <f>IFERROR(IF(D28&lt;&gt;"",VLOOKUP(D28,'Novice 15M - Scoring'!$B:$D,3,0),""),"")</f>
        <v/>
      </c>
      <c r="D28" s="48" t="str">
        <f>IF($D$4="By Club",IFERROR("",""),IF($D$3="Individual",IF(23&lt;=COUNTA('Novice 15M - Scoring'!$B$6:$B$1000),IFERROR(IF(ISNUMBER(MATCH(23,'Novice 15M - Scoring'!$BB:$BB,0)),IFERROR(INDEX('Novice 15M - Scoring'!$B:$B,MATCH(23,'Novice 15M - Scoring'!$BB:$BB,0)),""),""),""),""),IF($D$3="Double",IF(23&lt;=INT(COUNTA('Novice 15M - Scoring'!$B$6:$B$1000)/2),IFERROR(IF(ISNUMBER(MATCH(23,'Novice 15M - Scoring'!$BB:$BB,0)),IFERROR(INDEX('Novice 15M - Scoring'!$B:$B,MATCH(23,'Novice 15M - Scoring'!$BB:$BB,0)),""),""),""),""),IF(23&lt;=INT(COUNTA('Novice 15M - Scoring'!$B$6:$B$1000)/3),IFERROR(IF(ISNUMBER(MATCH(23,'Novice 15M - Scoring'!$BB:$BB,0)),IFERROR(INDEX('Novice 15M - Scoring'!$B:$B,MATCH(23,'Novice 15M - Scoring'!$BB:$BB,0)),""),""),""),""))))</f>
        <v/>
      </c>
      <c r="E28" s="49" t="str">
        <f>IF($D$3="Individual","",IF($D$4="By Club",IFERROR("",""),IF($D$3="Double",IF(23&lt;=INT(COUNTA('Novice 15M - Scoring'!$B$6:$B$1000)/2),IFERROR(IF(ISNUMBER(MATCH((COUNTA('Novice 15M - Scoring'!$B$6:$B$1000)-MOD(COUNTA('Novice 15M - Scoring'!$B$6:$B$1000),2))+1-23,'Novice 15M - Scoring'!$BB:$BB,0)),IFERROR(INDEX('Novice 15M - Scoring'!$B:$B,MATCH((COUNTA('Novice 15M - Scoring'!$B$6:$B$1000)-MOD(COUNTA('Novice 15M - Scoring'!$B$6:$B$1000),2))+1-23,'Novice 15M - Scoring'!$BB:$BB,0)),""),""),""),""),IF(23&lt;=INT(COUNTA('Novice 15M - Scoring'!$B$6:$B$1000)/3),IFERROR(IF(ISNUMBER(MATCH((COUNTA('Novice 15M - Scoring'!$B$6:$B$1000)-MOD(COUNTA('Novice 15M - Scoring'!$B$6:$B$1000),3))+1-23,'Novice 15M - Scoring'!$BB:$BB,0)),IFERROR(INDEX('Novice 15M - Scoring'!$B:$B,MATCH((COUNTA('Novice 15M - Scoring'!$B$6:$B$1000)-MOD(COUNTA('Novice 15M - Scoring'!$B$6:$B$1000),3))+1-23,'Novice 15M - Scoring'!$BB:$BB,0)),""),""),""),""))))</f>
        <v/>
      </c>
      <c r="F28" s="49" t="str">
        <f>IF($D$3&lt;&gt;"Team (3 archers)","",IF($D$4="By Club",IFERROR("",""),IF(23&lt;=INT(COUNTA('Novice 15M - Scoring'!$B$6:$B$1000)/3),IFERROR(IF(ISNUMBER(MATCH(INT((COUNTA('Novice 15M - Scoring'!$B$6:$B$1000)-MOD(COUNTA('Novice 15M - Scoring'!$B$6:$B$1000),3))/3)+23,'Novice 15M - Scoring'!$BB:$BB,0)),IFERROR(INDEX('Novice 15M - Scoring'!$B:$B,MATCH(INT((COUNTA('Novice 15M - Scoring'!$B$6:$B$1000)-MOD(COUNTA('Novice 15M - Scoring'!$B$6:$B$1000),3))/3)+23,'Novice 15M - Scoring'!$BB:$BB,0)),""),""),""),"")))</f>
        <v/>
      </c>
      <c r="G28" s="50">
        <f>IFERROR(IF(D28&lt;&gt;"",VLOOKUP(D28,'Novice 15M - Scoring'!$B:$AV,47,0),0),0)</f>
        <v>0</v>
      </c>
      <c r="H28" s="50">
        <f>IFERROR(IF(AND(OR($D$3="Double",$D$3="Team (3 archers)"),E28&lt;&gt;""),VLOOKUP(E28,'Novice 15M - Scoring'!$B:$AV,47,0),0),0)</f>
        <v>0</v>
      </c>
      <c r="I28" s="50">
        <f>IFERROR(IF(AND($D$3="Team (3 archers)",F28&lt;&gt;""),VLOOKUP(F28,'Novice 15M - Scoring'!$B:$AV,47,0),0),0)</f>
        <v>0</v>
      </c>
      <c r="J28" s="51" t="str">
        <f t="shared" si="1"/>
        <v/>
      </c>
      <c r="K28" s="52" t="str">
        <f>IF(D28&lt;&gt;"",IFERROR(IF(D28&lt;&gt;"",VLOOKUP(D28,'Novice 15M - Scoring'!$B:$BA,52,0),0),0)+IFERROR(IF(AND(OR($D$3="Double",$D$3="Team (3 archers)"),E28&lt;&gt;""),VLOOKUP(E28,'Novice 15M - Scoring'!$B:$BA,52,0),0),0)+IFERROR(IF(AND($D$3="Team (3 archers)",F28&lt;&gt;""),VLOOKUP(F28,'Novice 15M - Scoring'!$B:$BA,52,0),0),0),"")</f>
        <v/>
      </c>
      <c r="L28" s="53" t="s">
        <v>155</v>
      </c>
      <c r="M28" s="54" t="str">
        <f t="shared" si="2"/>
        <v/>
      </c>
      <c r="N28" s="55"/>
    </row>
    <row r="29" spans="1:14" ht="21.75" customHeight="1" x14ac:dyDescent="0.35">
      <c r="A29" s="46">
        <f>IF($D$3="Individual",IFERROR(VLOOKUP(D29,'Novice 15M - Scoring'!$B:$BB,53,0),99),IF(J29&lt;&gt;"",SUMPRODUCT((J$6:J$1000&gt;J29)*ISNUMBER(J$6:J$1000))+1+SUMPRODUCT((J$6:J$1000=J29)*(K$6:K$1000&gt;K29)*ISNUMBER(J$6:J$1000)*ISNUMBER(K$6:K$1000))+SUMPRODUCT((J$6:J$1000=J29)*(K$6:K$1000=K29)*(ROW(J$6:J$1000)&lt;29)*ISNUMBER(J$6:J$1000)),""))</f>
        <v>99</v>
      </c>
      <c r="B29" s="20" t="str">
        <f t="shared" si="0"/>
        <v/>
      </c>
      <c r="C29" s="47" t="str">
        <f>IFERROR(IF(D29&lt;&gt;"",VLOOKUP(D29,'Novice 15M - Scoring'!$B:$D,3,0),""),"")</f>
        <v/>
      </c>
      <c r="D29" s="48" t="str">
        <f>IF($D$4="By Club",IFERROR("",""),IF($D$3="Individual",IF(24&lt;=COUNTA('Novice 15M - Scoring'!$B$6:$B$1000),IFERROR(IF(ISNUMBER(MATCH(24,'Novice 15M - Scoring'!$BB:$BB,0)),IFERROR(INDEX('Novice 15M - Scoring'!$B:$B,MATCH(24,'Novice 15M - Scoring'!$BB:$BB,0)),""),""),""),""),IF($D$3="Double",IF(24&lt;=INT(COUNTA('Novice 15M - Scoring'!$B$6:$B$1000)/2),IFERROR(IF(ISNUMBER(MATCH(24,'Novice 15M - Scoring'!$BB:$BB,0)),IFERROR(INDEX('Novice 15M - Scoring'!$B:$B,MATCH(24,'Novice 15M - Scoring'!$BB:$BB,0)),""),""),""),""),IF(24&lt;=INT(COUNTA('Novice 15M - Scoring'!$B$6:$B$1000)/3),IFERROR(IF(ISNUMBER(MATCH(24,'Novice 15M - Scoring'!$BB:$BB,0)),IFERROR(INDEX('Novice 15M - Scoring'!$B:$B,MATCH(24,'Novice 15M - Scoring'!$BB:$BB,0)),""),""),""),""))))</f>
        <v/>
      </c>
      <c r="E29" s="49" t="str">
        <f>IF($D$3="Individual","",IF($D$4="By Club",IFERROR("",""),IF($D$3="Double",IF(24&lt;=INT(COUNTA('Novice 15M - Scoring'!$B$6:$B$1000)/2),IFERROR(IF(ISNUMBER(MATCH((COUNTA('Novice 15M - Scoring'!$B$6:$B$1000)-MOD(COUNTA('Novice 15M - Scoring'!$B$6:$B$1000),2))+1-24,'Novice 15M - Scoring'!$BB:$BB,0)),IFERROR(INDEX('Novice 15M - Scoring'!$B:$B,MATCH((COUNTA('Novice 15M - Scoring'!$B$6:$B$1000)-MOD(COUNTA('Novice 15M - Scoring'!$B$6:$B$1000),2))+1-24,'Novice 15M - Scoring'!$BB:$BB,0)),""),""),""),""),IF(24&lt;=INT(COUNTA('Novice 15M - Scoring'!$B$6:$B$1000)/3),IFERROR(IF(ISNUMBER(MATCH((COUNTA('Novice 15M - Scoring'!$B$6:$B$1000)-MOD(COUNTA('Novice 15M - Scoring'!$B$6:$B$1000),3))+1-24,'Novice 15M - Scoring'!$BB:$BB,0)),IFERROR(INDEX('Novice 15M - Scoring'!$B:$B,MATCH((COUNTA('Novice 15M - Scoring'!$B$6:$B$1000)-MOD(COUNTA('Novice 15M - Scoring'!$B$6:$B$1000),3))+1-24,'Novice 15M - Scoring'!$BB:$BB,0)),""),""),""),""))))</f>
        <v/>
      </c>
      <c r="F29" s="49" t="str">
        <f>IF($D$3&lt;&gt;"Team (3 archers)","",IF($D$4="By Club",IFERROR("",""),IF(24&lt;=INT(COUNTA('Novice 15M - Scoring'!$B$6:$B$1000)/3),IFERROR(IF(ISNUMBER(MATCH(INT((COUNTA('Novice 15M - Scoring'!$B$6:$B$1000)-MOD(COUNTA('Novice 15M - Scoring'!$B$6:$B$1000),3))/3)+24,'Novice 15M - Scoring'!$BB:$BB,0)),IFERROR(INDEX('Novice 15M - Scoring'!$B:$B,MATCH(INT((COUNTA('Novice 15M - Scoring'!$B$6:$B$1000)-MOD(COUNTA('Novice 15M - Scoring'!$B$6:$B$1000),3))/3)+24,'Novice 15M - Scoring'!$BB:$BB,0)),""),""),""),"")))</f>
        <v/>
      </c>
      <c r="G29" s="50">
        <f>IFERROR(IF(D29&lt;&gt;"",VLOOKUP(D29,'Novice 15M - Scoring'!$B:$AV,47,0),0),0)</f>
        <v>0</v>
      </c>
      <c r="H29" s="50">
        <f>IFERROR(IF(AND(OR($D$3="Double",$D$3="Team (3 archers)"),E29&lt;&gt;""),VLOOKUP(E29,'Novice 15M - Scoring'!$B:$AV,47,0),0),0)</f>
        <v>0</v>
      </c>
      <c r="I29" s="50">
        <f>IFERROR(IF(AND($D$3="Team (3 archers)",F29&lt;&gt;""),VLOOKUP(F29,'Novice 15M - Scoring'!$B:$AV,47,0),0),0)</f>
        <v>0</v>
      </c>
      <c r="J29" s="51" t="str">
        <f t="shared" si="1"/>
        <v/>
      </c>
      <c r="K29" s="52" t="str">
        <f>IF(D29&lt;&gt;"",IFERROR(IF(D29&lt;&gt;"",VLOOKUP(D29,'Novice 15M - Scoring'!$B:$BA,52,0),0),0)+IFERROR(IF(AND(OR($D$3="Double",$D$3="Team (3 archers)"),E29&lt;&gt;""),VLOOKUP(E29,'Novice 15M - Scoring'!$B:$BA,52,0),0),0)+IFERROR(IF(AND($D$3="Team (3 archers)",F29&lt;&gt;""),VLOOKUP(F29,'Novice 15M - Scoring'!$B:$BA,52,0),0),0),"")</f>
        <v/>
      </c>
      <c r="L29" s="40" t="s">
        <v>155</v>
      </c>
      <c r="M29" s="54" t="str">
        <f t="shared" si="2"/>
        <v/>
      </c>
      <c r="N29" s="55"/>
    </row>
    <row r="30" spans="1:14" ht="21.75" customHeight="1" x14ac:dyDescent="0.35">
      <c r="A30" s="46">
        <f>IF($D$3="Individual",IFERROR(VLOOKUP(D30,'Novice 15M - Scoring'!$B:$BB,53,0),99),IF(J30&lt;&gt;"",SUMPRODUCT((J$6:J$1000&gt;J30)*ISNUMBER(J$6:J$1000))+1+SUMPRODUCT((J$6:J$1000=J30)*(K$6:K$1000&gt;K30)*ISNUMBER(J$6:J$1000)*ISNUMBER(K$6:K$1000))+SUMPRODUCT((J$6:J$1000=J30)*(K$6:K$1000=K30)*(ROW(J$6:J$1000)&lt;30)*ISNUMBER(J$6:J$1000)),""))</f>
        <v>99</v>
      </c>
      <c r="B30" s="20" t="str">
        <f t="shared" si="0"/>
        <v/>
      </c>
      <c r="C30" s="47" t="str">
        <f>IFERROR(IF(D30&lt;&gt;"",VLOOKUP(D30,'Novice 15M - Scoring'!$B:$D,3,0),""),"")</f>
        <v/>
      </c>
      <c r="D30" s="48" t="str">
        <f>IF($D$4="By Club",IFERROR("",""),IF($D$3="Individual",IF(25&lt;=COUNTA('Novice 15M - Scoring'!$B$6:$B$1000),IFERROR(IF(ISNUMBER(MATCH(25,'Novice 15M - Scoring'!$BB:$BB,0)),IFERROR(INDEX('Novice 15M - Scoring'!$B:$B,MATCH(25,'Novice 15M - Scoring'!$BB:$BB,0)),""),""),""),""),IF($D$3="Double",IF(25&lt;=INT(COUNTA('Novice 15M - Scoring'!$B$6:$B$1000)/2),IFERROR(IF(ISNUMBER(MATCH(25,'Novice 15M - Scoring'!$BB:$BB,0)),IFERROR(INDEX('Novice 15M - Scoring'!$B:$B,MATCH(25,'Novice 15M - Scoring'!$BB:$BB,0)),""),""),""),""),IF(25&lt;=INT(COUNTA('Novice 15M - Scoring'!$B$6:$B$1000)/3),IFERROR(IF(ISNUMBER(MATCH(25,'Novice 15M - Scoring'!$BB:$BB,0)),IFERROR(INDEX('Novice 15M - Scoring'!$B:$B,MATCH(25,'Novice 15M - Scoring'!$BB:$BB,0)),""),""),""),""))))</f>
        <v/>
      </c>
      <c r="E30" s="49" t="str">
        <f>IF($D$3="Individual","",IF($D$4="By Club",IFERROR("",""),IF($D$3="Double",IF(25&lt;=INT(COUNTA('Novice 15M - Scoring'!$B$6:$B$1000)/2),IFERROR(IF(ISNUMBER(MATCH((COUNTA('Novice 15M - Scoring'!$B$6:$B$1000)-MOD(COUNTA('Novice 15M - Scoring'!$B$6:$B$1000),2))+1-25,'Novice 15M - Scoring'!$BB:$BB,0)),IFERROR(INDEX('Novice 15M - Scoring'!$B:$B,MATCH((COUNTA('Novice 15M - Scoring'!$B$6:$B$1000)-MOD(COUNTA('Novice 15M - Scoring'!$B$6:$B$1000),2))+1-25,'Novice 15M - Scoring'!$BB:$BB,0)),""),""),""),""),IF(25&lt;=INT(COUNTA('Novice 15M - Scoring'!$B$6:$B$1000)/3),IFERROR(IF(ISNUMBER(MATCH((COUNTA('Novice 15M - Scoring'!$B$6:$B$1000)-MOD(COUNTA('Novice 15M - Scoring'!$B$6:$B$1000),3))+1-25,'Novice 15M - Scoring'!$BB:$BB,0)),IFERROR(INDEX('Novice 15M - Scoring'!$B:$B,MATCH((COUNTA('Novice 15M - Scoring'!$B$6:$B$1000)-MOD(COUNTA('Novice 15M - Scoring'!$B$6:$B$1000),3))+1-25,'Novice 15M - Scoring'!$BB:$BB,0)),""),""),""),""))))</f>
        <v/>
      </c>
      <c r="F30" s="49" t="str">
        <f>IF($D$3&lt;&gt;"Team (3 archers)","",IF($D$4="By Club",IFERROR("",""),IF(25&lt;=INT(COUNTA('Novice 15M - Scoring'!$B$6:$B$1000)/3),IFERROR(IF(ISNUMBER(MATCH(INT((COUNTA('Novice 15M - Scoring'!$B$6:$B$1000)-MOD(COUNTA('Novice 15M - Scoring'!$B$6:$B$1000),3))/3)+25,'Novice 15M - Scoring'!$BB:$BB,0)),IFERROR(INDEX('Novice 15M - Scoring'!$B:$B,MATCH(INT((COUNTA('Novice 15M - Scoring'!$B$6:$B$1000)-MOD(COUNTA('Novice 15M - Scoring'!$B$6:$B$1000),3))/3)+25,'Novice 15M - Scoring'!$BB:$BB,0)),""),""),""),"")))</f>
        <v/>
      </c>
      <c r="G30" s="50">
        <f>IFERROR(IF(D30&lt;&gt;"",VLOOKUP(D30,'Novice 15M - Scoring'!$B:$AV,47,0),0),0)</f>
        <v>0</v>
      </c>
      <c r="H30" s="50">
        <f>IFERROR(IF(AND(OR($D$3="Double",$D$3="Team (3 archers)"),E30&lt;&gt;""),VLOOKUP(E30,'Novice 15M - Scoring'!$B:$AV,47,0),0),0)</f>
        <v>0</v>
      </c>
      <c r="I30" s="50">
        <f>IFERROR(IF(AND($D$3="Team (3 archers)",F30&lt;&gt;""),VLOOKUP(F30,'Novice 15M - Scoring'!$B:$AV,47,0),0),0)</f>
        <v>0</v>
      </c>
      <c r="J30" s="51" t="str">
        <f t="shared" si="1"/>
        <v/>
      </c>
      <c r="K30" s="52" t="str">
        <f>IF(D30&lt;&gt;"",IFERROR(IF(D30&lt;&gt;"",VLOOKUP(D30,'Novice 15M - Scoring'!$B:$BA,52,0),0),0)+IFERROR(IF(AND(OR($D$3="Double",$D$3="Team (3 archers)"),E30&lt;&gt;""),VLOOKUP(E30,'Novice 15M - Scoring'!$B:$BA,52,0),0),0)+IFERROR(IF(AND($D$3="Team (3 archers)",F30&lt;&gt;""),VLOOKUP(F30,'Novice 15M - Scoring'!$B:$BA,52,0),0),0),"")</f>
        <v/>
      </c>
      <c r="L30" s="53" t="s">
        <v>155</v>
      </c>
      <c r="M30" s="54" t="str">
        <f t="shared" si="2"/>
        <v/>
      </c>
      <c r="N30" s="55"/>
    </row>
    <row r="31" spans="1:14" ht="21.75" customHeight="1" x14ac:dyDescent="0.35">
      <c r="A31" s="46">
        <f>IF($D$3="Individual",IFERROR(VLOOKUP(D31,'Novice 15M - Scoring'!$B:$BB,53,0),99),IF(J31&lt;&gt;"",SUMPRODUCT((J$6:J$1000&gt;J31)*ISNUMBER(J$6:J$1000))+1+SUMPRODUCT((J$6:J$1000=J31)*(K$6:K$1000&gt;K31)*ISNUMBER(J$6:J$1000)*ISNUMBER(K$6:K$1000))+SUMPRODUCT((J$6:J$1000=J31)*(K$6:K$1000=K31)*(ROW(J$6:J$1000)&lt;31)*ISNUMBER(J$6:J$1000)),""))</f>
        <v>99</v>
      </c>
      <c r="B31" s="20" t="str">
        <f t="shared" si="0"/>
        <v/>
      </c>
      <c r="C31" s="47" t="str">
        <f>IFERROR(IF(D31&lt;&gt;"",VLOOKUP(D31,'Novice 15M - Scoring'!$B:$D,3,0),""),"")</f>
        <v/>
      </c>
      <c r="D31" s="48" t="str">
        <f>IF($D$4="By Club",IFERROR("",""),IF($D$3="Individual",IF(26&lt;=COUNTA('Novice 15M - Scoring'!$B$6:$B$1000),IFERROR(IF(ISNUMBER(MATCH(26,'Novice 15M - Scoring'!$BB:$BB,0)),IFERROR(INDEX('Novice 15M - Scoring'!$B:$B,MATCH(26,'Novice 15M - Scoring'!$BB:$BB,0)),""),""),""),""),IF($D$3="Double",IF(26&lt;=INT(COUNTA('Novice 15M - Scoring'!$B$6:$B$1000)/2),IFERROR(IF(ISNUMBER(MATCH(26,'Novice 15M - Scoring'!$BB:$BB,0)),IFERROR(INDEX('Novice 15M - Scoring'!$B:$B,MATCH(26,'Novice 15M - Scoring'!$BB:$BB,0)),""),""),""),""),IF(26&lt;=INT(COUNTA('Novice 15M - Scoring'!$B$6:$B$1000)/3),IFERROR(IF(ISNUMBER(MATCH(26,'Novice 15M - Scoring'!$BB:$BB,0)),IFERROR(INDEX('Novice 15M - Scoring'!$B:$B,MATCH(26,'Novice 15M - Scoring'!$BB:$BB,0)),""),""),""),""))))</f>
        <v/>
      </c>
      <c r="E31" s="49" t="str">
        <f>IF($D$3="Individual","",IF($D$4="By Club",IFERROR("",""),IF($D$3="Double",IF(26&lt;=INT(COUNTA('Novice 15M - Scoring'!$B$6:$B$1000)/2),IFERROR(IF(ISNUMBER(MATCH((COUNTA('Novice 15M - Scoring'!$B$6:$B$1000)-MOD(COUNTA('Novice 15M - Scoring'!$B$6:$B$1000),2))+1-26,'Novice 15M - Scoring'!$BB:$BB,0)),IFERROR(INDEX('Novice 15M - Scoring'!$B:$B,MATCH((COUNTA('Novice 15M - Scoring'!$B$6:$B$1000)-MOD(COUNTA('Novice 15M - Scoring'!$B$6:$B$1000),2))+1-26,'Novice 15M - Scoring'!$BB:$BB,0)),""),""),""),""),IF(26&lt;=INT(COUNTA('Novice 15M - Scoring'!$B$6:$B$1000)/3),IFERROR(IF(ISNUMBER(MATCH((COUNTA('Novice 15M - Scoring'!$B$6:$B$1000)-MOD(COUNTA('Novice 15M - Scoring'!$B$6:$B$1000),3))+1-26,'Novice 15M - Scoring'!$BB:$BB,0)),IFERROR(INDEX('Novice 15M - Scoring'!$B:$B,MATCH((COUNTA('Novice 15M - Scoring'!$B$6:$B$1000)-MOD(COUNTA('Novice 15M - Scoring'!$B$6:$B$1000),3))+1-26,'Novice 15M - Scoring'!$BB:$BB,0)),""),""),""),""))))</f>
        <v/>
      </c>
      <c r="F31" s="49" t="str">
        <f>IF($D$3&lt;&gt;"Team (3 archers)","",IF($D$4="By Club",IFERROR("",""),IF(26&lt;=INT(COUNTA('Novice 15M - Scoring'!$B$6:$B$1000)/3),IFERROR(IF(ISNUMBER(MATCH(INT((COUNTA('Novice 15M - Scoring'!$B$6:$B$1000)-MOD(COUNTA('Novice 15M - Scoring'!$B$6:$B$1000),3))/3)+26,'Novice 15M - Scoring'!$BB:$BB,0)),IFERROR(INDEX('Novice 15M - Scoring'!$B:$B,MATCH(INT((COUNTA('Novice 15M - Scoring'!$B$6:$B$1000)-MOD(COUNTA('Novice 15M - Scoring'!$B$6:$B$1000),3))/3)+26,'Novice 15M - Scoring'!$BB:$BB,0)),""),""),""),"")))</f>
        <v/>
      </c>
      <c r="G31" s="50">
        <f>IFERROR(IF(D31&lt;&gt;"",VLOOKUP(D31,'Novice 15M - Scoring'!$B:$AV,47,0),0),0)</f>
        <v>0</v>
      </c>
      <c r="H31" s="50">
        <f>IFERROR(IF(AND(OR($D$3="Double",$D$3="Team (3 archers)"),E31&lt;&gt;""),VLOOKUP(E31,'Novice 15M - Scoring'!$B:$AV,47,0),0),0)</f>
        <v>0</v>
      </c>
      <c r="I31" s="50">
        <f>IFERROR(IF(AND($D$3="Team (3 archers)",F31&lt;&gt;""),VLOOKUP(F31,'Novice 15M - Scoring'!$B:$AV,47,0),0),0)</f>
        <v>0</v>
      </c>
      <c r="J31" s="51" t="str">
        <f t="shared" si="1"/>
        <v/>
      </c>
      <c r="K31" s="52" t="str">
        <f>IF(D31&lt;&gt;"",IFERROR(IF(D31&lt;&gt;"",VLOOKUP(D31,'Novice 15M - Scoring'!$B:$BA,52,0),0),0)+IFERROR(IF(AND(OR($D$3="Double",$D$3="Team (3 archers)"),E31&lt;&gt;""),VLOOKUP(E31,'Novice 15M - Scoring'!$B:$BA,52,0),0),0)+IFERROR(IF(AND($D$3="Team (3 archers)",F31&lt;&gt;""),VLOOKUP(F31,'Novice 15M - Scoring'!$B:$BA,52,0),0),0),"")</f>
        <v/>
      </c>
      <c r="L31" s="40" t="s">
        <v>155</v>
      </c>
      <c r="M31" s="54" t="str">
        <f t="shared" si="2"/>
        <v/>
      </c>
      <c r="N31" s="55"/>
    </row>
    <row r="32" spans="1:14" ht="21.75" customHeight="1" x14ac:dyDescent="0.35">
      <c r="A32" s="46">
        <f>IF($D$3="Individual",IFERROR(VLOOKUP(D32,'Novice 15M - Scoring'!$B:$BB,53,0),99),IF(J32&lt;&gt;"",SUMPRODUCT((J$6:J$1000&gt;J32)*ISNUMBER(J$6:J$1000))+1+SUMPRODUCT((J$6:J$1000=J32)*(K$6:K$1000&gt;K32)*ISNUMBER(J$6:J$1000)*ISNUMBER(K$6:K$1000))+SUMPRODUCT((J$6:J$1000=J32)*(K$6:K$1000=K32)*(ROW(J$6:J$1000)&lt;32)*ISNUMBER(J$6:J$1000)),""))</f>
        <v>99</v>
      </c>
      <c r="B32" s="20" t="str">
        <f t="shared" si="0"/>
        <v/>
      </c>
      <c r="C32" s="47" t="str">
        <f>IFERROR(IF(D32&lt;&gt;"",VLOOKUP(D32,'Novice 15M - Scoring'!$B:$D,3,0),""),"")</f>
        <v/>
      </c>
      <c r="D32" s="48" t="str">
        <f>IF($D$4="By Club",IFERROR("",""),IF($D$3="Individual",IF(27&lt;=COUNTA('Novice 15M - Scoring'!$B$6:$B$1000),IFERROR(IF(ISNUMBER(MATCH(27,'Novice 15M - Scoring'!$BB:$BB,0)),IFERROR(INDEX('Novice 15M - Scoring'!$B:$B,MATCH(27,'Novice 15M - Scoring'!$BB:$BB,0)),""),""),""),""),IF($D$3="Double",IF(27&lt;=INT(COUNTA('Novice 15M - Scoring'!$B$6:$B$1000)/2),IFERROR(IF(ISNUMBER(MATCH(27,'Novice 15M - Scoring'!$BB:$BB,0)),IFERROR(INDEX('Novice 15M - Scoring'!$B:$B,MATCH(27,'Novice 15M - Scoring'!$BB:$BB,0)),""),""),""),""),IF(27&lt;=INT(COUNTA('Novice 15M - Scoring'!$B$6:$B$1000)/3),IFERROR(IF(ISNUMBER(MATCH(27,'Novice 15M - Scoring'!$BB:$BB,0)),IFERROR(INDEX('Novice 15M - Scoring'!$B:$B,MATCH(27,'Novice 15M - Scoring'!$BB:$BB,0)),""),""),""),""))))</f>
        <v/>
      </c>
      <c r="E32" s="49" t="str">
        <f>IF($D$3="Individual","",IF($D$4="By Club",IFERROR("",""),IF($D$3="Double",IF(27&lt;=INT(COUNTA('Novice 15M - Scoring'!$B$6:$B$1000)/2),IFERROR(IF(ISNUMBER(MATCH((COUNTA('Novice 15M - Scoring'!$B$6:$B$1000)-MOD(COUNTA('Novice 15M - Scoring'!$B$6:$B$1000),2))+1-27,'Novice 15M - Scoring'!$BB:$BB,0)),IFERROR(INDEX('Novice 15M - Scoring'!$B:$B,MATCH((COUNTA('Novice 15M - Scoring'!$B$6:$B$1000)-MOD(COUNTA('Novice 15M - Scoring'!$B$6:$B$1000),2))+1-27,'Novice 15M - Scoring'!$BB:$BB,0)),""),""),""),""),IF(27&lt;=INT(COUNTA('Novice 15M - Scoring'!$B$6:$B$1000)/3),IFERROR(IF(ISNUMBER(MATCH((COUNTA('Novice 15M - Scoring'!$B$6:$B$1000)-MOD(COUNTA('Novice 15M - Scoring'!$B$6:$B$1000),3))+1-27,'Novice 15M - Scoring'!$BB:$BB,0)),IFERROR(INDEX('Novice 15M - Scoring'!$B:$B,MATCH((COUNTA('Novice 15M - Scoring'!$B$6:$B$1000)-MOD(COUNTA('Novice 15M - Scoring'!$B$6:$B$1000),3))+1-27,'Novice 15M - Scoring'!$BB:$BB,0)),""),""),""),""))))</f>
        <v/>
      </c>
      <c r="F32" s="49" t="str">
        <f>IF($D$3&lt;&gt;"Team (3 archers)","",IF($D$4="By Club",IFERROR("",""),IF(27&lt;=INT(COUNTA('Novice 15M - Scoring'!$B$6:$B$1000)/3),IFERROR(IF(ISNUMBER(MATCH(INT((COUNTA('Novice 15M - Scoring'!$B$6:$B$1000)-MOD(COUNTA('Novice 15M - Scoring'!$B$6:$B$1000),3))/3)+27,'Novice 15M - Scoring'!$BB:$BB,0)),IFERROR(INDEX('Novice 15M - Scoring'!$B:$B,MATCH(INT((COUNTA('Novice 15M - Scoring'!$B$6:$B$1000)-MOD(COUNTA('Novice 15M - Scoring'!$B$6:$B$1000),3))/3)+27,'Novice 15M - Scoring'!$BB:$BB,0)),""),""),""),"")))</f>
        <v/>
      </c>
      <c r="G32" s="50">
        <f>IFERROR(IF(D32&lt;&gt;"",VLOOKUP(D32,'Novice 15M - Scoring'!$B:$AV,47,0),0),0)</f>
        <v>0</v>
      </c>
      <c r="H32" s="50">
        <f>IFERROR(IF(AND(OR($D$3="Double",$D$3="Team (3 archers)"),E32&lt;&gt;""),VLOOKUP(E32,'Novice 15M - Scoring'!$B:$AV,47,0),0),0)</f>
        <v>0</v>
      </c>
      <c r="I32" s="50">
        <f>IFERROR(IF(AND($D$3="Team (3 archers)",F32&lt;&gt;""),VLOOKUP(F32,'Novice 15M - Scoring'!$B:$AV,47,0),0),0)</f>
        <v>0</v>
      </c>
      <c r="J32" s="51" t="str">
        <f t="shared" si="1"/>
        <v/>
      </c>
      <c r="K32" s="52" t="str">
        <f>IF(D32&lt;&gt;"",IFERROR(IF(D32&lt;&gt;"",VLOOKUP(D32,'Novice 15M - Scoring'!$B:$BA,52,0),0),0)+IFERROR(IF(AND(OR($D$3="Double",$D$3="Team (3 archers)"),E32&lt;&gt;""),VLOOKUP(E32,'Novice 15M - Scoring'!$B:$BA,52,0),0),0)+IFERROR(IF(AND($D$3="Team (3 archers)",F32&lt;&gt;""),VLOOKUP(F32,'Novice 15M - Scoring'!$B:$BA,52,0),0),0),"")</f>
        <v/>
      </c>
      <c r="L32" s="53" t="s">
        <v>155</v>
      </c>
      <c r="M32" s="54" t="str">
        <f t="shared" si="2"/>
        <v/>
      </c>
      <c r="N32" s="55"/>
    </row>
    <row r="33" spans="1:14" ht="21.75" customHeight="1" x14ac:dyDescent="0.35">
      <c r="A33" s="46">
        <f>IF($D$3="Individual",IFERROR(VLOOKUP(D33,'Novice 15M - Scoring'!$B:$BB,53,0),99),IF(J33&lt;&gt;"",SUMPRODUCT((J$6:J$1000&gt;J33)*ISNUMBER(J$6:J$1000))+1+SUMPRODUCT((J$6:J$1000=J33)*(K$6:K$1000&gt;K33)*ISNUMBER(J$6:J$1000)*ISNUMBER(K$6:K$1000))+SUMPRODUCT((J$6:J$1000=J33)*(K$6:K$1000=K33)*(ROW(J$6:J$1000)&lt;33)*ISNUMBER(J$6:J$1000)),""))</f>
        <v>99</v>
      </c>
      <c r="B33" s="20" t="str">
        <f t="shared" si="0"/>
        <v/>
      </c>
      <c r="C33" s="47" t="str">
        <f>IFERROR(IF(D33&lt;&gt;"",VLOOKUP(D33,'Novice 15M - Scoring'!$B:$D,3,0),""),"")</f>
        <v/>
      </c>
      <c r="D33" s="48" t="str">
        <f>IF($D$4="By Club",IFERROR("",""),IF($D$3="Individual",IF(28&lt;=COUNTA('Novice 15M - Scoring'!$B$6:$B$1000),IFERROR(IF(ISNUMBER(MATCH(28,'Novice 15M - Scoring'!$BB:$BB,0)),IFERROR(INDEX('Novice 15M - Scoring'!$B:$B,MATCH(28,'Novice 15M - Scoring'!$BB:$BB,0)),""),""),""),""),IF($D$3="Double",IF(28&lt;=INT(COUNTA('Novice 15M - Scoring'!$B$6:$B$1000)/2),IFERROR(IF(ISNUMBER(MATCH(28,'Novice 15M - Scoring'!$BB:$BB,0)),IFERROR(INDEX('Novice 15M - Scoring'!$B:$B,MATCH(28,'Novice 15M - Scoring'!$BB:$BB,0)),""),""),""),""),IF(28&lt;=INT(COUNTA('Novice 15M - Scoring'!$B$6:$B$1000)/3),IFERROR(IF(ISNUMBER(MATCH(28,'Novice 15M - Scoring'!$BB:$BB,0)),IFERROR(INDEX('Novice 15M - Scoring'!$B:$B,MATCH(28,'Novice 15M - Scoring'!$BB:$BB,0)),""),""),""),""))))</f>
        <v/>
      </c>
      <c r="E33" s="49" t="str">
        <f>IF($D$3="Individual","",IF($D$4="By Club",IFERROR("",""),IF($D$3="Double",IF(28&lt;=INT(COUNTA('Novice 15M - Scoring'!$B$6:$B$1000)/2),IFERROR(IF(ISNUMBER(MATCH((COUNTA('Novice 15M - Scoring'!$B$6:$B$1000)-MOD(COUNTA('Novice 15M - Scoring'!$B$6:$B$1000),2))+1-28,'Novice 15M - Scoring'!$BB:$BB,0)),IFERROR(INDEX('Novice 15M - Scoring'!$B:$B,MATCH((COUNTA('Novice 15M - Scoring'!$B$6:$B$1000)-MOD(COUNTA('Novice 15M - Scoring'!$B$6:$B$1000),2))+1-28,'Novice 15M - Scoring'!$BB:$BB,0)),""),""),""),""),IF(28&lt;=INT(COUNTA('Novice 15M - Scoring'!$B$6:$B$1000)/3),IFERROR(IF(ISNUMBER(MATCH((COUNTA('Novice 15M - Scoring'!$B$6:$B$1000)-MOD(COUNTA('Novice 15M - Scoring'!$B$6:$B$1000),3))+1-28,'Novice 15M - Scoring'!$BB:$BB,0)),IFERROR(INDEX('Novice 15M - Scoring'!$B:$B,MATCH((COUNTA('Novice 15M - Scoring'!$B$6:$B$1000)-MOD(COUNTA('Novice 15M - Scoring'!$B$6:$B$1000),3))+1-28,'Novice 15M - Scoring'!$BB:$BB,0)),""),""),""),""))))</f>
        <v/>
      </c>
      <c r="F33" s="49" t="str">
        <f>IF($D$3&lt;&gt;"Team (3 archers)","",IF($D$4="By Club",IFERROR("",""),IF(28&lt;=INT(COUNTA('Novice 15M - Scoring'!$B$6:$B$1000)/3),IFERROR(IF(ISNUMBER(MATCH(INT((COUNTA('Novice 15M - Scoring'!$B$6:$B$1000)-MOD(COUNTA('Novice 15M - Scoring'!$B$6:$B$1000),3))/3)+28,'Novice 15M - Scoring'!$BB:$BB,0)),IFERROR(INDEX('Novice 15M - Scoring'!$B:$B,MATCH(INT((COUNTA('Novice 15M - Scoring'!$B$6:$B$1000)-MOD(COUNTA('Novice 15M - Scoring'!$B$6:$B$1000),3))/3)+28,'Novice 15M - Scoring'!$BB:$BB,0)),""),""),""),"")))</f>
        <v/>
      </c>
      <c r="G33" s="50">
        <f>IFERROR(IF(D33&lt;&gt;"",VLOOKUP(D33,'Novice 15M - Scoring'!$B:$AV,47,0),0),0)</f>
        <v>0</v>
      </c>
      <c r="H33" s="50">
        <f>IFERROR(IF(AND(OR($D$3="Double",$D$3="Team (3 archers)"),E33&lt;&gt;""),VLOOKUP(E33,'Novice 15M - Scoring'!$B:$AV,47,0),0),0)</f>
        <v>0</v>
      </c>
      <c r="I33" s="50">
        <f>IFERROR(IF(AND($D$3="Team (3 archers)",F33&lt;&gt;""),VLOOKUP(F33,'Novice 15M - Scoring'!$B:$AV,47,0),0),0)</f>
        <v>0</v>
      </c>
      <c r="J33" s="51" t="str">
        <f t="shared" si="1"/>
        <v/>
      </c>
      <c r="K33" s="52" t="str">
        <f>IF(D33&lt;&gt;"",IFERROR(IF(D33&lt;&gt;"",VLOOKUP(D33,'Novice 15M - Scoring'!$B:$BA,52,0),0),0)+IFERROR(IF(AND(OR($D$3="Double",$D$3="Team (3 archers)"),E33&lt;&gt;""),VLOOKUP(E33,'Novice 15M - Scoring'!$B:$BA,52,0),0),0)+IFERROR(IF(AND($D$3="Team (3 archers)",F33&lt;&gt;""),VLOOKUP(F33,'Novice 15M - Scoring'!$B:$BA,52,0),0),0),"")</f>
        <v/>
      </c>
      <c r="L33" s="40" t="s">
        <v>155</v>
      </c>
      <c r="M33" s="54" t="str">
        <f t="shared" si="2"/>
        <v/>
      </c>
      <c r="N33" s="55"/>
    </row>
    <row r="34" spans="1:14" ht="21.75" customHeight="1" x14ac:dyDescent="0.35">
      <c r="A34" s="46">
        <f>IF($D$3="Individual",IFERROR(VLOOKUP(D34,'Novice 15M - Scoring'!$B:$BB,53,0),99),IF(J34&lt;&gt;"",SUMPRODUCT((J$6:J$1000&gt;J34)*ISNUMBER(J$6:J$1000))+1+SUMPRODUCT((J$6:J$1000=J34)*(K$6:K$1000&gt;K34)*ISNUMBER(J$6:J$1000)*ISNUMBER(K$6:K$1000))+SUMPRODUCT((J$6:J$1000=J34)*(K$6:K$1000=K34)*(ROW(J$6:J$1000)&lt;34)*ISNUMBER(J$6:J$1000)),""))</f>
        <v>99</v>
      </c>
      <c r="B34" s="20" t="str">
        <f t="shared" si="0"/>
        <v/>
      </c>
      <c r="C34" s="47" t="str">
        <f>IFERROR(IF(D34&lt;&gt;"",VLOOKUP(D34,'Novice 15M - Scoring'!$B:$D,3,0),""),"")</f>
        <v/>
      </c>
      <c r="D34" s="48" t="str">
        <f>IF($D$4="By Club",IFERROR("",""),IF($D$3="Individual",IF(29&lt;=COUNTA('Novice 15M - Scoring'!$B$6:$B$1000),IFERROR(IF(ISNUMBER(MATCH(29,'Novice 15M - Scoring'!$BB:$BB,0)),IFERROR(INDEX('Novice 15M - Scoring'!$B:$B,MATCH(29,'Novice 15M - Scoring'!$BB:$BB,0)),""),""),""),""),IF($D$3="Double",IF(29&lt;=INT(COUNTA('Novice 15M - Scoring'!$B$6:$B$1000)/2),IFERROR(IF(ISNUMBER(MATCH(29,'Novice 15M - Scoring'!$BB:$BB,0)),IFERROR(INDEX('Novice 15M - Scoring'!$B:$B,MATCH(29,'Novice 15M - Scoring'!$BB:$BB,0)),""),""),""),""),IF(29&lt;=INT(COUNTA('Novice 15M - Scoring'!$B$6:$B$1000)/3),IFERROR(IF(ISNUMBER(MATCH(29,'Novice 15M - Scoring'!$BB:$BB,0)),IFERROR(INDEX('Novice 15M - Scoring'!$B:$B,MATCH(29,'Novice 15M - Scoring'!$BB:$BB,0)),""),""),""),""))))</f>
        <v/>
      </c>
      <c r="E34" s="49" t="str">
        <f>IF($D$3="Individual","",IF($D$4="By Club",IFERROR("",""),IF($D$3="Double",IF(29&lt;=INT(COUNTA('Novice 15M - Scoring'!$B$6:$B$1000)/2),IFERROR(IF(ISNUMBER(MATCH((COUNTA('Novice 15M - Scoring'!$B$6:$B$1000)-MOD(COUNTA('Novice 15M - Scoring'!$B$6:$B$1000),2))+1-29,'Novice 15M - Scoring'!$BB:$BB,0)),IFERROR(INDEX('Novice 15M - Scoring'!$B:$B,MATCH((COUNTA('Novice 15M - Scoring'!$B$6:$B$1000)-MOD(COUNTA('Novice 15M - Scoring'!$B$6:$B$1000),2))+1-29,'Novice 15M - Scoring'!$BB:$BB,0)),""),""),""),""),IF(29&lt;=INT(COUNTA('Novice 15M - Scoring'!$B$6:$B$1000)/3),IFERROR(IF(ISNUMBER(MATCH((COUNTA('Novice 15M - Scoring'!$B$6:$B$1000)-MOD(COUNTA('Novice 15M - Scoring'!$B$6:$B$1000),3))+1-29,'Novice 15M - Scoring'!$BB:$BB,0)),IFERROR(INDEX('Novice 15M - Scoring'!$B:$B,MATCH((COUNTA('Novice 15M - Scoring'!$B$6:$B$1000)-MOD(COUNTA('Novice 15M - Scoring'!$B$6:$B$1000),3))+1-29,'Novice 15M - Scoring'!$BB:$BB,0)),""),""),""),""))))</f>
        <v/>
      </c>
      <c r="F34" s="49" t="str">
        <f>IF($D$3&lt;&gt;"Team (3 archers)","",IF($D$4="By Club",IFERROR("",""),IF(29&lt;=INT(COUNTA('Novice 15M - Scoring'!$B$6:$B$1000)/3),IFERROR(IF(ISNUMBER(MATCH(INT((COUNTA('Novice 15M - Scoring'!$B$6:$B$1000)-MOD(COUNTA('Novice 15M - Scoring'!$B$6:$B$1000),3))/3)+29,'Novice 15M - Scoring'!$BB:$BB,0)),IFERROR(INDEX('Novice 15M - Scoring'!$B:$B,MATCH(INT((COUNTA('Novice 15M - Scoring'!$B$6:$B$1000)-MOD(COUNTA('Novice 15M - Scoring'!$B$6:$B$1000),3))/3)+29,'Novice 15M - Scoring'!$BB:$BB,0)),""),""),""),"")))</f>
        <v/>
      </c>
      <c r="G34" s="50">
        <f>IFERROR(IF(D34&lt;&gt;"",VLOOKUP(D34,'Novice 15M - Scoring'!$B:$AV,47,0),0),0)</f>
        <v>0</v>
      </c>
      <c r="H34" s="50">
        <f>IFERROR(IF(AND(OR($D$3="Double",$D$3="Team (3 archers)"),E34&lt;&gt;""),VLOOKUP(E34,'Novice 15M - Scoring'!$B:$AV,47,0),0),0)</f>
        <v>0</v>
      </c>
      <c r="I34" s="50">
        <f>IFERROR(IF(AND($D$3="Team (3 archers)",F34&lt;&gt;""),VLOOKUP(F34,'Novice 15M - Scoring'!$B:$AV,47,0),0),0)</f>
        <v>0</v>
      </c>
      <c r="J34" s="51" t="str">
        <f t="shared" si="1"/>
        <v/>
      </c>
      <c r="K34" s="52" t="str">
        <f>IF(D34&lt;&gt;"",IFERROR(IF(D34&lt;&gt;"",VLOOKUP(D34,'Novice 15M - Scoring'!$B:$BA,52,0),0),0)+IFERROR(IF(AND(OR($D$3="Double",$D$3="Team (3 archers)"),E34&lt;&gt;""),VLOOKUP(E34,'Novice 15M - Scoring'!$B:$BA,52,0),0),0)+IFERROR(IF(AND($D$3="Team (3 archers)",F34&lt;&gt;""),VLOOKUP(F34,'Novice 15M - Scoring'!$B:$BA,52,0),0),0),"")</f>
        <v/>
      </c>
      <c r="L34" s="53" t="s">
        <v>155</v>
      </c>
      <c r="M34" s="54" t="str">
        <f t="shared" si="2"/>
        <v/>
      </c>
      <c r="N34" s="55"/>
    </row>
    <row r="35" spans="1:14" ht="21.75" customHeight="1" x14ac:dyDescent="0.35">
      <c r="A35" s="46">
        <f>IF($D$3="Individual",IFERROR(VLOOKUP(D35,'Novice 15M - Scoring'!$B:$BB,53,0),99),IF(J35&lt;&gt;"",SUMPRODUCT((J$6:J$1000&gt;J35)*ISNUMBER(J$6:J$1000))+1+SUMPRODUCT((J$6:J$1000=J35)*(K$6:K$1000&gt;K35)*ISNUMBER(J$6:J$1000)*ISNUMBER(K$6:K$1000))+SUMPRODUCT((J$6:J$1000=J35)*(K$6:K$1000=K35)*(ROW(J$6:J$1000)&lt;35)*ISNUMBER(J$6:J$1000)),""))</f>
        <v>99</v>
      </c>
      <c r="B35" s="20" t="str">
        <f t="shared" si="0"/>
        <v/>
      </c>
      <c r="C35" s="47" t="str">
        <f>IFERROR(IF(D35&lt;&gt;"",VLOOKUP(D35,'Novice 15M - Scoring'!$B:$D,3,0),""),"")</f>
        <v/>
      </c>
      <c r="D35" s="48" t="str">
        <f>IF($D$4="By Club",IFERROR("",""),IF($D$3="Individual",IF(30&lt;=COUNTA('Novice 15M - Scoring'!$B$6:$B$1000),IFERROR(IF(ISNUMBER(MATCH(30,'Novice 15M - Scoring'!$BB:$BB,0)),IFERROR(INDEX('Novice 15M - Scoring'!$B:$B,MATCH(30,'Novice 15M - Scoring'!$BB:$BB,0)),""),""),""),""),IF($D$3="Double",IF(30&lt;=INT(COUNTA('Novice 15M - Scoring'!$B$6:$B$1000)/2),IFERROR(IF(ISNUMBER(MATCH(30,'Novice 15M - Scoring'!$BB:$BB,0)),IFERROR(INDEX('Novice 15M - Scoring'!$B:$B,MATCH(30,'Novice 15M - Scoring'!$BB:$BB,0)),""),""),""),""),IF(30&lt;=INT(COUNTA('Novice 15M - Scoring'!$B$6:$B$1000)/3),IFERROR(IF(ISNUMBER(MATCH(30,'Novice 15M - Scoring'!$BB:$BB,0)),IFERROR(INDEX('Novice 15M - Scoring'!$B:$B,MATCH(30,'Novice 15M - Scoring'!$BB:$BB,0)),""),""),""),""))))</f>
        <v/>
      </c>
      <c r="E35" s="49" t="str">
        <f>IF($D$3="Individual","",IF($D$4="By Club",IFERROR("",""),IF($D$3="Double",IF(30&lt;=INT(COUNTA('Novice 15M - Scoring'!$B$6:$B$1000)/2),IFERROR(IF(ISNUMBER(MATCH((COUNTA('Novice 15M - Scoring'!$B$6:$B$1000)-MOD(COUNTA('Novice 15M - Scoring'!$B$6:$B$1000),2))+1-30,'Novice 15M - Scoring'!$BB:$BB,0)),IFERROR(INDEX('Novice 15M - Scoring'!$B:$B,MATCH((COUNTA('Novice 15M - Scoring'!$B$6:$B$1000)-MOD(COUNTA('Novice 15M - Scoring'!$B$6:$B$1000),2))+1-30,'Novice 15M - Scoring'!$BB:$BB,0)),""),""),""),""),IF(30&lt;=INT(COUNTA('Novice 15M - Scoring'!$B$6:$B$1000)/3),IFERROR(IF(ISNUMBER(MATCH((COUNTA('Novice 15M - Scoring'!$B$6:$B$1000)-MOD(COUNTA('Novice 15M - Scoring'!$B$6:$B$1000),3))+1-30,'Novice 15M - Scoring'!$BB:$BB,0)),IFERROR(INDEX('Novice 15M - Scoring'!$B:$B,MATCH((COUNTA('Novice 15M - Scoring'!$B$6:$B$1000)-MOD(COUNTA('Novice 15M - Scoring'!$B$6:$B$1000),3))+1-30,'Novice 15M - Scoring'!$BB:$BB,0)),""),""),""),""))))</f>
        <v/>
      </c>
      <c r="F35" s="49" t="str">
        <f>IF($D$3&lt;&gt;"Team (3 archers)","",IF($D$4="By Club",IFERROR("",""),IF(30&lt;=INT(COUNTA('Novice 15M - Scoring'!$B$6:$B$1000)/3),IFERROR(IF(ISNUMBER(MATCH(INT((COUNTA('Novice 15M - Scoring'!$B$6:$B$1000)-MOD(COUNTA('Novice 15M - Scoring'!$B$6:$B$1000),3))/3)+30,'Novice 15M - Scoring'!$BB:$BB,0)),IFERROR(INDEX('Novice 15M - Scoring'!$B:$B,MATCH(INT((COUNTA('Novice 15M - Scoring'!$B$6:$B$1000)-MOD(COUNTA('Novice 15M - Scoring'!$B$6:$B$1000),3))/3)+30,'Novice 15M - Scoring'!$BB:$BB,0)),""),""),""),"")))</f>
        <v/>
      </c>
      <c r="G35" s="50">
        <f>IFERROR(IF(D35&lt;&gt;"",VLOOKUP(D35,'Novice 15M - Scoring'!$B:$AV,47,0),0),0)</f>
        <v>0</v>
      </c>
      <c r="H35" s="50">
        <f>IFERROR(IF(AND(OR($D$3="Double",$D$3="Team (3 archers)"),E35&lt;&gt;""),VLOOKUP(E35,'Novice 15M - Scoring'!$B:$AV,47,0),0),0)</f>
        <v>0</v>
      </c>
      <c r="I35" s="50">
        <f>IFERROR(IF(AND($D$3="Team (3 archers)",F35&lt;&gt;""),VLOOKUP(F35,'Novice 15M - Scoring'!$B:$AV,47,0),0),0)</f>
        <v>0</v>
      </c>
      <c r="J35" s="51" t="str">
        <f t="shared" si="1"/>
        <v/>
      </c>
      <c r="K35" s="52" t="str">
        <f>IF(D35&lt;&gt;"",IFERROR(IF(D35&lt;&gt;"",VLOOKUP(D35,'Novice 15M - Scoring'!$B:$BA,52,0),0),0)+IFERROR(IF(AND(OR($D$3="Double",$D$3="Team (3 archers)"),E35&lt;&gt;""),VLOOKUP(E35,'Novice 15M - Scoring'!$B:$BA,52,0),0),0)+IFERROR(IF(AND($D$3="Team (3 archers)",F35&lt;&gt;""),VLOOKUP(F35,'Novice 15M - Scoring'!$B:$BA,52,0),0),0),"")</f>
        <v/>
      </c>
      <c r="L35" s="40" t="s">
        <v>155</v>
      </c>
      <c r="M35" s="54" t="str">
        <f t="shared" si="2"/>
        <v/>
      </c>
      <c r="N35" s="55"/>
    </row>
    <row r="36" spans="1:14" ht="21.75" customHeight="1" x14ac:dyDescent="0.35">
      <c r="A36" s="46">
        <f>IF($D$3="Individual",IFERROR(VLOOKUP(D36,'Novice 15M - Scoring'!$B:$BB,53,0),99),IF(J36&lt;&gt;"",SUMPRODUCT((J$6:J$1000&gt;J36)*ISNUMBER(J$6:J$1000))+1+SUMPRODUCT((J$6:J$1000=J36)*(K$6:K$1000&gt;K36)*ISNUMBER(J$6:J$1000)*ISNUMBER(K$6:K$1000))+SUMPRODUCT((J$6:J$1000=J36)*(K$6:K$1000=K36)*(ROW(J$6:J$1000)&lt;36)*ISNUMBER(J$6:J$1000)),""))</f>
        <v>99</v>
      </c>
      <c r="B36" s="20" t="str">
        <f t="shared" si="0"/>
        <v/>
      </c>
      <c r="C36" s="47" t="str">
        <f>IFERROR(IF(D36&lt;&gt;"",VLOOKUP(D36,'Novice 15M - Scoring'!$B:$D,3,0),""),"")</f>
        <v/>
      </c>
      <c r="D36" s="48" t="str">
        <f>IF($D$4="By Club",IFERROR("",""),IF($D$3="Individual",IF(31&lt;=COUNTA('Novice 15M - Scoring'!$B$6:$B$1000),IFERROR(IF(ISNUMBER(MATCH(31,'Novice 15M - Scoring'!$BB:$BB,0)),IFERROR(INDEX('Novice 15M - Scoring'!$B:$B,MATCH(31,'Novice 15M - Scoring'!$BB:$BB,0)),""),""),""),""),IF($D$3="Double",IF(31&lt;=INT(COUNTA('Novice 15M - Scoring'!$B$6:$B$1000)/2),IFERROR(IF(ISNUMBER(MATCH(31,'Novice 15M - Scoring'!$BB:$BB,0)),IFERROR(INDEX('Novice 15M - Scoring'!$B:$B,MATCH(31,'Novice 15M - Scoring'!$BB:$BB,0)),""),""),""),""),IF(31&lt;=INT(COUNTA('Novice 15M - Scoring'!$B$6:$B$1000)/3),IFERROR(IF(ISNUMBER(MATCH(31,'Novice 15M - Scoring'!$BB:$BB,0)),IFERROR(INDEX('Novice 15M - Scoring'!$B:$B,MATCH(31,'Novice 15M - Scoring'!$BB:$BB,0)),""),""),""),""))))</f>
        <v/>
      </c>
      <c r="E36" s="49" t="str">
        <f>IF($D$3="Individual","",IF($D$4="By Club",IFERROR("",""),IF($D$3="Double",IF(31&lt;=INT(COUNTA('Novice 15M - Scoring'!$B$6:$B$1000)/2),IFERROR(IF(ISNUMBER(MATCH((COUNTA('Novice 15M - Scoring'!$B$6:$B$1000)-MOD(COUNTA('Novice 15M - Scoring'!$B$6:$B$1000),2))+1-31,'Novice 15M - Scoring'!$BB:$BB,0)),IFERROR(INDEX('Novice 15M - Scoring'!$B:$B,MATCH((COUNTA('Novice 15M - Scoring'!$B$6:$B$1000)-MOD(COUNTA('Novice 15M - Scoring'!$B$6:$B$1000),2))+1-31,'Novice 15M - Scoring'!$BB:$BB,0)),""),""),""),""),IF(31&lt;=INT(COUNTA('Novice 15M - Scoring'!$B$6:$B$1000)/3),IFERROR(IF(ISNUMBER(MATCH((COUNTA('Novice 15M - Scoring'!$B$6:$B$1000)-MOD(COUNTA('Novice 15M - Scoring'!$B$6:$B$1000),3))+1-31,'Novice 15M - Scoring'!$BB:$BB,0)),IFERROR(INDEX('Novice 15M - Scoring'!$B:$B,MATCH((COUNTA('Novice 15M - Scoring'!$B$6:$B$1000)-MOD(COUNTA('Novice 15M - Scoring'!$B$6:$B$1000),3))+1-31,'Novice 15M - Scoring'!$BB:$BB,0)),""),""),""),""))))</f>
        <v/>
      </c>
      <c r="F36" s="49" t="str">
        <f>IF($D$3&lt;&gt;"Team (3 archers)","",IF($D$4="By Club",IFERROR("",""),IF(31&lt;=INT(COUNTA('Novice 15M - Scoring'!$B$6:$B$1000)/3),IFERROR(IF(ISNUMBER(MATCH(INT((COUNTA('Novice 15M - Scoring'!$B$6:$B$1000)-MOD(COUNTA('Novice 15M - Scoring'!$B$6:$B$1000),3))/3)+31,'Novice 15M - Scoring'!$BB:$BB,0)),IFERROR(INDEX('Novice 15M - Scoring'!$B:$B,MATCH(INT((COUNTA('Novice 15M - Scoring'!$B$6:$B$1000)-MOD(COUNTA('Novice 15M - Scoring'!$B$6:$B$1000),3))/3)+31,'Novice 15M - Scoring'!$BB:$BB,0)),""),""),""),"")))</f>
        <v/>
      </c>
      <c r="G36" s="50">
        <f>IFERROR(IF(D36&lt;&gt;"",VLOOKUP(D36,'Novice 15M - Scoring'!$B:$AV,47,0),0),0)</f>
        <v>0</v>
      </c>
      <c r="H36" s="50">
        <f>IFERROR(IF(AND(OR($D$3="Double",$D$3="Team (3 archers)"),E36&lt;&gt;""),VLOOKUP(E36,'Novice 15M - Scoring'!$B:$AV,47,0),0),0)</f>
        <v>0</v>
      </c>
      <c r="I36" s="50">
        <f>IFERROR(IF(AND($D$3="Team (3 archers)",F36&lt;&gt;""),VLOOKUP(F36,'Novice 15M - Scoring'!$B:$AV,47,0),0),0)</f>
        <v>0</v>
      </c>
      <c r="J36" s="51" t="str">
        <f t="shared" si="1"/>
        <v/>
      </c>
      <c r="K36" s="52" t="str">
        <f>IF(D36&lt;&gt;"",IFERROR(IF(D36&lt;&gt;"",VLOOKUP(D36,'Novice 15M - Scoring'!$B:$BA,52,0),0),0)+IFERROR(IF(AND(OR($D$3="Double",$D$3="Team (3 archers)"),E36&lt;&gt;""),VLOOKUP(E36,'Novice 15M - Scoring'!$B:$BA,52,0),0),0)+IFERROR(IF(AND($D$3="Team (3 archers)",F36&lt;&gt;""),VLOOKUP(F36,'Novice 15M - Scoring'!$B:$BA,52,0),0),0),"")</f>
        <v/>
      </c>
      <c r="L36" s="53" t="s">
        <v>155</v>
      </c>
      <c r="M36" s="54" t="str">
        <f t="shared" si="2"/>
        <v/>
      </c>
      <c r="N36" s="55"/>
    </row>
    <row r="37" spans="1:14" ht="21.75" customHeight="1" x14ac:dyDescent="0.35">
      <c r="A37" s="46">
        <f>IF($D$3="Individual",IFERROR(VLOOKUP(D37,'Novice 15M - Scoring'!$B:$BB,53,0),99),IF(J37&lt;&gt;"",SUMPRODUCT((J$6:J$1000&gt;J37)*ISNUMBER(J$6:J$1000))+1+SUMPRODUCT((J$6:J$1000=J37)*(K$6:K$1000&gt;K37)*ISNUMBER(J$6:J$1000)*ISNUMBER(K$6:K$1000))+SUMPRODUCT((J$6:J$1000=J37)*(K$6:K$1000=K37)*(ROW(J$6:J$1000)&lt;37)*ISNUMBER(J$6:J$1000)),""))</f>
        <v>99</v>
      </c>
      <c r="B37" s="20" t="str">
        <f t="shared" si="0"/>
        <v/>
      </c>
      <c r="C37" s="47" t="str">
        <f>IFERROR(IF(D37&lt;&gt;"",VLOOKUP(D37,'Novice 15M - Scoring'!$B:$D,3,0),""),"")</f>
        <v/>
      </c>
      <c r="D37" s="48" t="str">
        <f>IF($D$4="By Club",IFERROR("",""),IF($D$3="Individual",IF(32&lt;=COUNTA('Novice 15M - Scoring'!$B$6:$B$1000),IFERROR(IF(ISNUMBER(MATCH(32,'Novice 15M - Scoring'!$BB:$BB,0)),IFERROR(INDEX('Novice 15M - Scoring'!$B:$B,MATCH(32,'Novice 15M - Scoring'!$BB:$BB,0)),""),""),""),""),IF($D$3="Double",IF(32&lt;=INT(COUNTA('Novice 15M - Scoring'!$B$6:$B$1000)/2),IFERROR(IF(ISNUMBER(MATCH(32,'Novice 15M - Scoring'!$BB:$BB,0)),IFERROR(INDEX('Novice 15M - Scoring'!$B:$B,MATCH(32,'Novice 15M - Scoring'!$BB:$BB,0)),""),""),""),""),IF(32&lt;=INT(COUNTA('Novice 15M - Scoring'!$B$6:$B$1000)/3),IFERROR(IF(ISNUMBER(MATCH(32,'Novice 15M - Scoring'!$BB:$BB,0)),IFERROR(INDEX('Novice 15M - Scoring'!$B:$B,MATCH(32,'Novice 15M - Scoring'!$BB:$BB,0)),""),""),""),""))))</f>
        <v/>
      </c>
      <c r="E37" s="49" t="str">
        <f>IF($D$3="Individual","",IF($D$4="By Club",IFERROR("",""),IF($D$3="Double",IF(32&lt;=INT(COUNTA('Novice 15M - Scoring'!$B$6:$B$1000)/2),IFERROR(IF(ISNUMBER(MATCH((COUNTA('Novice 15M - Scoring'!$B$6:$B$1000)-MOD(COUNTA('Novice 15M - Scoring'!$B$6:$B$1000),2))+1-32,'Novice 15M - Scoring'!$BB:$BB,0)),IFERROR(INDEX('Novice 15M - Scoring'!$B:$B,MATCH((COUNTA('Novice 15M - Scoring'!$B$6:$B$1000)-MOD(COUNTA('Novice 15M - Scoring'!$B$6:$B$1000),2))+1-32,'Novice 15M - Scoring'!$BB:$BB,0)),""),""),""),""),IF(32&lt;=INT(COUNTA('Novice 15M - Scoring'!$B$6:$B$1000)/3),IFERROR(IF(ISNUMBER(MATCH((COUNTA('Novice 15M - Scoring'!$B$6:$B$1000)-MOD(COUNTA('Novice 15M - Scoring'!$B$6:$B$1000),3))+1-32,'Novice 15M - Scoring'!$BB:$BB,0)),IFERROR(INDEX('Novice 15M - Scoring'!$B:$B,MATCH((COUNTA('Novice 15M - Scoring'!$B$6:$B$1000)-MOD(COUNTA('Novice 15M - Scoring'!$B$6:$B$1000),3))+1-32,'Novice 15M - Scoring'!$BB:$BB,0)),""),""),""),""))))</f>
        <v/>
      </c>
      <c r="F37" s="49" t="str">
        <f>IF($D$3&lt;&gt;"Team (3 archers)","",IF($D$4="By Club",IFERROR("",""),IF(32&lt;=INT(COUNTA('Novice 15M - Scoring'!$B$6:$B$1000)/3),IFERROR(IF(ISNUMBER(MATCH(INT((COUNTA('Novice 15M - Scoring'!$B$6:$B$1000)-MOD(COUNTA('Novice 15M - Scoring'!$B$6:$B$1000),3))/3)+32,'Novice 15M - Scoring'!$BB:$BB,0)),IFERROR(INDEX('Novice 15M - Scoring'!$B:$B,MATCH(INT((COUNTA('Novice 15M - Scoring'!$B$6:$B$1000)-MOD(COUNTA('Novice 15M - Scoring'!$B$6:$B$1000),3))/3)+32,'Novice 15M - Scoring'!$BB:$BB,0)),""),""),""),"")))</f>
        <v/>
      </c>
      <c r="G37" s="50">
        <f>IFERROR(IF(D37&lt;&gt;"",VLOOKUP(D37,'Novice 15M - Scoring'!$B:$AV,47,0),0),0)</f>
        <v>0</v>
      </c>
      <c r="H37" s="50">
        <f>IFERROR(IF(AND(OR($D$3="Double",$D$3="Team (3 archers)"),E37&lt;&gt;""),VLOOKUP(E37,'Novice 15M - Scoring'!$B:$AV,47,0),0),0)</f>
        <v>0</v>
      </c>
      <c r="I37" s="50">
        <f>IFERROR(IF(AND($D$3="Team (3 archers)",F37&lt;&gt;""),VLOOKUP(F37,'Novice 15M - Scoring'!$B:$AV,47,0),0),0)</f>
        <v>0</v>
      </c>
      <c r="J37" s="51" t="str">
        <f t="shared" si="1"/>
        <v/>
      </c>
      <c r="K37" s="52" t="str">
        <f>IF(D37&lt;&gt;"",IFERROR(IF(D37&lt;&gt;"",VLOOKUP(D37,'Novice 15M - Scoring'!$B:$BA,52,0),0),0)+IFERROR(IF(AND(OR($D$3="Double",$D$3="Team (3 archers)"),E37&lt;&gt;""),VLOOKUP(E37,'Novice 15M - Scoring'!$B:$BA,52,0),0),0)+IFERROR(IF(AND($D$3="Team (3 archers)",F37&lt;&gt;""),VLOOKUP(F37,'Novice 15M - Scoring'!$B:$BA,52,0),0),0),"")</f>
        <v/>
      </c>
      <c r="L37" s="40" t="s">
        <v>155</v>
      </c>
      <c r="M37" s="54" t="str">
        <f t="shared" si="2"/>
        <v/>
      </c>
      <c r="N37" s="55"/>
    </row>
    <row r="39" spans="1:14" ht="22.4" customHeight="1" x14ac:dyDescent="0.35">
      <c r="A39" s="4" t="s">
        <v>156</v>
      </c>
      <c r="B39" s="4"/>
      <c r="C39" s="4"/>
      <c r="D39" s="4"/>
      <c r="E39" s="4"/>
      <c r="F39" s="4"/>
      <c r="G39" s="4"/>
      <c r="H39" s="4"/>
      <c r="I39" s="4"/>
      <c r="J39" s="4"/>
      <c r="K39" s="4"/>
      <c r="L39" s="4"/>
      <c r="M39" s="4"/>
      <c r="N39" s="4"/>
    </row>
  </sheetData>
  <mergeCells count="7">
    <mergeCell ref="A39:N39"/>
    <mergeCell ref="A1:N1"/>
    <mergeCell ref="A2:N2"/>
    <mergeCell ref="A3:C3"/>
    <mergeCell ref="E3:N3"/>
    <mergeCell ref="A4:C4"/>
    <mergeCell ref="E4:N4"/>
  </mergeCells>
  <dataValidations count="3">
    <dataValidation type="list" sqref="D3" xr:uid="{00000000-0002-0000-0D00-000000000000}">
      <formula1>"Individual,Double,Team (3 archers)"</formula1>
      <formula2>0</formula2>
    </dataValidation>
    <dataValidation type="list" sqref="D4" xr:uid="{00000000-0002-0000-0D00-000001000000}">
      <formula1>"Custom (by rank),By Club"</formula1>
      <formula2>0</formula2>
    </dataValidation>
    <dataValidation type="list" sqref="L6:L37" xr:uid="{00000000-0002-0000-0D00-000002000000}">
      <formula1>"No,Yes"</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62828"/>
  </sheetPr>
  <dimension ref="A1:IC48"/>
  <sheetViews>
    <sheetView zoomScaleNormal="100" workbookViewId="0"/>
  </sheetViews>
  <sheetFormatPr defaultColWidth="8.6328125" defaultRowHeight="14.5" x14ac:dyDescent="0.35"/>
  <cols>
    <col min="1" max="1" width="4" customWidth="1"/>
    <col min="2" max="4" width="6" customWidth="1"/>
    <col min="5" max="7" width="3" customWidth="1"/>
    <col min="8" max="13" width="2.26953125" customWidth="1"/>
    <col min="14" max="14" width="5" customWidth="1"/>
    <col min="15" max="20" width="2.26953125" customWidth="1"/>
    <col min="21" max="21" width="5" customWidth="1"/>
    <col min="22" max="27" width="2.26953125" customWidth="1"/>
    <col min="28" max="28" width="5" customWidth="1"/>
    <col min="29" max="34" width="2.26953125" customWidth="1"/>
    <col min="35" max="35" width="5" customWidth="1"/>
    <col min="36" max="41" width="2.26953125" customWidth="1"/>
    <col min="42" max="42" width="5" customWidth="1"/>
    <col min="43" max="48" width="2.26953125" customWidth="1"/>
    <col min="49" max="50" width="5" customWidth="1"/>
    <col min="51" max="51" width="4" customWidth="1"/>
    <col min="52" max="52" width="5" customWidth="1"/>
    <col min="53" max="53" width="8" customWidth="1"/>
    <col min="54" max="54" width="2" customWidth="1"/>
    <col min="55" max="55" width="11.54296875" hidden="1" customWidth="1"/>
    <col min="56" max="56" width="4" customWidth="1"/>
    <col min="57" max="59" width="6" customWidth="1"/>
    <col min="60" max="62" width="3" customWidth="1"/>
    <col min="63" max="68" width="2.26953125" customWidth="1"/>
    <col min="69" max="69" width="5" customWidth="1"/>
    <col min="70" max="75" width="2.26953125" customWidth="1"/>
    <col min="76" max="76" width="5" customWidth="1"/>
    <col min="77" max="82" width="2.26953125" customWidth="1"/>
    <col min="83" max="83" width="5" customWidth="1"/>
    <col min="84" max="89" width="2.26953125" customWidth="1"/>
    <col min="90" max="90" width="5" customWidth="1"/>
    <col min="91" max="96" width="2.26953125" customWidth="1"/>
    <col min="97" max="97" width="5" customWidth="1"/>
    <col min="98" max="103" width="2.26953125" customWidth="1"/>
    <col min="104" max="105" width="5" customWidth="1"/>
    <col min="106" max="106" width="4" customWidth="1"/>
    <col min="107" max="107" width="5" customWidth="1"/>
    <col min="108" max="108" width="8" customWidth="1"/>
    <col min="109" max="109" width="2" customWidth="1"/>
    <col min="110" max="110" width="11.54296875" hidden="1" customWidth="1"/>
    <col min="111" max="111" width="4" customWidth="1"/>
    <col min="112" max="114" width="6" customWidth="1"/>
    <col min="115" max="117" width="3" customWidth="1"/>
    <col min="118" max="123" width="2.26953125" customWidth="1"/>
    <col min="124" max="124" width="5" customWidth="1"/>
    <col min="125" max="130" width="2.26953125" customWidth="1"/>
    <col min="131" max="131" width="5" customWidth="1"/>
    <col min="132" max="137" width="2.26953125" customWidth="1"/>
    <col min="138" max="138" width="5" customWidth="1"/>
    <col min="139" max="144" width="2.26953125" customWidth="1"/>
    <col min="145" max="145" width="5" customWidth="1"/>
    <col min="146" max="151" width="2.26953125" customWidth="1"/>
    <col min="152" max="152" width="5" customWidth="1"/>
    <col min="153" max="158" width="2.26953125" customWidth="1"/>
    <col min="159" max="160" width="5" customWidth="1"/>
    <col min="161" max="161" width="4" customWidth="1"/>
    <col min="162" max="162" width="5" customWidth="1"/>
    <col min="163" max="163" width="8" customWidth="1"/>
    <col min="164" max="164" width="2" customWidth="1"/>
    <col min="165" max="165" width="11.54296875" hidden="1" customWidth="1"/>
    <col min="166" max="166" width="4" customWidth="1"/>
    <col min="167" max="169" width="6" customWidth="1"/>
    <col min="170" max="172" width="3" customWidth="1"/>
    <col min="173" max="178" width="2.26953125" customWidth="1"/>
    <col min="179" max="179" width="5" customWidth="1"/>
    <col min="180" max="185" width="2.26953125" customWidth="1"/>
    <col min="186" max="186" width="5" customWidth="1"/>
    <col min="187" max="192" width="2.26953125" customWidth="1"/>
    <col min="193" max="193" width="5" customWidth="1"/>
    <col min="194" max="199" width="2.26953125" customWidth="1"/>
    <col min="200" max="200" width="5" customWidth="1"/>
    <col min="201" max="206" width="2.26953125" customWidth="1"/>
    <col min="207" max="207" width="5" customWidth="1"/>
    <col min="208" max="213" width="2.26953125" customWidth="1"/>
    <col min="214" max="215" width="5" customWidth="1"/>
    <col min="216" max="216" width="4" customWidth="1"/>
    <col min="217" max="217" width="5" customWidth="1"/>
    <col min="218" max="218" width="8" customWidth="1"/>
    <col min="219" max="219" width="2" customWidth="1"/>
    <col min="220" max="220" width="11.54296875" hidden="1" customWidth="1"/>
    <col min="221" max="236" width="7" customWidth="1"/>
  </cols>
  <sheetData>
    <row r="1" spans="1:237" ht="19.5" customHeight="1" x14ac:dyDescent="0.35">
      <c r="A1" s="3" t="s">
        <v>260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row>
    <row r="2" spans="1:237" ht="13.5" customHeight="1" x14ac:dyDescent="0.35">
      <c r="A2" s="56">
        <v>3</v>
      </c>
      <c r="B2" s="56">
        <v>6</v>
      </c>
      <c r="C2" s="2" t="s">
        <v>158</v>
      </c>
      <c r="D2" s="2"/>
      <c r="E2" s="2"/>
      <c r="F2" s="2"/>
      <c r="G2" s="2"/>
      <c r="H2" s="2"/>
      <c r="I2" s="2"/>
      <c r="J2" s="2"/>
      <c r="K2" s="1" t="s">
        <v>159</v>
      </c>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row>
    <row r="3" spans="1:237" ht="13.5" customHeight="1" x14ac:dyDescent="0.35">
      <c r="A3" s="95" t="s">
        <v>160</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6" t="s">
        <v>161</v>
      </c>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t="s">
        <v>162</v>
      </c>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7" t="s">
        <v>163</v>
      </c>
      <c r="FK3" s="97"/>
      <c r="FL3" s="97"/>
      <c r="FM3" s="97"/>
      <c r="FN3" s="97"/>
      <c r="FO3" s="97"/>
      <c r="FP3" s="97"/>
      <c r="FQ3" s="97"/>
      <c r="FR3" s="97"/>
      <c r="FS3" s="97"/>
      <c r="FT3" s="97"/>
      <c r="FU3" s="97"/>
      <c r="FV3" s="97"/>
      <c r="FW3" s="97"/>
      <c r="FX3" s="97"/>
      <c r="FY3" s="97"/>
      <c r="FZ3" s="97"/>
      <c r="GA3" s="97"/>
      <c r="GB3" s="97"/>
      <c r="GC3" s="97"/>
      <c r="GD3" s="97"/>
      <c r="GE3" s="97"/>
      <c r="GF3" s="97"/>
      <c r="GG3" s="97"/>
      <c r="GH3" s="97"/>
      <c r="GI3" s="97"/>
      <c r="GJ3" s="97"/>
      <c r="GK3" s="97"/>
      <c r="GL3" s="97"/>
      <c r="GM3" s="97"/>
      <c r="GN3" s="97"/>
      <c r="GO3" s="97"/>
      <c r="GP3" s="97"/>
      <c r="GQ3" s="97"/>
      <c r="GR3" s="97"/>
      <c r="GS3" s="97"/>
      <c r="GT3" s="97"/>
      <c r="GU3" s="97"/>
      <c r="GV3" s="97"/>
      <c r="GW3" s="97"/>
      <c r="GX3" s="97"/>
      <c r="GY3" s="97"/>
      <c r="GZ3" s="97"/>
      <c r="HA3" s="97"/>
      <c r="HB3" s="97"/>
      <c r="HC3" s="97"/>
      <c r="HD3" s="97"/>
      <c r="HE3" s="97"/>
      <c r="HF3" s="97"/>
      <c r="HG3" s="97"/>
      <c r="HH3" s="97"/>
      <c r="HI3" s="97"/>
      <c r="HJ3" s="97"/>
      <c r="HK3" s="97"/>
      <c r="HL3" s="97"/>
      <c r="HM3" s="98" t="s">
        <v>164</v>
      </c>
      <c r="HN3" s="98"/>
      <c r="HO3" s="98"/>
      <c r="HP3" s="98"/>
      <c r="HQ3" s="98"/>
      <c r="HR3" s="98"/>
      <c r="HS3" s="98"/>
      <c r="HT3" s="98"/>
      <c r="HU3" s="98"/>
      <c r="HV3" s="98"/>
      <c r="HW3" s="98"/>
      <c r="HX3" s="98"/>
      <c r="HY3" s="98"/>
      <c r="HZ3" s="98"/>
      <c r="IA3" s="98"/>
      <c r="IB3" s="98"/>
    </row>
    <row r="4" spans="1:237" ht="18" customHeight="1" x14ac:dyDescent="0.35">
      <c r="A4" s="57" t="s">
        <v>2</v>
      </c>
      <c r="B4" s="99" t="s">
        <v>165</v>
      </c>
      <c r="C4" s="99"/>
      <c r="D4" s="99"/>
      <c r="E4" s="100" t="s">
        <v>8</v>
      </c>
      <c r="F4" s="100"/>
      <c r="G4" s="100"/>
      <c r="H4" s="101" t="s">
        <v>166</v>
      </c>
      <c r="I4" s="101"/>
      <c r="J4" s="101"/>
      <c r="K4" s="101"/>
      <c r="L4" s="101"/>
      <c r="M4" s="101"/>
      <c r="N4" s="101"/>
      <c r="O4" s="102" t="s">
        <v>167</v>
      </c>
      <c r="P4" s="102"/>
      <c r="Q4" s="102"/>
      <c r="R4" s="102"/>
      <c r="S4" s="102"/>
      <c r="T4" s="102"/>
      <c r="U4" s="102"/>
      <c r="V4" s="101" t="s">
        <v>168</v>
      </c>
      <c r="W4" s="101"/>
      <c r="X4" s="101"/>
      <c r="Y4" s="101"/>
      <c r="Z4" s="101"/>
      <c r="AA4" s="101"/>
      <c r="AB4" s="101"/>
      <c r="AC4" s="102" t="s">
        <v>169</v>
      </c>
      <c r="AD4" s="102"/>
      <c r="AE4" s="102"/>
      <c r="AF4" s="102"/>
      <c r="AG4" s="102"/>
      <c r="AH4" s="102"/>
      <c r="AI4" s="102"/>
      <c r="AJ4" s="101" t="s">
        <v>170</v>
      </c>
      <c r="AK4" s="101"/>
      <c r="AL4" s="101"/>
      <c r="AM4" s="101"/>
      <c r="AN4" s="101"/>
      <c r="AO4" s="101"/>
      <c r="AP4" s="101"/>
      <c r="AQ4" s="103" t="s">
        <v>171</v>
      </c>
      <c r="AR4" s="103"/>
      <c r="AS4" s="103"/>
      <c r="AT4" s="103"/>
      <c r="AU4" s="103"/>
      <c r="AV4" s="103"/>
      <c r="AW4" s="103"/>
      <c r="AX4" s="58" t="s">
        <v>172</v>
      </c>
      <c r="AY4" s="59" t="s">
        <v>173</v>
      </c>
      <c r="AZ4" s="60" t="s">
        <v>174</v>
      </c>
      <c r="BA4" s="57" t="s">
        <v>175</v>
      </c>
      <c r="BD4" s="57" t="s">
        <v>2</v>
      </c>
      <c r="BE4" s="99" t="s">
        <v>165</v>
      </c>
      <c r="BF4" s="99"/>
      <c r="BG4" s="99"/>
      <c r="BH4" s="100" t="s">
        <v>8</v>
      </c>
      <c r="BI4" s="100"/>
      <c r="BJ4" s="100"/>
      <c r="BK4" s="101" t="s">
        <v>166</v>
      </c>
      <c r="BL4" s="101"/>
      <c r="BM4" s="101"/>
      <c r="BN4" s="101"/>
      <c r="BO4" s="101"/>
      <c r="BP4" s="101"/>
      <c r="BQ4" s="101"/>
      <c r="BR4" s="102" t="s">
        <v>167</v>
      </c>
      <c r="BS4" s="102"/>
      <c r="BT4" s="102"/>
      <c r="BU4" s="102"/>
      <c r="BV4" s="102"/>
      <c r="BW4" s="102"/>
      <c r="BX4" s="102"/>
      <c r="BY4" s="101" t="s">
        <v>168</v>
      </c>
      <c r="BZ4" s="101"/>
      <c r="CA4" s="101"/>
      <c r="CB4" s="101"/>
      <c r="CC4" s="101"/>
      <c r="CD4" s="101"/>
      <c r="CE4" s="101"/>
      <c r="CF4" s="102" t="s">
        <v>169</v>
      </c>
      <c r="CG4" s="102"/>
      <c r="CH4" s="102"/>
      <c r="CI4" s="102"/>
      <c r="CJ4" s="102"/>
      <c r="CK4" s="102"/>
      <c r="CL4" s="102"/>
      <c r="CM4" s="101" t="s">
        <v>170</v>
      </c>
      <c r="CN4" s="101"/>
      <c r="CO4" s="101"/>
      <c r="CP4" s="101"/>
      <c r="CQ4" s="101"/>
      <c r="CR4" s="101"/>
      <c r="CS4" s="101"/>
      <c r="CT4" s="103" t="s">
        <v>171</v>
      </c>
      <c r="CU4" s="103"/>
      <c r="CV4" s="103"/>
      <c r="CW4" s="103"/>
      <c r="CX4" s="103"/>
      <c r="CY4" s="103"/>
      <c r="CZ4" s="103"/>
      <c r="DA4" s="58" t="s">
        <v>172</v>
      </c>
      <c r="DB4" s="59" t="s">
        <v>173</v>
      </c>
      <c r="DC4" s="60" t="s">
        <v>174</v>
      </c>
      <c r="DD4" s="57" t="s">
        <v>175</v>
      </c>
      <c r="DG4" s="57" t="s">
        <v>2</v>
      </c>
      <c r="DH4" s="99" t="s">
        <v>165</v>
      </c>
      <c r="DI4" s="99"/>
      <c r="DJ4" s="99"/>
      <c r="DK4" s="100" t="s">
        <v>8</v>
      </c>
      <c r="DL4" s="100"/>
      <c r="DM4" s="100"/>
      <c r="DN4" s="101" t="s">
        <v>166</v>
      </c>
      <c r="DO4" s="101"/>
      <c r="DP4" s="101"/>
      <c r="DQ4" s="101"/>
      <c r="DR4" s="101"/>
      <c r="DS4" s="101"/>
      <c r="DT4" s="101"/>
      <c r="DU4" s="102" t="s">
        <v>167</v>
      </c>
      <c r="DV4" s="102"/>
      <c r="DW4" s="102"/>
      <c r="DX4" s="102"/>
      <c r="DY4" s="102"/>
      <c r="DZ4" s="102"/>
      <c r="EA4" s="102"/>
      <c r="EB4" s="101" t="s">
        <v>168</v>
      </c>
      <c r="EC4" s="101"/>
      <c r="ED4" s="101"/>
      <c r="EE4" s="101"/>
      <c r="EF4" s="101"/>
      <c r="EG4" s="101"/>
      <c r="EH4" s="101"/>
      <c r="EI4" s="102" t="s">
        <v>169</v>
      </c>
      <c r="EJ4" s="102"/>
      <c r="EK4" s="102"/>
      <c r="EL4" s="102"/>
      <c r="EM4" s="102"/>
      <c r="EN4" s="102"/>
      <c r="EO4" s="102"/>
      <c r="EP4" s="101" t="s">
        <v>170</v>
      </c>
      <c r="EQ4" s="101"/>
      <c r="ER4" s="101"/>
      <c r="ES4" s="101"/>
      <c r="ET4" s="101"/>
      <c r="EU4" s="101"/>
      <c r="EV4" s="101"/>
      <c r="EW4" s="103" t="s">
        <v>171</v>
      </c>
      <c r="EX4" s="103"/>
      <c r="EY4" s="103"/>
      <c r="EZ4" s="103"/>
      <c r="FA4" s="103"/>
      <c r="FB4" s="103"/>
      <c r="FC4" s="103"/>
      <c r="FD4" s="58" t="s">
        <v>172</v>
      </c>
      <c r="FE4" s="59" t="s">
        <v>173</v>
      </c>
      <c r="FF4" s="60" t="s">
        <v>174</v>
      </c>
      <c r="FG4" s="57" t="s">
        <v>175</v>
      </c>
      <c r="FJ4" s="57" t="s">
        <v>2</v>
      </c>
      <c r="FK4" s="99" t="s">
        <v>165</v>
      </c>
      <c r="FL4" s="99"/>
      <c r="FM4" s="99"/>
      <c r="FN4" s="100" t="s">
        <v>8</v>
      </c>
      <c r="FO4" s="100"/>
      <c r="FP4" s="100"/>
      <c r="FQ4" s="101" t="s">
        <v>166</v>
      </c>
      <c r="FR4" s="101"/>
      <c r="FS4" s="101"/>
      <c r="FT4" s="101"/>
      <c r="FU4" s="101"/>
      <c r="FV4" s="101"/>
      <c r="FW4" s="101"/>
      <c r="FX4" s="102" t="s">
        <v>167</v>
      </c>
      <c r="FY4" s="102"/>
      <c r="FZ4" s="102"/>
      <c r="GA4" s="102"/>
      <c r="GB4" s="102"/>
      <c r="GC4" s="102"/>
      <c r="GD4" s="102"/>
      <c r="GE4" s="101" t="s">
        <v>168</v>
      </c>
      <c r="GF4" s="101"/>
      <c r="GG4" s="101"/>
      <c r="GH4" s="101"/>
      <c r="GI4" s="101"/>
      <c r="GJ4" s="101"/>
      <c r="GK4" s="101"/>
      <c r="GL4" s="102" t="s">
        <v>169</v>
      </c>
      <c r="GM4" s="102"/>
      <c r="GN4" s="102"/>
      <c r="GO4" s="102"/>
      <c r="GP4" s="102"/>
      <c r="GQ4" s="102"/>
      <c r="GR4" s="102"/>
      <c r="GS4" s="101" t="s">
        <v>170</v>
      </c>
      <c r="GT4" s="101"/>
      <c r="GU4" s="101"/>
      <c r="GV4" s="101"/>
      <c r="GW4" s="101"/>
      <c r="GX4" s="101"/>
      <c r="GY4" s="101"/>
      <c r="GZ4" s="103" t="s">
        <v>171</v>
      </c>
      <c r="HA4" s="103"/>
      <c r="HB4" s="103"/>
      <c r="HC4" s="103"/>
      <c r="HD4" s="103"/>
      <c r="HE4" s="103"/>
      <c r="HF4" s="103"/>
      <c r="HG4" s="58" t="s">
        <v>172</v>
      </c>
      <c r="HH4" s="59" t="s">
        <v>173</v>
      </c>
      <c r="HI4" s="60" t="s">
        <v>174</v>
      </c>
      <c r="HJ4" s="57" t="s">
        <v>175</v>
      </c>
      <c r="HM4" s="98"/>
      <c r="HN4" s="98"/>
      <c r="HO4" s="98"/>
      <c r="HP4" s="98"/>
      <c r="HQ4" s="98"/>
      <c r="HR4" s="98"/>
      <c r="HS4" s="98"/>
      <c r="HT4" s="98"/>
      <c r="HU4" s="98"/>
      <c r="HV4" s="98"/>
      <c r="HW4" s="98"/>
      <c r="HX4" s="98"/>
      <c r="HY4" s="98"/>
      <c r="HZ4" s="98"/>
      <c r="IA4" s="98"/>
      <c r="IB4" s="98"/>
    </row>
    <row r="5" spans="1:237" ht="10.5" customHeight="1" x14ac:dyDescent="0.35">
      <c r="A5" s="104" t="s">
        <v>176</v>
      </c>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t="s">
        <v>177</v>
      </c>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c r="CP5" s="104"/>
      <c r="CQ5" s="104"/>
      <c r="CR5" s="104"/>
      <c r="CS5" s="104"/>
      <c r="CT5" s="104"/>
      <c r="CU5" s="104"/>
      <c r="CV5" s="104"/>
      <c r="CW5" s="104"/>
      <c r="CX5" s="104"/>
      <c r="CY5" s="104"/>
      <c r="CZ5" s="104"/>
      <c r="DA5" s="104"/>
      <c r="DB5" s="104"/>
      <c r="DC5" s="104"/>
      <c r="DD5" s="104"/>
      <c r="DE5" s="104"/>
      <c r="DF5" s="104"/>
      <c r="DG5" s="104" t="s">
        <v>178</v>
      </c>
      <c r="DH5" s="104"/>
      <c r="DI5" s="104"/>
      <c r="DJ5" s="104"/>
      <c r="DK5" s="104"/>
      <c r="DL5" s="104"/>
      <c r="DM5" s="104"/>
      <c r="DN5" s="104"/>
      <c r="DO5" s="104"/>
      <c r="DP5" s="104"/>
      <c r="DQ5" s="104"/>
      <c r="DR5" s="104"/>
      <c r="DS5" s="104"/>
      <c r="DT5" s="104"/>
      <c r="DU5" s="104"/>
      <c r="DV5" s="104"/>
      <c r="DW5" s="104"/>
      <c r="DX5" s="104"/>
      <c r="DY5" s="104"/>
      <c r="DZ5" s="104"/>
      <c r="EA5" s="104"/>
      <c r="EB5" s="104"/>
      <c r="EC5" s="104"/>
      <c r="ED5" s="104"/>
      <c r="EE5" s="104"/>
      <c r="EF5" s="104"/>
      <c r="EG5" s="104"/>
      <c r="EH5" s="104"/>
      <c r="EI5" s="104"/>
      <c r="EJ5" s="104"/>
      <c r="EK5" s="104"/>
      <c r="EL5" s="104"/>
      <c r="EM5" s="104"/>
      <c r="EN5" s="104"/>
      <c r="EO5" s="104"/>
      <c r="EP5" s="104"/>
      <c r="EQ5" s="104"/>
      <c r="ER5" s="104"/>
      <c r="ES5" s="104"/>
      <c r="ET5" s="104"/>
      <c r="EU5" s="104"/>
      <c r="EV5" s="104"/>
      <c r="EW5" s="104"/>
      <c r="EX5" s="104"/>
      <c r="EY5" s="104"/>
      <c r="EZ5" s="104"/>
      <c r="FA5" s="104"/>
      <c r="FB5" s="104"/>
      <c r="FC5" s="104"/>
      <c r="FD5" s="104"/>
      <c r="FE5" s="104"/>
      <c r="FF5" s="104"/>
      <c r="FG5" s="104"/>
      <c r="FH5" s="104"/>
      <c r="FI5" s="104"/>
      <c r="FJ5" s="104" t="s">
        <v>179</v>
      </c>
      <c r="FK5" s="104"/>
      <c r="FL5" s="104"/>
      <c r="FM5" s="104"/>
      <c r="FN5" s="104"/>
      <c r="FO5" s="104"/>
      <c r="FP5" s="104"/>
      <c r="FQ5" s="104"/>
      <c r="FR5" s="104"/>
      <c r="FS5" s="104"/>
      <c r="FT5" s="104"/>
      <c r="FU5" s="104"/>
      <c r="FV5" s="104"/>
      <c r="FW5" s="104"/>
      <c r="FX5" s="104"/>
      <c r="FY5" s="104"/>
      <c r="FZ5" s="104"/>
      <c r="GA5" s="104"/>
      <c r="GB5" s="104"/>
      <c r="GC5" s="104"/>
      <c r="GD5" s="104"/>
      <c r="GE5" s="104"/>
      <c r="GF5" s="104"/>
      <c r="GG5" s="104"/>
      <c r="GH5" s="104"/>
      <c r="GI5" s="104"/>
      <c r="GJ5" s="104"/>
      <c r="GK5" s="104"/>
      <c r="GL5" s="104"/>
      <c r="GM5" s="104"/>
      <c r="GN5" s="104"/>
      <c r="GO5" s="104"/>
      <c r="GP5" s="104"/>
      <c r="GQ5" s="104"/>
      <c r="GR5" s="104"/>
      <c r="GS5" s="104"/>
      <c r="GT5" s="104"/>
      <c r="GU5" s="104"/>
      <c r="GV5" s="104"/>
      <c r="GW5" s="104"/>
      <c r="GX5" s="104"/>
      <c r="GY5" s="104"/>
      <c r="GZ5" s="104"/>
      <c r="HA5" s="104"/>
      <c r="HB5" s="104"/>
      <c r="HC5" s="104"/>
      <c r="HD5" s="104"/>
      <c r="HE5" s="104"/>
      <c r="HF5" s="104"/>
      <c r="HG5" s="104"/>
      <c r="HH5" s="104"/>
      <c r="HI5" s="104"/>
      <c r="HJ5" s="104"/>
      <c r="HK5" s="104"/>
      <c r="HL5" s="104"/>
      <c r="HM5" s="105" t="s">
        <v>180</v>
      </c>
      <c r="HN5" s="105"/>
      <c r="HO5" s="105"/>
      <c r="HP5" s="105"/>
      <c r="HQ5" s="105"/>
      <c r="HR5" s="105"/>
      <c r="HS5" s="105"/>
      <c r="HT5" s="105"/>
      <c r="HU5" s="105"/>
      <c r="HV5" s="105"/>
      <c r="HW5" s="105"/>
      <c r="HX5" s="105"/>
      <c r="HY5" s="105"/>
      <c r="HZ5" s="105"/>
      <c r="IA5" s="105"/>
      <c r="IB5" s="105"/>
    </row>
    <row r="6" spans="1:237" ht="15.75" customHeight="1" x14ac:dyDescent="0.35">
      <c r="A6" s="61" t="str">
        <f>IFERROR(IF(INDEX('Novice 15M - Teams'!$L:$L,MATCH(1,'Novice 15M - Teams'!$A:$A,0))="Yes","BYE",IF(OR(INDEX('Novice 15M - Teams'!$B:$B,MATCH(1,'Novice 15M - Teams'!$A:$A,0))="",ISERROR(MATCH(1,'Novice 15M - Teams'!$A:$A,0))),"BYE","#1")),"BYE")</f>
        <v>#1</v>
      </c>
      <c r="B6" s="106" t="str">
        <f>IFERROR(IF(INDEX('Novice 15M - Teams'!$L:$L,MATCH(1,'Novice 15M - Teams'!$A:$A,0))="Yes","",IF(INDEX('Novice 15M - Teams'!$N:$N,MATCH(1,'Novice 15M - Teams'!$A:$A,0))&lt;&gt;"",INDEX('Novice 15M - Teams'!$N:$N,MATCH(1,'Novice 15M - Teams'!$A:$A,0)),IF(INDEX('Novice 15M - Teams'!$B:$B,MATCH(1,'Novice 15M - Teams'!$A:$A,0))="","",INDEX('Novice 15M - Teams'!$B:$B,MATCH(1,'Novice 15M - Teams'!$A:$A,0))))),"")</f>
        <v>Michael Allan Corpuz</v>
      </c>
      <c r="C6" s="106"/>
      <c r="D6" s="106"/>
      <c r="E6" s="107" t="str">
        <f>IF(OR(A6="BYE",BA6="&gt;&gt; Advance"),"",IF((B2-A2+1)&gt;=8,(A2+MOD(INT((SUMPRODUCT(IF(A6&lt;&gt;"BYE",IF(A6&lt;&gt;"",IF(BA6&lt;&gt;"&gt;&gt; Advance",1,0),0),0))-1)/2),(B2-A2+1)))&amp;IF((MOD(SUMPRODUCT(IF(A6&lt;&gt;"BYE",IF(A6&lt;&gt;"",IF(BA6&lt;&gt;"&gt;&gt; Advance",1,0),0),0))-1,2)=0)," L"," R"),(A2+MOD(INT((SUMPRODUCT(IF(A6&lt;&gt;"BYE",IF(A6&lt;&gt;"",IF(BA6&lt;&gt;"&gt;&gt; Advance",1,0),0),0))-1)/2),(B2-A2+1)))&amp;CHAR(65+FLOOR(INT((SUMPRODUCT(IF(A6&lt;&gt;"BYE",IF(A6&lt;&gt;"",IF(BA6&lt;&gt;"&gt;&gt; Advance",1,0),0),0))-1)/2)/(B2-A2+1),1)*2+MOD(SUMPRODUCT(IF(A6&lt;&gt;"BYE",IF(A6&lt;&gt;"",IF(BA6&lt;&gt;"&gt;&gt; Advance",1,0),0),0))-1,2))&amp;IF((MOD(SUMPRODUCT(IF(A6&lt;&gt;"BYE",IF(A6&lt;&gt;"",IF(BA6&lt;&gt;"&gt;&gt; Advance",1,0),0),0))-1,2)=0)," (L)"," (R)")))</f>
        <v/>
      </c>
      <c r="F6" s="107"/>
      <c r="G6" s="107"/>
      <c r="H6" s="62"/>
      <c r="I6" s="62"/>
      <c r="J6" s="62"/>
      <c r="K6" s="62"/>
      <c r="L6" s="62"/>
      <c r="M6" s="62"/>
      <c r="N6" s="63" t="str">
        <f>IF(OR(ISNUMBER(H6),ISNUMBER(I6),ISNUMBER(J6),ISNUMBER(K6),ISNUMBER(L6),ISNUMBER(M6),H6="X",I6="X",J6="X",K6="X",L6="X",M6="X",H6="M",I6="M",J6="M",K6="M",L6="M",M6="M"),IF(H6="X",10,IF(H6="M",0,IF(ISNUMBER(H6),H6,0))) + IF(I6="X",10,IF(I6="M",0,IF(ISNUMBER(I6),I6,0))) + IF(J6="X",10,IF(J6="M",0,IF(ISNUMBER(J6),J6,0))) + IF(K6="X",10,IF(K6="M",0,IF(ISNUMBER(K6),K6,0))) + IF(L6="X",10,IF(L6="M",0,IF(ISNUMBER(L6),L6,0))) + IF(M6="X",10,IF(M6="M",0,IF(ISNUMBER(M6),M6,0))),"")</f>
        <v/>
      </c>
      <c r="O6" s="62"/>
      <c r="P6" s="62"/>
      <c r="Q6" s="62"/>
      <c r="R6" s="62"/>
      <c r="S6" s="62"/>
      <c r="T6" s="62"/>
      <c r="U6" s="63" t="str">
        <f>IF(OR(ISNUMBER(O6),ISNUMBER(P6),ISNUMBER(Q6),ISNUMBER(R6),ISNUMBER(S6),ISNUMBER(T6),O6="X",P6="X",Q6="X",R6="X",S6="X",T6="X",O6="M",P6="M",Q6="M",R6="M",S6="M",T6="M"),IF(O6="X",10,IF(O6="M",0,IF(ISNUMBER(O6),O6,0))) + IF(P6="X",10,IF(P6="M",0,IF(ISNUMBER(P6),P6,0))) + IF(Q6="X",10,IF(Q6="M",0,IF(ISNUMBER(Q6),Q6,0))) + IF(R6="X",10,IF(R6="M",0,IF(ISNUMBER(R6),R6,0))) + IF(S6="X",10,IF(S6="M",0,IF(ISNUMBER(S6),S6,0))) + IF(T6="X",10,IF(T6="M",0,IF(ISNUMBER(T6),T6,0))),"")</f>
        <v/>
      </c>
      <c r="V6" s="62"/>
      <c r="W6" s="62"/>
      <c r="X6" s="62"/>
      <c r="Y6" s="62"/>
      <c r="Z6" s="62"/>
      <c r="AA6" s="62"/>
      <c r="AB6" s="63" t="str">
        <f>IF(OR(ISNUMBER(V6),ISNUMBER(W6),ISNUMBER(X6),ISNUMBER(Y6),ISNUMBER(Z6),ISNUMBER(AA6),V6="X",W6="X",X6="X",Y6="X",Z6="X",AA6="X",V6="M",W6="M",X6="M",Y6="M",Z6="M",AA6="M"),IF(V6="X",10,IF(V6="M",0,IF(ISNUMBER(V6),V6,0))) + IF(W6="X",10,IF(W6="M",0,IF(ISNUMBER(W6),W6,0))) + IF(X6="X",10,IF(X6="M",0,IF(ISNUMBER(X6),X6,0))) + IF(Y6="X",10,IF(Y6="M",0,IF(ISNUMBER(Y6),Y6,0))) + IF(Z6="X",10,IF(Z6="M",0,IF(ISNUMBER(Z6),Z6,0))) + IF(AA6="X",10,IF(AA6="M",0,IF(ISNUMBER(AA6),AA6,0))),"")</f>
        <v/>
      </c>
      <c r="AC6" s="62"/>
      <c r="AD6" s="62"/>
      <c r="AE6" s="62"/>
      <c r="AF6" s="62"/>
      <c r="AG6" s="62"/>
      <c r="AH6" s="62"/>
      <c r="AI6" s="63" t="str">
        <f>IF(OR(ISNUMBER(AC6),ISNUMBER(AD6),ISNUMBER(AE6),ISNUMBER(AF6),ISNUMBER(AG6),ISNUMBER(AH6),AC6="X",AD6="X",AE6="X",AF6="X",AG6="X",AH6="X",AC6="M",AD6="M",AE6="M",AF6="M",AG6="M",AH6="M"),IF(AC6="X",10,IF(AC6="M",0,IF(ISNUMBER(AC6),AC6,0))) + IF(AD6="X",10,IF(AD6="M",0,IF(ISNUMBER(AD6),AD6,0))) + IF(AE6="X",10,IF(AE6="M",0,IF(ISNUMBER(AE6),AE6,0))) + IF(AF6="X",10,IF(AF6="M",0,IF(ISNUMBER(AF6),AF6,0))) + IF(AG6="X",10,IF(AG6="M",0,IF(ISNUMBER(AG6),AG6,0))) + IF(AH6="X",10,IF(AH6="M",0,IF(ISNUMBER(AH6),AH6,0))),"")</f>
        <v/>
      </c>
      <c r="AJ6" s="62"/>
      <c r="AK6" s="62"/>
      <c r="AL6" s="62"/>
      <c r="AM6" s="62"/>
      <c r="AN6" s="62"/>
      <c r="AO6" s="62"/>
      <c r="AP6" s="63" t="str">
        <f>IF(OR(ISNUMBER(AJ6),ISNUMBER(AK6),ISNUMBER(AL6),ISNUMBER(AM6),ISNUMBER(AN6),ISNUMBER(AO6),AJ6="X",AK6="X",AL6="X",AM6="X",AN6="X",AO6="X",AJ6="M",AK6="M",AL6="M",AM6="M",AN6="M",AO6="M"),IF(AJ6="X",10,IF(AJ6="M",0,IF(ISNUMBER(AJ6),AJ6,0))) + IF(AK6="X",10,IF(AK6="M",0,IF(ISNUMBER(AK6),AK6,0))) + IF(AL6="X",10,IF(AL6="M",0,IF(ISNUMBER(AL6),AL6,0))) + IF(AM6="X",10,IF(AM6="M",0,IF(ISNUMBER(AM6),AM6,0))) + IF(AN6="X",10,IF(AN6="M",0,IF(ISNUMBER(AN6),AN6,0))) + IF(AO6="X",10,IF(AO6="M",0,IF(ISNUMBER(AO6),AO6,0))),"")</f>
        <v/>
      </c>
      <c r="AQ6" s="64"/>
      <c r="AR6" s="64"/>
      <c r="AS6" s="64"/>
      <c r="AT6" s="64"/>
      <c r="AU6" s="64"/>
      <c r="AV6" s="64"/>
      <c r="AW6" s="63" t="str">
        <f>IF(OR(ISNUMBER(AQ6),ISNUMBER(AR6),ISNUMBER(AS6),ISNUMBER(AT6),ISNUMBER(AU6),ISNUMBER(AV6),AQ6="X",AR6="X",AS6="X",AT6="X",AU6="X",AV6="X",AQ6="M",AR6="M",AS6="M",AT6="M",AU6="M",AV6="M"),IF(AQ6="X",10,IF(AQ6="M",0,IF(ISNUMBER(AQ6),AQ6,0))) + IF(AR6="X",10,IF(AR6="M",0,IF(ISNUMBER(AR6),AR6,0))) + IF(AS6="X",10,IF(AS6="M",0,IF(ISNUMBER(AS6),AS6,0))) + IF(AT6="X",10,IF(AT6="M",0,IF(ISNUMBER(AT6),AT6,0))) + IF(AU6="X",10,IF(AU6="M",0,IF(ISNUMBER(AU6),AU6,0))) + IF(AV6="X",10,IF(AV6="M",0,IF(ISNUMBER(AV6),AV6,0))),"")</f>
        <v/>
      </c>
      <c r="AX6" s="65">
        <f>IF(AND(ISNUMBER(N6),ISNUMBER(N8)),IF(N6&gt;N8,2,IF(N6=N8,1,0)),0)+IF(AND(ISNUMBER(U6),ISNUMBER(U8)),IF(U6&gt;U8,2,IF(U6=U8,1,0)),0)+IF(AND(ISNUMBER(AB6),ISNUMBER(AB8)),IF(AB6&gt;AB8,2,IF(AB6=AB8,1,0)),0)+IF(AND(ISNUMBER(AI6),ISNUMBER(AI8)),IF(AI6&gt;AI8,2,IF(AI6=AI8,1,0)),0)+IF(AND(ISNUMBER(AP6),ISNUMBER(AP8)),IF(AP6&gt;AP8,2,IF(AP6=AP8,1,0)),0)</f>
        <v>0</v>
      </c>
      <c r="AY6" s="66"/>
      <c r="AZ6" s="67">
        <f>IF(AX6&gt;0,IF(H6="X",10,IF(H6="M",0,IF(ISNUMBER(H6),H6,0)))+IF(I6="X",10,IF(I6="M",0,IF(ISNUMBER(I6),I6,0)))+IF(J6="X",10,IF(J6="M",0,IF(ISNUMBER(J6),J6,0)))+IF(K6="X",10,IF(K6="M",0,IF(ISNUMBER(K6),K6,0)))+IF(L6="X",10,IF(L6="M",0,IF(ISNUMBER(L6),L6,0)))+IF(M6="X",10,IF(M6="M",0,IF(ISNUMBER(M6),M6,0)))+IF(O6="X",10,IF(O6="M",0,IF(ISNUMBER(O6),O6,0)))+IF(P6="X",10,IF(P6="M",0,IF(ISNUMBER(P6),P6,0)))+IF(Q6="X",10,IF(Q6="M",0,IF(ISNUMBER(Q6),Q6,0)))+IF(R6="X",10,IF(R6="M",0,IF(ISNUMBER(R6),R6,0)))+IF(S6="X",10,IF(S6="M",0,IF(ISNUMBER(S6),S6,0)))+IF(T6="X",10,IF(T6="M",0,IF(ISNUMBER(T6),T6,0)))+IF(V6="X",10,IF(V6="M",0,IF(ISNUMBER(V6),V6,0)))+IF(W6="X",10,IF(W6="M",0,IF(ISNUMBER(W6),W6,0)))+IF(X6="X",10,IF(X6="M",0,IF(ISNUMBER(X6),X6,0)))+IF(Y6="X",10,IF(Y6="M",0,IF(ISNUMBER(Y6),Y6,0)))+IF(Z6="X",10,IF(Z6="M",0,IF(ISNUMBER(Z6),Z6,0)))+IF(AA6="X",10,IF(AA6="M",0,IF(ISNUMBER(AA6),AA6,0)))+IF(AC6="X",10,IF(AC6="M",0,IF(ISNUMBER(AC6),AC6,0)))+IF(AD6="X",10,IF(AD6="M",0,IF(ISNUMBER(AD6),AD6,0)))+IF(AE6="X",10,IF(AE6="M",0,IF(ISNUMBER(AE6),AE6,0)))+IF(AF6="X",10,IF(AF6="M",0,IF(ISNUMBER(AF6),AF6,0)))+IF(AG6="X",10,IF(AG6="M",0,IF(ISNUMBER(AG6),AG6,0)))+IF(AH6="X",10,IF(AH6="M",0,IF(ISNUMBER(AH6),AH6,0)))+IF(AJ6="X",10,IF(AJ6="M",0,IF(ISNUMBER(AJ6),AJ6,0)))+IF(AK6="X",10,IF(AK6="M",0,IF(ISNUMBER(AK6),AK6,0)))+IF(AL6="X",10,IF(AL6="M",0,IF(ISNUMBER(AL6),AL6,0)))+IF(AM6="X",10,IF(AM6="M",0,IF(ISNUMBER(AM6),AM6,0)))+IF(AN6="X",10,IF(AN6="M",0,IF(ISNUMBER(AN6),AN6,0)))+IF(AO6="X",10,IF(AO6="M",0,IF(ISNUMBER(AO6),AO6,0)))+IF(AQ6="X",10,IF(AQ6="M",0,IF(ISNUMBER(AQ6),AQ6,0)))+IF(AR6="X",10,IF(AR6="M",0,IF(ISNUMBER(AR6),AR6,0)))+IF(AS6="X",10,IF(AS6="M",0,IF(ISNUMBER(AS6),AS6,0)))+IF(AT6="X",10,IF(AT6="M",0,IF(ISNUMBER(AT6),AT6,0)))+IF(AU6="X",10,IF(AU6="M",0,IF(ISNUMBER(AU6),AU6,0)))+IF(AV6="X",10,IF(AV6="M",0,IF(ISNUMBER(AV6),AV6,0))),0)</f>
        <v>0</v>
      </c>
      <c r="BA6" s="68" t="str">
        <f>IFERROR(IF(AY6="DQ","DISQUALIFIED",IF(AY8="DQ","&gt;&gt; Advance",IF(BC8="BYE","&gt;&gt; Advance",IF(BC6="BYE","BYE",IF(AX6&gt;=6,"WIN",IF(AX8&gt;=6,"LOSS",IF(AND(ISNUMBER(AW6),ISNUMBER(AW8)),IF(AW6&gt;AW8,"WIN",IF(AW6&lt;AW8,"LOSS","Shoot-Off")),"Playing"))))))),"Error")</f>
        <v>&gt;&gt; Advance</v>
      </c>
      <c r="BC6" s="69" t="str">
        <f>IFERROR(IF(INDEX('Novice 15M - Teams'!$L:$L,MATCH(1,'Novice 15M - Teams'!$A:$A,0))="Yes","BYE",IF(OR(INDEX('Novice 15M - Teams'!$B:$B,MATCH(1,'Novice 15M - Teams'!$A:$A,0))="",ISERROR(MATCH(1,'Novice 15M - Teams'!$A:$A,0))),"BYE","")),"BYE")</f>
        <v/>
      </c>
      <c r="BD6" s="61" t="s">
        <v>181</v>
      </c>
      <c r="BE6" s="106" t="str">
        <f>IFERROR(IF(BC6="BYE",IF(BC8="BYE","TBD",B8),IF(BC8="BYE",B6,IF(OR(BA6="WIN",BA6="&gt;&gt; Advance"),B6,IF(OR(BA8="WIN",BA8="&gt;&gt; Advance"),B8,"TBD")))),"TBD")</f>
        <v>Michael Allan Corpuz</v>
      </c>
      <c r="BF6" s="106"/>
      <c r="BG6" s="106"/>
      <c r="BH6" s="107" t="str">
        <f>IF(AND(BE6&lt;&gt;"TBD",BE6&lt;&gt;"",BE8&lt;&gt;"TBD",BE8&lt;&gt;"",DD6&lt;&gt;"&gt;&gt; Advance",DD8&lt;&gt;"&gt;&gt; Advance"),IF((B2-A2+1)&gt;=8,(A2+0)&amp;"",IF((B2-A2+1)&gt;=4,(A2+0)&amp;" L",(A2+MOD(0,(B2-A2+1)))&amp;CHAR(65+FLOOR(0/(B2-A2+1),1)*2)&amp;" (L)")),"")</f>
        <v/>
      </c>
      <c r="BI6" s="107"/>
      <c r="BJ6" s="107"/>
      <c r="BK6" s="62"/>
      <c r="BL6" s="62"/>
      <c r="BM6" s="62"/>
      <c r="BN6" s="62"/>
      <c r="BO6" s="62"/>
      <c r="BP6" s="62"/>
      <c r="BQ6" s="63" t="str">
        <f>IF(OR(ISNUMBER(BK6),ISNUMBER(BL6),ISNUMBER(BM6),ISNUMBER(BN6),ISNUMBER(BO6),ISNUMBER(BP6),BK6="X",BL6="X",BM6="X",BN6="X",BO6="X",BP6="X",BK6="M",BL6="M",BM6="M",BN6="M",BO6="M",BP6="M"),IF(BK6="X",10,IF(BK6="M",0,IF(ISNUMBER(BK6),BK6,0))) + IF(BL6="X",10,IF(BL6="M",0,IF(ISNUMBER(BL6),BL6,0))) + IF(BM6="X",10,IF(BM6="M",0,IF(ISNUMBER(BM6),BM6,0))) + IF(BN6="X",10,IF(BN6="M",0,IF(ISNUMBER(BN6),BN6,0))) + IF(BO6="X",10,IF(BO6="M",0,IF(ISNUMBER(BO6),BO6,0))) + IF(BP6="X",10,IF(BP6="M",0,IF(ISNUMBER(BP6),BP6,0))),"")</f>
        <v/>
      </c>
      <c r="BR6" s="62"/>
      <c r="BS6" s="62"/>
      <c r="BT6" s="62"/>
      <c r="BU6" s="62"/>
      <c r="BV6" s="62"/>
      <c r="BW6" s="62"/>
      <c r="BX6" s="63" t="str">
        <f>IF(OR(ISNUMBER(BR6),ISNUMBER(BS6),ISNUMBER(BT6),ISNUMBER(BU6),ISNUMBER(BV6),ISNUMBER(BW6),BR6="X",BS6="X",BT6="X",BU6="X",BV6="X",BW6="X",BR6="M",BS6="M",BT6="M",BU6="M",BV6="M",BW6="M"),IF(BR6="X",10,IF(BR6="M",0,IF(ISNUMBER(BR6),BR6,0))) + IF(BS6="X",10,IF(BS6="M",0,IF(ISNUMBER(BS6),BS6,0))) + IF(BT6="X",10,IF(BT6="M",0,IF(ISNUMBER(BT6),BT6,0))) + IF(BU6="X",10,IF(BU6="M",0,IF(ISNUMBER(BU6),BU6,0))) + IF(BV6="X",10,IF(BV6="M",0,IF(ISNUMBER(BV6),BV6,0))) + IF(BW6="X",10,IF(BW6="M",0,IF(ISNUMBER(BW6),BW6,0))),"")</f>
        <v/>
      </c>
      <c r="BY6" s="62"/>
      <c r="BZ6" s="62"/>
      <c r="CA6" s="62"/>
      <c r="CB6" s="62"/>
      <c r="CC6" s="62"/>
      <c r="CD6" s="62"/>
      <c r="CE6" s="63" t="str">
        <f>IF(OR(ISNUMBER(BY6),ISNUMBER(BZ6),ISNUMBER(CA6),ISNUMBER(CB6),ISNUMBER(CC6),ISNUMBER(CD6),BY6="X",BZ6="X",CA6="X",CB6="X",CC6="X",CD6="X",BY6="M",BZ6="M",CA6="M",CB6="M",CC6="M",CD6="M"),IF(BY6="X",10,IF(BY6="M",0,IF(ISNUMBER(BY6),BY6,0))) + IF(BZ6="X",10,IF(BZ6="M",0,IF(ISNUMBER(BZ6),BZ6,0))) + IF(CA6="X",10,IF(CA6="M",0,IF(ISNUMBER(CA6),CA6,0))) + IF(CB6="X",10,IF(CB6="M",0,IF(ISNUMBER(CB6),CB6,0))) + IF(CC6="X",10,IF(CC6="M",0,IF(ISNUMBER(CC6),CC6,0))) + IF(CD6="X",10,IF(CD6="M",0,IF(ISNUMBER(CD6),CD6,0))),"")</f>
        <v/>
      </c>
      <c r="CF6" s="62"/>
      <c r="CG6" s="62"/>
      <c r="CH6" s="62"/>
      <c r="CI6" s="62"/>
      <c r="CJ6" s="62"/>
      <c r="CK6" s="62"/>
      <c r="CL6" s="63" t="str">
        <f>IF(OR(ISNUMBER(CF6),ISNUMBER(CG6),ISNUMBER(CH6),ISNUMBER(CI6),ISNUMBER(CJ6),ISNUMBER(CK6),CF6="X",CG6="X",CH6="X",CI6="X",CJ6="X",CK6="X",CF6="M",CG6="M",CH6="M",CI6="M",CJ6="M",CK6="M"),IF(CF6="X",10,IF(CF6="M",0,IF(ISNUMBER(CF6),CF6,0))) + IF(CG6="X",10,IF(CG6="M",0,IF(ISNUMBER(CG6),CG6,0))) + IF(CH6="X",10,IF(CH6="M",0,IF(ISNUMBER(CH6),CH6,0))) + IF(CI6="X",10,IF(CI6="M",0,IF(ISNUMBER(CI6),CI6,0))) + IF(CJ6="X",10,IF(CJ6="M",0,IF(ISNUMBER(CJ6),CJ6,0))) + IF(CK6="X",10,IF(CK6="M",0,IF(ISNUMBER(CK6),CK6,0))),"")</f>
        <v/>
      </c>
      <c r="CM6" s="62"/>
      <c r="CN6" s="62"/>
      <c r="CO6" s="62"/>
      <c r="CP6" s="62"/>
      <c r="CQ6" s="62"/>
      <c r="CR6" s="62"/>
      <c r="CS6" s="63" t="str">
        <f>IF(OR(ISNUMBER(CM6),ISNUMBER(CN6),ISNUMBER(CO6),ISNUMBER(CP6),ISNUMBER(CQ6),ISNUMBER(CR6),CM6="X",CN6="X",CO6="X",CP6="X",CQ6="X",CR6="X",CM6="M",CN6="M",CO6="M",CP6="M",CQ6="M",CR6="M"),IF(CM6="X",10,IF(CM6="M",0,IF(ISNUMBER(CM6),CM6,0))) + IF(CN6="X",10,IF(CN6="M",0,IF(ISNUMBER(CN6),CN6,0))) + IF(CO6="X",10,IF(CO6="M",0,IF(ISNUMBER(CO6),CO6,0))) + IF(CP6="X",10,IF(CP6="M",0,IF(ISNUMBER(CP6),CP6,0))) + IF(CQ6="X",10,IF(CQ6="M",0,IF(ISNUMBER(CQ6),CQ6,0))) + IF(CR6="X",10,IF(CR6="M",0,IF(ISNUMBER(CR6),CR6,0))),"")</f>
        <v/>
      </c>
      <c r="CT6" s="64"/>
      <c r="CU6" s="64"/>
      <c r="CV6" s="64"/>
      <c r="CW6" s="64"/>
      <c r="CX6" s="64"/>
      <c r="CY6" s="64"/>
      <c r="CZ6" s="63" t="str">
        <f>IF(OR(ISNUMBER(CT6),ISNUMBER(CU6),ISNUMBER(CV6),ISNUMBER(CW6),ISNUMBER(CX6),ISNUMBER(CY6),CT6="X",CU6="X",CV6="X",CW6="X",CX6="X",CY6="X",CT6="M",CU6="M",CV6="M",CW6="M",CX6="M",CY6="M"),IF(CT6="X",10,IF(CT6="M",0,IF(ISNUMBER(CT6),CT6,0))) + IF(CU6="X",10,IF(CU6="M",0,IF(ISNUMBER(CU6),CU6,0))) + IF(CV6="X",10,IF(CV6="M",0,IF(ISNUMBER(CV6),CV6,0))) + IF(CW6="X",10,IF(CW6="M",0,IF(ISNUMBER(CW6),CW6,0))) + IF(CX6="X",10,IF(CX6="M",0,IF(ISNUMBER(CX6),CX6,0))) + IF(CY6="X",10,IF(CY6="M",0,IF(ISNUMBER(CY6),CY6,0))),"")</f>
        <v/>
      </c>
      <c r="DA6" s="65">
        <f>IF(AND(ISNUMBER(BQ6),ISNUMBER(BQ8)),IF(BQ6&gt;BQ8,2,IF(BQ6=BQ8,1,0)),0)+IF(AND(ISNUMBER(BX6),ISNUMBER(BX8)),IF(BX6&gt;BX8,2,IF(BX6=BX8,1,0)),0)+IF(AND(ISNUMBER(CE6),ISNUMBER(CE8)),IF(CE6&gt;CE8,2,IF(CE6=CE8,1,0)),0)+IF(AND(ISNUMBER(CL6),ISNUMBER(CL8)),IF(CL6&gt;CL8,2,IF(CL6=CL8,1,0)),0)+IF(AND(ISNUMBER(CS6),ISNUMBER(CS8)),IF(CS6&gt;CS8,2,IF(CS6=CS8,1,0)),0)</f>
        <v>0</v>
      </c>
      <c r="DB6" s="66"/>
      <c r="DC6" s="67">
        <f>IF(DA6&gt;0,IF(BK6="X",10,IF(BK6="M",0,IF(ISNUMBER(BK6),BK6,0)))+IF(BL6="X",10,IF(BL6="M",0,IF(ISNUMBER(BL6),BL6,0)))+IF(BM6="X",10,IF(BM6="M",0,IF(ISNUMBER(BM6),BM6,0)))+IF(BN6="X",10,IF(BN6="M",0,IF(ISNUMBER(BN6),BN6,0)))+IF(BO6="X",10,IF(BO6="M",0,IF(ISNUMBER(BO6),BO6,0)))+IF(BP6="X",10,IF(BP6="M",0,IF(ISNUMBER(BP6),BP6,0)))+IF(BR6="X",10,IF(BR6="M",0,IF(ISNUMBER(BR6),BR6,0)))+IF(BS6="X",10,IF(BS6="M",0,IF(ISNUMBER(BS6),BS6,0)))+IF(BT6="X",10,IF(BT6="M",0,IF(ISNUMBER(BT6),BT6,0)))+IF(BU6="X",10,IF(BU6="M",0,IF(ISNUMBER(BU6),BU6,0)))+IF(BV6="X",10,IF(BV6="M",0,IF(ISNUMBER(BV6),BV6,0)))+IF(BW6="X",10,IF(BW6="M",0,IF(ISNUMBER(BW6),BW6,0)))+IF(BY6="X",10,IF(BY6="M",0,IF(ISNUMBER(BY6),BY6,0)))+IF(BZ6="X",10,IF(BZ6="M",0,IF(ISNUMBER(BZ6),BZ6,0)))+IF(CA6="X",10,IF(CA6="M",0,IF(ISNUMBER(CA6),CA6,0)))+IF(CB6="X",10,IF(CB6="M",0,IF(ISNUMBER(CB6),CB6,0)))+IF(CC6="X",10,IF(CC6="M",0,IF(ISNUMBER(CC6),CC6,0)))+IF(CD6="X",10,IF(CD6="M",0,IF(ISNUMBER(CD6),CD6,0)))+IF(CF6="X",10,IF(CF6="M",0,IF(ISNUMBER(CF6),CF6,0)))+IF(CG6="X",10,IF(CG6="M",0,IF(ISNUMBER(CG6),CG6,0)))+IF(CH6="X",10,IF(CH6="M",0,IF(ISNUMBER(CH6),CH6,0)))+IF(CI6="X",10,IF(CI6="M",0,IF(ISNUMBER(CI6),CI6,0)))+IF(CJ6="X",10,IF(CJ6="M",0,IF(ISNUMBER(CJ6),CJ6,0)))+IF(CK6="X",10,IF(CK6="M",0,IF(ISNUMBER(CK6),CK6,0)))+IF(CM6="X",10,IF(CM6="M",0,IF(ISNUMBER(CM6),CM6,0)))+IF(CN6="X",10,IF(CN6="M",0,IF(ISNUMBER(CN6),CN6,0)))+IF(CO6="X",10,IF(CO6="M",0,IF(ISNUMBER(CO6),CO6,0)))+IF(CP6="X",10,IF(CP6="M",0,IF(ISNUMBER(CP6),CP6,0)))+IF(CQ6="X",10,IF(CQ6="M",0,IF(ISNUMBER(CQ6),CQ6,0)))+IF(CR6="X",10,IF(CR6="M",0,IF(ISNUMBER(CR6),CR6,0)))+IF(CT6="X",10,IF(CT6="M",0,IF(ISNUMBER(CT6),CT6,0)))+IF(CU6="X",10,IF(CU6="M",0,IF(ISNUMBER(CU6),CU6,0)))+IF(CV6="X",10,IF(CV6="M",0,IF(ISNUMBER(CV6),CV6,0)))+IF(CW6="X",10,IF(CW6="M",0,IF(ISNUMBER(CW6),CW6,0)))+IF(CX6="X",10,IF(CX6="M",0,IF(ISNUMBER(CX6),CX6,0)))+IF(CY6="X",10,IF(CY6="M",0,IF(ISNUMBER(CY6),CY6,0))),0)</f>
        <v>0</v>
      </c>
      <c r="DD6" s="68" t="str">
        <f>IFERROR(IF(DB6="DQ","DISQUALIFIED",IF(DB8="DQ","&gt;&gt; Advance",IF(DF8="BYE","&gt;&gt; Advance",IF(DF6="BYE","BYE",IF(DA6&gt;=6,"WIN",IF(DA8&gt;=6,"LOSS",IF(AND(ISNUMBER(CZ6),ISNUMBER(CZ8)),IF(CZ6&gt;CZ8,"WIN",IF(CZ6&lt;CZ8,"LOSS","Shoot-Off")),"Playing"))))))),"Error")</f>
        <v>&gt;&gt; Advance</v>
      </c>
      <c r="DF6" s="69" t="str">
        <f>IFERROR(IF(AND(BC6="BYE",BC8="BYE"),"BYE",""),"")</f>
        <v/>
      </c>
      <c r="DG6" s="61" t="s">
        <v>182</v>
      </c>
      <c r="DH6" s="106" t="str">
        <f>IFERROR(IF(DF6="BYE",IF(DF8="BYE","TBD",BE8),IF(DF8="BYE",BE6,IF(OR(DD6="WIN",DD6="&gt;&gt; Advance"),BE6,IF(OR(DD8="WIN",DD8="&gt;&gt; Advance"),BE8,"TBD")))),"TBD")</f>
        <v>Michael Allan Corpuz</v>
      </c>
      <c r="DI6" s="106"/>
      <c r="DJ6" s="106"/>
      <c r="DK6" s="107" t="str">
        <f>IF(AND(DH6&lt;&gt;"TBD",DH6&lt;&gt;"",DH8&lt;&gt;"TBD",DH8&lt;&gt;"",FG6&lt;&gt;"&gt;&gt; Advance",FG8&lt;&gt;"&gt;&gt; Advance"),IF((B2-A2+1)&gt;=4,(A2+0)&amp;"",IF((B2-A2+1)&gt;=2,(A2+0)&amp;" L",(A2+MOD(0,(B2-A2+1)))&amp;CHAR(65+FLOOR(0/(B2-A2+1),1)*2)&amp;" (L)")),"")</f>
        <v/>
      </c>
      <c r="DL6" s="107"/>
      <c r="DM6" s="107"/>
      <c r="DN6" s="62"/>
      <c r="DO6" s="62"/>
      <c r="DP6" s="62"/>
      <c r="DQ6" s="62"/>
      <c r="DR6" s="62"/>
      <c r="DS6" s="62"/>
      <c r="DT6" s="63" t="str">
        <f>IF(OR(ISNUMBER(DN6),ISNUMBER(DO6),ISNUMBER(DP6),ISNUMBER(DQ6),ISNUMBER(DR6),ISNUMBER(DS6),DN6="X",DO6="X",DP6="X",DQ6="X",DR6="X",DS6="X",DN6="M",DO6="M",DP6="M",DQ6="M",DR6="M",DS6="M"),IF(DN6="X",10,IF(DN6="M",0,IF(ISNUMBER(DN6),DN6,0))) + IF(DO6="X",10,IF(DO6="M",0,IF(ISNUMBER(DO6),DO6,0))) + IF(DP6="X",10,IF(DP6="M",0,IF(ISNUMBER(DP6),DP6,0))) + IF(DQ6="X",10,IF(DQ6="M",0,IF(ISNUMBER(DQ6),DQ6,0))) + IF(DR6="X",10,IF(DR6="M",0,IF(ISNUMBER(DR6),DR6,0))) + IF(DS6="X",10,IF(DS6="M",0,IF(ISNUMBER(DS6),DS6,0))),"")</f>
        <v/>
      </c>
      <c r="DU6" s="62"/>
      <c r="DV6" s="62"/>
      <c r="DW6" s="62"/>
      <c r="DX6" s="62"/>
      <c r="DY6" s="62"/>
      <c r="DZ6" s="62"/>
      <c r="EA6" s="63" t="str">
        <f>IF(OR(ISNUMBER(DU6),ISNUMBER(DV6),ISNUMBER(DW6),ISNUMBER(DX6),ISNUMBER(DY6),ISNUMBER(DZ6),DU6="X",DV6="X",DW6="X",DX6="X",DY6="X",DZ6="X",DU6="M",DV6="M",DW6="M",DX6="M",DY6="M",DZ6="M"),IF(DU6="X",10,IF(DU6="M",0,IF(ISNUMBER(DU6),DU6,0))) + IF(DV6="X",10,IF(DV6="M",0,IF(ISNUMBER(DV6),DV6,0))) + IF(DW6="X",10,IF(DW6="M",0,IF(ISNUMBER(DW6),DW6,0))) + IF(DX6="X",10,IF(DX6="M",0,IF(ISNUMBER(DX6),DX6,0))) + IF(DY6="X",10,IF(DY6="M",0,IF(ISNUMBER(DY6),DY6,0))) + IF(DZ6="X",10,IF(DZ6="M",0,IF(ISNUMBER(DZ6),DZ6,0))),"")</f>
        <v/>
      </c>
      <c r="EB6" s="62"/>
      <c r="EC6" s="62"/>
      <c r="ED6" s="62"/>
      <c r="EE6" s="62"/>
      <c r="EF6" s="62"/>
      <c r="EG6" s="62"/>
      <c r="EH6" s="63" t="str">
        <f>IF(OR(ISNUMBER(EB6),ISNUMBER(EC6),ISNUMBER(ED6),ISNUMBER(EE6),ISNUMBER(EF6),ISNUMBER(EG6),EB6="X",EC6="X",ED6="X",EE6="X",EF6="X",EG6="X",EB6="M",EC6="M",ED6="M",EE6="M",EF6="M",EG6="M"),IF(EB6="X",10,IF(EB6="M",0,IF(ISNUMBER(EB6),EB6,0))) + IF(EC6="X",10,IF(EC6="M",0,IF(ISNUMBER(EC6),EC6,0))) + IF(ED6="X",10,IF(ED6="M",0,IF(ISNUMBER(ED6),ED6,0))) + IF(EE6="X",10,IF(EE6="M",0,IF(ISNUMBER(EE6),EE6,0))) + IF(EF6="X",10,IF(EF6="M",0,IF(ISNUMBER(EF6),EF6,0))) + IF(EG6="X",10,IF(EG6="M",0,IF(ISNUMBER(EG6),EG6,0))),"")</f>
        <v/>
      </c>
      <c r="EI6" s="62"/>
      <c r="EJ6" s="62"/>
      <c r="EK6" s="62"/>
      <c r="EL6" s="62"/>
      <c r="EM6" s="62"/>
      <c r="EN6" s="62"/>
      <c r="EO6" s="63" t="str">
        <f>IF(OR(ISNUMBER(EI6),ISNUMBER(EJ6),ISNUMBER(EK6),ISNUMBER(EL6),ISNUMBER(EM6),ISNUMBER(EN6),EI6="X",EJ6="X",EK6="X",EL6="X",EM6="X",EN6="X",EI6="M",EJ6="M",EK6="M",EL6="M",EM6="M",EN6="M"),IF(EI6="X",10,IF(EI6="M",0,IF(ISNUMBER(EI6),EI6,0))) + IF(EJ6="X",10,IF(EJ6="M",0,IF(ISNUMBER(EJ6),EJ6,0))) + IF(EK6="X",10,IF(EK6="M",0,IF(ISNUMBER(EK6),EK6,0))) + IF(EL6="X",10,IF(EL6="M",0,IF(ISNUMBER(EL6),EL6,0))) + IF(EM6="X",10,IF(EM6="M",0,IF(ISNUMBER(EM6),EM6,0))) + IF(EN6="X",10,IF(EN6="M",0,IF(ISNUMBER(EN6),EN6,0))),"")</f>
        <v/>
      </c>
      <c r="EP6" s="62"/>
      <c r="EQ6" s="62"/>
      <c r="ER6" s="62"/>
      <c r="ES6" s="62"/>
      <c r="ET6" s="62"/>
      <c r="EU6" s="62"/>
      <c r="EV6" s="63" t="str">
        <f>IF(OR(ISNUMBER(EP6),ISNUMBER(EQ6),ISNUMBER(ER6),ISNUMBER(ES6),ISNUMBER(ET6),ISNUMBER(EU6),EP6="X",EQ6="X",ER6="X",ES6="X",ET6="X",EU6="X",EP6="M",EQ6="M",ER6="M",ES6="M",ET6="M",EU6="M"),IF(EP6="X",10,IF(EP6="M",0,IF(ISNUMBER(EP6),EP6,0))) + IF(EQ6="X",10,IF(EQ6="M",0,IF(ISNUMBER(EQ6),EQ6,0))) + IF(ER6="X",10,IF(ER6="M",0,IF(ISNUMBER(ER6),ER6,0))) + IF(ES6="X",10,IF(ES6="M",0,IF(ISNUMBER(ES6),ES6,0))) + IF(ET6="X",10,IF(ET6="M",0,IF(ISNUMBER(ET6),ET6,0))) + IF(EU6="X",10,IF(EU6="M",0,IF(ISNUMBER(EU6),EU6,0))),"")</f>
        <v/>
      </c>
      <c r="EW6" s="64"/>
      <c r="EX6" s="64"/>
      <c r="EY6" s="64"/>
      <c r="EZ6" s="64"/>
      <c r="FA6" s="64"/>
      <c r="FB6" s="64"/>
      <c r="FC6" s="63" t="str">
        <f>IF(OR(ISNUMBER(EW6),ISNUMBER(EX6),ISNUMBER(EY6),ISNUMBER(EZ6),ISNUMBER(FA6),ISNUMBER(FB6),EW6="X",EX6="X",EY6="X",EZ6="X",FA6="X",FB6="X",EW6="M",EX6="M",EY6="M",EZ6="M",FA6="M",FB6="M"),IF(EW6="X",10,IF(EW6="M",0,IF(ISNUMBER(EW6),EW6,0))) + IF(EX6="X",10,IF(EX6="M",0,IF(ISNUMBER(EX6),EX6,0))) + IF(EY6="X",10,IF(EY6="M",0,IF(ISNUMBER(EY6),EY6,0))) + IF(EZ6="X",10,IF(EZ6="M",0,IF(ISNUMBER(EZ6),EZ6,0))) + IF(FA6="X",10,IF(FA6="M",0,IF(ISNUMBER(FA6),FA6,0))) + IF(FB6="X",10,IF(FB6="M",0,IF(ISNUMBER(FB6),FB6,0))),"")</f>
        <v/>
      </c>
      <c r="FD6" s="65">
        <f>IF(AND(ISNUMBER(DT6),ISNUMBER(DT8)),IF(DT6&gt;DT8,2,IF(DT6=DT8,1,0)),0)+IF(AND(ISNUMBER(EA6),ISNUMBER(EA8)),IF(EA6&gt;EA8,2,IF(EA6=EA8,1,0)),0)+IF(AND(ISNUMBER(EH6),ISNUMBER(EH8)),IF(EH6&gt;EH8,2,IF(EH6=EH8,1,0)),0)+IF(AND(ISNUMBER(EO6),ISNUMBER(EO8)),IF(EO6&gt;EO8,2,IF(EO6=EO8,1,0)),0)+IF(AND(ISNUMBER(EV6),ISNUMBER(EV8)),IF(EV6&gt;EV8,2,IF(EV6=EV8,1,0)),0)</f>
        <v>0</v>
      </c>
      <c r="FE6" s="66"/>
      <c r="FF6" s="67">
        <f>IF(FD6&gt;0,IF(DN6="X",10,IF(DN6="M",0,IF(ISNUMBER(DN6),DN6,0)))+IF(DO6="X",10,IF(DO6="M",0,IF(ISNUMBER(DO6),DO6,0)))+IF(DP6="X",10,IF(DP6="M",0,IF(ISNUMBER(DP6),DP6,0)))+IF(DQ6="X",10,IF(DQ6="M",0,IF(ISNUMBER(DQ6),DQ6,0)))+IF(DR6="X",10,IF(DR6="M",0,IF(ISNUMBER(DR6),DR6,0)))+IF(DS6="X",10,IF(DS6="M",0,IF(ISNUMBER(DS6),DS6,0)))+IF(DU6="X",10,IF(DU6="M",0,IF(ISNUMBER(DU6),DU6,0)))+IF(DV6="X",10,IF(DV6="M",0,IF(ISNUMBER(DV6),DV6,0)))+IF(DW6="X",10,IF(DW6="M",0,IF(ISNUMBER(DW6),DW6,0)))+IF(DX6="X",10,IF(DX6="M",0,IF(ISNUMBER(DX6),DX6,0)))+IF(DY6="X",10,IF(DY6="M",0,IF(ISNUMBER(DY6),DY6,0)))+IF(DZ6="X",10,IF(DZ6="M",0,IF(ISNUMBER(DZ6),DZ6,0)))+IF(EB6="X",10,IF(EB6="M",0,IF(ISNUMBER(EB6),EB6,0)))+IF(EC6="X",10,IF(EC6="M",0,IF(ISNUMBER(EC6),EC6,0)))+IF(ED6="X",10,IF(ED6="M",0,IF(ISNUMBER(ED6),ED6,0)))+IF(EE6="X",10,IF(EE6="M",0,IF(ISNUMBER(EE6),EE6,0)))+IF(EF6="X",10,IF(EF6="M",0,IF(ISNUMBER(EF6),EF6,0)))+IF(EG6="X",10,IF(EG6="M",0,IF(ISNUMBER(EG6),EG6,0)))+IF(EI6="X",10,IF(EI6="M",0,IF(ISNUMBER(EI6),EI6,0)))+IF(EJ6="X",10,IF(EJ6="M",0,IF(ISNUMBER(EJ6),EJ6,0)))+IF(EK6="X",10,IF(EK6="M",0,IF(ISNUMBER(EK6),EK6,0)))+IF(EL6="X",10,IF(EL6="M",0,IF(ISNUMBER(EL6),EL6,0)))+IF(EM6="X",10,IF(EM6="M",0,IF(ISNUMBER(EM6),EM6,0)))+IF(EN6="X",10,IF(EN6="M",0,IF(ISNUMBER(EN6),EN6,0)))+IF(EP6="X",10,IF(EP6="M",0,IF(ISNUMBER(EP6),EP6,0)))+IF(EQ6="X",10,IF(EQ6="M",0,IF(ISNUMBER(EQ6),EQ6,0)))+IF(ER6="X",10,IF(ER6="M",0,IF(ISNUMBER(ER6),ER6,0)))+IF(ES6="X",10,IF(ES6="M",0,IF(ISNUMBER(ES6),ES6,0)))+IF(ET6="X",10,IF(ET6="M",0,IF(ISNUMBER(ET6),ET6,0)))+IF(EU6="X",10,IF(EU6="M",0,IF(ISNUMBER(EU6),EU6,0)))+IF(EW6="X",10,IF(EW6="M",0,IF(ISNUMBER(EW6),EW6,0)))+IF(EX6="X",10,IF(EX6="M",0,IF(ISNUMBER(EX6),EX6,0)))+IF(EY6="X",10,IF(EY6="M",0,IF(ISNUMBER(EY6),EY6,0)))+IF(EZ6="X",10,IF(EZ6="M",0,IF(ISNUMBER(EZ6),EZ6,0)))+IF(FA6="X",10,IF(FA6="M",0,IF(ISNUMBER(FA6),FA6,0)))+IF(FB6="X",10,IF(FB6="M",0,IF(ISNUMBER(FB6),FB6,0))),0)</f>
        <v>0</v>
      </c>
      <c r="FG6" s="68" t="str">
        <f>IFERROR(IF(FE6="DQ","DISQUALIFIED",IF(FE8="DQ","&gt;&gt; Advance",IF(FI8="BYE","&gt;&gt; Advance",IF(FI6="BYE","BYE",IF(FD6&gt;=6,"WIN",IF(FD8&gt;=6,"LOSS",IF(AND(ISNUMBER(FC6),ISNUMBER(FC8)),IF(FC6&gt;FC8,"WIN",IF(FC6&lt;FC8,"LOSS","Shoot-Off")),"Playing"))))))),"Error")</f>
        <v>&gt;&gt; Advance</v>
      </c>
      <c r="FI6" s="69" t="str">
        <f>IFERROR(IF(AND(DF6="BYE",DF8="BYE"),"BYE",""),"")</f>
        <v/>
      </c>
      <c r="FJ6" s="70" t="s">
        <v>183</v>
      </c>
      <c r="FK6" s="106" t="str">
        <f>IFERROR(IF(FI6="BYE",IF(FI8="BYE","TBD",DH8),IF(FI8="BYE",DH6,IF(OR(FG6="WIN",FG6="&gt;&gt; Advance"),DH6,IF(OR(FG8="WIN",FG8="&gt;&gt; Advance"),DH8,"TBD")))),"TBD")</f>
        <v>Michael Allan Corpuz</v>
      </c>
      <c r="FL6" s="106"/>
      <c r="FM6" s="106"/>
      <c r="FN6" s="107" t="str">
        <f>IF(AND(FK6&lt;&gt;"TBD",FK6&lt;&gt;"",FK8&lt;&gt;"TBD",FK8&lt;&gt;"",HJ6&lt;&gt;"&gt;&gt; Advance",HJ8&lt;&gt;"&gt;&gt; Advance"),IF((B2-A2+1)&gt;=4,(A2+0)&amp;"",IF((B2-A2+1)&gt;=2,(A2+0)&amp;" L",(A2+MOD(0,(B2-A2+1)))&amp;CHAR(65+FLOOR(0/(B2-A2+1),1)*2)&amp;" (L)")),"")</f>
        <v/>
      </c>
      <c r="FO6" s="107"/>
      <c r="FP6" s="107"/>
      <c r="FQ6" s="62"/>
      <c r="FR6" s="62"/>
      <c r="FS6" s="62"/>
      <c r="FT6" s="62"/>
      <c r="FU6" s="62"/>
      <c r="FV6" s="62"/>
      <c r="FW6" s="63" t="str">
        <f>IF(OR(ISNUMBER(FQ6),ISNUMBER(FR6),ISNUMBER(FS6),ISNUMBER(FT6),ISNUMBER(FU6),ISNUMBER(FV6),FQ6="X",FR6="X",FS6="X",FT6="X",FU6="X",FV6="X",FQ6="M",FR6="M",FS6="M",FT6="M",FU6="M",FV6="M"),IF(FQ6="X",10,IF(FQ6="M",0,IF(ISNUMBER(FQ6),FQ6,0))) + IF(FR6="X",10,IF(FR6="M",0,IF(ISNUMBER(FR6),FR6,0))) + IF(FS6="X",10,IF(FS6="M",0,IF(ISNUMBER(FS6),FS6,0))) + IF(FT6="X",10,IF(FT6="M",0,IF(ISNUMBER(FT6),FT6,0))) + IF(FU6="X",10,IF(FU6="M",0,IF(ISNUMBER(FU6),FU6,0))) + IF(FV6="X",10,IF(FV6="M",0,IF(ISNUMBER(FV6),FV6,0))),"")</f>
        <v/>
      </c>
      <c r="FX6" s="62"/>
      <c r="FY6" s="62"/>
      <c r="FZ6" s="62"/>
      <c r="GA6" s="62"/>
      <c r="GB6" s="62"/>
      <c r="GC6" s="62"/>
      <c r="GD6" s="63" t="str">
        <f>IF(OR(ISNUMBER(FX6),ISNUMBER(FY6),ISNUMBER(FZ6),ISNUMBER(GA6),ISNUMBER(GB6),ISNUMBER(GC6),FX6="X",FY6="X",FZ6="X",GA6="X",GB6="X",GC6="X",FX6="M",FY6="M",FZ6="M",GA6="M",GB6="M",GC6="M"),IF(FX6="X",10,IF(FX6="M",0,IF(ISNUMBER(FX6),FX6,0))) + IF(FY6="X",10,IF(FY6="M",0,IF(ISNUMBER(FY6),FY6,0))) + IF(FZ6="X",10,IF(FZ6="M",0,IF(ISNUMBER(FZ6),FZ6,0))) + IF(GA6="X",10,IF(GA6="M",0,IF(ISNUMBER(GA6),GA6,0))) + IF(GB6="X",10,IF(GB6="M",0,IF(ISNUMBER(GB6),GB6,0))) + IF(GC6="X",10,IF(GC6="M",0,IF(ISNUMBER(GC6),GC6,0))),"")</f>
        <v/>
      </c>
      <c r="GE6" s="62"/>
      <c r="GF6" s="62"/>
      <c r="GG6" s="62"/>
      <c r="GH6" s="62"/>
      <c r="GI6" s="62"/>
      <c r="GJ6" s="62"/>
      <c r="GK6" s="63" t="str">
        <f>IF(OR(ISNUMBER(GE6),ISNUMBER(GF6),ISNUMBER(GG6),ISNUMBER(GH6),ISNUMBER(GI6),ISNUMBER(GJ6),GE6="X",GF6="X",GG6="X",GH6="X",GI6="X",GJ6="X",GE6="M",GF6="M",GG6="M",GH6="M",GI6="M",GJ6="M"),IF(GE6="X",10,IF(GE6="M",0,IF(ISNUMBER(GE6),GE6,0))) + IF(GF6="X",10,IF(GF6="M",0,IF(ISNUMBER(GF6),GF6,0))) + IF(GG6="X",10,IF(GG6="M",0,IF(ISNUMBER(GG6),GG6,0))) + IF(GH6="X",10,IF(GH6="M",0,IF(ISNUMBER(GH6),GH6,0))) + IF(GI6="X",10,IF(GI6="M",0,IF(ISNUMBER(GI6),GI6,0))) + IF(GJ6="X",10,IF(GJ6="M",0,IF(ISNUMBER(GJ6),GJ6,0))),"")</f>
        <v/>
      </c>
      <c r="GL6" s="62"/>
      <c r="GM6" s="62"/>
      <c r="GN6" s="62"/>
      <c r="GO6" s="62"/>
      <c r="GP6" s="62"/>
      <c r="GQ6" s="62"/>
      <c r="GR6" s="63" t="str">
        <f>IF(OR(ISNUMBER(GL6),ISNUMBER(GM6),ISNUMBER(GN6),ISNUMBER(GO6),ISNUMBER(GP6),ISNUMBER(GQ6),GL6="X",GM6="X",GN6="X",GO6="X",GP6="X",GQ6="X",GL6="M",GM6="M",GN6="M",GO6="M",GP6="M",GQ6="M"),IF(GL6="X",10,IF(GL6="M",0,IF(ISNUMBER(GL6),GL6,0))) + IF(GM6="X",10,IF(GM6="M",0,IF(ISNUMBER(GM6),GM6,0))) + IF(GN6="X",10,IF(GN6="M",0,IF(ISNUMBER(GN6),GN6,0))) + IF(GO6="X",10,IF(GO6="M",0,IF(ISNUMBER(GO6),GO6,0))) + IF(GP6="X",10,IF(GP6="M",0,IF(ISNUMBER(GP6),GP6,0))) + IF(GQ6="X",10,IF(GQ6="M",0,IF(ISNUMBER(GQ6),GQ6,0))),"")</f>
        <v/>
      </c>
      <c r="GS6" s="62"/>
      <c r="GT6" s="62"/>
      <c r="GU6" s="62"/>
      <c r="GV6" s="62"/>
      <c r="GW6" s="62"/>
      <c r="GX6" s="62"/>
      <c r="GY6" s="63" t="str">
        <f>IF(OR(ISNUMBER(GS6),ISNUMBER(GT6),ISNUMBER(GU6),ISNUMBER(GV6),ISNUMBER(GW6),ISNUMBER(GX6),GS6="X",GT6="X",GU6="X",GV6="X",GW6="X",GX6="X",GS6="M",GT6="M",GU6="M",GV6="M",GW6="M",GX6="M"),IF(GS6="X",10,IF(GS6="M",0,IF(ISNUMBER(GS6),GS6,0))) + IF(GT6="X",10,IF(GT6="M",0,IF(ISNUMBER(GT6),GT6,0))) + IF(GU6="X",10,IF(GU6="M",0,IF(ISNUMBER(GU6),GU6,0))) + IF(GV6="X",10,IF(GV6="M",0,IF(ISNUMBER(GV6),GV6,0))) + IF(GW6="X",10,IF(GW6="M",0,IF(ISNUMBER(GW6),GW6,0))) + IF(GX6="X",10,IF(GX6="M",0,IF(ISNUMBER(GX6),GX6,0))),"")</f>
        <v/>
      </c>
      <c r="GZ6" s="64"/>
      <c r="HA6" s="64"/>
      <c r="HB6" s="64"/>
      <c r="HC6" s="64"/>
      <c r="HD6" s="64"/>
      <c r="HE6" s="64"/>
      <c r="HF6" s="63" t="str">
        <f>IF(OR(ISNUMBER(GZ6),ISNUMBER(HA6),ISNUMBER(HB6),ISNUMBER(HC6),ISNUMBER(HD6),ISNUMBER(HE6),GZ6="X",HA6="X",HB6="X",HC6="X",HD6="X",HE6="X",GZ6="M",HA6="M",HB6="M",HC6="M",HD6="M",HE6="M"),IF(GZ6="X",10,IF(GZ6="M",0,IF(ISNUMBER(GZ6),GZ6,0))) + IF(HA6="X",10,IF(HA6="M",0,IF(ISNUMBER(HA6),HA6,0))) + IF(HB6="X",10,IF(HB6="M",0,IF(ISNUMBER(HB6),HB6,0))) + IF(HC6="X",10,IF(HC6="M",0,IF(ISNUMBER(HC6),HC6,0))) + IF(HD6="X",10,IF(HD6="M",0,IF(ISNUMBER(HD6),HD6,0))) + IF(HE6="X",10,IF(HE6="M",0,IF(ISNUMBER(HE6),HE6,0))),"")</f>
        <v/>
      </c>
      <c r="HG6" s="65">
        <f>IF(AND(ISNUMBER(FW6),ISNUMBER(FW8)),IF(FW6&gt;FW8,2,IF(FW6=FW8,1,0)),0)+IF(AND(ISNUMBER(GD6),ISNUMBER(GD8)),IF(GD6&gt;GD8,2,IF(GD6=GD8,1,0)),0)+IF(AND(ISNUMBER(GK6),ISNUMBER(GK8)),IF(GK6&gt;GK8,2,IF(GK6=GK8,1,0)),0)+IF(AND(ISNUMBER(GR6),ISNUMBER(GR8)),IF(GR6&gt;GR8,2,IF(GR6=GR8,1,0)),0)+IF(AND(ISNUMBER(GY6),ISNUMBER(GY8)),IF(GY6&gt;GY8,2,IF(GY6=GY8,1,0)),0)</f>
        <v>0</v>
      </c>
      <c r="HH6" s="66"/>
      <c r="HI6" s="67">
        <f>IF(HG6&gt;0,IF(FQ6="X",10,IF(FQ6="M",0,IF(ISNUMBER(FQ6),FQ6,0)))+IF(FR6="X",10,IF(FR6="M",0,IF(ISNUMBER(FR6),FR6,0)))+IF(FS6="X",10,IF(FS6="M",0,IF(ISNUMBER(FS6),FS6,0)))+IF(FT6="X",10,IF(FT6="M",0,IF(ISNUMBER(FT6),FT6,0)))+IF(FU6="X",10,IF(FU6="M",0,IF(ISNUMBER(FU6),FU6,0)))+IF(FV6="X",10,IF(FV6="M",0,IF(ISNUMBER(FV6),FV6,0)))+IF(FX6="X",10,IF(FX6="M",0,IF(ISNUMBER(FX6),FX6,0)))+IF(FY6="X",10,IF(FY6="M",0,IF(ISNUMBER(FY6),FY6,0)))+IF(FZ6="X",10,IF(FZ6="M",0,IF(ISNUMBER(FZ6),FZ6,0)))+IF(GA6="X",10,IF(GA6="M",0,IF(ISNUMBER(GA6),GA6,0)))+IF(GB6="X",10,IF(GB6="M",0,IF(ISNUMBER(GB6),GB6,0)))+IF(GC6="X",10,IF(GC6="M",0,IF(ISNUMBER(GC6),GC6,0)))+IF(GE6="X",10,IF(GE6="M",0,IF(ISNUMBER(GE6),GE6,0)))+IF(GF6="X",10,IF(GF6="M",0,IF(ISNUMBER(GF6),GF6,0)))+IF(GG6="X",10,IF(GG6="M",0,IF(ISNUMBER(GG6),GG6,0)))+IF(GH6="X",10,IF(GH6="M",0,IF(ISNUMBER(GH6),GH6,0)))+IF(GI6="X",10,IF(GI6="M",0,IF(ISNUMBER(GI6),GI6,0)))+IF(GJ6="X",10,IF(GJ6="M",0,IF(ISNUMBER(GJ6),GJ6,0)))+IF(GL6="X",10,IF(GL6="M",0,IF(ISNUMBER(GL6),GL6,0)))+IF(GM6="X",10,IF(GM6="M",0,IF(ISNUMBER(GM6),GM6,0)))+IF(GN6="X",10,IF(GN6="M",0,IF(ISNUMBER(GN6),GN6,0)))+IF(GO6="X",10,IF(GO6="M",0,IF(ISNUMBER(GO6),GO6,0)))+IF(GP6="X",10,IF(GP6="M",0,IF(ISNUMBER(GP6),GP6,0)))+IF(GQ6="X",10,IF(GQ6="M",0,IF(ISNUMBER(GQ6),GQ6,0)))+IF(GS6="X",10,IF(GS6="M",0,IF(ISNUMBER(GS6),GS6,0)))+IF(GT6="X",10,IF(GT6="M",0,IF(ISNUMBER(GT6),GT6,0)))+IF(GU6="X",10,IF(GU6="M",0,IF(ISNUMBER(GU6),GU6,0)))+IF(GV6="X",10,IF(GV6="M",0,IF(ISNUMBER(GV6),GV6,0)))+IF(GW6="X",10,IF(GW6="M",0,IF(ISNUMBER(GW6),GW6,0)))+IF(GX6="X",10,IF(GX6="M",0,IF(ISNUMBER(GX6),GX6,0)))+IF(GZ6="X",10,IF(GZ6="M",0,IF(ISNUMBER(GZ6),GZ6,0)))+IF(HA6="X",10,IF(HA6="M",0,IF(ISNUMBER(HA6),HA6,0)))+IF(HB6="X",10,IF(HB6="M",0,IF(ISNUMBER(HB6),HB6,0)))+IF(HC6="X",10,IF(HC6="M",0,IF(ISNUMBER(HC6),HC6,0)))+IF(HD6="X",10,IF(HD6="M",0,IF(ISNUMBER(HD6),HD6,0)))+IF(HE6="X",10,IF(HE6="M",0,IF(ISNUMBER(HE6),HE6,0))),0)</f>
        <v>0</v>
      </c>
      <c r="HJ6" s="68" t="str">
        <f>IFERROR(IF(HH6="DQ","DISQUALIFIED",IF(HH8="DQ","&gt;&gt; Advance",IF(HL8="BYE","&gt;&gt; Advance",IF(HL6="BYE","BYE",IF(HG6&gt;=6,"WIN",IF(HG8&gt;=6,"LOSS",IF(AND(ISNUMBER(HF6),ISNUMBER(HF8)),IF(HF6&gt;HF8,"WIN",IF(HF6&lt;HF8,"LOSS","Shoot-Off")),"Playing"))))))),"Error")</f>
        <v>&gt;&gt; Advance</v>
      </c>
      <c r="HL6" s="69" t="str">
        <f>IFERROR(IF(AND(FI6="BYE",FI8="BYE"),"BYE",""),"")</f>
        <v/>
      </c>
      <c r="HM6" s="108" t="str">
        <f>IFERROR(IF(HL6="BYE",IF(HL8="BYE","TBD",FK8),IF(HL8="BYE",FK6,IF(OR(HJ6="WIN",HJ6="&gt;&gt; Advance"),FK6,IF(OR(HJ8="WIN",HJ8="&gt;&gt; Advance"),FK8,"TBD")))),"TBD")</f>
        <v>Michael Allan Corpuz</v>
      </c>
      <c r="HN6" s="108"/>
      <c r="HO6" s="108"/>
      <c r="HP6" s="108"/>
      <c r="HQ6" s="108"/>
      <c r="HR6" s="108"/>
      <c r="HS6" s="108"/>
      <c r="HT6" s="108"/>
      <c r="HU6" s="108"/>
      <c r="HV6" s="108"/>
      <c r="HW6" s="108"/>
      <c r="HX6" s="108"/>
      <c r="HY6" s="108"/>
      <c r="HZ6" s="108"/>
      <c r="IA6" s="108"/>
      <c r="IB6" s="108"/>
    </row>
    <row r="7" spans="1:237" ht="3" customHeight="1" x14ac:dyDescent="0.35">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c r="EO7" s="71"/>
      <c r="EP7" s="71"/>
      <c r="EQ7" s="71"/>
      <c r="ER7" s="71"/>
      <c r="ES7" s="71"/>
      <c r="ET7" s="71"/>
      <c r="EU7" s="71"/>
      <c r="EV7" s="71"/>
      <c r="EW7" s="71"/>
      <c r="EX7" s="71"/>
      <c r="EY7" s="71"/>
      <c r="EZ7" s="71"/>
      <c r="FA7" s="71"/>
      <c r="FB7" s="71"/>
      <c r="FC7" s="71"/>
      <c r="FD7" s="71"/>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c r="GE7" s="71"/>
      <c r="GF7" s="71"/>
      <c r="GG7" s="71"/>
      <c r="GH7" s="71"/>
      <c r="GI7" s="71"/>
      <c r="GJ7" s="71"/>
      <c r="GK7" s="71"/>
      <c r="GL7" s="71"/>
      <c r="GM7" s="71"/>
      <c r="GN7" s="71"/>
      <c r="GO7" s="71"/>
      <c r="GP7" s="71"/>
      <c r="GQ7" s="71"/>
      <c r="GR7" s="71"/>
      <c r="GS7" s="71"/>
      <c r="GT7" s="71"/>
      <c r="GU7" s="71"/>
      <c r="GV7" s="71"/>
      <c r="GW7" s="71"/>
      <c r="GX7" s="71"/>
      <c r="GY7" s="71"/>
      <c r="GZ7" s="71"/>
      <c r="HA7" s="71"/>
      <c r="HB7" s="71"/>
      <c r="HC7" s="71"/>
      <c r="HD7" s="71"/>
      <c r="HE7" s="71"/>
      <c r="HF7" s="71"/>
      <c r="HG7" s="71"/>
      <c r="HH7" s="71"/>
      <c r="HI7" s="71"/>
      <c r="HJ7" s="71"/>
      <c r="HK7" s="71"/>
      <c r="HL7" s="71"/>
      <c r="HM7" s="108"/>
      <c r="HN7" s="108"/>
      <c r="HO7" s="108"/>
      <c r="HP7" s="108"/>
      <c r="HQ7" s="108"/>
      <c r="HR7" s="108"/>
      <c r="HS7" s="108"/>
      <c r="HT7" s="108"/>
      <c r="HU7" s="108"/>
      <c r="HV7" s="108"/>
      <c r="HW7" s="108"/>
      <c r="HX7" s="108"/>
      <c r="HY7" s="108"/>
      <c r="HZ7" s="108"/>
      <c r="IA7" s="108"/>
      <c r="IB7" s="108"/>
    </row>
    <row r="8" spans="1:237" ht="15.75" customHeight="1" x14ac:dyDescent="0.35">
      <c r="A8" s="61" t="str">
        <f>IFERROR(IF(INDEX('Novice 15M - Teams'!$L:$L,MATCH(16,'Novice 15M - Teams'!$A:$A,0))="Yes","BYE",IF(OR(INDEX('Novice 15M - Teams'!$B:$B,MATCH(16,'Novice 15M - Teams'!$A:$A,0))="",ISERROR(MATCH(16,'Novice 15M - Teams'!$A:$A,0))),"BYE","#16")),"BYE")</f>
        <v>BYE</v>
      </c>
      <c r="B8" s="106" t="str">
        <f>IFERROR(IF(INDEX('Novice 15M - Teams'!$L:$L,MATCH(16,'Novice 15M - Teams'!$A:$A,0))="Yes","",IF(INDEX('Novice 15M - Teams'!$N:$N,MATCH(16,'Novice 15M - Teams'!$A:$A,0))&lt;&gt;"",INDEX('Novice 15M - Teams'!$N:$N,MATCH(16,'Novice 15M - Teams'!$A:$A,0)),IF(INDEX('Novice 15M - Teams'!$B:$B,MATCH(16,'Novice 15M - Teams'!$A:$A,0))="","",INDEX('Novice 15M - Teams'!$B:$B,MATCH(16,'Novice 15M - Teams'!$A:$A,0))))),"")</f>
        <v/>
      </c>
      <c r="C8" s="106"/>
      <c r="D8" s="106"/>
      <c r="E8" s="107" t="str">
        <f>IF(OR(A8="BYE",BA8="&gt;&gt; Advance"),"",IF((B2-A2+1)&gt;=8,(A2+MOD(INT((SUMPRODUCT(IF(A6&lt;&gt;"BYE",IF(A6&lt;&gt;"",IF(BA6&lt;&gt;"&gt;&gt; Advance",1,0),0),0)+IF(A8&lt;&gt;"BYE",IF(A8&lt;&gt;"",IF(BA8&lt;&gt;"&gt;&gt; Advance",1,0),0),0))-1)/2),(B2-A2+1)))&amp;IF((MOD(SUMPRODUCT(IF(A6&lt;&gt;"BYE",IF(A6&lt;&gt;"",IF(BA6&lt;&gt;"&gt;&gt; Advance",1,0),0),0)+IF(A8&lt;&gt;"BYE",IF(A8&lt;&gt;"",IF(BA8&lt;&gt;"&gt;&gt; Advance",1,0),0),0))-1,2)=0)," L"," R"),(A2+MOD(INT((SUMPRODUCT(IF(A6&lt;&gt;"BYE",IF(A6&lt;&gt;"",IF(BA6&lt;&gt;"&gt;&gt; Advance",1,0),0),0)+IF(A8&lt;&gt;"BYE",IF(A8&lt;&gt;"",IF(BA8&lt;&gt;"&gt;&gt; Advance",1,0),0),0))-1)/2),(B2-A2+1)))&amp;CHAR(65+FLOOR(INT((SUMPRODUCT(IF(A6&lt;&gt;"BYE",IF(A6&lt;&gt;"",IF(BA6&lt;&gt;"&gt;&gt; Advance",1,0),0),0)+IF(A8&lt;&gt;"BYE",IF(A8&lt;&gt;"",IF(BA8&lt;&gt;"&gt;&gt; Advance",1,0),0),0))-1)/2)/(B2-A2+1),1)*2+MOD(SUMPRODUCT(IF(A6&lt;&gt;"BYE",IF(A6&lt;&gt;"",IF(BA6&lt;&gt;"&gt;&gt; Advance",1,0),0),0)+IF(A8&lt;&gt;"BYE",IF(A8&lt;&gt;"",IF(BA8&lt;&gt;"&gt;&gt; Advance",1,0),0),0))-1,2))&amp;IF((MOD(SUMPRODUCT(IF(A6&lt;&gt;"BYE",IF(A6&lt;&gt;"",IF(BA6&lt;&gt;"&gt;&gt; Advance",1,0),0),0)+IF(A8&lt;&gt;"BYE",IF(A8&lt;&gt;"",IF(BA8&lt;&gt;"&gt;&gt; Advance",1,0),0),0))-1,2)=0)," (L)"," (R)")))</f>
        <v/>
      </c>
      <c r="F8" s="107"/>
      <c r="G8" s="107"/>
      <c r="H8" s="62"/>
      <c r="I8" s="62"/>
      <c r="J8" s="62"/>
      <c r="K8" s="62"/>
      <c r="L8" s="62"/>
      <c r="M8" s="62"/>
      <c r="N8" s="63" t="str">
        <f>IF(OR(ISNUMBER(H8),ISNUMBER(I8),ISNUMBER(J8),ISNUMBER(K8),ISNUMBER(L8),ISNUMBER(M8),H8="X",I8="X",J8="X",K8="X",L8="X",M8="X",H8="M",I8="M",J8="M",K8="M",L8="M",M8="M"),IF(H8="X",10,IF(H8="M",0,IF(ISNUMBER(H8),H8,0))) + IF(I8="X",10,IF(I8="M",0,IF(ISNUMBER(I8),I8,0))) + IF(J8="X",10,IF(J8="M",0,IF(ISNUMBER(J8),J8,0))) + IF(K8="X",10,IF(K8="M",0,IF(ISNUMBER(K8),K8,0))) + IF(L8="X",10,IF(L8="M",0,IF(ISNUMBER(L8),L8,0))) + IF(M8="X",10,IF(M8="M",0,IF(ISNUMBER(M8),M8,0))),"")</f>
        <v/>
      </c>
      <c r="O8" s="62"/>
      <c r="P8" s="62"/>
      <c r="Q8" s="62"/>
      <c r="R8" s="62"/>
      <c r="S8" s="62"/>
      <c r="T8" s="62"/>
      <c r="U8" s="63" t="str">
        <f>IF(OR(ISNUMBER(O8),ISNUMBER(P8),ISNUMBER(Q8),ISNUMBER(R8),ISNUMBER(S8),ISNUMBER(T8),O8="X",P8="X",Q8="X",R8="X",S8="X",T8="X",O8="M",P8="M",Q8="M",R8="M",S8="M",T8="M"),IF(O8="X",10,IF(O8="M",0,IF(ISNUMBER(O8),O8,0))) + IF(P8="X",10,IF(P8="M",0,IF(ISNUMBER(P8),P8,0))) + IF(Q8="X",10,IF(Q8="M",0,IF(ISNUMBER(Q8),Q8,0))) + IF(R8="X",10,IF(R8="M",0,IF(ISNUMBER(R8),R8,0))) + IF(S8="X",10,IF(S8="M",0,IF(ISNUMBER(S8),S8,0))) + IF(T8="X",10,IF(T8="M",0,IF(ISNUMBER(T8),T8,0))),"")</f>
        <v/>
      </c>
      <c r="V8" s="62"/>
      <c r="W8" s="62"/>
      <c r="X8" s="62"/>
      <c r="Y8" s="62"/>
      <c r="Z8" s="62"/>
      <c r="AA8" s="62"/>
      <c r="AB8" s="63" t="str">
        <f>IF(OR(ISNUMBER(V8),ISNUMBER(W8),ISNUMBER(X8),ISNUMBER(Y8),ISNUMBER(Z8),ISNUMBER(AA8),V8="X",W8="X",X8="X",Y8="X",Z8="X",AA8="X",V8="M",W8="M",X8="M",Y8="M",Z8="M",AA8="M"),IF(V8="X",10,IF(V8="M",0,IF(ISNUMBER(V8),V8,0))) + IF(W8="X",10,IF(W8="M",0,IF(ISNUMBER(W8),W8,0))) + IF(X8="X",10,IF(X8="M",0,IF(ISNUMBER(X8),X8,0))) + IF(Y8="X",10,IF(Y8="M",0,IF(ISNUMBER(Y8),Y8,0))) + IF(Z8="X",10,IF(Z8="M",0,IF(ISNUMBER(Z8),Z8,0))) + IF(AA8="X",10,IF(AA8="M",0,IF(ISNUMBER(AA8),AA8,0))),"")</f>
        <v/>
      </c>
      <c r="AC8" s="62"/>
      <c r="AD8" s="62"/>
      <c r="AE8" s="62"/>
      <c r="AF8" s="62"/>
      <c r="AG8" s="62"/>
      <c r="AH8" s="62"/>
      <c r="AI8" s="63" t="str">
        <f>IF(OR(ISNUMBER(AC8),ISNUMBER(AD8),ISNUMBER(AE8),ISNUMBER(AF8),ISNUMBER(AG8),ISNUMBER(AH8),AC8="X",AD8="X",AE8="X",AF8="X",AG8="X",AH8="X",AC8="M",AD8="M",AE8="M",AF8="M",AG8="M",AH8="M"),IF(AC8="X",10,IF(AC8="M",0,IF(ISNUMBER(AC8),AC8,0))) + IF(AD8="X",10,IF(AD8="M",0,IF(ISNUMBER(AD8),AD8,0))) + IF(AE8="X",10,IF(AE8="M",0,IF(ISNUMBER(AE8),AE8,0))) + IF(AF8="X",10,IF(AF8="M",0,IF(ISNUMBER(AF8),AF8,0))) + IF(AG8="X",10,IF(AG8="M",0,IF(ISNUMBER(AG8),AG8,0))) + IF(AH8="X",10,IF(AH8="M",0,IF(ISNUMBER(AH8),AH8,0))),"")</f>
        <v/>
      </c>
      <c r="AJ8" s="62"/>
      <c r="AK8" s="62"/>
      <c r="AL8" s="62"/>
      <c r="AM8" s="62"/>
      <c r="AN8" s="62"/>
      <c r="AO8" s="62"/>
      <c r="AP8" s="63" t="str">
        <f>IF(OR(ISNUMBER(AJ8),ISNUMBER(AK8),ISNUMBER(AL8),ISNUMBER(AM8),ISNUMBER(AN8),ISNUMBER(AO8),AJ8="X",AK8="X",AL8="X",AM8="X",AN8="X",AO8="X",AJ8="M",AK8="M",AL8="M",AM8="M",AN8="M",AO8="M"),IF(AJ8="X",10,IF(AJ8="M",0,IF(ISNUMBER(AJ8),AJ8,0))) + IF(AK8="X",10,IF(AK8="M",0,IF(ISNUMBER(AK8),AK8,0))) + IF(AL8="X",10,IF(AL8="M",0,IF(ISNUMBER(AL8),AL8,0))) + IF(AM8="X",10,IF(AM8="M",0,IF(ISNUMBER(AM8),AM8,0))) + IF(AN8="X",10,IF(AN8="M",0,IF(ISNUMBER(AN8),AN8,0))) + IF(AO8="X",10,IF(AO8="M",0,IF(ISNUMBER(AO8),AO8,0))),"")</f>
        <v/>
      </c>
      <c r="AQ8" s="64"/>
      <c r="AR8" s="64"/>
      <c r="AS8" s="64"/>
      <c r="AT8" s="64"/>
      <c r="AU8" s="64"/>
      <c r="AV8" s="64"/>
      <c r="AW8" s="63" t="str">
        <f>IF(OR(ISNUMBER(AQ8),ISNUMBER(AR8),ISNUMBER(AS8),ISNUMBER(AT8),ISNUMBER(AU8),ISNUMBER(AV8),AQ8="X",AR8="X",AS8="X",AT8="X",AU8="X",AV8="X",AQ8="M",AR8="M",AS8="M",AT8="M",AU8="M",AV8="M"),IF(AQ8="X",10,IF(AQ8="M",0,IF(ISNUMBER(AQ8),AQ8,0))) + IF(AR8="X",10,IF(AR8="M",0,IF(ISNUMBER(AR8),AR8,0))) + IF(AS8="X",10,IF(AS8="M",0,IF(ISNUMBER(AS8),AS8,0))) + IF(AT8="X",10,IF(AT8="M",0,IF(ISNUMBER(AT8),AT8,0))) + IF(AU8="X",10,IF(AU8="M",0,IF(ISNUMBER(AU8),AU8,0))) + IF(AV8="X",10,IF(AV8="M",0,IF(ISNUMBER(AV8),AV8,0))),"")</f>
        <v/>
      </c>
      <c r="AX8" s="65">
        <f>IF(AND(ISNUMBER(N8),ISNUMBER(N6)),IF(N8&gt;N6,2,IF(N8=N6,1,0)),0)+IF(AND(ISNUMBER(U8),ISNUMBER(U6)),IF(U8&gt;U6,2,IF(U8=U6,1,0)),0)+IF(AND(ISNUMBER(AB8),ISNUMBER(AB6)),IF(AB8&gt;AB6,2,IF(AB8=AB6,1,0)),0)+IF(AND(ISNUMBER(AI8),ISNUMBER(AI6)),IF(AI8&gt;AI6,2,IF(AI8=AI6,1,0)),0)+IF(AND(ISNUMBER(AP8),ISNUMBER(AP6)),IF(AP8&gt;AP6,2,IF(AP8=AP6,1,0)),0)</f>
        <v>0</v>
      </c>
      <c r="AY8" s="66"/>
      <c r="AZ8" s="67">
        <f>IF(AX8&gt;0,IF(H8="X",10,IF(H8="M",0,IF(ISNUMBER(H8),H8,0)))+IF(I8="X",10,IF(I8="M",0,IF(ISNUMBER(I8),I8,0)))+IF(J8="X",10,IF(J8="M",0,IF(ISNUMBER(J8),J8,0)))+IF(K8="X",10,IF(K8="M",0,IF(ISNUMBER(K8),K8,0)))+IF(L8="X",10,IF(L8="M",0,IF(ISNUMBER(L8),L8,0)))+IF(M8="X",10,IF(M8="M",0,IF(ISNUMBER(M8),M8,0)))+IF(O8="X",10,IF(O8="M",0,IF(ISNUMBER(O8),O8,0)))+IF(P8="X",10,IF(P8="M",0,IF(ISNUMBER(P8),P8,0)))+IF(Q8="X",10,IF(Q8="M",0,IF(ISNUMBER(Q8),Q8,0)))+IF(R8="X",10,IF(R8="M",0,IF(ISNUMBER(R8),R8,0)))+IF(S8="X",10,IF(S8="M",0,IF(ISNUMBER(S8),S8,0)))+IF(T8="X",10,IF(T8="M",0,IF(ISNUMBER(T8),T8,0)))+IF(V8="X",10,IF(V8="M",0,IF(ISNUMBER(V8),V8,0)))+IF(W8="X",10,IF(W8="M",0,IF(ISNUMBER(W8),W8,0)))+IF(X8="X",10,IF(X8="M",0,IF(ISNUMBER(X8),X8,0)))+IF(Y8="X",10,IF(Y8="M",0,IF(ISNUMBER(Y8),Y8,0)))+IF(Z8="X",10,IF(Z8="M",0,IF(ISNUMBER(Z8),Z8,0)))+IF(AA8="X",10,IF(AA8="M",0,IF(ISNUMBER(AA8),AA8,0)))+IF(AC8="X",10,IF(AC8="M",0,IF(ISNUMBER(AC8),AC8,0)))+IF(AD8="X",10,IF(AD8="M",0,IF(ISNUMBER(AD8),AD8,0)))+IF(AE8="X",10,IF(AE8="M",0,IF(ISNUMBER(AE8),AE8,0)))+IF(AF8="X",10,IF(AF8="M",0,IF(ISNUMBER(AF8),AF8,0)))+IF(AG8="X",10,IF(AG8="M",0,IF(ISNUMBER(AG8),AG8,0)))+IF(AH8="X",10,IF(AH8="M",0,IF(ISNUMBER(AH8),AH8,0)))+IF(AJ8="X",10,IF(AJ8="M",0,IF(ISNUMBER(AJ8),AJ8,0)))+IF(AK8="X",10,IF(AK8="M",0,IF(ISNUMBER(AK8),AK8,0)))+IF(AL8="X",10,IF(AL8="M",0,IF(ISNUMBER(AL8),AL8,0)))+IF(AM8="X",10,IF(AM8="M",0,IF(ISNUMBER(AM8),AM8,0)))+IF(AN8="X",10,IF(AN8="M",0,IF(ISNUMBER(AN8),AN8,0)))+IF(AO8="X",10,IF(AO8="M",0,IF(ISNUMBER(AO8),AO8,0)))+IF(AQ8="X",10,IF(AQ8="M",0,IF(ISNUMBER(AQ8),AQ8,0)))+IF(AR8="X",10,IF(AR8="M",0,IF(ISNUMBER(AR8),AR8,0)))+IF(AS8="X",10,IF(AS8="M",0,IF(ISNUMBER(AS8),AS8,0)))+IF(AT8="X",10,IF(AT8="M",0,IF(ISNUMBER(AT8),AT8,0)))+IF(AU8="X",10,IF(AU8="M",0,IF(ISNUMBER(AU8),AU8,0)))+IF(AV8="X",10,IF(AV8="M",0,IF(ISNUMBER(AV8),AV8,0))),0)</f>
        <v>0</v>
      </c>
      <c r="BA8" s="68" t="str">
        <f>IFERROR(IF(AY8="DQ","DISQUALIFIED",IF(AY6="DQ","&gt;&gt; Advance",IF(BC6="BYE","&gt;&gt; Advance",IF(BC8="BYE","BYE",IF(AX8&gt;=6,"WIN",IF(AX6&gt;=6,"LOSS",IF(AND(ISNUMBER(AW8),ISNUMBER(AW6)),IF(AW8&gt;AW6,"WIN",IF(AW8&lt;AW6,"LOSS","Shoot-Off")),"Playing"))))))),"Error")</f>
        <v>BYE</v>
      </c>
      <c r="BC8" s="69" t="str">
        <f>IFERROR(IF(INDEX('Novice 15M - Teams'!$L:$L,MATCH(16,'Novice 15M - Teams'!$A:$A,0))="Yes","BYE",IF(OR(INDEX('Novice 15M - Teams'!$B:$B,MATCH(16,'Novice 15M - Teams'!$A:$A,0))="",ISERROR(MATCH(16,'Novice 15M - Teams'!$A:$A,0))),"BYE","")),"BYE")</f>
        <v>BYE</v>
      </c>
      <c r="BD8" s="61" t="s">
        <v>184</v>
      </c>
      <c r="BE8" s="106" t="str">
        <f>IFERROR(IF(BC11="BYE",IF(BC13="BYE","TBD",B13),IF(BC13="BYE",B11,IF(OR(BA11="WIN",BA11="&gt;&gt; Advance"),B11,IF(OR(BA13="WIN",BA13="&gt;&gt; Advance"),B13,"TBD")))),"TBD")</f>
        <v>TBD</v>
      </c>
      <c r="BF8" s="106"/>
      <c r="BG8" s="106"/>
      <c r="BH8" s="107" t="str">
        <f>IF(AND(BE6&lt;&gt;"TBD",BE6&lt;&gt;"",BE8&lt;&gt;"TBD",BE8&lt;&gt;"",DD6&lt;&gt;"&gt;&gt; Advance",DD8&lt;&gt;"&gt;&gt; Advance"),IF((B2-A2+1)&gt;=8,(A2+1)&amp;"",IF((B2-A2+1)&gt;=4,(A2+0)&amp;" R",(A2+MOD(0,(B2-A2+1)))&amp;CHAR(65+FLOOR(0/(B2-A2+1),1)*2+1)&amp;" (R)")),"")</f>
        <v/>
      </c>
      <c r="BI8" s="107"/>
      <c r="BJ8" s="107"/>
      <c r="BK8" s="62"/>
      <c r="BL8" s="62"/>
      <c r="BM8" s="62"/>
      <c r="BN8" s="62"/>
      <c r="BO8" s="62"/>
      <c r="BP8" s="62"/>
      <c r="BQ8" s="63" t="str">
        <f>IF(OR(ISNUMBER(BK8),ISNUMBER(BL8),ISNUMBER(BM8),ISNUMBER(BN8),ISNUMBER(BO8),ISNUMBER(BP8),BK8="X",BL8="X",BM8="X",BN8="X",BO8="X",BP8="X",BK8="M",BL8="M",BM8="M",BN8="M",BO8="M",BP8="M"),IF(BK8="X",10,IF(BK8="M",0,IF(ISNUMBER(BK8),BK8,0))) + IF(BL8="X",10,IF(BL8="M",0,IF(ISNUMBER(BL8),BL8,0))) + IF(BM8="X",10,IF(BM8="M",0,IF(ISNUMBER(BM8),BM8,0))) + IF(BN8="X",10,IF(BN8="M",0,IF(ISNUMBER(BN8),BN8,0))) + IF(BO8="X",10,IF(BO8="M",0,IF(ISNUMBER(BO8),BO8,0))) + IF(BP8="X",10,IF(BP8="M",0,IF(ISNUMBER(BP8),BP8,0))),"")</f>
        <v/>
      </c>
      <c r="BR8" s="62"/>
      <c r="BS8" s="62"/>
      <c r="BT8" s="62"/>
      <c r="BU8" s="62"/>
      <c r="BV8" s="62"/>
      <c r="BW8" s="62"/>
      <c r="BX8" s="63" t="str">
        <f>IF(OR(ISNUMBER(BR8),ISNUMBER(BS8),ISNUMBER(BT8),ISNUMBER(BU8),ISNUMBER(BV8),ISNUMBER(BW8),BR8="X",BS8="X",BT8="X",BU8="X",BV8="X",BW8="X",BR8="M",BS8="M",BT8="M",BU8="M",BV8="M",BW8="M"),IF(BR8="X",10,IF(BR8="M",0,IF(ISNUMBER(BR8),BR8,0))) + IF(BS8="X",10,IF(BS8="M",0,IF(ISNUMBER(BS8),BS8,0))) + IF(BT8="X",10,IF(BT8="M",0,IF(ISNUMBER(BT8),BT8,0))) + IF(BU8="X",10,IF(BU8="M",0,IF(ISNUMBER(BU8),BU8,0))) + IF(BV8="X",10,IF(BV8="M",0,IF(ISNUMBER(BV8),BV8,0))) + IF(BW8="X",10,IF(BW8="M",0,IF(ISNUMBER(BW8),BW8,0))),"")</f>
        <v/>
      </c>
      <c r="BY8" s="62"/>
      <c r="BZ8" s="62"/>
      <c r="CA8" s="62"/>
      <c r="CB8" s="62"/>
      <c r="CC8" s="62"/>
      <c r="CD8" s="62"/>
      <c r="CE8" s="63" t="str">
        <f>IF(OR(ISNUMBER(BY8),ISNUMBER(BZ8),ISNUMBER(CA8),ISNUMBER(CB8),ISNUMBER(CC8),ISNUMBER(CD8),BY8="X",BZ8="X",CA8="X",CB8="X",CC8="X",CD8="X",BY8="M",BZ8="M",CA8="M",CB8="M",CC8="M",CD8="M"),IF(BY8="X",10,IF(BY8="M",0,IF(ISNUMBER(BY8),BY8,0))) + IF(BZ8="X",10,IF(BZ8="M",0,IF(ISNUMBER(BZ8),BZ8,0))) + IF(CA8="X",10,IF(CA8="M",0,IF(ISNUMBER(CA8),CA8,0))) + IF(CB8="X",10,IF(CB8="M",0,IF(ISNUMBER(CB8),CB8,0))) + IF(CC8="X",10,IF(CC8="M",0,IF(ISNUMBER(CC8),CC8,0))) + IF(CD8="X",10,IF(CD8="M",0,IF(ISNUMBER(CD8),CD8,0))),"")</f>
        <v/>
      </c>
      <c r="CF8" s="62"/>
      <c r="CG8" s="62"/>
      <c r="CH8" s="62"/>
      <c r="CI8" s="62"/>
      <c r="CJ8" s="62"/>
      <c r="CK8" s="62"/>
      <c r="CL8" s="63" t="str">
        <f>IF(OR(ISNUMBER(CF8),ISNUMBER(CG8),ISNUMBER(CH8),ISNUMBER(CI8),ISNUMBER(CJ8),ISNUMBER(CK8),CF8="X",CG8="X",CH8="X",CI8="X",CJ8="X",CK8="X",CF8="M",CG8="M",CH8="M",CI8="M",CJ8="M",CK8="M"),IF(CF8="X",10,IF(CF8="M",0,IF(ISNUMBER(CF8),CF8,0))) + IF(CG8="X",10,IF(CG8="M",0,IF(ISNUMBER(CG8),CG8,0))) + IF(CH8="X",10,IF(CH8="M",0,IF(ISNUMBER(CH8),CH8,0))) + IF(CI8="X",10,IF(CI8="M",0,IF(ISNUMBER(CI8),CI8,0))) + IF(CJ8="X",10,IF(CJ8="M",0,IF(ISNUMBER(CJ8),CJ8,0))) + IF(CK8="X",10,IF(CK8="M",0,IF(ISNUMBER(CK8),CK8,0))),"")</f>
        <v/>
      </c>
      <c r="CM8" s="62"/>
      <c r="CN8" s="62"/>
      <c r="CO8" s="62"/>
      <c r="CP8" s="62"/>
      <c r="CQ8" s="62"/>
      <c r="CR8" s="62"/>
      <c r="CS8" s="63" t="str">
        <f>IF(OR(ISNUMBER(CM8),ISNUMBER(CN8),ISNUMBER(CO8),ISNUMBER(CP8),ISNUMBER(CQ8),ISNUMBER(CR8),CM8="X",CN8="X",CO8="X",CP8="X",CQ8="X",CR8="X",CM8="M",CN8="M",CO8="M",CP8="M",CQ8="M",CR8="M"),IF(CM8="X",10,IF(CM8="M",0,IF(ISNUMBER(CM8),CM8,0))) + IF(CN8="X",10,IF(CN8="M",0,IF(ISNUMBER(CN8),CN8,0))) + IF(CO8="X",10,IF(CO8="M",0,IF(ISNUMBER(CO8),CO8,0))) + IF(CP8="X",10,IF(CP8="M",0,IF(ISNUMBER(CP8),CP8,0))) + IF(CQ8="X",10,IF(CQ8="M",0,IF(ISNUMBER(CQ8),CQ8,0))) + IF(CR8="X",10,IF(CR8="M",0,IF(ISNUMBER(CR8),CR8,0))),"")</f>
        <v/>
      </c>
      <c r="CT8" s="64"/>
      <c r="CU8" s="64"/>
      <c r="CV8" s="64"/>
      <c r="CW8" s="64"/>
      <c r="CX8" s="64"/>
      <c r="CY8" s="64"/>
      <c r="CZ8" s="63" t="str">
        <f>IF(OR(ISNUMBER(CT8),ISNUMBER(CU8),ISNUMBER(CV8),ISNUMBER(CW8),ISNUMBER(CX8),ISNUMBER(CY8),CT8="X",CU8="X",CV8="X",CW8="X",CX8="X",CY8="X",CT8="M",CU8="M",CV8="M",CW8="M",CX8="M",CY8="M"),IF(CT8="X",10,IF(CT8="M",0,IF(ISNUMBER(CT8),CT8,0))) + IF(CU8="X",10,IF(CU8="M",0,IF(ISNUMBER(CU8),CU8,0))) + IF(CV8="X",10,IF(CV8="M",0,IF(ISNUMBER(CV8),CV8,0))) + IF(CW8="X",10,IF(CW8="M",0,IF(ISNUMBER(CW8),CW8,0))) + IF(CX8="X",10,IF(CX8="M",0,IF(ISNUMBER(CX8),CX8,0))) + IF(CY8="X",10,IF(CY8="M",0,IF(ISNUMBER(CY8),CY8,0))),"")</f>
        <v/>
      </c>
      <c r="DA8" s="65">
        <f>IF(AND(ISNUMBER(BQ8),ISNUMBER(BQ6)),IF(BQ8&gt;BQ6,2,IF(BQ8=BQ6,1,0)),0)+IF(AND(ISNUMBER(BX8),ISNUMBER(BX6)),IF(BX8&gt;BX6,2,IF(BX8=BX6,1,0)),0)+IF(AND(ISNUMBER(CE8),ISNUMBER(CE6)),IF(CE8&gt;CE6,2,IF(CE8=CE6,1,0)),0)+IF(AND(ISNUMBER(CL8),ISNUMBER(CL6)),IF(CL8&gt;CL6,2,IF(CL8=CL6,1,0)),0)+IF(AND(ISNUMBER(CS8),ISNUMBER(CS6)),IF(CS8&gt;CS6,2,IF(CS8=CS6,1,0)),0)</f>
        <v>0</v>
      </c>
      <c r="DB8" s="66"/>
      <c r="DC8" s="67">
        <f>IF(DA8&gt;0,IF(BK8="X",10,IF(BK8="M",0,IF(ISNUMBER(BK8),BK8,0)))+IF(BL8="X",10,IF(BL8="M",0,IF(ISNUMBER(BL8),BL8,0)))+IF(BM8="X",10,IF(BM8="M",0,IF(ISNUMBER(BM8),BM8,0)))+IF(BN8="X",10,IF(BN8="M",0,IF(ISNUMBER(BN8),BN8,0)))+IF(BO8="X",10,IF(BO8="M",0,IF(ISNUMBER(BO8),BO8,0)))+IF(BP8="X",10,IF(BP8="M",0,IF(ISNUMBER(BP8),BP8,0)))+IF(BR8="X",10,IF(BR8="M",0,IF(ISNUMBER(BR8),BR8,0)))+IF(BS8="X",10,IF(BS8="M",0,IF(ISNUMBER(BS8),BS8,0)))+IF(BT8="X",10,IF(BT8="M",0,IF(ISNUMBER(BT8),BT8,0)))+IF(BU8="X",10,IF(BU8="M",0,IF(ISNUMBER(BU8),BU8,0)))+IF(BV8="X",10,IF(BV8="M",0,IF(ISNUMBER(BV8),BV8,0)))+IF(BW8="X",10,IF(BW8="M",0,IF(ISNUMBER(BW8),BW8,0)))+IF(BY8="X",10,IF(BY8="M",0,IF(ISNUMBER(BY8),BY8,0)))+IF(BZ8="X",10,IF(BZ8="M",0,IF(ISNUMBER(BZ8),BZ8,0)))+IF(CA8="X",10,IF(CA8="M",0,IF(ISNUMBER(CA8),CA8,0)))+IF(CB8="X",10,IF(CB8="M",0,IF(ISNUMBER(CB8),CB8,0)))+IF(CC8="X",10,IF(CC8="M",0,IF(ISNUMBER(CC8),CC8,0)))+IF(CD8="X",10,IF(CD8="M",0,IF(ISNUMBER(CD8),CD8,0)))+IF(CF8="X",10,IF(CF8="M",0,IF(ISNUMBER(CF8),CF8,0)))+IF(CG8="X",10,IF(CG8="M",0,IF(ISNUMBER(CG8),CG8,0)))+IF(CH8="X",10,IF(CH8="M",0,IF(ISNUMBER(CH8),CH8,0)))+IF(CI8="X",10,IF(CI8="M",0,IF(ISNUMBER(CI8),CI8,0)))+IF(CJ8="X",10,IF(CJ8="M",0,IF(ISNUMBER(CJ8),CJ8,0)))+IF(CK8="X",10,IF(CK8="M",0,IF(ISNUMBER(CK8),CK8,0)))+IF(CM8="X",10,IF(CM8="M",0,IF(ISNUMBER(CM8),CM8,0)))+IF(CN8="X",10,IF(CN8="M",0,IF(ISNUMBER(CN8),CN8,0)))+IF(CO8="X",10,IF(CO8="M",0,IF(ISNUMBER(CO8),CO8,0)))+IF(CP8="X",10,IF(CP8="M",0,IF(ISNUMBER(CP8),CP8,0)))+IF(CQ8="X",10,IF(CQ8="M",0,IF(ISNUMBER(CQ8),CQ8,0)))+IF(CR8="X",10,IF(CR8="M",0,IF(ISNUMBER(CR8),CR8,0)))+IF(CT8="X",10,IF(CT8="M",0,IF(ISNUMBER(CT8),CT8,0)))+IF(CU8="X",10,IF(CU8="M",0,IF(ISNUMBER(CU8),CU8,0)))+IF(CV8="X",10,IF(CV8="M",0,IF(ISNUMBER(CV8),CV8,0)))+IF(CW8="X",10,IF(CW8="M",0,IF(ISNUMBER(CW8),CW8,0)))+IF(CX8="X",10,IF(CX8="M",0,IF(ISNUMBER(CX8),CX8,0)))+IF(CY8="X",10,IF(CY8="M",0,IF(ISNUMBER(CY8),CY8,0))),0)</f>
        <v>0</v>
      </c>
      <c r="DD8" s="68" t="str">
        <f>IFERROR(IF(DB8="DQ","DISQUALIFIED",IF(DB6="DQ","&gt;&gt; Advance",IF(DF6="BYE","&gt;&gt; Advance",IF(DF8="BYE","BYE",IF(DA8&gt;=6,"WIN",IF(DA6&gt;=6,"LOSS",IF(AND(ISNUMBER(CZ8),ISNUMBER(CZ6)),IF(CZ8&gt;CZ6,"WIN",IF(CZ8&lt;CZ6,"LOSS","Shoot-Off")),"Playing"))))))),"Error")</f>
        <v>BYE</v>
      </c>
      <c r="DF8" s="69" t="str">
        <f>IFERROR(IF(AND(BC11="BYE",BC13="BYE"),"BYE",""),"")</f>
        <v>BYE</v>
      </c>
      <c r="DG8" s="61" t="s">
        <v>185</v>
      </c>
      <c r="DH8" s="106" t="str">
        <f>IFERROR(IF(DF11="BYE",IF(DF13="BYE","TBD",BE13),IF(DF13="BYE",BE11,IF(OR(DD11="WIN",DD11="&gt;&gt; Advance"),BE11,IF(OR(DD13="WIN",DD13="&gt;&gt; Advance"),BE13,"TBD")))),"TBD")</f>
        <v>TBD</v>
      </c>
      <c r="DI8" s="106"/>
      <c r="DJ8" s="106"/>
      <c r="DK8" s="107" t="str">
        <f>IF(AND(DH6&lt;&gt;"TBD",DH6&lt;&gt;"",DH8&lt;&gt;"TBD",DH8&lt;&gt;"",FG6&lt;&gt;"&gt;&gt; Advance",FG8&lt;&gt;"&gt;&gt; Advance"),IF((B2-A2+1)&gt;=4,(A2+1)&amp;"",IF((B2-A2+1)&gt;=2,(A2+0)&amp;" R",(A2+MOD(0,(B2-A2+1)))&amp;CHAR(65+FLOOR(0/(B2-A2+1),1)*2+1)&amp;" (R)")),"")</f>
        <v/>
      </c>
      <c r="DL8" s="107"/>
      <c r="DM8" s="107"/>
      <c r="DN8" s="62"/>
      <c r="DO8" s="62"/>
      <c r="DP8" s="62"/>
      <c r="DQ8" s="62"/>
      <c r="DR8" s="62"/>
      <c r="DS8" s="62"/>
      <c r="DT8" s="63" t="str">
        <f>IF(OR(ISNUMBER(DN8),ISNUMBER(DO8),ISNUMBER(DP8),ISNUMBER(DQ8),ISNUMBER(DR8),ISNUMBER(DS8),DN8="X",DO8="X",DP8="X",DQ8="X",DR8="X",DS8="X",DN8="M",DO8="M",DP8="M",DQ8="M",DR8="M",DS8="M"),IF(DN8="X",10,IF(DN8="M",0,IF(ISNUMBER(DN8),DN8,0))) + IF(DO8="X",10,IF(DO8="M",0,IF(ISNUMBER(DO8),DO8,0))) + IF(DP8="X",10,IF(DP8="M",0,IF(ISNUMBER(DP8),DP8,0))) + IF(DQ8="X",10,IF(DQ8="M",0,IF(ISNUMBER(DQ8),DQ8,0))) + IF(DR8="X",10,IF(DR8="M",0,IF(ISNUMBER(DR8),DR8,0))) + IF(DS8="X",10,IF(DS8="M",0,IF(ISNUMBER(DS8),DS8,0))),"")</f>
        <v/>
      </c>
      <c r="DU8" s="62"/>
      <c r="DV8" s="62"/>
      <c r="DW8" s="62"/>
      <c r="DX8" s="62"/>
      <c r="DY8" s="62"/>
      <c r="DZ8" s="62"/>
      <c r="EA8" s="63" t="str">
        <f>IF(OR(ISNUMBER(DU8),ISNUMBER(DV8),ISNUMBER(DW8),ISNUMBER(DX8),ISNUMBER(DY8),ISNUMBER(DZ8),DU8="X",DV8="X",DW8="X",DX8="X",DY8="X",DZ8="X",DU8="M",DV8="M",DW8="M",DX8="M",DY8="M",DZ8="M"),IF(DU8="X",10,IF(DU8="M",0,IF(ISNUMBER(DU8),DU8,0))) + IF(DV8="X",10,IF(DV8="M",0,IF(ISNUMBER(DV8),DV8,0))) + IF(DW8="X",10,IF(DW8="M",0,IF(ISNUMBER(DW8),DW8,0))) + IF(DX8="X",10,IF(DX8="M",0,IF(ISNUMBER(DX8),DX8,0))) + IF(DY8="X",10,IF(DY8="M",0,IF(ISNUMBER(DY8),DY8,0))) + IF(DZ8="X",10,IF(DZ8="M",0,IF(ISNUMBER(DZ8),DZ8,0))),"")</f>
        <v/>
      </c>
      <c r="EB8" s="62"/>
      <c r="EC8" s="62"/>
      <c r="ED8" s="62"/>
      <c r="EE8" s="62"/>
      <c r="EF8" s="62"/>
      <c r="EG8" s="62"/>
      <c r="EH8" s="63" t="str">
        <f>IF(OR(ISNUMBER(EB8),ISNUMBER(EC8),ISNUMBER(ED8),ISNUMBER(EE8),ISNUMBER(EF8),ISNUMBER(EG8),EB8="X",EC8="X",ED8="X",EE8="X",EF8="X",EG8="X",EB8="M",EC8="M",ED8="M",EE8="M",EF8="M",EG8="M"),IF(EB8="X",10,IF(EB8="M",0,IF(ISNUMBER(EB8),EB8,0))) + IF(EC8="X",10,IF(EC8="M",0,IF(ISNUMBER(EC8),EC8,0))) + IF(ED8="X",10,IF(ED8="M",0,IF(ISNUMBER(ED8),ED8,0))) + IF(EE8="X",10,IF(EE8="M",0,IF(ISNUMBER(EE8),EE8,0))) + IF(EF8="X",10,IF(EF8="M",0,IF(ISNUMBER(EF8),EF8,0))) + IF(EG8="X",10,IF(EG8="M",0,IF(ISNUMBER(EG8),EG8,0))),"")</f>
        <v/>
      </c>
      <c r="EI8" s="62"/>
      <c r="EJ8" s="62"/>
      <c r="EK8" s="62"/>
      <c r="EL8" s="62"/>
      <c r="EM8" s="62"/>
      <c r="EN8" s="62"/>
      <c r="EO8" s="63" t="str">
        <f>IF(OR(ISNUMBER(EI8),ISNUMBER(EJ8),ISNUMBER(EK8),ISNUMBER(EL8),ISNUMBER(EM8),ISNUMBER(EN8),EI8="X",EJ8="X",EK8="X",EL8="X",EM8="X",EN8="X",EI8="M",EJ8="M",EK8="M",EL8="M",EM8="M",EN8="M"),IF(EI8="X",10,IF(EI8="M",0,IF(ISNUMBER(EI8),EI8,0))) + IF(EJ8="X",10,IF(EJ8="M",0,IF(ISNUMBER(EJ8),EJ8,0))) + IF(EK8="X",10,IF(EK8="M",0,IF(ISNUMBER(EK8),EK8,0))) + IF(EL8="X",10,IF(EL8="M",0,IF(ISNUMBER(EL8),EL8,0))) + IF(EM8="X",10,IF(EM8="M",0,IF(ISNUMBER(EM8),EM8,0))) + IF(EN8="X",10,IF(EN8="M",0,IF(ISNUMBER(EN8),EN8,0))),"")</f>
        <v/>
      </c>
      <c r="EP8" s="62"/>
      <c r="EQ8" s="62"/>
      <c r="ER8" s="62"/>
      <c r="ES8" s="62"/>
      <c r="ET8" s="62"/>
      <c r="EU8" s="62"/>
      <c r="EV8" s="63" t="str">
        <f>IF(OR(ISNUMBER(EP8),ISNUMBER(EQ8),ISNUMBER(ER8),ISNUMBER(ES8),ISNUMBER(ET8),ISNUMBER(EU8),EP8="X",EQ8="X",ER8="X",ES8="X",ET8="X",EU8="X",EP8="M",EQ8="M",ER8="M",ES8="M",ET8="M",EU8="M"),IF(EP8="X",10,IF(EP8="M",0,IF(ISNUMBER(EP8),EP8,0))) + IF(EQ8="X",10,IF(EQ8="M",0,IF(ISNUMBER(EQ8),EQ8,0))) + IF(ER8="X",10,IF(ER8="M",0,IF(ISNUMBER(ER8),ER8,0))) + IF(ES8="X",10,IF(ES8="M",0,IF(ISNUMBER(ES8),ES8,0))) + IF(ET8="X",10,IF(ET8="M",0,IF(ISNUMBER(ET8),ET8,0))) + IF(EU8="X",10,IF(EU8="M",0,IF(ISNUMBER(EU8),EU8,0))),"")</f>
        <v/>
      </c>
      <c r="EW8" s="64"/>
      <c r="EX8" s="64"/>
      <c r="EY8" s="64"/>
      <c r="EZ8" s="64"/>
      <c r="FA8" s="64"/>
      <c r="FB8" s="64"/>
      <c r="FC8" s="63" t="str">
        <f>IF(OR(ISNUMBER(EW8),ISNUMBER(EX8),ISNUMBER(EY8),ISNUMBER(EZ8),ISNUMBER(FA8),ISNUMBER(FB8),EW8="X",EX8="X",EY8="X",EZ8="X",FA8="X",FB8="X",EW8="M",EX8="M",EY8="M",EZ8="M",FA8="M",FB8="M"),IF(EW8="X",10,IF(EW8="M",0,IF(ISNUMBER(EW8),EW8,0))) + IF(EX8="X",10,IF(EX8="M",0,IF(ISNUMBER(EX8),EX8,0))) + IF(EY8="X",10,IF(EY8="M",0,IF(ISNUMBER(EY8),EY8,0))) + IF(EZ8="X",10,IF(EZ8="M",0,IF(ISNUMBER(EZ8),EZ8,0))) + IF(FA8="X",10,IF(FA8="M",0,IF(ISNUMBER(FA8),FA8,0))) + IF(FB8="X",10,IF(FB8="M",0,IF(ISNUMBER(FB8),FB8,0))),"")</f>
        <v/>
      </c>
      <c r="FD8" s="65">
        <f>IF(AND(ISNUMBER(DT8),ISNUMBER(DT6)),IF(DT8&gt;DT6,2,IF(DT8=DT6,1,0)),0)+IF(AND(ISNUMBER(EA8),ISNUMBER(EA6)),IF(EA8&gt;EA6,2,IF(EA8=EA6,1,0)),0)+IF(AND(ISNUMBER(EH8),ISNUMBER(EH6)),IF(EH8&gt;EH6,2,IF(EH8=EH6,1,0)),0)+IF(AND(ISNUMBER(EO8),ISNUMBER(EO6)),IF(EO8&gt;EO6,2,IF(EO8=EO6,1,0)),0)+IF(AND(ISNUMBER(EV8),ISNUMBER(EV6)),IF(EV8&gt;EV6,2,IF(EV8=EV6,1,0)),0)</f>
        <v>0</v>
      </c>
      <c r="FE8" s="66"/>
      <c r="FF8" s="67">
        <f>IF(FD8&gt;0,IF(DN8="X",10,IF(DN8="M",0,IF(ISNUMBER(DN8),DN8,0)))+IF(DO8="X",10,IF(DO8="M",0,IF(ISNUMBER(DO8),DO8,0)))+IF(DP8="X",10,IF(DP8="M",0,IF(ISNUMBER(DP8),DP8,0)))+IF(DQ8="X",10,IF(DQ8="M",0,IF(ISNUMBER(DQ8),DQ8,0)))+IF(DR8="X",10,IF(DR8="M",0,IF(ISNUMBER(DR8),DR8,0)))+IF(DS8="X",10,IF(DS8="M",0,IF(ISNUMBER(DS8),DS8,0)))+IF(DU8="X",10,IF(DU8="M",0,IF(ISNUMBER(DU8),DU8,0)))+IF(DV8="X",10,IF(DV8="M",0,IF(ISNUMBER(DV8),DV8,0)))+IF(DW8="X",10,IF(DW8="M",0,IF(ISNUMBER(DW8),DW8,0)))+IF(DX8="X",10,IF(DX8="M",0,IF(ISNUMBER(DX8),DX8,0)))+IF(DY8="X",10,IF(DY8="M",0,IF(ISNUMBER(DY8),DY8,0)))+IF(DZ8="X",10,IF(DZ8="M",0,IF(ISNUMBER(DZ8),DZ8,0)))+IF(EB8="X",10,IF(EB8="M",0,IF(ISNUMBER(EB8),EB8,0)))+IF(EC8="X",10,IF(EC8="M",0,IF(ISNUMBER(EC8),EC8,0)))+IF(ED8="X",10,IF(ED8="M",0,IF(ISNUMBER(ED8),ED8,0)))+IF(EE8="X",10,IF(EE8="M",0,IF(ISNUMBER(EE8),EE8,0)))+IF(EF8="X",10,IF(EF8="M",0,IF(ISNUMBER(EF8),EF8,0)))+IF(EG8="X",10,IF(EG8="M",0,IF(ISNUMBER(EG8),EG8,0)))+IF(EI8="X",10,IF(EI8="M",0,IF(ISNUMBER(EI8),EI8,0)))+IF(EJ8="X",10,IF(EJ8="M",0,IF(ISNUMBER(EJ8),EJ8,0)))+IF(EK8="X",10,IF(EK8="M",0,IF(ISNUMBER(EK8),EK8,0)))+IF(EL8="X",10,IF(EL8="M",0,IF(ISNUMBER(EL8),EL8,0)))+IF(EM8="X",10,IF(EM8="M",0,IF(ISNUMBER(EM8),EM8,0)))+IF(EN8="X",10,IF(EN8="M",0,IF(ISNUMBER(EN8),EN8,0)))+IF(EP8="X",10,IF(EP8="M",0,IF(ISNUMBER(EP8),EP8,0)))+IF(EQ8="X",10,IF(EQ8="M",0,IF(ISNUMBER(EQ8),EQ8,0)))+IF(ER8="X",10,IF(ER8="M",0,IF(ISNUMBER(ER8),ER8,0)))+IF(ES8="X",10,IF(ES8="M",0,IF(ISNUMBER(ES8),ES8,0)))+IF(ET8="X",10,IF(ET8="M",0,IF(ISNUMBER(ET8),ET8,0)))+IF(EU8="X",10,IF(EU8="M",0,IF(ISNUMBER(EU8),EU8,0)))+IF(EW8="X",10,IF(EW8="M",0,IF(ISNUMBER(EW8),EW8,0)))+IF(EX8="X",10,IF(EX8="M",0,IF(ISNUMBER(EX8),EX8,0)))+IF(EY8="X",10,IF(EY8="M",0,IF(ISNUMBER(EY8),EY8,0)))+IF(EZ8="X",10,IF(EZ8="M",0,IF(ISNUMBER(EZ8),EZ8,0)))+IF(FA8="X",10,IF(FA8="M",0,IF(ISNUMBER(FA8),FA8,0)))+IF(FB8="X",10,IF(FB8="M",0,IF(ISNUMBER(FB8),FB8,0))),0)</f>
        <v>0</v>
      </c>
      <c r="FG8" s="68" t="str">
        <f>IFERROR(IF(FE8="DQ","DISQUALIFIED",IF(FE6="DQ","&gt;&gt; Advance",IF(FI6="BYE","&gt;&gt; Advance",IF(FI8="BYE","BYE",IF(FD8&gt;=6,"WIN",IF(FD6&gt;=6,"LOSS",IF(AND(ISNUMBER(FC8),ISNUMBER(FC6)),IF(FC8&gt;FC6,"WIN",IF(FC8&lt;FC6,"LOSS","Shoot-Off")),"Playing"))))))),"Error")</f>
        <v>BYE</v>
      </c>
      <c r="FI8" s="69" t="str">
        <f>IFERROR(IF(AND(DF11="BYE",DF13="BYE"),"BYE",""),"")</f>
        <v>BYE</v>
      </c>
      <c r="FJ8" s="70" t="s">
        <v>186</v>
      </c>
      <c r="FK8" s="106" t="str">
        <f>IFERROR(IF(FI11="BYE",IF(FI13="BYE","TBD",DH13),IF(FI13="BYE",DH11,IF(OR(FG11="WIN",FG11="&gt;&gt; Advance"),DH11,IF(OR(FG13="WIN",FG13="&gt;&gt; Advance"),DH13,"TBD")))),"TBD")</f>
        <v>TBD</v>
      </c>
      <c r="FL8" s="106"/>
      <c r="FM8" s="106"/>
      <c r="FN8" s="107" t="str">
        <f>IF(AND(FK6&lt;&gt;"TBD",FK6&lt;&gt;"",FK8&lt;&gt;"TBD",FK8&lt;&gt;"",HJ6&lt;&gt;"&gt;&gt; Advance",HJ8&lt;&gt;"&gt;&gt; Advance"),IF((B2-A2+1)&gt;=4,(A2+1)&amp;"",IF((B2-A2+1)&gt;=2,(A2+0)&amp;" R",(A2+MOD(0,(B2-A2+1)))&amp;CHAR(65+FLOOR(0/(B2-A2+1),1)*2+1)&amp;" (R)")),"")</f>
        <v/>
      </c>
      <c r="FO8" s="107"/>
      <c r="FP8" s="107"/>
      <c r="FQ8" s="62"/>
      <c r="FR8" s="62"/>
      <c r="FS8" s="62"/>
      <c r="FT8" s="62"/>
      <c r="FU8" s="62"/>
      <c r="FV8" s="62"/>
      <c r="FW8" s="63" t="str">
        <f>IF(OR(ISNUMBER(FQ8),ISNUMBER(FR8),ISNUMBER(FS8),ISNUMBER(FT8),ISNUMBER(FU8),ISNUMBER(FV8),FQ8="X",FR8="X",FS8="X",FT8="X",FU8="X",FV8="X",FQ8="M",FR8="M",FS8="M",FT8="M",FU8="M",FV8="M"),IF(FQ8="X",10,IF(FQ8="M",0,IF(ISNUMBER(FQ8),FQ8,0))) + IF(FR8="X",10,IF(FR8="M",0,IF(ISNUMBER(FR8),FR8,0))) + IF(FS8="X",10,IF(FS8="M",0,IF(ISNUMBER(FS8),FS8,0))) + IF(FT8="X",10,IF(FT8="M",0,IF(ISNUMBER(FT8),FT8,0))) + IF(FU8="X",10,IF(FU8="M",0,IF(ISNUMBER(FU8),FU8,0))) + IF(FV8="X",10,IF(FV8="M",0,IF(ISNUMBER(FV8),FV8,0))),"")</f>
        <v/>
      </c>
      <c r="FX8" s="62"/>
      <c r="FY8" s="62"/>
      <c r="FZ8" s="62"/>
      <c r="GA8" s="62"/>
      <c r="GB8" s="62"/>
      <c r="GC8" s="62"/>
      <c r="GD8" s="63" t="str">
        <f>IF(OR(ISNUMBER(FX8),ISNUMBER(FY8),ISNUMBER(FZ8),ISNUMBER(GA8),ISNUMBER(GB8),ISNUMBER(GC8),FX8="X",FY8="X",FZ8="X",GA8="X",GB8="X",GC8="X",FX8="M",FY8="M",FZ8="M",GA8="M",GB8="M",GC8="M"),IF(FX8="X",10,IF(FX8="M",0,IF(ISNUMBER(FX8),FX8,0))) + IF(FY8="X",10,IF(FY8="M",0,IF(ISNUMBER(FY8),FY8,0))) + IF(FZ8="X",10,IF(FZ8="M",0,IF(ISNUMBER(FZ8),FZ8,0))) + IF(GA8="X",10,IF(GA8="M",0,IF(ISNUMBER(GA8),GA8,0))) + IF(GB8="X",10,IF(GB8="M",0,IF(ISNUMBER(GB8),GB8,0))) + IF(GC8="X",10,IF(GC8="M",0,IF(ISNUMBER(GC8),GC8,0))),"")</f>
        <v/>
      </c>
      <c r="GE8" s="62"/>
      <c r="GF8" s="62"/>
      <c r="GG8" s="62"/>
      <c r="GH8" s="62"/>
      <c r="GI8" s="62"/>
      <c r="GJ8" s="62"/>
      <c r="GK8" s="63" t="str">
        <f>IF(OR(ISNUMBER(GE8),ISNUMBER(GF8),ISNUMBER(GG8),ISNUMBER(GH8),ISNUMBER(GI8),ISNUMBER(GJ8),GE8="X",GF8="X",GG8="X",GH8="X",GI8="X",GJ8="X",GE8="M",GF8="M",GG8="M",GH8="M",GI8="M",GJ8="M"),IF(GE8="X",10,IF(GE8="M",0,IF(ISNUMBER(GE8),GE8,0))) + IF(GF8="X",10,IF(GF8="M",0,IF(ISNUMBER(GF8),GF8,0))) + IF(GG8="X",10,IF(GG8="M",0,IF(ISNUMBER(GG8),GG8,0))) + IF(GH8="X",10,IF(GH8="M",0,IF(ISNUMBER(GH8),GH8,0))) + IF(GI8="X",10,IF(GI8="M",0,IF(ISNUMBER(GI8),GI8,0))) + IF(GJ8="X",10,IF(GJ8="M",0,IF(ISNUMBER(GJ8),GJ8,0))),"")</f>
        <v/>
      </c>
      <c r="GL8" s="62"/>
      <c r="GM8" s="62"/>
      <c r="GN8" s="62"/>
      <c r="GO8" s="62"/>
      <c r="GP8" s="62"/>
      <c r="GQ8" s="62"/>
      <c r="GR8" s="63" t="str">
        <f>IF(OR(ISNUMBER(GL8),ISNUMBER(GM8),ISNUMBER(GN8),ISNUMBER(GO8),ISNUMBER(GP8),ISNUMBER(GQ8),GL8="X",GM8="X",GN8="X",GO8="X",GP8="X",GQ8="X",GL8="M",GM8="M",GN8="M",GO8="M",GP8="M",GQ8="M"),IF(GL8="X",10,IF(GL8="M",0,IF(ISNUMBER(GL8),GL8,0))) + IF(GM8="X",10,IF(GM8="M",0,IF(ISNUMBER(GM8),GM8,0))) + IF(GN8="X",10,IF(GN8="M",0,IF(ISNUMBER(GN8),GN8,0))) + IF(GO8="X",10,IF(GO8="M",0,IF(ISNUMBER(GO8),GO8,0))) + IF(GP8="X",10,IF(GP8="M",0,IF(ISNUMBER(GP8),GP8,0))) + IF(GQ8="X",10,IF(GQ8="M",0,IF(ISNUMBER(GQ8),GQ8,0))),"")</f>
        <v/>
      </c>
      <c r="GS8" s="62"/>
      <c r="GT8" s="62"/>
      <c r="GU8" s="62"/>
      <c r="GV8" s="62"/>
      <c r="GW8" s="62"/>
      <c r="GX8" s="62"/>
      <c r="GY8" s="63" t="str">
        <f>IF(OR(ISNUMBER(GS8),ISNUMBER(GT8),ISNUMBER(GU8),ISNUMBER(GV8),ISNUMBER(GW8),ISNUMBER(GX8),GS8="X",GT8="X",GU8="X",GV8="X",GW8="X",GX8="X",GS8="M",GT8="M",GU8="M",GV8="M",GW8="M",GX8="M"),IF(GS8="X",10,IF(GS8="M",0,IF(ISNUMBER(GS8),GS8,0))) + IF(GT8="X",10,IF(GT8="M",0,IF(ISNUMBER(GT8),GT8,0))) + IF(GU8="X",10,IF(GU8="M",0,IF(ISNUMBER(GU8),GU8,0))) + IF(GV8="X",10,IF(GV8="M",0,IF(ISNUMBER(GV8),GV8,0))) + IF(GW8="X",10,IF(GW8="M",0,IF(ISNUMBER(GW8),GW8,0))) + IF(GX8="X",10,IF(GX8="M",0,IF(ISNUMBER(GX8),GX8,0))),"")</f>
        <v/>
      </c>
      <c r="GZ8" s="64"/>
      <c r="HA8" s="64"/>
      <c r="HB8" s="64"/>
      <c r="HC8" s="64"/>
      <c r="HD8" s="64"/>
      <c r="HE8" s="64"/>
      <c r="HF8" s="63" t="str">
        <f>IF(OR(ISNUMBER(GZ8),ISNUMBER(HA8),ISNUMBER(HB8),ISNUMBER(HC8),ISNUMBER(HD8),ISNUMBER(HE8),GZ8="X",HA8="X",HB8="X",HC8="X",HD8="X",HE8="X",GZ8="M",HA8="M",HB8="M",HC8="M",HD8="M",HE8="M"),IF(GZ8="X",10,IF(GZ8="M",0,IF(ISNUMBER(GZ8),GZ8,0))) + IF(HA8="X",10,IF(HA8="M",0,IF(ISNUMBER(HA8),HA8,0))) + IF(HB8="X",10,IF(HB8="M",0,IF(ISNUMBER(HB8),HB8,0))) + IF(HC8="X",10,IF(HC8="M",0,IF(ISNUMBER(HC8),HC8,0))) + IF(HD8="X",10,IF(HD8="M",0,IF(ISNUMBER(HD8),HD8,0))) + IF(HE8="X",10,IF(HE8="M",0,IF(ISNUMBER(HE8),HE8,0))),"")</f>
        <v/>
      </c>
      <c r="HG8" s="65">
        <f>IF(AND(ISNUMBER(FW8),ISNUMBER(FW6)),IF(FW8&gt;FW6,2,IF(FW8=FW6,1,0)),0)+IF(AND(ISNUMBER(GD8),ISNUMBER(GD6)),IF(GD8&gt;GD6,2,IF(GD8=GD6,1,0)),0)+IF(AND(ISNUMBER(GK8),ISNUMBER(GK6)),IF(GK8&gt;GK6,2,IF(GK8=GK6,1,0)),0)+IF(AND(ISNUMBER(GR8),ISNUMBER(GR6)),IF(GR8&gt;GR6,2,IF(GR8=GR6,1,0)),0)+IF(AND(ISNUMBER(GY8),ISNUMBER(GY6)),IF(GY8&gt;GY6,2,IF(GY8=GY6,1,0)),0)</f>
        <v>0</v>
      </c>
      <c r="HH8" s="66"/>
      <c r="HI8" s="67">
        <f>IF(HG8&gt;0,IF(FQ8="X",10,IF(FQ8="M",0,IF(ISNUMBER(FQ8),FQ8,0)))+IF(FR8="X",10,IF(FR8="M",0,IF(ISNUMBER(FR8),FR8,0)))+IF(FS8="X",10,IF(FS8="M",0,IF(ISNUMBER(FS8),FS8,0)))+IF(FT8="X",10,IF(FT8="M",0,IF(ISNUMBER(FT8),FT8,0)))+IF(FU8="X",10,IF(FU8="M",0,IF(ISNUMBER(FU8),FU8,0)))+IF(FV8="X",10,IF(FV8="M",0,IF(ISNUMBER(FV8),FV8,0)))+IF(FX8="X",10,IF(FX8="M",0,IF(ISNUMBER(FX8),FX8,0)))+IF(FY8="X",10,IF(FY8="M",0,IF(ISNUMBER(FY8),FY8,0)))+IF(FZ8="X",10,IF(FZ8="M",0,IF(ISNUMBER(FZ8),FZ8,0)))+IF(GA8="X",10,IF(GA8="M",0,IF(ISNUMBER(GA8),GA8,0)))+IF(GB8="X",10,IF(GB8="M",0,IF(ISNUMBER(GB8),GB8,0)))+IF(GC8="X",10,IF(GC8="M",0,IF(ISNUMBER(GC8),GC8,0)))+IF(GE8="X",10,IF(GE8="M",0,IF(ISNUMBER(GE8),GE8,0)))+IF(GF8="X",10,IF(GF8="M",0,IF(ISNUMBER(GF8),GF8,0)))+IF(GG8="X",10,IF(GG8="M",0,IF(ISNUMBER(GG8),GG8,0)))+IF(GH8="X",10,IF(GH8="M",0,IF(ISNUMBER(GH8),GH8,0)))+IF(GI8="X",10,IF(GI8="M",0,IF(ISNUMBER(GI8),GI8,0)))+IF(GJ8="X",10,IF(GJ8="M",0,IF(ISNUMBER(GJ8),GJ8,0)))+IF(GL8="X",10,IF(GL8="M",0,IF(ISNUMBER(GL8),GL8,0)))+IF(GM8="X",10,IF(GM8="M",0,IF(ISNUMBER(GM8),GM8,0)))+IF(GN8="X",10,IF(GN8="M",0,IF(ISNUMBER(GN8),GN8,0)))+IF(GO8="X",10,IF(GO8="M",0,IF(ISNUMBER(GO8),GO8,0)))+IF(GP8="X",10,IF(GP8="M",0,IF(ISNUMBER(GP8),GP8,0)))+IF(GQ8="X",10,IF(GQ8="M",0,IF(ISNUMBER(GQ8),GQ8,0)))+IF(GS8="X",10,IF(GS8="M",0,IF(ISNUMBER(GS8),GS8,0)))+IF(GT8="X",10,IF(GT8="M",0,IF(ISNUMBER(GT8),GT8,0)))+IF(GU8="X",10,IF(GU8="M",0,IF(ISNUMBER(GU8),GU8,0)))+IF(GV8="X",10,IF(GV8="M",0,IF(ISNUMBER(GV8),GV8,0)))+IF(GW8="X",10,IF(GW8="M",0,IF(ISNUMBER(GW8),GW8,0)))+IF(GX8="X",10,IF(GX8="M",0,IF(ISNUMBER(GX8),GX8,0)))+IF(GZ8="X",10,IF(GZ8="M",0,IF(ISNUMBER(GZ8),GZ8,0)))+IF(HA8="X",10,IF(HA8="M",0,IF(ISNUMBER(HA8),HA8,0)))+IF(HB8="X",10,IF(HB8="M",0,IF(ISNUMBER(HB8),HB8,0)))+IF(HC8="X",10,IF(HC8="M",0,IF(ISNUMBER(HC8),HC8,0)))+IF(HD8="X",10,IF(HD8="M",0,IF(ISNUMBER(HD8),HD8,0)))+IF(HE8="X",10,IF(HE8="M",0,IF(ISNUMBER(HE8),HE8,0))),0)</f>
        <v>0</v>
      </c>
      <c r="HJ8" s="68" t="str">
        <f>IFERROR(IF(HH8="DQ","DISQUALIFIED",IF(HH6="DQ","&gt;&gt; Advance",IF(HL6="BYE","&gt;&gt; Advance",IF(HL8="BYE","BYE",IF(HG8&gt;=6,"WIN",IF(HG6&gt;=6,"LOSS",IF(AND(ISNUMBER(HF8),ISNUMBER(HF6)),IF(HF8&gt;HF6,"WIN",IF(HF8&lt;HF6,"LOSS","Shoot-Off")),"Playing"))))))),"Error")</f>
        <v>BYE</v>
      </c>
      <c r="HL8" s="69" t="str">
        <f>IFERROR(IF(AND(FI11="BYE",FI13="BYE"),"BYE",""),"")</f>
        <v>BYE</v>
      </c>
      <c r="HM8" s="109" t="str">
        <f>IFERROR(IF(OR(HM6="TBD",HM6=""),"",IF(OR(ISNUMBER(MATCH(HM6,'Novice 15M - Teams'!$N:$N,0)),ISNUMBER(MATCH(HM6,'Novice 15M - Teams'!$B:$B,0))),IF(ISNUMBER(MATCH(HM6,'Novice 15M - Teams'!$N:$N,0)),"Club: "&amp;INDEX('Novice 15M - Teams'!$C:$C,IF(ISNUMBER(MATCH(HM6,'Novice 15M - Teams'!$N:$N,0)),MATCH(HM6,'Novice 15M - Teams'!$N:$N,0),MATCH(HM6,'Novice 15M - Teams'!$B:$B,0)))&amp;"  |  "&amp;INDEX('Novice 15M - Teams'!$D:$D,IF(ISNUMBER(MATCH(HM6,'Novice 15M - Teams'!$N:$N,0)),MATCH(HM6,'Novice 15M - Teams'!$N:$N,0),MATCH(HM6,'Novice 15M - Teams'!$B:$B,0)))&amp;IF(INDEX('Novice 15M - Teams'!$E:$E,IF(ISNUMBER(MATCH(HM6,'Novice 15M - Teams'!$N:$N,0)),MATCH(HM6,'Novice 15M - Teams'!$N:$N,0),MATCH(HM6,'Novice 15M - Teams'!$B:$B,0)))&lt;&gt;"",", "&amp;INDEX('Novice 15M - Teams'!$E:$E,IF(ISNUMBER(MATCH(HM6,'Novice 15M - Teams'!$N:$N,0)),MATCH(HM6,'Novice 15M - Teams'!$N:$N,0),MATCH(HM6,'Novice 15M - Teams'!$B:$B,0))),"")&amp;IF(INDEX('Novice 15M - Teams'!$F:$F,IF(ISNUMBER(MATCH(HM6,'Novice 15M - Teams'!$N:$N,0)),MATCH(HM6,'Novice 15M - Teams'!$N:$N,0),MATCH(HM6,'Novice 15M - Teams'!$B:$B,0)))&lt;&gt;"",", "&amp;INDEX('Novice 15M - Teams'!$F:$F,IF(ISNUMBER(MATCH(HM6,'Novice 15M - Teams'!$N:$N,0)),MATCH(HM6,'Novice 15M - Teams'!$N:$N,0),MATCH(HM6,'Novice 15M - Teams'!$B:$B,0))),""),"Club: "&amp;INDEX('Novice 15M - Teams'!$C:$C,IF(ISNUMBER(MATCH(HM6,'Novice 15M - Teams'!$N:$N,0)),MATCH(HM6,'Novice 15M - Teams'!$N:$N,0),MATCH(HM6,'Novice 15M - Teams'!$B:$B,0)))),"")),"")</f>
        <v>Club: Attack Arena AC</v>
      </c>
      <c r="HN8" s="109"/>
      <c r="HO8" s="109"/>
      <c r="HP8" s="109"/>
      <c r="HQ8" s="109"/>
      <c r="HR8" s="109"/>
      <c r="HS8" s="109"/>
      <c r="HT8" s="109"/>
      <c r="HU8" s="109"/>
      <c r="HV8" s="109"/>
      <c r="HW8" s="109"/>
      <c r="HX8" s="109"/>
      <c r="HY8" s="109"/>
      <c r="HZ8" s="109"/>
      <c r="IA8" s="109"/>
      <c r="IB8" s="109"/>
    </row>
    <row r="9" spans="1:237" ht="1.5" customHeight="1" x14ac:dyDescent="0.35">
      <c r="FJ9" s="110" t="s">
        <v>187</v>
      </c>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09"/>
      <c r="HN9" s="109"/>
      <c r="HO9" s="109"/>
      <c r="HP9" s="109"/>
      <c r="HQ9" s="109"/>
      <c r="HR9" s="109"/>
      <c r="HS9" s="109"/>
      <c r="HT9" s="109"/>
      <c r="HU9" s="109"/>
      <c r="HV9" s="109"/>
      <c r="HW9" s="109"/>
      <c r="HX9" s="109"/>
      <c r="HY9" s="109"/>
      <c r="HZ9" s="109"/>
      <c r="IA9" s="109"/>
      <c r="IB9" s="109"/>
    </row>
    <row r="10" spans="1:237" ht="10.5" customHeight="1" x14ac:dyDescent="0.35">
      <c r="A10" s="104" t="s">
        <v>188</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t="s">
        <v>189</v>
      </c>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c r="CI10" s="104"/>
      <c r="CJ10" s="104"/>
      <c r="CK10" s="104"/>
      <c r="CL10" s="104"/>
      <c r="CM10" s="104"/>
      <c r="CN10" s="104"/>
      <c r="CO10" s="104"/>
      <c r="CP10" s="104"/>
      <c r="CQ10" s="104"/>
      <c r="CR10" s="104"/>
      <c r="CS10" s="104"/>
      <c r="CT10" s="104"/>
      <c r="CU10" s="104"/>
      <c r="CV10" s="104"/>
      <c r="CW10" s="104"/>
      <c r="CX10" s="104"/>
      <c r="CY10" s="104"/>
      <c r="CZ10" s="104"/>
      <c r="DA10" s="104"/>
      <c r="DB10" s="104"/>
      <c r="DC10" s="104"/>
      <c r="DD10" s="104"/>
      <c r="DE10" s="104"/>
      <c r="DF10" s="104"/>
      <c r="DG10" s="104" t="s">
        <v>190</v>
      </c>
      <c r="DH10" s="104"/>
      <c r="DI10" s="104"/>
      <c r="DJ10" s="104"/>
      <c r="DK10" s="104"/>
      <c r="DL10" s="104"/>
      <c r="DM10" s="104"/>
      <c r="DN10" s="104"/>
      <c r="DO10" s="104"/>
      <c r="DP10" s="104"/>
      <c r="DQ10" s="104"/>
      <c r="DR10" s="104"/>
      <c r="DS10" s="104"/>
      <c r="DT10" s="104"/>
      <c r="DU10" s="104"/>
      <c r="DV10" s="104"/>
      <c r="DW10" s="104"/>
      <c r="DX10" s="104"/>
      <c r="DY10" s="104"/>
      <c r="DZ10" s="104"/>
      <c r="EA10" s="104"/>
      <c r="EB10" s="104"/>
      <c r="EC10" s="104"/>
      <c r="ED10" s="104"/>
      <c r="EE10" s="104"/>
      <c r="EF10" s="104"/>
      <c r="EG10" s="104"/>
      <c r="EH10" s="104"/>
      <c r="EI10" s="104"/>
      <c r="EJ10" s="104"/>
      <c r="EK10" s="104"/>
      <c r="EL10" s="104"/>
      <c r="EM10" s="104"/>
      <c r="EN10" s="104"/>
      <c r="EO10" s="104"/>
      <c r="EP10" s="104"/>
      <c r="EQ10" s="104"/>
      <c r="ER10" s="104"/>
      <c r="ES10" s="104"/>
      <c r="ET10" s="104"/>
      <c r="EU10" s="104"/>
      <c r="EV10" s="104"/>
      <c r="EW10" s="104"/>
      <c r="EX10" s="104"/>
      <c r="EY10" s="104"/>
      <c r="EZ10" s="104"/>
      <c r="FA10" s="104"/>
      <c r="FB10" s="104"/>
      <c r="FC10" s="104"/>
      <c r="FD10" s="104"/>
      <c r="FE10" s="104"/>
      <c r="FF10" s="104"/>
      <c r="FG10" s="104"/>
      <c r="FH10" s="104"/>
      <c r="FI10" s="104"/>
      <c r="FJ10" s="104" t="s">
        <v>187</v>
      </c>
      <c r="FK10" s="104"/>
      <c r="FL10" s="104"/>
      <c r="FM10" s="104"/>
      <c r="FN10" s="104"/>
      <c r="FO10" s="104"/>
      <c r="FP10" s="104"/>
      <c r="FQ10" s="104"/>
      <c r="FR10" s="104"/>
      <c r="FS10" s="104"/>
      <c r="FT10" s="104"/>
      <c r="FU10" s="104"/>
      <c r="FV10" s="104"/>
      <c r="FW10" s="104"/>
      <c r="FX10" s="104"/>
      <c r="FY10" s="104"/>
      <c r="FZ10" s="104"/>
      <c r="GA10" s="104"/>
      <c r="GB10" s="104"/>
      <c r="GC10" s="104"/>
      <c r="GD10" s="104"/>
      <c r="GE10" s="104"/>
      <c r="GF10" s="104"/>
      <c r="GG10" s="104"/>
      <c r="GH10" s="104"/>
      <c r="GI10" s="104"/>
      <c r="GJ10" s="104"/>
      <c r="GK10" s="104"/>
      <c r="GL10" s="104"/>
      <c r="GM10" s="104"/>
      <c r="GN10" s="104"/>
      <c r="GO10" s="104"/>
      <c r="GP10" s="104"/>
      <c r="GQ10" s="104"/>
      <c r="GR10" s="104"/>
      <c r="GS10" s="104"/>
      <c r="GT10" s="104"/>
      <c r="GU10" s="104"/>
      <c r="GV10" s="104"/>
      <c r="GW10" s="104"/>
      <c r="GX10" s="104"/>
      <c r="GY10" s="104"/>
      <c r="GZ10" s="104"/>
      <c r="HA10" s="104"/>
      <c r="HB10" s="104"/>
      <c r="HC10" s="104"/>
      <c r="HD10" s="104"/>
      <c r="HE10" s="104"/>
      <c r="HF10" s="104"/>
      <c r="HG10" s="104"/>
      <c r="HH10" s="104"/>
      <c r="HI10" s="104"/>
      <c r="HJ10" s="104"/>
      <c r="HK10" s="104"/>
      <c r="HL10" s="104"/>
      <c r="HM10" s="111" t="s">
        <v>191</v>
      </c>
      <c r="HN10" s="111"/>
      <c r="HO10" s="111"/>
      <c r="HP10" s="111"/>
      <c r="HQ10" s="111"/>
      <c r="HR10" s="111"/>
      <c r="HS10" s="111"/>
      <c r="HT10" s="111"/>
      <c r="HU10" s="111"/>
      <c r="HV10" s="111"/>
      <c r="HW10" s="111"/>
      <c r="HX10" s="111"/>
      <c r="HY10" s="111"/>
      <c r="HZ10" s="111"/>
      <c r="IA10" s="111"/>
      <c r="IB10" s="111"/>
    </row>
    <row r="11" spans="1:237" ht="15.75" customHeight="1" x14ac:dyDescent="0.35">
      <c r="A11" s="61" t="str">
        <f>IFERROR(IF(INDEX('Novice 15M - Teams'!$L:$L,MATCH(8,'Novice 15M - Teams'!$A:$A,0))="Yes","BYE",IF(OR(INDEX('Novice 15M - Teams'!$B:$B,MATCH(8,'Novice 15M - Teams'!$A:$A,0))="",ISERROR(MATCH(8,'Novice 15M - Teams'!$A:$A,0))),"BYE","#8")),"BYE")</f>
        <v>BYE</v>
      </c>
      <c r="B11" s="106" t="str">
        <f>IFERROR(IF(INDEX('Novice 15M - Teams'!$L:$L,MATCH(8,'Novice 15M - Teams'!$A:$A,0))="Yes","",IF(INDEX('Novice 15M - Teams'!$N:$N,MATCH(8,'Novice 15M - Teams'!$A:$A,0))&lt;&gt;"",INDEX('Novice 15M - Teams'!$N:$N,MATCH(8,'Novice 15M - Teams'!$A:$A,0)),IF(INDEX('Novice 15M - Teams'!$B:$B,MATCH(8,'Novice 15M - Teams'!$A:$A,0))="","",INDEX('Novice 15M - Teams'!$B:$B,MATCH(8,'Novice 15M - Teams'!$A:$A,0))))),"")</f>
        <v/>
      </c>
      <c r="C11" s="106"/>
      <c r="D11" s="106"/>
      <c r="E11" s="107" t="str">
        <f>IF(OR(A11="BYE",BA11="&gt;&gt; Advance"),"",IF((B2-A2+1)&gt;=8,(A2+MOD(INT((SUMPRODUCT(IF(A6&lt;&gt;"BYE",IF(A6&lt;&gt;"",IF(BA6&lt;&gt;"&gt;&gt; Advance",1,0),0),0)+IF(A8&lt;&gt;"BYE",IF(A8&lt;&gt;"",IF(BA8&lt;&gt;"&gt;&gt; Advance",1,0),0),0)+IF(A11&lt;&gt;"BYE",IF(A11&lt;&gt;"",IF(BA11&lt;&gt;"&gt;&gt; Advance",1,0),0),0))-1)/2),(B2-A2+1)))&amp;IF((MOD(SUMPRODUCT(IF(A6&lt;&gt;"BYE",IF(A6&lt;&gt;"",IF(BA6&lt;&gt;"&gt;&gt; Advance",1,0),0),0)+IF(A8&lt;&gt;"BYE",IF(A8&lt;&gt;"",IF(BA8&lt;&gt;"&gt;&gt; Advance",1,0),0),0)+IF(A11&lt;&gt;"BYE",IF(A11&lt;&gt;"",IF(BA11&lt;&gt;"&gt;&gt; Advance",1,0),0),0))-1,2)=0)," L"," R"),(A2+MOD(INT((SUMPRODUCT(IF(A6&lt;&gt;"BYE",IF(A6&lt;&gt;"",IF(BA6&lt;&gt;"&gt;&gt; Advance",1,0),0),0)+IF(A8&lt;&gt;"BYE",IF(A8&lt;&gt;"",IF(BA8&lt;&gt;"&gt;&gt; Advance",1,0),0),0)+IF(A11&lt;&gt;"BYE",IF(A11&lt;&gt;"",IF(BA11&lt;&gt;"&gt;&gt; Advance",1,0),0),0))-1)/2),(B2-A2+1)))&amp;CHAR(65+FLOOR(INT((SUMPRODUCT(IF(A6&lt;&gt;"BYE",IF(A6&lt;&gt;"",IF(BA6&lt;&gt;"&gt;&gt; Advance",1,0),0),0)+IF(A8&lt;&gt;"BYE",IF(A8&lt;&gt;"",IF(BA8&lt;&gt;"&gt;&gt; Advance",1,0),0),0)+IF(A11&lt;&gt;"BYE",IF(A11&lt;&gt;"",IF(BA11&lt;&gt;"&gt;&gt; Advance",1,0),0),0))-1)/2)/(B2-A2+1),1)*2+MOD(SUMPRODUCT(IF(A6&lt;&gt;"BYE",IF(A6&lt;&gt;"",IF(BA6&lt;&gt;"&gt;&gt; Advance",1,0),0),0)+IF(A8&lt;&gt;"BYE",IF(A8&lt;&gt;"",IF(BA8&lt;&gt;"&gt;&gt; Advance",1,0),0),0)+IF(A11&lt;&gt;"BYE",IF(A11&lt;&gt;"",IF(BA11&lt;&gt;"&gt;&gt; Advance",1,0),0),0))-1,2))&amp;IF((MOD(SUMPRODUCT(IF(A6&lt;&gt;"BYE",IF(A6&lt;&gt;"",IF(BA6&lt;&gt;"&gt;&gt; Advance",1,0),0),0)+IF(A8&lt;&gt;"BYE",IF(A8&lt;&gt;"",IF(BA8&lt;&gt;"&gt;&gt; Advance",1,0),0),0)+IF(A11&lt;&gt;"BYE",IF(A11&lt;&gt;"",IF(BA11&lt;&gt;"&gt;&gt; Advance",1,0),0),0))-1,2)=0)," (L)"," (R)")))</f>
        <v/>
      </c>
      <c r="F11" s="107"/>
      <c r="G11" s="107"/>
      <c r="H11" s="62"/>
      <c r="I11" s="62"/>
      <c r="J11" s="62"/>
      <c r="K11" s="62"/>
      <c r="L11" s="62"/>
      <c r="M11" s="62"/>
      <c r="N11" s="63" t="str">
        <f>IF(OR(ISNUMBER(H11),ISNUMBER(I11),ISNUMBER(J11),ISNUMBER(K11),ISNUMBER(L11),ISNUMBER(M11),H11="X",I11="X",J11="X",K11="X",L11="X",M11="X",H11="M",I11="M",J11="M",K11="M",L11="M",M11="M"),IF(H11="X",10,IF(H11="M",0,IF(ISNUMBER(H11),H11,0))) + IF(I11="X",10,IF(I11="M",0,IF(ISNUMBER(I11),I11,0))) + IF(J11="X",10,IF(J11="M",0,IF(ISNUMBER(J11),J11,0))) + IF(K11="X",10,IF(K11="M",0,IF(ISNUMBER(K11),K11,0))) + IF(L11="X",10,IF(L11="M",0,IF(ISNUMBER(L11),L11,0))) + IF(M11="X",10,IF(M11="M",0,IF(ISNUMBER(M11),M11,0))),"")</f>
        <v/>
      </c>
      <c r="O11" s="62"/>
      <c r="P11" s="62"/>
      <c r="Q11" s="62"/>
      <c r="R11" s="62"/>
      <c r="S11" s="62"/>
      <c r="T11" s="62"/>
      <c r="U11" s="63" t="str">
        <f>IF(OR(ISNUMBER(O11),ISNUMBER(P11),ISNUMBER(Q11),ISNUMBER(R11),ISNUMBER(S11),ISNUMBER(T11),O11="X",P11="X",Q11="X",R11="X",S11="X",T11="X",O11="M",P11="M",Q11="M",R11="M",S11="M",T11="M"),IF(O11="X",10,IF(O11="M",0,IF(ISNUMBER(O11),O11,0))) + IF(P11="X",10,IF(P11="M",0,IF(ISNUMBER(P11),P11,0))) + IF(Q11="X",10,IF(Q11="M",0,IF(ISNUMBER(Q11),Q11,0))) + IF(R11="X",10,IF(R11="M",0,IF(ISNUMBER(R11),R11,0))) + IF(S11="X",10,IF(S11="M",0,IF(ISNUMBER(S11),S11,0))) + IF(T11="X",10,IF(T11="M",0,IF(ISNUMBER(T11),T11,0))),"")</f>
        <v/>
      </c>
      <c r="V11" s="62"/>
      <c r="W11" s="62"/>
      <c r="X11" s="62"/>
      <c r="Y11" s="62"/>
      <c r="Z11" s="62"/>
      <c r="AA11" s="62"/>
      <c r="AB11" s="63" t="str">
        <f>IF(OR(ISNUMBER(V11),ISNUMBER(W11),ISNUMBER(X11),ISNUMBER(Y11),ISNUMBER(Z11),ISNUMBER(AA11),V11="X",W11="X",X11="X",Y11="X",Z11="X",AA11="X",V11="M",W11="M",X11="M",Y11="M",Z11="M",AA11="M"),IF(V11="X",10,IF(V11="M",0,IF(ISNUMBER(V11),V11,0))) + IF(W11="X",10,IF(W11="M",0,IF(ISNUMBER(W11),W11,0))) + IF(X11="X",10,IF(X11="M",0,IF(ISNUMBER(X11),X11,0))) + IF(Y11="X",10,IF(Y11="M",0,IF(ISNUMBER(Y11),Y11,0))) + IF(Z11="X",10,IF(Z11="M",0,IF(ISNUMBER(Z11),Z11,0))) + IF(AA11="X",10,IF(AA11="M",0,IF(ISNUMBER(AA11),AA11,0))),"")</f>
        <v/>
      </c>
      <c r="AC11" s="62"/>
      <c r="AD11" s="62"/>
      <c r="AE11" s="62"/>
      <c r="AF11" s="62"/>
      <c r="AG11" s="62"/>
      <c r="AH11" s="62"/>
      <c r="AI11" s="63" t="str">
        <f>IF(OR(ISNUMBER(AC11),ISNUMBER(AD11),ISNUMBER(AE11),ISNUMBER(AF11),ISNUMBER(AG11),ISNUMBER(AH11),AC11="X",AD11="X",AE11="X",AF11="X",AG11="X",AH11="X",AC11="M",AD11="M",AE11="M",AF11="M",AG11="M",AH11="M"),IF(AC11="X",10,IF(AC11="M",0,IF(ISNUMBER(AC11),AC11,0))) + IF(AD11="X",10,IF(AD11="M",0,IF(ISNUMBER(AD11),AD11,0))) + IF(AE11="X",10,IF(AE11="M",0,IF(ISNUMBER(AE11),AE11,0))) + IF(AF11="X",10,IF(AF11="M",0,IF(ISNUMBER(AF11),AF11,0))) + IF(AG11="X",10,IF(AG11="M",0,IF(ISNUMBER(AG11),AG11,0))) + IF(AH11="X",10,IF(AH11="M",0,IF(ISNUMBER(AH11),AH11,0))),"")</f>
        <v/>
      </c>
      <c r="AJ11" s="62"/>
      <c r="AK11" s="62"/>
      <c r="AL11" s="62"/>
      <c r="AM11" s="62"/>
      <c r="AN11" s="62"/>
      <c r="AO11" s="62"/>
      <c r="AP11" s="63" t="str">
        <f>IF(OR(ISNUMBER(AJ11),ISNUMBER(AK11),ISNUMBER(AL11),ISNUMBER(AM11),ISNUMBER(AN11),ISNUMBER(AO11),AJ11="X",AK11="X",AL11="X",AM11="X",AN11="X",AO11="X",AJ11="M",AK11="M",AL11="M",AM11="M",AN11="M",AO11="M"),IF(AJ11="X",10,IF(AJ11="M",0,IF(ISNUMBER(AJ11),AJ11,0))) + IF(AK11="X",10,IF(AK11="M",0,IF(ISNUMBER(AK11),AK11,0))) + IF(AL11="X",10,IF(AL11="M",0,IF(ISNUMBER(AL11),AL11,0))) + IF(AM11="X",10,IF(AM11="M",0,IF(ISNUMBER(AM11),AM11,0))) + IF(AN11="X",10,IF(AN11="M",0,IF(ISNUMBER(AN11),AN11,0))) + IF(AO11="X",10,IF(AO11="M",0,IF(ISNUMBER(AO11),AO11,0))),"")</f>
        <v/>
      </c>
      <c r="AQ11" s="64"/>
      <c r="AR11" s="64"/>
      <c r="AS11" s="64"/>
      <c r="AT11" s="64"/>
      <c r="AU11" s="64"/>
      <c r="AV11" s="64"/>
      <c r="AW11" s="63" t="str">
        <f>IF(OR(ISNUMBER(AQ11),ISNUMBER(AR11),ISNUMBER(AS11),ISNUMBER(AT11),ISNUMBER(AU11),ISNUMBER(AV11),AQ11="X",AR11="X",AS11="X",AT11="X",AU11="X",AV11="X",AQ11="M",AR11="M",AS11="M",AT11="M",AU11="M",AV11="M"),IF(AQ11="X",10,IF(AQ11="M",0,IF(ISNUMBER(AQ11),AQ11,0))) + IF(AR11="X",10,IF(AR11="M",0,IF(ISNUMBER(AR11),AR11,0))) + IF(AS11="X",10,IF(AS11="M",0,IF(ISNUMBER(AS11),AS11,0))) + IF(AT11="X",10,IF(AT11="M",0,IF(ISNUMBER(AT11),AT11,0))) + IF(AU11="X",10,IF(AU11="M",0,IF(ISNUMBER(AU11),AU11,0))) + IF(AV11="X",10,IF(AV11="M",0,IF(ISNUMBER(AV11),AV11,0))),"")</f>
        <v/>
      </c>
      <c r="AX11" s="65">
        <f>IF(AND(ISNUMBER(N11),ISNUMBER(N13)),IF(N11&gt;N13,2,IF(N11=N13,1,0)),0)+IF(AND(ISNUMBER(U11),ISNUMBER(U13)),IF(U11&gt;U13,2,IF(U11=U13,1,0)),0)+IF(AND(ISNUMBER(AB11),ISNUMBER(AB13)),IF(AB11&gt;AB13,2,IF(AB11=AB13,1,0)),0)+IF(AND(ISNUMBER(AI11),ISNUMBER(AI13)),IF(AI11&gt;AI13,2,IF(AI11=AI13,1,0)),0)+IF(AND(ISNUMBER(AP11),ISNUMBER(AP13)),IF(AP11&gt;AP13,2,IF(AP11=AP13,1,0)),0)</f>
        <v>0</v>
      </c>
      <c r="AY11" s="66"/>
      <c r="AZ11" s="67">
        <f>IF(AX11&gt;0,IF(H11="X",10,IF(H11="M",0,IF(ISNUMBER(H11),H11,0)))+IF(I11="X",10,IF(I11="M",0,IF(ISNUMBER(I11),I11,0)))+IF(J11="X",10,IF(J11="M",0,IF(ISNUMBER(J11),J11,0)))+IF(K11="X",10,IF(K11="M",0,IF(ISNUMBER(K11),K11,0)))+IF(L11="X",10,IF(L11="M",0,IF(ISNUMBER(L11),L11,0)))+IF(M11="X",10,IF(M11="M",0,IF(ISNUMBER(M11),M11,0)))+IF(O11="X",10,IF(O11="M",0,IF(ISNUMBER(O11),O11,0)))+IF(P11="X",10,IF(P11="M",0,IF(ISNUMBER(P11),P11,0)))+IF(Q11="X",10,IF(Q11="M",0,IF(ISNUMBER(Q11),Q11,0)))+IF(R11="X",10,IF(R11="M",0,IF(ISNUMBER(R11),R11,0)))+IF(S11="X",10,IF(S11="M",0,IF(ISNUMBER(S11),S11,0)))+IF(T11="X",10,IF(T11="M",0,IF(ISNUMBER(T11),T11,0)))+IF(V11="X",10,IF(V11="M",0,IF(ISNUMBER(V11),V11,0)))+IF(W11="X",10,IF(W11="M",0,IF(ISNUMBER(W11),W11,0)))+IF(X11="X",10,IF(X11="M",0,IF(ISNUMBER(X11),X11,0)))+IF(Y11="X",10,IF(Y11="M",0,IF(ISNUMBER(Y11),Y11,0)))+IF(Z11="X",10,IF(Z11="M",0,IF(ISNUMBER(Z11),Z11,0)))+IF(AA11="X",10,IF(AA11="M",0,IF(ISNUMBER(AA11),AA11,0)))+IF(AC11="X",10,IF(AC11="M",0,IF(ISNUMBER(AC11),AC11,0)))+IF(AD11="X",10,IF(AD11="M",0,IF(ISNUMBER(AD11),AD11,0)))+IF(AE11="X",10,IF(AE11="M",0,IF(ISNUMBER(AE11),AE11,0)))+IF(AF11="X",10,IF(AF11="M",0,IF(ISNUMBER(AF11),AF11,0)))+IF(AG11="X",10,IF(AG11="M",0,IF(ISNUMBER(AG11),AG11,0)))+IF(AH11="X",10,IF(AH11="M",0,IF(ISNUMBER(AH11),AH11,0)))+IF(AJ11="X",10,IF(AJ11="M",0,IF(ISNUMBER(AJ11),AJ11,0)))+IF(AK11="X",10,IF(AK11="M",0,IF(ISNUMBER(AK11),AK11,0)))+IF(AL11="X",10,IF(AL11="M",0,IF(ISNUMBER(AL11),AL11,0)))+IF(AM11="X",10,IF(AM11="M",0,IF(ISNUMBER(AM11),AM11,0)))+IF(AN11="X",10,IF(AN11="M",0,IF(ISNUMBER(AN11),AN11,0)))+IF(AO11="X",10,IF(AO11="M",0,IF(ISNUMBER(AO11),AO11,0)))+IF(AQ11="X",10,IF(AQ11="M",0,IF(ISNUMBER(AQ11),AQ11,0)))+IF(AR11="X",10,IF(AR11="M",0,IF(ISNUMBER(AR11),AR11,0)))+IF(AS11="X",10,IF(AS11="M",0,IF(ISNUMBER(AS11),AS11,0)))+IF(AT11="X",10,IF(AT11="M",0,IF(ISNUMBER(AT11),AT11,0)))+IF(AU11="X",10,IF(AU11="M",0,IF(ISNUMBER(AU11),AU11,0)))+IF(AV11="X",10,IF(AV11="M",0,IF(ISNUMBER(AV11),AV11,0))),0)</f>
        <v>0</v>
      </c>
      <c r="BA11" s="68" t="str">
        <f>IFERROR(IF(AY11="DQ","DISQUALIFIED",IF(AY13="DQ","&gt;&gt; Advance",IF(BC13="BYE","&gt;&gt; Advance",IF(BC11="BYE","BYE",IF(AX11&gt;=6,"WIN",IF(AX13&gt;=6,"LOSS",IF(AND(ISNUMBER(AW11),ISNUMBER(AW13)),IF(AW11&gt;AW13,"WIN",IF(AW11&lt;AW13,"LOSS","Shoot-Off")),"Playing"))))))),"Error")</f>
        <v>&gt;&gt; Advance</v>
      </c>
      <c r="BC11" s="69" t="str">
        <f>IFERROR(IF(INDEX('Novice 15M - Teams'!$L:$L,MATCH(8,'Novice 15M - Teams'!$A:$A,0))="Yes","BYE",IF(OR(INDEX('Novice 15M - Teams'!$B:$B,MATCH(8,'Novice 15M - Teams'!$A:$A,0))="",ISERROR(MATCH(8,'Novice 15M - Teams'!$A:$A,0))),"BYE","")),"BYE")</f>
        <v>BYE</v>
      </c>
      <c r="BD11" s="61" t="s">
        <v>192</v>
      </c>
      <c r="BE11" s="106" t="str">
        <f>IFERROR(IF(BC16="BYE",IF(BC18="BYE","TBD",B18),IF(BC18="BYE",B16,IF(OR(BA16="WIN",BA16="&gt;&gt; Advance"),B16,IF(OR(BA18="WIN",BA18="&gt;&gt; Advance"),B18,"TBD")))),"TBD")</f>
        <v>TBD</v>
      </c>
      <c r="BF11" s="106"/>
      <c r="BG11" s="106"/>
      <c r="BH11" s="107" t="str">
        <f>IF(AND(BE11&lt;&gt;"TBD",BE11&lt;&gt;"",BE13&lt;&gt;"TBD",BE13&lt;&gt;"",DD11&lt;&gt;"&gt;&gt; Advance",DD13&lt;&gt;"&gt;&gt; Advance"),IF((B2-A2+1)&gt;=8,(A2+2)&amp;"",IF((B2-A2+1)&gt;=4,(A2+1)&amp;" L",(A2+MOD(1,(B2-A2+1)))&amp;CHAR(65+FLOOR(1/(B2-A2+1),1)*2)&amp;" (L)")),"")</f>
        <v/>
      </c>
      <c r="BI11" s="107"/>
      <c r="BJ11" s="107"/>
      <c r="BK11" s="62"/>
      <c r="BL11" s="62"/>
      <c r="BM11" s="62"/>
      <c r="BN11" s="62"/>
      <c r="BO11" s="62"/>
      <c r="BP11" s="62"/>
      <c r="BQ11" s="63" t="str">
        <f>IF(OR(ISNUMBER(BK11),ISNUMBER(BL11),ISNUMBER(BM11),ISNUMBER(BN11),ISNUMBER(BO11),ISNUMBER(BP11),BK11="X",BL11="X",BM11="X",BN11="X",BO11="X",BP11="X",BK11="M",BL11="M",BM11="M",BN11="M",BO11="M",BP11="M"),IF(BK11="X",10,IF(BK11="M",0,IF(ISNUMBER(BK11),BK11,0))) + IF(BL11="X",10,IF(BL11="M",0,IF(ISNUMBER(BL11),BL11,0))) + IF(BM11="X",10,IF(BM11="M",0,IF(ISNUMBER(BM11),BM11,0))) + IF(BN11="X",10,IF(BN11="M",0,IF(ISNUMBER(BN11),BN11,0))) + IF(BO11="X",10,IF(BO11="M",0,IF(ISNUMBER(BO11),BO11,0))) + IF(BP11="X",10,IF(BP11="M",0,IF(ISNUMBER(BP11),BP11,0))),"")</f>
        <v/>
      </c>
      <c r="BR11" s="62"/>
      <c r="BS11" s="62"/>
      <c r="BT11" s="62"/>
      <c r="BU11" s="62"/>
      <c r="BV11" s="62"/>
      <c r="BW11" s="62"/>
      <c r="BX11" s="63" t="str">
        <f>IF(OR(ISNUMBER(BR11),ISNUMBER(BS11),ISNUMBER(BT11),ISNUMBER(BU11),ISNUMBER(BV11),ISNUMBER(BW11),BR11="X",BS11="X",BT11="X",BU11="X",BV11="X",BW11="X",BR11="M",BS11="M",BT11="M",BU11="M",BV11="M",BW11="M"),IF(BR11="X",10,IF(BR11="M",0,IF(ISNUMBER(BR11),BR11,0))) + IF(BS11="X",10,IF(BS11="M",0,IF(ISNUMBER(BS11),BS11,0))) + IF(BT11="X",10,IF(BT11="M",0,IF(ISNUMBER(BT11),BT11,0))) + IF(BU11="X",10,IF(BU11="M",0,IF(ISNUMBER(BU11),BU11,0))) + IF(BV11="X",10,IF(BV11="M",0,IF(ISNUMBER(BV11),BV11,0))) + IF(BW11="X",10,IF(BW11="M",0,IF(ISNUMBER(BW11),BW11,0))),"")</f>
        <v/>
      </c>
      <c r="BY11" s="62"/>
      <c r="BZ11" s="62"/>
      <c r="CA11" s="62"/>
      <c r="CB11" s="62"/>
      <c r="CC11" s="62"/>
      <c r="CD11" s="62"/>
      <c r="CE11" s="63" t="str">
        <f>IF(OR(ISNUMBER(BY11),ISNUMBER(BZ11),ISNUMBER(CA11),ISNUMBER(CB11),ISNUMBER(CC11),ISNUMBER(CD11),BY11="X",BZ11="X",CA11="X",CB11="X",CC11="X",CD11="X",BY11="M",BZ11="M",CA11="M",CB11="M",CC11="M",CD11="M"),IF(BY11="X",10,IF(BY11="M",0,IF(ISNUMBER(BY11),BY11,0))) + IF(BZ11="X",10,IF(BZ11="M",0,IF(ISNUMBER(BZ11),BZ11,0))) + IF(CA11="X",10,IF(CA11="M",0,IF(ISNUMBER(CA11),CA11,0))) + IF(CB11="X",10,IF(CB11="M",0,IF(ISNUMBER(CB11),CB11,0))) + IF(CC11="X",10,IF(CC11="M",0,IF(ISNUMBER(CC11),CC11,0))) + IF(CD11="X",10,IF(CD11="M",0,IF(ISNUMBER(CD11),CD11,0))),"")</f>
        <v/>
      </c>
      <c r="CF11" s="62"/>
      <c r="CG11" s="62"/>
      <c r="CH11" s="62"/>
      <c r="CI11" s="62"/>
      <c r="CJ11" s="62"/>
      <c r="CK11" s="62"/>
      <c r="CL11" s="63" t="str">
        <f>IF(OR(ISNUMBER(CF11),ISNUMBER(CG11),ISNUMBER(CH11),ISNUMBER(CI11),ISNUMBER(CJ11),ISNUMBER(CK11),CF11="X",CG11="X",CH11="X",CI11="X",CJ11="X",CK11="X",CF11="M",CG11="M",CH11="M",CI11="M",CJ11="M",CK11="M"),IF(CF11="X",10,IF(CF11="M",0,IF(ISNUMBER(CF11),CF11,0))) + IF(CG11="X",10,IF(CG11="M",0,IF(ISNUMBER(CG11),CG11,0))) + IF(CH11="X",10,IF(CH11="M",0,IF(ISNUMBER(CH11),CH11,0))) + IF(CI11="X",10,IF(CI11="M",0,IF(ISNUMBER(CI11),CI11,0))) + IF(CJ11="X",10,IF(CJ11="M",0,IF(ISNUMBER(CJ11),CJ11,0))) + IF(CK11="X",10,IF(CK11="M",0,IF(ISNUMBER(CK11),CK11,0))),"")</f>
        <v/>
      </c>
      <c r="CM11" s="62"/>
      <c r="CN11" s="62"/>
      <c r="CO11" s="62"/>
      <c r="CP11" s="62"/>
      <c r="CQ11" s="62"/>
      <c r="CR11" s="62"/>
      <c r="CS11" s="63" t="str">
        <f>IF(OR(ISNUMBER(CM11),ISNUMBER(CN11),ISNUMBER(CO11),ISNUMBER(CP11),ISNUMBER(CQ11),ISNUMBER(CR11),CM11="X",CN11="X",CO11="X",CP11="X",CQ11="X",CR11="X",CM11="M",CN11="M",CO11="M",CP11="M",CQ11="M",CR11="M"),IF(CM11="X",10,IF(CM11="M",0,IF(ISNUMBER(CM11),CM11,0))) + IF(CN11="X",10,IF(CN11="M",0,IF(ISNUMBER(CN11),CN11,0))) + IF(CO11="X",10,IF(CO11="M",0,IF(ISNUMBER(CO11),CO11,0))) + IF(CP11="X",10,IF(CP11="M",0,IF(ISNUMBER(CP11),CP11,0))) + IF(CQ11="X",10,IF(CQ11="M",0,IF(ISNUMBER(CQ11),CQ11,0))) + IF(CR11="X",10,IF(CR11="M",0,IF(ISNUMBER(CR11),CR11,0))),"")</f>
        <v/>
      </c>
      <c r="CT11" s="64"/>
      <c r="CU11" s="64"/>
      <c r="CV11" s="64"/>
      <c r="CW11" s="64"/>
      <c r="CX11" s="64"/>
      <c r="CY11" s="64"/>
      <c r="CZ11" s="63" t="str">
        <f>IF(OR(ISNUMBER(CT11),ISNUMBER(CU11),ISNUMBER(CV11),ISNUMBER(CW11),ISNUMBER(CX11),ISNUMBER(CY11),CT11="X",CU11="X",CV11="X",CW11="X",CX11="X",CY11="X",CT11="M",CU11="M",CV11="M",CW11="M",CX11="M",CY11="M"),IF(CT11="X",10,IF(CT11="M",0,IF(ISNUMBER(CT11),CT11,0))) + IF(CU11="X",10,IF(CU11="M",0,IF(ISNUMBER(CU11),CU11,0))) + IF(CV11="X",10,IF(CV11="M",0,IF(ISNUMBER(CV11),CV11,0))) + IF(CW11="X",10,IF(CW11="M",0,IF(ISNUMBER(CW11),CW11,0))) + IF(CX11="X",10,IF(CX11="M",0,IF(ISNUMBER(CX11),CX11,0))) + IF(CY11="X",10,IF(CY11="M",0,IF(ISNUMBER(CY11),CY11,0))),"")</f>
        <v/>
      </c>
      <c r="DA11" s="65">
        <f>IF(AND(ISNUMBER(BQ11),ISNUMBER(BQ13)),IF(BQ11&gt;BQ13,2,IF(BQ11=BQ13,1,0)),0)+IF(AND(ISNUMBER(BX11),ISNUMBER(BX13)),IF(BX11&gt;BX13,2,IF(BX11=BX13,1,0)),0)+IF(AND(ISNUMBER(CE11),ISNUMBER(CE13)),IF(CE11&gt;CE13,2,IF(CE11=CE13,1,0)),0)+IF(AND(ISNUMBER(CL11),ISNUMBER(CL13)),IF(CL11&gt;CL13,2,IF(CL11=CL13,1,0)),0)+IF(AND(ISNUMBER(CS11),ISNUMBER(CS13)),IF(CS11&gt;CS13,2,IF(CS11=CS13,1,0)),0)</f>
        <v>0</v>
      </c>
      <c r="DB11" s="66"/>
      <c r="DC11" s="67">
        <f>IF(DA11&gt;0,IF(BK11="X",10,IF(BK11="M",0,IF(ISNUMBER(BK11),BK11,0)))+IF(BL11="X",10,IF(BL11="M",0,IF(ISNUMBER(BL11),BL11,0)))+IF(BM11="X",10,IF(BM11="M",0,IF(ISNUMBER(BM11),BM11,0)))+IF(BN11="X",10,IF(BN11="M",0,IF(ISNUMBER(BN11),BN11,0)))+IF(BO11="X",10,IF(BO11="M",0,IF(ISNUMBER(BO11),BO11,0)))+IF(BP11="X",10,IF(BP11="M",0,IF(ISNUMBER(BP11),BP11,0)))+IF(BR11="X",10,IF(BR11="M",0,IF(ISNUMBER(BR11),BR11,0)))+IF(BS11="X",10,IF(BS11="M",0,IF(ISNUMBER(BS11),BS11,0)))+IF(BT11="X",10,IF(BT11="M",0,IF(ISNUMBER(BT11),BT11,0)))+IF(BU11="X",10,IF(BU11="M",0,IF(ISNUMBER(BU11),BU11,0)))+IF(BV11="X",10,IF(BV11="M",0,IF(ISNUMBER(BV11),BV11,0)))+IF(BW11="X",10,IF(BW11="M",0,IF(ISNUMBER(BW11),BW11,0)))+IF(BY11="X",10,IF(BY11="M",0,IF(ISNUMBER(BY11),BY11,0)))+IF(BZ11="X",10,IF(BZ11="M",0,IF(ISNUMBER(BZ11),BZ11,0)))+IF(CA11="X",10,IF(CA11="M",0,IF(ISNUMBER(CA11),CA11,0)))+IF(CB11="X",10,IF(CB11="M",0,IF(ISNUMBER(CB11),CB11,0)))+IF(CC11="X",10,IF(CC11="M",0,IF(ISNUMBER(CC11),CC11,0)))+IF(CD11="X",10,IF(CD11="M",0,IF(ISNUMBER(CD11),CD11,0)))+IF(CF11="X",10,IF(CF11="M",0,IF(ISNUMBER(CF11),CF11,0)))+IF(CG11="X",10,IF(CG11="M",0,IF(ISNUMBER(CG11),CG11,0)))+IF(CH11="X",10,IF(CH11="M",0,IF(ISNUMBER(CH11),CH11,0)))+IF(CI11="X",10,IF(CI11="M",0,IF(ISNUMBER(CI11),CI11,0)))+IF(CJ11="X",10,IF(CJ11="M",0,IF(ISNUMBER(CJ11),CJ11,0)))+IF(CK11="X",10,IF(CK11="M",0,IF(ISNUMBER(CK11),CK11,0)))+IF(CM11="X",10,IF(CM11="M",0,IF(ISNUMBER(CM11),CM11,0)))+IF(CN11="X",10,IF(CN11="M",0,IF(ISNUMBER(CN11),CN11,0)))+IF(CO11="X",10,IF(CO11="M",0,IF(ISNUMBER(CO11),CO11,0)))+IF(CP11="X",10,IF(CP11="M",0,IF(ISNUMBER(CP11),CP11,0)))+IF(CQ11="X",10,IF(CQ11="M",0,IF(ISNUMBER(CQ11),CQ11,0)))+IF(CR11="X",10,IF(CR11="M",0,IF(ISNUMBER(CR11),CR11,0)))+IF(CT11="X",10,IF(CT11="M",0,IF(ISNUMBER(CT11),CT11,0)))+IF(CU11="X",10,IF(CU11="M",0,IF(ISNUMBER(CU11),CU11,0)))+IF(CV11="X",10,IF(CV11="M",0,IF(ISNUMBER(CV11),CV11,0)))+IF(CW11="X",10,IF(CW11="M",0,IF(ISNUMBER(CW11),CW11,0)))+IF(CX11="X",10,IF(CX11="M",0,IF(ISNUMBER(CX11),CX11,0)))+IF(CY11="X",10,IF(CY11="M",0,IF(ISNUMBER(CY11),CY11,0))),0)</f>
        <v>0</v>
      </c>
      <c r="DD11" s="68" t="str">
        <f>IFERROR(IF(DB11="DQ","DISQUALIFIED",IF(DB13="DQ","&gt;&gt; Advance",IF(DF13="BYE","&gt;&gt; Advance",IF(DF11="BYE","BYE",IF(DA11&gt;=6,"WIN",IF(DA13&gt;=6,"LOSS",IF(AND(ISNUMBER(CZ11),ISNUMBER(CZ13)),IF(CZ11&gt;CZ13,"WIN",IF(CZ11&lt;CZ13,"LOSS","Shoot-Off")),"Playing"))))))),"Error")</f>
        <v>&gt;&gt; Advance</v>
      </c>
      <c r="DF11" s="69" t="str">
        <f>IFERROR(IF(AND(BC16="BYE",BC18="BYE"),"BYE",""),"")</f>
        <v>BYE</v>
      </c>
      <c r="DG11" s="61" t="s">
        <v>193</v>
      </c>
      <c r="DH11" s="106" t="str">
        <f>IFERROR(IF(DF16="BYE",IF(DF18="BYE","TBD",BE18),IF(DF18="BYE",BE16,IF(OR(DD16="WIN",DD16="&gt;&gt; Advance"),BE16,IF(OR(DD18="WIN",DD18="&gt;&gt; Advance"),BE18,"TBD")))),"TBD")</f>
        <v>TBD</v>
      </c>
      <c r="DI11" s="106"/>
      <c r="DJ11" s="106"/>
      <c r="DK11" s="107" t="str">
        <f>IF(AND(DH11&lt;&gt;"TBD",DH11&lt;&gt;"",DH13&lt;&gt;"TBD",DH13&lt;&gt;"",FG11&lt;&gt;"&gt;&gt; Advance",FG13&lt;&gt;"&gt;&gt; Advance"),IF((B2-A2+1)&gt;=4,(A2+2)&amp;"",IF((B2-A2+1)&gt;=2,(A2+1)&amp;" L",(A2+MOD(1,(B2-A2+1)))&amp;CHAR(65+FLOOR(1/(B2-A2+1),1)*2)&amp;" (L)")),"")</f>
        <v/>
      </c>
      <c r="DL11" s="107"/>
      <c r="DM11" s="107"/>
      <c r="DN11" s="62"/>
      <c r="DO11" s="62"/>
      <c r="DP11" s="62"/>
      <c r="DQ11" s="62"/>
      <c r="DR11" s="62"/>
      <c r="DS11" s="62"/>
      <c r="DT11" s="63" t="str">
        <f>IF(OR(ISNUMBER(DN11),ISNUMBER(DO11),ISNUMBER(DP11),ISNUMBER(DQ11),ISNUMBER(DR11),ISNUMBER(DS11),DN11="X",DO11="X",DP11="X",DQ11="X",DR11="X",DS11="X",DN11="M",DO11="M",DP11="M",DQ11="M",DR11="M",DS11="M"),IF(DN11="X",10,IF(DN11="M",0,IF(ISNUMBER(DN11),DN11,0))) + IF(DO11="X",10,IF(DO11="M",0,IF(ISNUMBER(DO11),DO11,0))) + IF(DP11="X",10,IF(DP11="M",0,IF(ISNUMBER(DP11),DP11,0))) + IF(DQ11="X",10,IF(DQ11="M",0,IF(ISNUMBER(DQ11),DQ11,0))) + IF(DR11="X",10,IF(DR11="M",0,IF(ISNUMBER(DR11),DR11,0))) + IF(DS11="X",10,IF(DS11="M",0,IF(ISNUMBER(DS11),DS11,0))),"")</f>
        <v/>
      </c>
      <c r="DU11" s="62"/>
      <c r="DV11" s="62"/>
      <c r="DW11" s="62"/>
      <c r="DX11" s="62"/>
      <c r="DY11" s="62"/>
      <c r="DZ11" s="62"/>
      <c r="EA11" s="63" t="str">
        <f>IF(OR(ISNUMBER(DU11),ISNUMBER(DV11),ISNUMBER(DW11),ISNUMBER(DX11),ISNUMBER(DY11),ISNUMBER(DZ11),DU11="X",DV11="X",DW11="X",DX11="X",DY11="X",DZ11="X",DU11="M",DV11="M",DW11="M",DX11="M",DY11="M",DZ11="M"),IF(DU11="X",10,IF(DU11="M",0,IF(ISNUMBER(DU11),DU11,0))) + IF(DV11="X",10,IF(DV11="M",0,IF(ISNUMBER(DV11),DV11,0))) + IF(DW11="X",10,IF(DW11="M",0,IF(ISNUMBER(DW11),DW11,0))) + IF(DX11="X",10,IF(DX11="M",0,IF(ISNUMBER(DX11),DX11,0))) + IF(DY11="X",10,IF(DY11="M",0,IF(ISNUMBER(DY11),DY11,0))) + IF(DZ11="X",10,IF(DZ11="M",0,IF(ISNUMBER(DZ11),DZ11,0))),"")</f>
        <v/>
      </c>
      <c r="EB11" s="62"/>
      <c r="EC11" s="62"/>
      <c r="ED11" s="62"/>
      <c r="EE11" s="62"/>
      <c r="EF11" s="62"/>
      <c r="EG11" s="62"/>
      <c r="EH11" s="63" t="str">
        <f>IF(OR(ISNUMBER(EB11),ISNUMBER(EC11),ISNUMBER(ED11),ISNUMBER(EE11),ISNUMBER(EF11),ISNUMBER(EG11),EB11="X",EC11="X",ED11="X",EE11="X",EF11="X",EG11="X",EB11="M",EC11="M",ED11="M",EE11="M",EF11="M",EG11="M"),IF(EB11="X",10,IF(EB11="M",0,IF(ISNUMBER(EB11),EB11,0))) + IF(EC11="X",10,IF(EC11="M",0,IF(ISNUMBER(EC11),EC11,0))) + IF(ED11="X",10,IF(ED11="M",0,IF(ISNUMBER(ED11),ED11,0))) + IF(EE11="X",10,IF(EE11="M",0,IF(ISNUMBER(EE11),EE11,0))) + IF(EF11="X",10,IF(EF11="M",0,IF(ISNUMBER(EF11),EF11,0))) + IF(EG11="X",10,IF(EG11="M",0,IF(ISNUMBER(EG11),EG11,0))),"")</f>
        <v/>
      </c>
      <c r="EI11" s="62"/>
      <c r="EJ11" s="62"/>
      <c r="EK11" s="62"/>
      <c r="EL11" s="62"/>
      <c r="EM11" s="62"/>
      <c r="EN11" s="62"/>
      <c r="EO11" s="63" t="str">
        <f>IF(OR(ISNUMBER(EI11),ISNUMBER(EJ11),ISNUMBER(EK11),ISNUMBER(EL11),ISNUMBER(EM11),ISNUMBER(EN11),EI11="X",EJ11="X",EK11="X",EL11="X",EM11="X",EN11="X",EI11="M",EJ11="M",EK11="M",EL11="M",EM11="M",EN11="M"),IF(EI11="X",10,IF(EI11="M",0,IF(ISNUMBER(EI11),EI11,0))) + IF(EJ11="X",10,IF(EJ11="M",0,IF(ISNUMBER(EJ11),EJ11,0))) + IF(EK11="X",10,IF(EK11="M",0,IF(ISNUMBER(EK11),EK11,0))) + IF(EL11="X",10,IF(EL11="M",0,IF(ISNUMBER(EL11),EL11,0))) + IF(EM11="X",10,IF(EM11="M",0,IF(ISNUMBER(EM11),EM11,0))) + IF(EN11="X",10,IF(EN11="M",0,IF(ISNUMBER(EN11),EN11,0))),"")</f>
        <v/>
      </c>
      <c r="EP11" s="62"/>
      <c r="EQ11" s="62"/>
      <c r="ER11" s="62"/>
      <c r="ES11" s="62"/>
      <c r="ET11" s="62"/>
      <c r="EU11" s="62"/>
      <c r="EV11" s="63" t="str">
        <f>IF(OR(ISNUMBER(EP11),ISNUMBER(EQ11),ISNUMBER(ER11),ISNUMBER(ES11),ISNUMBER(ET11),ISNUMBER(EU11),EP11="X",EQ11="X",ER11="X",ES11="X",ET11="X",EU11="X",EP11="M",EQ11="M",ER11="M",ES11="M",ET11="M",EU11="M"),IF(EP11="X",10,IF(EP11="M",0,IF(ISNUMBER(EP11),EP11,0))) + IF(EQ11="X",10,IF(EQ11="M",0,IF(ISNUMBER(EQ11),EQ11,0))) + IF(ER11="X",10,IF(ER11="M",0,IF(ISNUMBER(ER11),ER11,0))) + IF(ES11="X",10,IF(ES11="M",0,IF(ISNUMBER(ES11),ES11,0))) + IF(ET11="X",10,IF(ET11="M",0,IF(ISNUMBER(ET11),ET11,0))) + IF(EU11="X",10,IF(EU11="M",0,IF(ISNUMBER(EU11),EU11,0))),"")</f>
        <v/>
      </c>
      <c r="EW11" s="64"/>
      <c r="EX11" s="64"/>
      <c r="EY11" s="64"/>
      <c r="EZ11" s="64"/>
      <c r="FA11" s="64"/>
      <c r="FB11" s="64"/>
      <c r="FC11" s="63" t="str">
        <f>IF(OR(ISNUMBER(EW11),ISNUMBER(EX11),ISNUMBER(EY11),ISNUMBER(EZ11),ISNUMBER(FA11),ISNUMBER(FB11),EW11="X",EX11="X",EY11="X",EZ11="X",FA11="X",FB11="X",EW11="M",EX11="M",EY11="M",EZ11="M",FA11="M",FB11="M"),IF(EW11="X",10,IF(EW11="M",0,IF(ISNUMBER(EW11),EW11,0))) + IF(EX11="X",10,IF(EX11="M",0,IF(ISNUMBER(EX11),EX11,0))) + IF(EY11="X",10,IF(EY11="M",0,IF(ISNUMBER(EY11),EY11,0))) + IF(EZ11="X",10,IF(EZ11="M",0,IF(ISNUMBER(EZ11),EZ11,0))) + IF(FA11="X",10,IF(FA11="M",0,IF(ISNUMBER(FA11),FA11,0))) + IF(FB11="X",10,IF(FB11="M",0,IF(ISNUMBER(FB11),FB11,0))),"")</f>
        <v/>
      </c>
      <c r="FD11" s="65">
        <f>IF(AND(ISNUMBER(DT11),ISNUMBER(DT13)),IF(DT11&gt;DT13,2,IF(DT11=DT13,1,0)),0)+IF(AND(ISNUMBER(EA11),ISNUMBER(EA13)),IF(EA11&gt;EA13,2,IF(EA11=EA13,1,0)),0)+IF(AND(ISNUMBER(EH11),ISNUMBER(EH13)),IF(EH11&gt;EH13,2,IF(EH11=EH13,1,0)),0)+IF(AND(ISNUMBER(EO11),ISNUMBER(EO13)),IF(EO11&gt;EO13,2,IF(EO11=EO13,1,0)),0)+IF(AND(ISNUMBER(EV11),ISNUMBER(EV13)),IF(EV11&gt;EV13,2,IF(EV11=EV13,1,0)),0)</f>
        <v>0</v>
      </c>
      <c r="FE11" s="66"/>
      <c r="FF11" s="67">
        <f>IF(FD11&gt;0,IF(DN11="X",10,IF(DN11="M",0,IF(ISNUMBER(DN11),DN11,0)))+IF(DO11="X",10,IF(DO11="M",0,IF(ISNUMBER(DO11),DO11,0)))+IF(DP11="X",10,IF(DP11="M",0,IF(ISNUMBER(DP11),DP11,0)))+IF(DQ11="X",10,IF(DQ11="M",0,IF(ISNUMBER(DQ11),DQ11,0)))+IF(DR11="X",10,IF(DR11="M",0,IF(ISNUMBER(DR11),DR11,0)))+IF(DS11="X",10,IF(DS11="M",0,IF(ISNUMBER(DS11),DS11,0)))+IF(DU11="X",10,IF(DU11="M",0,IF(ISNUMBER(DU11),DU11,0)))+IF(DV11="X",10,IF(DV11="M",0,IF(ISNUMBER(DV11),DV11,0)))+IF(DW11="X",10,IF(DW11="M",0,IF(ISNUMBER(DW11),DW11,0)))+IF(DX11="X",10,IF(DX11="M",0,IF(ISNUMBER(DX11),DX11,0)))+IF(DY11="X",10,IF(DY11="M",0,IF(ISNUMBER(DY11),DY11,0)))+IF(DZ11="X",10,IF(DZ11="M",0,IF(ISNUMBER(DZ11),DZ11,0)))+IF(EB11="X",10,IF(EB11="M",0,IF(ISNUMBER(EB11),EB11,0)))+IF(EC11="X",10,IF(EC11="M",0,IF(ISNUMBER(EC11),EC11,0)))+IF(ED11="X",10,IF(ED11="M",0,IF(ISNUMBER(ED11),ED11,0)))+IF(EE11="X",10,IF(EE11="M",0,IF(ISNUMBER(EE11),EE11,0)))+IF(EF11="X",10,IF(EF11="M",0,IF(ISNUMBER(EF11),EF11,0)))+IF(EG11="X",10,IF(EG11="M",0,IF(ISNUMBER(EG11),EG11,0)))+IF(EI11="X",10,IF(EI11="M",0,IF(ISNUMBER(EI11),EI11,0)))+IF(EJ11="X",10,IF(EJ11="M",0,IF(ISNUMBER(EJ11),EJ11,0)))+IF(EK11="X",10,IF(EK11="M",0,IF(ISNUMBER(EK11),EK11,0)))+IF(EL11="X",10,IF(EL11="M",0,IF(ISNUMBER(EL11),EL11,0)))+IF(EM11="X",10,IF(EM11="M",0,IF(ISNUMBER(EM11),EM11,0)))+IF(EN11="X",10,IF(EN11="M",0,IF(ISNUMBER(EN11),EN11,0)))+IF(EP11="X",10,IF(EP11="M",0,IF(ISNUMBER(EP11),EP11,0)))+IF(EQ11="X",10,IF(EQ11="M",0,IF(ISNUMBER(EQ11),EQ11,0)))+IF(ER11="X",10,IF(ER11="M",0,IF(ISNUMBER(ER11),ER11,0)))+IF(ES11="X",10,IF(ES11="M",0,IF(ISNUMBER(ES11),ES11,0)))+IF(ET11="X",10,IF(ET11="M",0,IF(ISNUMBER(ET11),ET11,0)))+IF(EU11="X",10,IF(EU11="M",0,IF(ISNUMBER(EU11),EU11,0)))+IF(EW11="X",10,IF(EW11="M",0,IF(ISNUMBER(EW11),EW11,0)))+IF(EX11="X",10,IF(EX11="M",0,IF(ISNUMBER(EX11),EX11,0)))+IF(EY11="X",10,IF(EY11="M",0,IF(ISNUMBER(EY11),EY11,0)))+IF(EZ11="X",10,IF(EZ11="M",0,IF(ISNUMBER(EZ11),EZ11,0)))+IF(FA11="X",10,IF(FA11="M",0,IF(ISNUMBER(FA11),FA11,0)))+IF(FB11="X",10,IF(FB11="M",0,IF(ISNUMBER(FB11),FB11,0))),0)</f>
        <v>0</v>
      </c>
      <c r="FG11" s="68" t="str">
        <f>IFERROR(IF(FE11="DQ","DISQUALIFIED",IF(FE13="DQ","&gt;&gt; Advance",IF(FI13="BYE","&gt;&gt; Advance",IF(FI11="BYE","BYE",IF(FD11&gt;=6,"WIN",IF(FD13&gt;=6,"LOSS",IF(AND(ISNUMBER(FC11),ISNUMBER(FC13)),IF(FC11&gt;FC13,"WIN",IF(FC11&lt;FC13,"LOSS","Shoot-Off")),"Playing"))))))),"Error")</f>
        <v>&gt;&gt; Advance</v>
      </c>
      <c r="FI11" s="69" t="str">
        <f>IFERROR(IF(AND(DF16="BYE",DF18="BYE"),"BYE",""),"")</f>
        <v>BYE</v>
      </c>
      <c r="FJ11" s="72" t="s">
        <v>194</v>
      </c>
      <c r="FK11" s="106" t="str">
        <f>IFERROR(IF(OR(FI6="BYE",FI8="BYE"),"",IF(OR(FG6="WIN",FG6="&gt;&gt; Advance"),DH8,IF(OR(FG8="WIN",FG8="&gt;&gt; Advance"),DH6,"TBD"))),"TBD")</f>
        <v/>
      </c>
      <c r="FL11" s="106"/>
      <c r="FM11" s="106"/>
      <c r="FN11" s="107" t="str">
        <f>IF(AND(FK11&lt;&gt;"TBD",FK11&lt;&gt;"",FK13&lt;&gt;"TBD",FK13&lt;&gt;"",HJ11&lt;&gt;"&gt;&gt; Advance",HJ13&lt;&gt;"&gt;&gt; Advance"),IF((B2-A2+1)&gt;=4,(A2+2)&amp;"",IF((B2-A2+1)&gt;=2,(A2+1)&amp;" L",(A2+MOD(1,(B2-A2+1)))&amp;CHAR(65+FLOOR(1/(B2-A2+1),1)*2)&amp;" (L)")),"")</f>
        <v/>
      </c>
      <c r="FO11" s="107"/>
      <c r="FP11" s="107"/>
      <c r="FQ11" s="62"/>
      <c r="FR11" s="62"/>
      <c r="FS11" s="62"/>
      <c r="FT11" s="62"/>
      <c r="FU11" s="62"/>
      <c r="FV11" s="62"/>
      <c r="FW11" s="63" t="str">
        <f>IF(OR(ISNUMBER(FQ11),ISNUMBER(FR11),ISNUMBER(FS11),ISNUMBER(FT11),ISNUMBER(FU11),ISNUMBER(FV11),FQ11="X",FR11="X",FS11="X",FT11="X",FU11="X",FV11="X",FQ11="M",FR11="M",FS11="M",FT11="M",FU11="M",FV11="M"),IF(FQ11="X",10,IF(FQ11="M",0,IF(ISNUMBER(FQ11),FQ11,0))) + IF(FR11="X",10,IF(FR11="M",0,IF(ISNUMBER(FR11),FR11,0))) + IF(FS11="X",10,IF(FS11="M",0,IF(ISNUMBER(FS11),FS11,0))) + IF(FT11="X",10,IF(FT11="M",0,IF(ISNUMBER(FT11),FT11,0))) + IF(FU11="X",10,IF(FU11="M",0,IF(ISNUMBER(FU11),FU11,0))) + IF(FV11="X",10,IF(FV11="M",0,IF(ISNUMBER(FV11),FV11,0))),"")</f>
        <v/>
      </c>
      <c r="FX11" s="62"/>
      <c r="FY11" s="62"/>
      <c r="FZ11" s="62"/>
      <c r="GA11" s="62"/>
      <c r="GB11" s="62"/>
      <c r="GC11" s="62"/>
      <c r="GD11" s="63" t="str">
        <f>IF(OR(ISNUMBER(FX11),ISNUMBER(FY11),ISNUMBER(FZ11),ISNUMBER(GA11),ISNUMBER(GB11),ISNUMBER(GC11),FX11="X",FY11="X",FZ11="X",GA11="X",GB11="X",GC11="X",FX11="M",FY11="M",FZ11="M",GA11="M",GB11="M",GC11="M"),IF(FX11="X",10,IF(FX11="M",0,IF(ISNUMBER(FX11),FX11,0))) + IF(FY11="X",10,IF(FY11="M",0,IF(ISNUMBER(FY11),FY11,0))) + IF(FZ11="X",10,IF(FZ11="M",0,IF(ISNUMBER(FZ11),FZ11,0))) + IF(GA11="X",10,IF(GA11="M",0,IF(ISNUMBER(GA11),GA11,0))) + IF(GB11="X",10,IF(GB11="M",0,IF(ISNUMBER(GB11),GB11,0))) + IF(GC11="X",10,IF(GC11="M",0,IF(ISNUMBER(GC11),GC11,0))),"")</f>
        <v/>
      </c>
      <c r="GE11" s="62"/>
      <c r="GF11" s="62"/>
      <c r="GG11" s="62"/>
      <c r="GH11" s="62"/>
      <c r="GI11" s="62"/>
      <c r="GJ11" s="62"/>
      <c r="GK11" s="63" t="str">
        <f>IF(OR(ISNUMBER(GE11),ISNUMBER(GF11),ISNUMBER(GG11),ISNUMBER(GH11),ISNUMBER(GI11),ISNUMBER(GJ11),GE11="X",GF11="X",GG11="X",GH11="X",GI11="X",GJ11="X",GE11="M",GF11="M",GG11="M",GH11="M",GI11="M",GJ11="M"),IF(GE11="X",10,IF(GE11="M",0,IF(ISNUMBER(GE11),GE11,0))) + IF(GF11="X",10,IF(GF11="M",0,IF(ISNUMBER(GF11),GF11,0))) + IF(GG11="X",10,IF(GG11="M",0,IF(ISNUMBER(GG11),GG11,0))) + IF(GH11="X",10,IF(GH11="M",0,IF(ISNUMBER(GH11),GH11,0))) + IF(GI11="X",10,IF(GI11="M",0,IF(ISNUMBER(GI11),GI11,0))) + IF(GJ11="X",10,IF(GJ11="M",0,IF(ISNUMBER(GJ11),GJ11,0))),"")</f>
        <v/>
      </c>
      <c r="GL11" s="62"/>
      <c r="GM11" s="62"/>
      <c r="GN11" s="62"/>
      <c r="GO11" s="62"/>
      <c r="GP11" s="62"/>
      <c r="GQ11" s="62"/>
      <c r="GR11" s="63" t="str">
        <f>IF(OR(ISNUMBER(GL11),ISNUMBER(GM11),ISNUMBER(GN11),ISNUMBER(GO11),ISNUMBER(GP11),ISNUMBER(GQ11),GL11="X",GM11="X",GN11="X",GO11="X",GP11="X",GQ11="X",GL11="M",GM11="M",GN11="M",GO11="M",GP11="M",GQ11="M"),IF(GL11="X",10,IF(GL11="M",0,IF(ISNUMBER(GL11),GL11,0))) + IF(GM11="X",10,IF(GM11="M",0,IF(ISNUMBER(GM11),GM11,0))) + IF(GN11="X",10,IF(GN11="M",0,IF(ISNUMBER(GN11),GN11,0))) + IF(GO11="X",10,IF(GO11="M",0,IF(ISNUMBER(GO11),GO11,0))) + IF(GP11="X",10,IF(GP11="M",0,IF(ISNUMBER(GP11),GP11,0))) + IF(GQ11="X",10,IF(GQ11="M",0,IF(ISNUMBER(GQ11),GQ11,0))),"")</f>
        <v/>
      </c>
      <c r="GS11" s="62"/>
      <c r="GT11" s="62"/>
      <c r="GU11" s="62"/>
      <c r="GV11" s="62"/>
      <c r="GW11" s="62"/>
      <c r="GX11" s="62"/>
      <c r="GY11" s="63" t="str">
        <f>IF(OR(ISNUMBER(GS11),ISNUMBER(GT11),ISNUMBER(GU11),ISNUMBER(GV11),ISNUMBER(GW11),ISNUMBER(GX11),GS11="X",GT11="X",GU11="X",GV11="X",GW11="X",GX11="X",GS11="M",GT11="M",GU11="M",GV11="M",GW11="M",GX11="M"),IF(GS11="X",10,IF(GS11="M",0,IF(ISNUMBER(GS11),GS11,0))) + IF(GT11="X",10,IF(GT11="M",0,IF(ISNUMBER(GT11),GT11,0))) + IF(GU11="X",10,IF(GU11="M",0,IF(ISNUMBER(GU11),GU11,0))) + IF(GV11="X",10,IF(GV11="M",0,IF(ISNUMBER(GV11),GV11,0))) + IF(GW11="X",10,IF(GW11="M",0,IF(ISNUMBER(GW11),GW11,0))) + IF(GX11="X",10,IF(GX11="M",0,IF(ISNUMBER(GX11),GX11,0))),"")</f>
        <v/>
      </c>
      <c r="GZ11" s="64"/>
      <c r="HA11" s="64"/>
      <c r="HB11" s="64"/>
      <c r="HC11" s="64"/>
      <c r="HD11" s="64"/>
      <c r="HE11" s="64"/>
      <c r="HF11" s="63" t="str">
        <f>IF(OR(ISNUMBER(GZ11),ISNUMBER(HA11),ISNUMBER(HB11),ISNUMBER(HC11),ISNUMBER(HD11),ISNUMBER(HE11),GZ11="X",HA11="X",HB11="X",HC11="X",HD11="X",HE11="X",GZ11="M",HA11="M",HB11="M",HC11="M",HD11="M",HE11="M"),IF(GZ11="X",10,IF(GZ11="M",0,IF(ISNUMBER(GZ11),GZ11,0))) + IF(HA11="X",10,IF(HA11="M",0,IF(ISNUMBER(HA11),HA11,0))) + IF(HB11="X",10,IF(HB11="M",0,IF(ISNUMBER(HB11),HB11,0))) + IF(HC11="X",10,IF(HC11="M",0,IF(ISNUMBER(HC11),HC11,0))) + IF(HD11="X",10,IF(HD11="M",0,IF(ISNUMBER(HD11),HD11,0))) + IF(HE11="X",10,IF(HE11="M",0,IF(ISNUMBER(HE11),HE11,0))),"")</f>
        <v/>
      </c>
      <c r="HG11" s="65">
        <f>IF(AND(ISNUMBER(FW11),ISNUMBER(FW13)),IF(FW11&gt;FW13,2,IF(FW11=FW13,1,0)),0)+IF(AND(ISNUMBER(GD11),ISNUMBER(GD13)),IF(GD11&gt;GD13,2,IF(GD11=GD13,1,0)),0)+IF(AND(ISNUMBER(GK11),ISNUMBER(GK13)),IF(GK11&gt;GK13,2,IF(GK11=GK13,1,0)),0)+IF(AND(ISNUMBER(GR11),ISNUMBER(GR13)),IF(GR11&gt;GR13,2,IF(GR11=GR13,1,0)),0)+IF(AND(ISNUMBER(GY11),ISNUMBER(GY13)),IF(GY11&gt;GY13,2,IF(GY11=GY13,1,0)),0)</f>
        <v>0</v>
      </c>
      <c r="HH11" s="66"/>
      <c r="HI11" s="67">
        <f>IF(HG11&gt;0,IF(FQ11="X",10,IF(FQ11="M",0,IF(ISNUMBER(FQ11),FQ11,0)))+IF(FR11="X",10,IF(FR11="M",0,IF(ISNUMBER(FR11),FR11,0)))+IF(FS11="X",10,IF(FS11="M",0,IF(ISNUMBER(FS11),FS11,0)))+IF(FT11="X",10,IF(FT11="M",0,IF(ISNUMBER(FT11),FT11,0)))+IF(FU11="X",10,IF(FU11="M",0,IF(ISNUMBER(FU11),FU11,0)))+IF(FV11="X",10,IF(FV11="M",0,IF(ISNUMBER(FV11),FV11,0)))+IF(FX11="X",10,IF(FX11="M",0,IF(ISNUMBER(FX11),FX11,0)))+IF(FY11="X",10,IF(FY11="M",0,IF(ISNUMBER(FY11),FY11,0)))+IF(FZ11="X",10,IF(FZ11="M",0,IF(ISNUMBER(FZ11),FZ11,0)))+IF(GA11="X",10,IF(GA11="M",0,IF(ISNUMBER(GA11),GA11,0)))+IF(GB11="X",10,IF(GB11="M",0,IF(ISNUMBER(GB11),GB11,0)))+IF(GC11="X",10,IF(GC11="M",0,IF(ISNUMBER(GC11),GC11,0)))+IF(GE11="X",10,IF(GE11="M",0,IF(ISNUMBER(GE11),GE11,0)))+IF(GF11="X",10,IF(GF11="M",0,IF(ISNUMBER(GF11),GF11,0)))+IF(GG11="X",10,IF(GG11="M",0,IF(ISNUMBER(GG11),GG11,0)))+IF(GH11="X",10,IF(GH11="M",0,IF(ISNUMBER(GH11),GH11,0)))+IF(GI11="X",10,IF(GI11="M",0,IF(ISNUMBER(GI11),GI11,0)))+IF(GJ11="X",10,IF(GJ11="M",0,IF(ISNUMBER(GJ11),GJ11,0)))+IF(GL11="X",10,IF(GL11="M",0,IF(ISNUMBER(GL11),GL11,0)))+IF(GM11="X",10,IF(GM11="M",0,IF(ISNUMBER(GM11),GM11,0)))+IF(GN11="X",10,IF(GN11="M",0,IF(ISNUMBER(GN11),GN11,0)))+IF(GO11="X",10,IF(GO11="M",0,IF(ISNUMBER(GO11),GO11,0)))+IF(GP11="X",10,IF(GP11="M",0,IF(ISNUMBER(GP11),GP11,0)))+IF(GQ11="X",10,IF(GQ11="M",0,IF(ISNUMBER(GQ11),GQ11,0)))+IF(GS11="X",10,IF(GS11="M",0,IF(ISNUMBER(GS11),GS11,0)))+IF(GT11="X",10,IF(GT11="M",0,IF(ISNUMBER(GT11),GT11,0)))+IF(GU11="X",10,IF(GU11="M",0,IF(ISNUMBER(GU11),GU11,0)))+IF(GV11="X",10,IF(GV11="M",0,IF(ISNUMBER(GV11),GV11,0)))+IF(GW11="X",10,IF(GW11="M",0,IF(ISNUMBER(GW11),GW11,0)))+IF(GX11="X",10,IF(GX11="M",0,IF(ISNUMBER(GX11),GX11,0)))+IF(GZ11="X",10,IF(GZ11="M",0,IF(ISNUMBER(GZ11),GZ11,0)))+IF(HA11="X",10,IF(HA11="M",0,IF(ISNUMBER(HA11),HA11,0)))+IF(HB11="X",10,IF(HB11="M",0,IF(ISNUMBER(HB11),HB11,0)))+IF(HC11="X",10,IF(HC11="M",0,IF(ISNUMBER(HC11),HC11,0)))+IF(HD11="X",10,IF(HD11="M",0,IF(ISNUMBER(HD11),HD11,0)))+IF(HE11="X",10,IF(HE11="M",0,IF(ISNUMBER(HE11),HE11,0))),0)</f>
        <v>0</v>
      </c>
      <c r="HJ11" s="68" t="str">
        <f>IFERROR(IF(HH11="DQ","DISQUALIFIED",IF(HH13="DQ","&gt;&gt; Advance",IF(HL13="BYE","&gt;&gt; Advance",IF(HL11="BYE","BYE",IF(HG11&gt;=6,"WIN",IF(HG13&gt;=6,"LOSS",IF(AND(ISNUMBER(HF11),ISNUMBER(HF13)),IF(HF11&gt;HF13,"WIN",IF(HF11&lt;HF13,"LOSS","Shoot-Off")),"Playing"))))))),"Error")</f>
        <v>Playing</v>
      </c>
      <c r="HL11" s="69" t="str">
        <f>""</f>
        <v/>
      </c>
      <c r="HM11" s="112" t="str">
        <f>IFERROR(IF(OR(HL6="BYE",HL8="BYE"),"",IF(OR(HJ6="WIN",HJ6="&gt;&gt; Advance"),FK8,IF(OR(HJ8="WIN",HJ8="&gt;&gt; Advance"),FK6,"TBD"))),"TBD")</f>
        <v/>
      </c>
      <c r="HN11" s="112"/>
      <c r="HO11" s="112"/>
      <c r="HP11" s="112"/>
      <c r="HQ11" s="112"/>
      <c r="HR11" s="112"/>
      <c r="HS11" s="112"/>
      <c r="HT11" s="112"/>
      <c r="HU11" s="112"/>
      <c r="HV11" s="112"/>
      <c r="HW11" s="112"/>
      <c r="HX11" s="112"/>
      <c r="HY11" s="112"/>
      <c r="HZ11" s="112"/>
      <c r="IA11" s="112"/>
      <c r="IB11" s="112"/>
    </row>
    <row r="12" spans="1:237" ht="3" customHeight="1" x14ac:dyDescent="0.35">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c r="EQ12" s="71"/>
      <c r="ER12" s="71"/>
      <c r="ES12" s="71"/>
      <c r="ET12" s="71"/>
      <c r="EU12" s="71"/>
      <c r="EV12" s="71"/>
      <c r="EW12" s="71"/>
      <c r="EX12" s="71"/>
      <c r="EY12" s="71"/>
      <c r="EZ12" s="71"/>
      <c r="FA12" s="71"/>
      <c r="FB12" s="71"/>
      <c r="FC12" s="71"/>
      <c r="FD12" s="71"/>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c r="GW12" s="71"/>
      <c r="GX12" s="71"/>
      <c r="GY12" s="71"/>
      <c r="GZ12" s="71"/>
      <c r="HA12" s="71"/>
      <c r="HB12" s="71"/>
      <c r="HC12" s="71"/>
      <c r="HD12" s="71"/>
      <c r="HE12" s="71"/>
      <c r="HF12" s="71"/>
      <c r="HG12" s="71"/>
      <c r="HH12" s="71"/>
      <c r="HI12" s="71"/>
      <c r="HJ12" s="71"/>
      <c r="HK12" s="71"/>
      <c r="HL12" s="71"/>
      <c r="HM12" s="112"/>
      <c r="HN12" s="112"/>
      <c r="HO12" s="112"/>
      <c r="HP12" s="112"/>
      <c r="HQ12" s="112"/>
      <c r="HR12" s="112"/>
      <c r="HS12" s="112"/>
      <c r="HT12" s="112"/>
      <c r="HU12" s="112"/>
      <c r="HV12" s="112"/>
      <c r="HW12" s="112"/>
      <c r="HX12" s="112"/>
      <c r="HY12" s="112"/>
      <c r="HZ12" s="112"/>
      <c r="IA12" s="112"/>
      <c r="IB12" s="112"/>
    </row>
    <row r="13" spans="1:237" ht="15.75" customHeight="1" x14ac:dyDescent="0.35">
      <c r="A13" s="61" t="str">
        <f>IFERROR(IF(INDEX('Novice 15M - Teams'!$L:$L,MATCH(9,'Novice 15M - Teams'!$A:$A,0))="Yes","BYE",IF(OR(INDEX('Novice 15M - Teams'!$B:$B,MATCH(9,'Novice 15M - Teams'!$A:$A,0))="",ISERROR(MATCH(9,'Novice 15M - Teams'!$A:$A,0))),"BYE","#9")),"BYE")</f>
        <v>BYE</v>
      </c>
      <c r="B13" s="106" t="str">
        <f>IFERROR(IF(INDEX('Novice 15M - Teams'!$L:$L,MATCH(9,'Novice 15M - Teams'!$A:$A,0))="Yes","",IF(INDEX('Novice 15M - Teams'!$N:$N,MATCH(9,'Novice 15M - Teams'!$A:$A,0))&lt;&gt;"",INDEX('Novice 15M - Teams'!$N:$N,MATCH(9,'Novice 15M - Teams'!$A:$A,0)),IF(INDEX('Novice 15M - Teams'!$B:$B,MATCH(9,'Novice 15M - Teams'!$A:$A,0))="","",INDEX('Novice 15M - Teams'!$B:$B,MATCH(9,'Novice 15M - Teams'!$A:$A,0))))),"")</f>
        <v/>
      </c>
      <c r="C13" s="106"/>
      <c r="D13" s="106"/>
      <c r="E13" s="107" t="str">
        <f>IF(OR(A13="BYE",BA13="&gt;&gt; Advance"),"",IF((B2-A2+1)&gt;=8,(A2+MOD(INT((SUMPRODUCT(IF(A6&lt;&gt;"BYE",IF(A6&lt;&gt;"",IF(BA6&lt;&gt;"&gt;&gt; Advance",1,0),0),0)+IF(A8&lt;&gt;"BYE",IF(A8&lt;&gt;"",IF(BA8&lt;&gt;"&gt;&gt; Advance",1,0),0),0)+IF(A11&lt;&gt;"BYE",IF(A11&lt;&gt;"",IF(BA11&lt;&gt;"&gt;&gt; Advance",1,0),0),0)+IF(A13&lt;&gt;"BYE",IF(A13&lt;&gt;"",IF(BA13&lt;&gt;"&gt;&gt; Advance",1,0),0),0))-1)/2),(B2-A2+1)))&amp;IF((MOD(SUMPRODUCT(IF(A6&lt;&gt;"BYE",IF(A6&lt;&gt;"",IF(BA6&lt;&gt;"&gt;&gt; Advance",1,0),0),0)+IF(A8&lt;&gt;"BYE",IF(A8&lt;&gt;"",IF(BA8&lt;&gt;"&gt;&gt; Advance",1,0),0),0)+IF(A11&lt;&gt;"BYE",IF(A11&lt;&gt;"",IF(BA11&lt;&gt;"&gt;&gt; Advance",1,0),0),0)+IF(A13&lt;&gt;"BYE",IF(A13&lt;&gt;"",IF(BA13&lt;&gt;"&gt;&gt; Advance",1,0),0),0))-1,2)=0)," L"," R"),(A2+MOD(INT((SUMPRODUCT(IF(A6&lt;&gt;"BYE",IF(A6&lt;&gt;"",IF(BA6&lt;&gt;"&gt;&gt; Advance",1,0),0),0)+IF(A8&lt;&gt;"BYE",IF(A8&lt;&gt;"",IF(BA8&lt;&gt;"&gt;&gt; Advance",1,0),0),0)+IF(A11&lt;&gt;"BYE",IF(A11&lt;&gt;"",IF(BA11&lt;&gt;"&gt;&gt; Advance",1,0),0),0)+IF(A13&lt;&gt;"BYE",IF(A13&lt;&gt;"",IF(BA13&lt;&gt;"&gt;&gt; Advance",1,0),0),0))-1)/2),(B2-A2+1)))&amp;CHAR(65+FLOOR(INT((SUMPRODUCT(IF(A6&lt;&gt;"BYE",IF(A6&lt;&gt;"",IF(BA6&lt;&gt;"&gt;&gt; Advance",1,0),0),0)+IF(A8&lt;&gt;"BYE",IF(A8&lt;&gt;"",IF(BA8&lt;&gt;"&gt;&gt; Advance",1,0),0),0)+IF(A11&lt;&gt;"BYE",IF(A11&lt;&gt;"",IF(BA11&lt;&gt;"&gt;&gt; Advance",1,0),0),0)+IF(A13&lt;&gt;"BYE",IF(A13&lt;&gt;"",IF(BA13&lt;&gt;"&gt;&gt; Advance",1,0),0),0))-1)/2)/(B2-A2+1),1)*2+MOD(SUMPRODUCT(IF(A6&lt;&gt;"BYE",IF(A6&lt;&gt;"",IF(BA6&lt;&gt;"&gt;&gt; Advance",1,0),0),0)+IF(A8&lt;&gt;"BYE",IF(A8&lt;&gt;"",IF(BA8&lt;&gt;"&gt;&gt; Advance",1,0),0),0)+IF(A11&lt;&gt;"BYE",IF(A11&lt;&gt;"",IF(BA11&lt;&gt;"&gt;&gt; Advance",1,0),0),0)+IF(A13&lt;&gt;"BYE",IF(A13&lt;&gt;"",IF(BA13&lt;&gt;"&gt;&gt; Advance",1,0),0),0))-1,2))&amp;IF((MOD(SUMPRODUCT(IF(A6&lt;&gt;"BYE",IF(A6&lt;&gt;"",IF(BA6&lt;&gt;"&gt;&gt; Advance",1,0),0),0)+IF(A8&lt;&gt;"BYE",IF(A8&lt;&gt;"",IF(BA8&lt;&gt;"&gt;&gt; Advance",1,0),0),0)+IF(A11&lt;&gt;"BYE",IF(A11&lt;&gt;"",IF(BA11&lt;&gt;"&gt;&gt; Advance",1,0),0),0)+IF(A13&lt;&gt;"BYE",IF(A13&lt;&gt;"",IF(BA13&lt;&gt;"&gt;&gt; Advance",1,0),0),0))-1,2)=0)," (L)"," (R)")))</f>
        <v/>
      </c>
      <c r="F13" s="107"/>
      <c r="G13" s="107"/>
      <c r="H13" s="62"/>
      <c r="I13" s="62"/>
      <c r="J13" s="62"/>
      <c r="K13" s="62"/>
      <c r="L13" s="62"/>
      <c r="M13" s="62"/>
      <c r="N13" s="63" t="str">
        <f>IF(OR(ISNUMBER(H13),ISNUMBER(I13),ISNUMBER(J13),ISNUMBER(K13),ISNUMBER(L13),ISNUMBER(M13),H13="X",I13="X",J13="X",K13="X",L13="X",M13="X",H13="M",I13="M",J13="M",K13="M",L13="M",M13="M"),IF(H13="X",10,IF(H13="M",0,IF(ISNUMBER(H13),H13,0))) + IF(I13="X",10,IF(I13="M",0,IF(ISNUMBER(I13),I13,0))) + IF(J13="X",10,IF(J13="M",0,IF(ISNUMBER(J13),J13,0))) + IF(K13="X",10,IF(K13="M",0,IF(ISNUMBER(K13),K13,0))) + IF(L13="X",10,IF(L13="M",0,IF(ISNUMBER(L13),L13,0))) + IF(M13="X",10,IF(M13="M",0,IF(ISNUMBER(M13),M13,0))),"")</f>
        <v/>
      </c>
      <c r="O13" s="62"/>
      <c r="P13" s="62"/>
      <c r="Q13" s="62"/>
      <c r="R13" s="62"/>
      <c r="S13" s="62"/>
      <c r="T13" s="62"/>
      <c r="U13" s="63" t="str">
        <f>IF(OR(ISNUMBER(O13),ISNUMBER(P13),ISNUMBER(Q13),ISNUMBER(R13),ISNUMBER(S13),ISNUMBER(T13),O13="X",P13="X",Q13="X",R13="X",S13="X",T13="X",O13="M",P13="M",Q13="M",R13="M",S13="M",T13="M"),IF(O13="X",10,IF(O13="M",0,IF(ISNUMBER(O13),O13,0))) + IF(P13="X",10,IF(P13="M",0,IF(ISNUMBER(P13),P13,0))) + IF(Q13="X",10,IF(Q13="M",0,IF(ISNUMBER(Q13),Q13,0))) + IF(R13="X",10,IF(R13="M",0,IF(ISNUMBER(R13),R13,0))) + IF(S13="X",10,IF(S13="M",0,IF(ISNUMBER(S13),S13,0))) + IF(T13="X",10,IF(T13="M",0,IF(ISNUMBER(T13),T13,0))),"")</f>
        <v/>
      </c>
      <c r="V13" s="62"/>
      <c r="W13" s="62"/>
      <c r="X13" s="62"/>
      <c r="Y13" s="62"/>
      <c r="Z13" s="62"/>
      <c r="AA13" s="62"/>
      <c r="AB13" s="63" t="str">
        <f>IF(OR(ISNUMBER(V13),ISNUMBER(W13),ISNUMBER(X13),ISNUMBER(Y13),ISNUMBER(Z13),ISNUMBER(AA13),V13="X",W13="X",X13="X",Y13="X",Z13="X",AA13="X",V13="M",W13="M",X13="M",Y13="M",Z13="M",AA13="M"),IF(V13="X",10,IF(V13="M",0,IF(ISNUMBER(V13),V13,0))) + IF(W13="X",10,IF(W13="M",0,IF(ISNUMBER(W13),W13,0))) + IF(X13="X",10,IF(X13="M",0,IF(ISNUMBER(X13),X13,0))) + IF(Y13="X",10,IF(Y13="M",0,IF(ISNUMBER(Y13),Y13,0))) + IF(Z13="X",10,IF(Z13="M",0,IF(ISNUMBER(Z13),Z13,0))) + IF(AA13="X",10,IF(AA13="M",0,IF(ISNUMBER(AA13),AA13,0))),"")</f>
        <v/>
      </c>
      <c r="AC13" s="62"/>
      <c r="AD13" s="62"/>
      <c r="AE13" s="62"/>
      <c r="AF13" s="62"/>
      <c r="AG13" s="62"/>
      <c r="AH13" s="62"/>
      <c r="AI13" s="63" t="str">
        <f>IF(OR(ISNUMBER(AC13),ISNUMBER(AD13),ISNUMBER(AE13),ISNUMBER(AF13),ISNUMBER(AG13),ISNUMBER(AH13),AC13="X",AD13="X",AE13="X",AF13="X",AG13="X",AH13="X",AC13="M",AD13="M",AE13="M",AF13="M",AG13="M",AH13="M"),IF(AC13="X",10,IF(AC13="M",0,IF(ISNUMBER(AC13),AC13,0))) + IF(AD13="X",10,IF(AD13="M",0,IF(ISNUMBER(AD13),AD13,0))) + IF(AE13="X",10,IF(AE13="M",0,IF(ISNUMBER(AE13),AE13,0))) + IF(AF13="X",10,IF(AF13="M",0,IF(ISNUMBER(AF13),AF13,0))) + IF(AG13="X",10,IF(AG13="M",0,IF(ISNUMBER(AG13),AG13,0))) + IF(AH13="X",10,IF(AH13="M",0,IF(ISNUMBER(AH13),AH13,0))),"")</f>
        <v/>
      </c>
      <c r="AJ13" s="62"/>
      <c r="AK13" s="62"/>
      <c r="AL13" s="62"/>
      <c r="AM13" s="62"/>
      <c r="AN13" s="62"/>
      <c r="AO13" s="62"/>
      <c r="AP13" s="63" t="str">
        <f>IF(OR(ISNUMBER(AJ13),ISNUMBER(AK13),ISNUMBER(AL13),ISNUMBER(AM13),ISNUMBER(AN13),ISNUMBER(AO13),AJ13="X",AK13="X",AL13="X",AM13="X",AN13="X",AO13="X",AJ13="M",AK13="M",AL13="M",AM13="M",AN13="M",AO13="M"),IF(AJ13="X",10,IF(AJ13="M",0,IF(ISNUMBER(AJ13),AJ13,0))) + IF(AK13="X",10,IF(AK13="M",0,IF(ISNUMBER(AK13),AK13,0))) + IF(AL13="X",10,IF(AL13="M",0,IF(ISNUMBER(AL13),AL13,0))) + IF(AM13="X",10,IF(AM13="M",0,IF(ISNUMBER(AM13),AM13,0))) + IF(AN13="X",10,IF(AN13="M",0,IF(ISNUMBER(AN13),AN13,0))) + IF(AO13="X",10,IF(AO13="M",0,IF(ISNUMBER(AO13),AO13,0))),"")</f>
        <v/>
      </c>
      <c r="AQ13" s="64"/>
      <c r="AR13" s="64"/>
      <c r="AS13" s="64"/>
      <c r="AT13" s="64"/>
      <c r="AU13" s="64"/>
      <c r="AV13" s="64"/>
      <c r="AW13" s="63" t="str">
        <f>IF(OR(ISNUMBER(AQ13),ISNUMBER(AR13),ISNUMBER(AS13),ISNUMBER(AT13),ISNUMBER(AU13),ISNUMBER(AV13),AQ13="X",AR13="X",AS13="X",AT13="X",AU13="X",AV13="X",AQ13="M",AR13="M",AS13="M",AT13="M",AU13="M",AV13="M"),IF(AQ13="X",10,IF(AQ13="M",0,IF(ISNUMBER(AQ13),AQ13,0))) + IF(AR13="X",10,IF(AR13="M",0,IF(ISNUMBER(AR13),AR13,0))) + IF(AS13="X",10,IF(AS13="M",0,IF(ISNUMBER(AS13),AS13,0))) + IF(AT13="X",10,IF(AT13="M",0,IF(ISNUMBER(AT13),AT13,0))) + IF(AU13="X",10,IF(AU13="M",0,IF(ISNUMBER(AU13),AU13,0))) + IF(AV13="X",10,IF(AV13="M",0,IF(ISNUMBER(AV13),AV13,0))),"")</f>
        <v/>
      </c>
      <c r="AX13" s="65">
        <f>IF(AND(ISNUMBER(N13),ISNUMBER(N11)),IF(N13&gt;N11,2,IF(N13=N11,1,0)),0)+IF(AND(ISNUMBER(U13),ISNUMBER(U11)),IF(U13&gt;U11,2,IF(U13=U11,1,0)),0)+IF(AND(ISNUMBER(AB13),ISNUMBER(AB11)),IF(AB13&gt;AB11,2,IF(AB13=AB11,1,0)),0)+IF(AND(ISNUMBER(AI13),ISNUMBER(AI11)),IF(AI13&gt;AI11,2,IF(AI13=AI11,1,0)),0)+IF(AND(ISNUMBER(AP13),ISNUMBER(AP11)),IF(AP13&gt;AP11,2,IF(AP13=AP11,1,0)),0)</f>
        <v>0</v>
      </c>
      <c r="AY13" s="66"/>
      <c r="AZ13" s="67">
        <f>IF(AX13&gt;0,IF(H13="X",10,IF(H13="M",0,IF(ISNUMBER(H13),H13,0)))+IF(I13="X",10,IF(I13="M",0,IF(ISNUMBER(I13),I13,0)))+IF(J13="X",10,IF(J13="M",0,IF(ISNUMBER(J13),J13,0)))+IF(K13="X",10,IF(K13="M",0,IF(ISNUMBER(K13),K13,0)))+IF(L13="X",10,IF(L13="M",0,IF(ISNUMBER(L13),L13,0)))+IF(M13="X",10,IF(M13="M",0,IF(ISNUMBER(M13),M13,0)))+IF(O13="X",10,IF(O13="M",0,IF(ISNUMBER(O13),O13,0)))+IF(P13="X",10,IF(P13="M",0,IF(ISNUMBER(P13),P13,0)))+IF(Q13="X",10,IF(Q13="M",0,IF(ISNUMBER(Q13),Q13,0)))+IF(R13="X",10,IF(R13="M",0,IF(ISNUMBER(R13),R13,0)))+IF(S13="X",10,IF(S13="M",0,IF(ISNUMBER(S13),S13,0)))+IF(T13="X",10,IF(T13="M",0,IF(ISNUMBER(T13),T13,0)))+IF(V13="X",10,IF(V13="M",0,IF(ISNUMBER(V13),V13,0)))+IF(W13="X",10,IF(W13="M",0,IF(ISNUMBER(W13),W13,0)))+IF(X13="X",10,IF(X13="M",0,IF(ISNUMBER(X13),X13,0)))+IF(Y13="X",10,IF(Y13="M",0,IF(ISNUMBER(Y13),Y13,0)))+IF(Z13="X",10,IF(Z13="M",0,IF(ISNUMBER(Z13),Z13,0)))+IF(AA13="X",10,IF(AA13="M",0,IF(ISNUMBER(AA13),AA13,0)))+IF(AC13="X",10,IF(AC13="M",0,IF(ISNUMBER(AC13),AC13,0)))+IF(AD13="X",10,IF(AD13="M",0,IF(ISNUMBER(AD13),AD13,0)))+IF(AE13="X",10,IF(AE13="M",0,IF(ISNUMBER(AE13),AE13,0)))+IF(AF13="X",10,IF(AF13="M",0,IF(ISNUMBER(AF13),AF13,0)))+IF(AG13="X",10,IF(AG13="M",0,IF(ISNUMBER(AG13),AG13,0)))+IF(AH13="X",10,IF(AH13="M",0,IF(ISNUMBER(AH13),AH13,0)))+IF(AJ13="X",10,IF(AJ13="M",0,IF(ISNUMBER(AJ13),AJ13,0)))+IF(AK13="X",10,IF(AK13="M",0,IF(ISNUMBER(AK13),AK13,0)))+IF(AL13="X",10,IF(AL13="M",0,IF(ISNUMBER(AL13),AL13,0)))+IF(AM13="X",10,IF(AM13="M",0,IF(ISNUMBER(AM13),AM13,0)))+IF(AN13="X",10,IF(AN13="M",0,IF(ISNUMBER(AN13),AN13,0)))+IF(AO13="X",10,IF(AO13="M",0,IF(ISNUMBER(AO13),AO13,0)))+IF(AQ13="X",10,IF(AQ13="M",0,IF(ISNUMBER(AQ13),AQ13,0)))+IF(AR13="X",10,IF(AR13="M",0,IF(ISNUMBER(AR13),AR13,0)))+IF(AS13="X",10,IF(AS13="M",0,IF(ISNUMBER(AS13),AS13,0)))+IF(AT13="X",10,IF(AT13="M",0,IF(ISNUMBER(AT13),AT13,0)))+IF(AU13="X",10,IF(AU13="M",0,IF(ISNUMBER(AU13),AU13,0)))+IF(AV13="X",10,IF(AV13="M",0,IF(ISNUMBER(AV13),AV13,0))),0)</f>
        <v>0</v>
      </c>
      <c r="BA13" s="68" t="str">
        <f>IFERROR(IF(AY13="DQ","DISQUALIFIED",IF(AY11="DQ","&gt;&gt; Advance",IF(BC11="BYE","&gt;&gt; Advance",IF(BC13="BYE","BYE",IF(AX13&gt;=6,"WIN",IF(AX11&gt;=6,"LOSS",IF(AND(ISNUMBER(AW13),ISNUMBER(AW11)),IF(AW13&gt;AW11,"WIN",IF(AW13&lt;AW11,"LOSS","Shoot-Off")),"Playing"))))))),"Error")</f>
        <v>&gt;&gt; Advance</v>
      </c>
      <c r="BC13" s="69" t="str">
        <f>IFERROR(IF(INDEX('Novice 15M - Teams'!$L:$L,MATCH(9,'Novice 15M - Teams'!$A:$A,0))="Yes","BYE",IF(OR(INDEX('Novice 15M - Teams'!$B:$B,MATCH(9,'Novice 15M - Teams'!$A:$A,0))="",ISERROR(MATCH(9,'Novice 15M - Teams'!$A:$A,0))),"BYE","")),"BYE")</f>
        <v>BYE</v>
      </c>
      <c r="BD13" s="61" t="s">
        <v>195</v>
      </c>
      <c r="BE13" s="106" t="str">
        <f>IFERROR(IF(BC21="BYE",IF(BC23="BYE","TBD",B23),IF(BC23="BYE",B21,IF(OR(BA21="WIN",BA21="&gt;&gt; Advance"),B21,IF(OR(BA23="WIN",BA23="&gt;&gt; Advance"),B23,"TBD")))),"TBD")</f>
        <v>TBD</v>
      </c>
      <c r="BF13" s="106"/>
      <c r="BG13" s="106"/>
      <c r="BH13" s="107" t="str">
        <f>IF(AND(BE11&lt;&gt;"TBD",BE11&lt;&gt;"",BE13&lt;&gt;"TBD",BE13&lt;&gt;"",DD11&lt;&gt;"&gt;&gt; Advance",DD13&lt;&gt;"&gt;&gt; Advance"),IF((B2-A2+1)&gt;=8,(A2+3)&amp;"",IF((B2-A2+1)&gt;=4,(A2+1)&amp;" R",(A2+MOD(1,(B2-A2+1)))&amp;CHAR(65+FLOOR(1/(B2-A2+1),1)*2+1)&amp;" (R)")),"")</f>
        <v/>
      </c>
      <c r="BI13" s="107"/>
      <c r="BJ13" s="107"/>
      <c r="BK13" s="62"/>
      <c r="BL13" s="62"/>
      <c r="BM13" s="62"/>
      <c r="BN13" s="62"/>
      <c r="BO13" s="62"/>
      <c r="BP13" s="62"/>
      <c r="BQ13" s="63" t="str">
        <f>IF(OR(ISNUMBER(BK13),ISNUMBER(BL13),ISNUMBER(BM13),ISNUMBER(BN13),ISNUMBER(BO13),ISNUMBER(BP13),BK13="X",BL13="X",BM13="X",BN13="X",BO13="X",BP13="X",BK13="M",BL13="M",BM13="M",BN13="M",BO13="M",BP13="M"),IF(BK13="X",10,IF(BK13="M",0,IF(ISNUMBER(BK13),BK13,0))) + IF(BL13="X",10,IF(BL13="M",0,IF(ISNUMBER(BL13),BL13,0))) + IF(BM13="X",10,IF(BM13="M",0,IF(ISNUMBER(BM13),BM13,0))) + IF(BN13="X",10,IF(BN13="M",0,IF(ISNUMBER(BN13),BN13,0))) + IF(BO13="X",10,IF(BO13="M",0,IF(ISNUMBER(BO13),BO13,0))) + IF(BP13="X",10,IF(BP13="M",0,IF(ISNUMBER(BP13),BP13,0))),"")</f>
        <v/>
      </c>
      <c r="BR13" s="62"/>
      <c r="BS13" s="62"/>
      <c r="BT13" s="62"/>
      <c r="BU13" s="62"/>
      <c r="BV13" s="62"/>
      <c r="BW13" s="62"/>
      <c r="BX13" s="63" t="str">
        <f>IF(OR(ISNUMBER(BR13),ISNUMBER(BS13),ISNUMBER(BT13),ISNUMBER(BU13),ISNUMBER(BV13),ISNUMBER(BW13),BR13="X",BS13="X",BT13="X",BU13="X",BV13="X",BW13="X",BR13="M",BS13="M",BT13="M",BU13="M",BV13="M",BW13="M"),IF(BR13="X",10,IF(BR13="M",0,IF(ISNUMBER(BR13),BR13,0))) + IF(BS13="X",10,IF(BS13="M",0,IF(ISNUMBER(BS13),BS13,0))) + IF(BT13="X",10,IF(BT13="M",0,IF(ISNUMBER(BT13),BT13,0))) + IF(BU13="X",10,IF(BU13="M",0,IF(ISNUMBER(BU13),BU13,0))) + IF(BV13="X",10,IF(BV13="M",0,IF(ISNUMBER(BV13),BV13,0))) + IF(BW13="X",10,IF(BW13="M",0,IF(ISNUMBER(BW13),BW13,0))),"")</f>
        <v/>
      </c>
      <c r="BY13" s="62"/>
      <c r="BZ13" s="62"/>
      <c r="CA13" s="62"/>
      <c r="CB13" s="62"/>
      <c r="CC13" s="62"/>
      <c r="CD13" s="62"/>
      <c r="CE13" s="63" t="str">
        <f>IF(OR(ISNUMBER(BY13),ISNUMBER(BZ13),ISNUMBER(CA13),ISNUMBER(CB13),ISNUMBER(CC13),ISNUMBER(CD13),BY13="X",BZ13="X",CA13="X",CB13="X",CC13="X",CD13="X",BY13="M",BZ13="M",CA13="M",CB13="M",CC13="M",CD13="M"),IF(BY13="X",10,IF(BY13="M",0,IF(ISNUMBER(BY13),BY13,0))) + IF(BZ13="X",10,IF(BZ13="M",0,IF(ISNUMBER(BZ13),BZ13,0))) + IF(CA13="X",10,IF(CA13="M",0,IF(ISNUMBER(CA13),CA13,0))) + IF(CB13="X",10,IF(CB13="M",0,IF(ISNUMBER(CB13),CB13,0))) + IF(CC13="X",10,IF(CC13="M",0,IF(ISNUMBER(CC13),CC13,0))) + IF(CD13="X",10,IF(CD13="M",0,IF(ISNUMBER(CD13),CD13,0))),"")</f>
        <v/>
      </c>
      <c r="CF13" s="62"/>
      <c r="CG13" s="62"/>
      <c r="CH13" s="62"/>
      <c r="CI13" s="62"/>
      <c r="CJ13" s="62"/>
      <c r="CK13" s="62"/>
      <c r="CL13" s="63" t="str">
        <f>IF(OR(ISNUMBER(CF13),ISNUMBER(CG13),ISNUMBER(CH13),ISNUMBER(CI13),ISNUMBER(CJ13),ISNUMBER(CK13),CF13="X",CG13="X",CH13="X",CI13="X",CJ13="X",CK13="X",CF13="M",CG13="M",CH13="M",CI13="M",CJ13="M",CK13="M"),IF(CF13="X",10,IF(CF13="M",0,IF(ISNUMBER(CF13),CF13,0))) + IF(CG13="X",10,IF(CG13="M",0,IF(ISNUMBER(CG13),CG13,0))) + IF(CH13="X",10,IF(CH13="M",0,IF(ISNUMBER(CH13),CH13,0))) + IF(CI13="X",10,IF(CI13="M",0,IF(ISNUMBER(CI13),CI13,0))) + IF(CJ13="X",10,IF(CJ13="M",0,IF(ISNUMBER(CJ13),CJ13,0))) + IF(CK13="X",10,IF(CK13="M",0,IF(ISNUMBER(CK13),CK13,0))),"")</f>
        <v/>
      </c>
      <c r="CM13" s="62"/>
      <c r="CN13" s="62"/>
      <c r="CO13" s="62"/>
      <c r="CP13" s="62"/>
      <c r="CQ13" s="62"/>
      <c r="CR13" s="62"/>
      <c r="CS13" s="63" t="str">
        <f>IF(OR(ISNUMBER(CM13),ISNUMBER(CN13),ISNUMBER(CO13),ISNUMBER(CP13),ISNUMBER(CQ13),ISNUMBER(CR13),CM13="X",CN13="X",CO13="X",CP13="X",CQ13="X",CR13="X",CM13="M",CN13="M",CO13="M",CP13="M",CQ13="M",CR13="M"),IF(CM13="X",10,IF(CM13="M",0,IF(ISNUMBER(CM13),CM13,0))) + IF(CN13="X",10,IF(CN13="M",0,IF(ISNUMBER(CN13),CN13,0))) + IF(CO13="X",10,IF(CO13="M",0,IF(ISNUMBER(CO13),CO13,0))) + IF(CP13="X",10,IF(CP13="M",0,IF(ISNUMBER(CP13),CP13,0))) + IF(CQ13="X",10,IF(CQ13="M",0,IF(ISNUMBER(CQ13),CQ13,0))) + IF(CR13="X",10,IF(CR13="M",0,IF(ISNUMBER(CR13),CR13,0))),"")</f>
        <v/>
      </c>
      <c r="CT13" s="64"/>
      <c r="CU13" s="64"/>
      <c r="CV13" s="64"/>
      <c r="CW13" s="64"/>
      <c r="CX13" s="64"/>
      <c r="CY13" s="64"/>
      <c r="CZ13" s="63" t="str">
        <f>IF(OR(ISNUMBER(CT13),ISNUMBER(CU13),ISNUMBER(CV13),ISNUMBER(CW13),ISNUMBER(CX13),ISNUMBER(CY13),CT13="X",CU13="X",CV13="X",CW13="X",CX13="X",CY13="X",CT13="M",CU13="M",CV13="M",CW13="M",CX13="M",CY13="M"),IF(CT13="X",10,IF(CT13="M",0,IF(ISNUMBER(CT13),CT13,0))) + IF(CU13="X",10,IF(CU13="M",0,IF(ISNUMBER(CU13),CU13,0))) + IF(CV13="X",10,IF(CV13="M",0,IF(ISNUMBER(CV13),CV13,0))) + IF(CW13="X",10,IF(CW13="M",0,IF(ISNUMBER(CW13),CW13,0))) + IF(CX13="X",10,IF(CX13="M",0,IF(ISNUMBER(CX13),CX13,0))) + IF(CY13="X",10,IF(CY13="M",0,IF(ISNUMBER(CY13),CY13,0))),"")</f>
        <v/>
      </c>
      <c r="DA13" s="65">
        <f>IF(AND(ISNUMBER(BQ13),ISNUMBER(BQ11)),IF(BQ13&gt;BQ11,2,IF(BQ13=BQ11,1,0)),0)+IF(AND(ISNUMBER(BX13),ISNUMBER(BX11)),IF(BX13&gt;BX11,2,IF(BX13=BX11,1,0)),0)+IF(AND(ISNUMBER(CE13),ISNUMBER(CE11)),IF(CE13&gt;CE11,2,IF(CE13=CE11,1,0)),0)+IF(AND(ISNUMBER(CL13),ISNUMBER(CL11)),IF(CL13&gt;CL11,2,IF(CL13=CL11,1,0)),0)+IF(AND(ISNUMBER(CS13),ISNUMBER(CS11)),IF(CS13&gt;CS11,2,IF(CS13=CS11,1,0)),0)</f>
        <v>0</v>
      </c>
      <c r="DB13" s="66"/>
      <c r="DC13" s="67">
        <f>IF(DA13&gt;0,IF(BK13="X",10,IF(BK13="M",0,IF(ISNUMBER(BK13),BK13,0)))+IF(BL13="X",10,IF(BL13="M",0,IF(ISNUMBER(BL13),BL13,0)))+IF(BM13="X",10,IF(BM13="M",0,IF(ISNUMBER(BM13),BM13,0)))+IF(BN13="X",10,IF(BN13="M",0,IF(ISNUMBER(BN13),BN13,0)))+IF(BO13="X",10,IF(BO13="M",0,IF(ISNUMBER(BO13),BO13,0)))+IF(BP13="X",10,IF(BP13="M",0,IF(ISNUMBER(BP13),BP13,0)))+IF(BR13="X",10,IF(BR13="M",0,IF(ISNUMBER(BR13),BR13,0)))+IF(BS13="X",10,IF(BS13="M",0,IF(ISNUMBER(BS13),BS13,0)))+IF(BT13="X",10,IF(BT13="M",0,IF(ISNUMBER(BT13),BT13,0)))+IF(BU13="X",10,IF(BU13="M",0,IF(ISNUMBER(BU13),BU13,0)))+IF(BV13="X",10,IF(BV13="M",0,IF(ISNUMBER(BV13),BV13,0)))+IF(BW13="X",10,IF(BW13="M",0,IF(ISNUMBER(BW13),BW13,0)))+IF(BY13="X",10,IF(BY13="M",0,IF(ISNUMBER(BY13),BY13,0)))+IF(BZ13="X",10,IF(BZ13="M",0,IF(ISNUMBER(BZ13),BZ13,0)))+IF(CA13="X",10,IF(CA13="M",0,IF(ISNUMBER(CA13),CA13,0)))+IF(CB13="X",10,IF(CB13="M",0,IF(ISNUMBER(CB13),CB13,0)))+IF(CC13="X",10,IF(CC13="M",0,IF(ISNUMBER(CC13),CC13,0)))+IF(CD13="X",10,IF(CD13="M",0,IF(ISNUMBER(CD13),CD13,0)))+IF(CF13="X",10,IF(CF13="M",0,IF(ISNUMBER(CF13),CF13,0)))+IF(CG13="X",10,IF(CG13="M",0,IF(ISNUMBER(CG13),CG13,0)))+IF(CH13="X",10,IF(CH13="M",0,IF(ISNUMBER(CH13),CH13,0)))+IF(CI13="X",10,IF(CI13="M",0,IF(ISNUMBER(CI13),CI13,0)))+IF(CJ13="X",10,IF(CJ13="M",0,IF(ISNUMBER(CJ13),CJ13,0)))+IF(CK13="X",10,IF(CK13="M",0,IF(ISNUMBER(CK13),CK13,0)))+IF(CM13="X",10,IF(CM13="M",0,IF(ISNUMBER(CM13),CM13,0)))+IF(CN13="X",10,IF(CN13="M",0,IF(ISNUMBER(CN13),CN13,0)))+IF(CO13="X",10,IF(CO13="M",0,IF(ISNUMBER(CO13),CO13,0)))+IF(CP13="X",10,IF(CP13="M",0,IF(ISNUMBER(CP13),CP13,0)))+IF(CQ13="X",10,IF(CQ13="M",0,IF(ISNUMBER(CQ13),CQ13,0)))+IF(CR13="X",10,IF(CR13="M",0,IF(ISNUMBER(CR13),CR13,0)))+IF(CT13="X",10,IF(CT13="M",0,IF(ISNUMBER(CT13),CT13,0)))+IF(CU13="X",10,IF(CU13="M",0,IF(ISNUMBER(CU13),CU13,0)))+IF(CV13="X",10,IF(CV13="M",0,IF(ISNUMBER(CV13),CV13,0)))+IF(CW13="X",10,IF(CW13="M",0,IF(ISNUMBER(CW13),CW13,0)))+IF(CX13="X",10,IF(CX13="M",0,IF(ISNUMBER(CX13),CX13,0)))+IF(CY13="X",10,IF(CY13="M",0,IF(ISNUMBER(CY13),CY13,0))),0)</f>
        <v>0</v>
      </c>
      <c r="DD13" s="68" t="str">
        <f>IFERROR(IF(DB13="DQ","DISQUALIFIED",IF(DB11="DQ","&gt;&gt; Advance",IF(DF11="BYE","&gt;&gt; Advance",IF(DF13="BYE","BYE",IF(DA13&gt;=6,"WIN",IF(DA11&gt;=6,"LOSS",IF(AND(ISNUMBER(CZ13),ISNUMBER(CZ11)),IF(CZ13&gt;CZ11,"WIN",IF(CZ13&lt;CZ11,"LOSS","Shoot-Off")),"Playing"))))))),"Error")</f>
        <v>&gt;&gt; Advance</v>
      </c>
      <c r="DF13" s="69" t="str">
        <f>IFERROR(IF(AND(BC21="BYE",BC23="BYE"),"BYE",""),"")</f>
        <v>BYE</v>
      </c>
      <c r="DG13" s="61" t="s">
        <v>196</v>
      </c>
      <c r="DH13" s="106" t="str">
        <f>IFERROR(IF(DF21="BYE",IF(DF23="BYE","TBD",BE23),IF(DF23="BYE",BE21,IF(OR(DD21="WIN",DD21="&gt;&gt; Advance"),BE21,IF(OR(DD23="WIN",DD23="&gt;&gt; Advance"),BE23,"TBD")))),"TBD")</f>
        <v>TBD</v>
      </c>
      <c r="DI13" s="106"/>
      <c r="DJ13" s="106"/>
      <c r="DK13" s="107" t="str">
        <f>IF(AND(DH11&lt;&gt;"TBD",DH11&lt;&gt;"",DH13&lt;&gt;"TBD",DH13&lt;&gt;"",FG11&lt;&gt;"&gt;&gt; Advance",FG13&lt;&gt;"&gt;&gt; Advance"),IF((B2-A2+1)&gt;=4,(A2+3)&amp;"",IF((B2-A2+1)&gt;=2,(A2+1)&amp;" R",(A2+MOD(1,(B2-A2+1)))&amp;CHAR(65+FLOOR(1/(B2-A2+1),1)*2+1)&amp;" (R)")),"")</f>
        <v/>
      </c>
      <c r="DL13" s="107"/>
      <c r="DM13" s="107"/>
      <c r="DN13" s="62"/>
      <c r="DO13" s="62"/>
      <c r="DP13" s="62"/>
      <c r="DQ13" s="62"/>
      <c r="DR13" s="62"/>
      <c r="DS13" s="62"/>
      <c r="DT13" s="63" t="str">
        <f>IF(OR(ISNUMBER(DN13),ISNUMBER(DO13),ISNUMBER(DP13),ISNUMBER(DQ13),ISNUMBER(DR13),ISNUMBER(DS13),DN13="X",DO13="X",DP13="X",DQ13="X",DR13="X",DS13="X",DN13="M",DO13="M",DP13="M",DQ13="M",DR13="M",DS13="M"),IF(DN13="X",10,IF(DN13="M",0,IF(ISNUMBER(DN13),DN13,0))) + IF(DO13="X",10,IF(DO13="M",0,IF(ISNUMBER(DO13),DO13,0))) + IF(DP13="X",10,IF(DP13="M",0,IF(ISNUMBER(DP13),DP13,0))) + IF(DQ13="X",10,IF(DQ13="M",0,IF(ISNUMBER(DQ13),DQ13,0))) + IF(DR13="X",10,IF(DR13="M",0,IF(ISNUMBER(DR13),DR13,0))) + IF(DS13="X",10,IF(DS13="M",0,IF(ISNUMBER(DS13),DS13,0))),"")</f>
        <v/>
      </c>
      <c r="DU13" s="62"/>
      <c r="DV13" s="62"/>
      <c r="DW13" s="62"/>
      <c r="DX13" s="62"/>
      <c r="DY13" s="62"/>
      <c r="DZ13" s="62"/>
      <c r="EA13" s="63" t="str">
        <f>IF(OR(ISNUMBER(DU13),ISNUMBER(DV13),ISNUMBER(DW13),ISNUMBER(DX13),ISNUMBER(DY13),ISNUMBER(DZ13),DU13="X",DV13="X",DW13="X",DX13="X",DY13="X",DZ13="X",DU13="M",DV13="M",DW13="M",DX13="M",DY13="M",DZ13="M"),IF(DU13="X",10,IF(DU13="M",0,IF(ISNUMBER(DU13),DU13,0))) + IF(DV13="X",10,IF(DV13="M",0,IF(ISNUMBER(DV13),DV13,0))) + IF(DW13="X",10,IF(DW13="M",0,IF(ISNUMBER(DW13),DW13,0))) + IF(DX13="X",10,IF(DX13="M",0,IF(ISNUMBER(DX13),DX13,0))) + IF(DY13="X",10,IF(DY13="M",0,IF(ISNUMBER(DY13),DY13,0))) + IF(DZ13="X",10,IF(DZ13="M",0,IF(ISNUMBER(DZ13),DZ13,0))),"")</f>
        <v/>
      </c>
      <c r="EB13" s="62"/>
      <c r="EC13" s="62"/>
      <c r="ED13" s="62"/>
      <c r="EE13" s="62"/>
      <c r="EF13" s="62"/>
      <c r="EG13" s="62"/>
      <c r="EH13" s="63" t="str">
        <f>IF(OR(ISNUMBER(EB13),ISNUMBER(EC13),ISNUMBER(ED13),ISNUMBER(EE13),ISNUMBER(EF13),ISNUMBER(EG13),EB13="X",EC13="X",ED13="X",EE13="X",EF13="X",EG13="X",EB13="M",EC13="M",ED13="M",EE13="M",EF13="M",EG13="M"),IF(EB13="X",10,IF(EB13="M",0,IF(ISNUMBER(EB13),EB13,0))) + IF(EC13="X",10,IF(EC13="M",0,IF(ISNUMBER(EC13),EC13,0))) + IF(ED13="X",10,IF(ED13="M",0,IF(ISNUMBER(ED13),ED13,0))) + IF(EE13="X",10,IF(EE13="M",0,IF(ISNUMBER(EE13),EE13,0))) + IF(EF13="X",10,IF(EF13="M",0,IF(ISNUMBER(EF13),EF13,0))) + IF(EG13="X",10,IF(EG13="M",0,IF(ISNUMBER(EG13),EG13,0))),"")</f>
        <v/>
      </c>
      <c r="EI13" s="62"/>
      <c r="EJ13" s="62"/>
      <c r="EK13" s="62"/>
      <c r="EL13" s="62"/>
      <c r="EM13" s="62"/>
      <c r="EN13" s="62"/>
      <c r="EO13" s="63" t="str">
        <f>IF(OR(ISNUMBER(EI13),ISNUMBER(EJ13),ISNUMBER(EK13),ISNUMBER(EL13),ISNUMBER(EM13),ISNUMBER(EN13),EI13="X",EJ13="X",EK13="X",EL13="X",EM13="X",EN13="X",EI13="M",EJ13="M",EK13="M",EL13="M",EM13="M",EN13="M"),IF(EI13="X",10,IF(EI13="M",0,IF(ISNUMBER(EI13),EI13,0))) + IF(EJ13="X",10,IF(EJ13="M",0,IF(ISNUMBER(EJ13),EJ13,0))) + IF(EK13="X",10,IF(EK13="M",0,IF(ISNUMBER(EK13),EK13,0))) + IF(EL13="X",10,IF(EL13="M",0,IF(ISNUMBER(EL13),EL13,0))) + IF(EM13="X",10,IF(EM13="M",0,IF(ISNUMBER(EM13),EM13,0))) + IF(EN13="X",10,IF(EN13="M",0,IF(ISNUMBER(EN13),EN13,0))),"")</f>
        <v/>
      </c>
      <c r="EP13" s="62"/>
      <c r="EQ13" s="62"/>
      <c r="ER13" s="62"/>
      <c r="ES13" s="62"/>
      <c r="ET13" s="62"/>
      <c r="EU13" s="62"/>
      <c r="EV13" s="63" t="str">
        <f>IF(OR(ISNUMBER(EP13),ISNUMBER(EQ13),ISNUMBER(ER13),ISNUMBER(ES13),ISNUMBER(ET13),ISNUMBER(EU13),EP13="X",EQ13="X",ER13="X",ES13="X",ET13="X",EU13="X",EP13="M",EQ13="M",ER13="M",ES13="M",ET13="M",EU13="M"),IF(EP13="X",10,IF(EP13="M",0,IF(ISNUMBER(EP13),EP13,0))) + IF(EQ13="X",10,IF(EQ13="M",0,IF(ISNUMBER(EQ13),EQ13,0))) + IF(ER13="X",10,IF(ER13="M",0,IF(ISNUMBER(ER13),ER13,0))) + IF(ES13="X",10,IF(ES13="M",0,IF(ISNUMBER(ES13),ES13,0))) + IF(ET13="X",10,IF(ET13="M",0,IF(ISNUMBER(ET13),ET13,0))) + IF(EU13="X",10,IF(EU13="M",0,IF(ISNUMBER(EU13),EU13,0))),"")</f>
        <v/>
      </c>
      <c r="EW13" s="64"/>
      <c r="EX13" s="64"/>
      <c r="EY13" s="64"/>
      <c r="EZ13" s="64"/>
      <c r="FA13" s="64"/>
      <c r="FB13" s="64"/>
      <c r="FC13" s="63" t="str">
        <f>IF(OR(ISNUMBER(EW13),ISNUMBER(EX13),ISNUMBER(EY13),ISNUMBER(EZ13),ISNUMBER(FA13),ISNUMBER(FB13),EW13="X",EX13="X",EY13="X",EZ13="X",FA13="X",FB13="X",EW13="M",EX13="M",EY13="M",EZ13="M",FA13="M",FB13="M"),IF(EW13="X",10,IF(EW13="M",0,IF(ISNUMBER(EW13),EW13,0))) + IF(EX13="X",10,IF(EX13="M",0,IF(ISNUMBER(EX13),EX13,0))) + IF(EY13="X",10,IF(EY13="M",0,IF(ISNUMBER(EY13),EY13,0))) + IF(EZ13="X",10,IF(EZ13="M",0,IF(ISNUMBER(EZ13),EZ13,0))) + IF(FA13="X",10,IF(FA13="M",0,IF(ISNUMBER(FA13),FA13,0))) + IF(FB13="X",10,IF(FB13="M",0,IF(ISNUMBER(FB13),FB13,0))),"")</f>
        <v/>
      </c>
      <c r="FD13" s="65">
        <f>IF(AND(ISNUMBER(DT13),ISNUMBER(DT11)),IF(DT13&gt;DT11,2,IF(DT13=DT11,1,0)),0)+IF(AND(ISNUMBER(EA13),ISNUMBER(EA11)),IF(EA13&gt;EA11,2,IF(EA13=EA11,1,0)),0)+IF(AND(ISNUMBER(EH13),ISNUMBER(EH11)),IF(EH13&gt;EH11,2,IF(EH13=EH11,1,0)),0)+IF(AND(ISNUMBER(EO13),ISNUMBER(EO11)),IF(EO13&gt;EO11,2,IF(EO13=EO11,1,0)),0)+IF(AND(ISNUMBER(EV13),ISNUMBER(EV11)),IF(EV13&gt;EV11,2,IF(EV13=EV11,1,0)),0)</f>
        <v>0</v>
      </c>
      <c r="FE13" s="66"/>
      <c r="FF13" s="67">
        <f>IF(FD13&gt;0,IF(DN13="X",10,IF(DN13="M",0,IF(ISNUMBER(DN13),DN13,0)))+IF(DO13="X",10,IF(DO13="M",0,IF(ISNUMBER(DO13),DO13,0)))+IF(DP13="X",10,IF(DP13="M",0,IF(ISNUMBER(DP13),DP13,0)))+IF(DQ13="X",10,IF(DQ13="M",0,IF(ISNUMBER(DQ13),DQ13,0)))+IF(DR13="X",10,IF(DR13="M",0,IF(ISNUMBER(DR13),DR13,0)))+IF(DS13="X",10,IF(DS13="M",0,IF(ISNUMBER(DS13),DS13,0)))+IF(DU13="X",10,IF(DU13="M",0,IF(ISNUMBER(DU13),DU13,0)))+IF(DV13="X",10,IF(DV13="M",0,IF(ISNUMBER(DV13),DV13,0)))+IF(DW13="X",10,IF(DW13="M",0,IF(ISNUMBER(DW13),DW13,0)))+IF(DX13="X",10,IF(DX13="M",0,IF(ISNUMBER(DX13),DX13,0)))+IF(DY13="X",10,IF(DY13="M",0,IF(ISNUMBER(DY13),DY13,0)))+IF(DZ13="X",10,IF(DZ13="M",0,IF(ISNUMBER(DZ13),DZ13,0)))+IF(EB13="X",10,IF(EB13="M",0,IF(ISNUMBER(EB13),EB13,0)))+IF(EC13="X",10,IF(EC13="M",0,IF(ISNUMBER(EC13),EC13,0)))+IF(ED13="X",10,IF(ED13="M",0,IF(ISNUMBER(ED13),ED13,0)))+IF(EE13="X",10,IF(EE13="M",0,IF(ISNUMBER(EE13),EE13,0)))+IF(EF13="X",10,IF(EF13="M",0,IF(ISNUMBER(EF13),EF13,0)))+IF(EG13="X",10,IF(EG13="M",0,IF(ISNUMBER(EG13),EG13,0)))+IF(EI13="X",10,IF(EI13="M",0,IF(ISNUMBER(EI13),EI13,0)))+IF(EJ13="X",10,IF(EJ13="M",0,IF(ISNUMBER(EJ13),EJ13,0)))+IF(EK13="X",10,IF(EK13="M",0,IF(ISNUMBER(EK13),EK13,0)))+IF(EL13="X",10,IF(EL13="M",0,IF(ISNUMBER(EL13),EL13,0)))+IF(EM13="X",10,IF(EM13="M",0,IF(ISNUMBER(EM13),EM13,0)))+IF(EN13="X",10,IF(EN13="M",0,IF(ISNUMBER(EN13),EN13,0)))+IF(EP13="X",10,IF(EP13="M",0,IF(ISNUMBER(EP13),EP13,0)))+IF(EQ13="X",10,IF(EQ13="M",0,IF(ISNUMBER(EQ13),EQ13,0)))+IF(ER13="X",10,IF(ER13="M",0,IF(ISNUMBER(ER13),ER13,0)))+IF(ES13="X",10,IF(ES13="M",0,IF(ISNUMBER(ES13),ES13,0)))+IF(ET13="X",10,IF(ET13="M",0,IF(ISNUMBER(ET13),ET13,0)))+IF(EU13="X",10,IF(EU13="M",0,IF(ISNUMBER(EU13),EU13,0)))+IF(EW13="X",10,IF(EW13="M",0,IF(ISNUMBER(EW13),EW13,0)))+IF(EX13="X",10,IF(EX13="M",0,IF(ISNUMBER(EX13),EX13,0)))+IF(EY13="X",10,IF(EY13="M",0,IF(ISNUMBER(EY13),EY13,0)))+IF(EZ13="X",10,IF(EZ13="M",0,IF(ISNUMBER(EZ13),EZ13,0)))+IF(FA13="X",10,IF(FA13="M",0,IF(ISNUMBER(FA13),FA13,0)))+IF(FB13="X",10,IF(FB13="M",0,IF(ISNUMBER(FB13),FB13,0))),0)</f>
        <v>0</v>
      </c>
      <c r="FG13" s="68" t="str">
        <f>IFERROR(IF(FE13="DQ","DISQUALIFIED",IF(FE11="DQ","&gt;&gt; Advance",IF(FI11="BYE","&gt;&gt; Advance",IF(FI13="BYE","BYE",IF(FD13&gt;=6,"WIN",IF(FD11&gt;=6,"LOSS",IF(AND(ISNUMBER(FC13),ISNUMBER(FC11)),IF(FC13&gt;FC11,"WIN",IF(FC13&lt;FC11,"LOSS","Shoot-Off")),"Playing"))))))),"Error")</f>
        <v>&gt;&gt; Advance</v>
      </c>
      <c r="FI13" s="69" t="str">
        <f>IFERROR(IF(AND(DF21="BYE",DF23="BYE"),"BYE",""),"")</f>
        <v>BYE</v>
      </c>
      <c r="FJ13" s="72" t="s">
        <v>197</v>
      </c>
      <c r="FK13" s="106" t="str">
        <f>IFERROR(IF(OR(FI11="BYE",FI13="BYE"),"",IF(OR(FG11="WIN",FG11="&gt;&gt; Advance"),DH13,IF(OR(FG13="WIN",FG13="&gt;&gt; Advance"),DH11,"TBD"))),"TBD")</f>
        <v/>
      </c>
      <c r="FL13" s="106"/>
      <c r="FM13" s="106"/>
      <c r="FN13" s="107" t="str">
        <f>IF(AND(FK11&lt;&gt;"TBD",FK11&lt;&gt;"",FK13&lt;&gt;"TBD",FK13&lt;&gt;"",HJ11&lt;&gt;"&gt;&gt; Advance",HJ13&lt;&gt;"&gt;&gt; Advance"),IF((B2-A2+1)&gt;=4,(A2+3)&amp;"",IF((B2-A2+1)&gt;=2,(A2+1)&amp;" R",(A2+MOD(1,(B2-A2+1)))&amp;CHAR(65+FLOOR(1/(B2-A2+1),1)*2+1)&amp;" (R)")),"")</f>
        <v/>
      </c>
      <c r="FO13" s="107"/>
      <c r="FP13" s="107"/>
      <c r="FQ13" s="62"/>
      <c r="FR13" s="62"/>
      <c r="FS13" s="62"/>
      <c r="FT13" s="62"/>
      <c r="FU13" s="62"/>
      <c r="FV13" s="62"/>
      <c r="FW13" s="63" t="str">
        <f>IF(OR(ISNUMBER(FQ13),ISNUMBER(FR13),ISNUMBER(FS13),ISNUMBER(FT13),ISNUMBER(FU13),ISNUMBER(FV13),FQ13="X",FR13="X",FS13="X",FT13="X",FU13="X",FV13="X",FQ13="M",FR13="M",FS13="M",FT13="M",FU13="M",FV13="M"),IF(FQ13="X",10,IF(FQ13="M",0,IF(ISNUMBER(FQ13),FQ13,0))) + IF(FR13="X",10,IF(FR13="M",0,IF(ISNUMBER(FR13),FR13,0))) + IF(FS13="X",10,IF(FS13="M",0,IF(ISNUMBER(FS13),FS13,0))) + IF(FT13="X",10,IF(FT13="M",0,IF(ISNUMBER(FT13),FT13,0))) + IF(FU13="X",10,IF(FU13="M",0,IF(ISNUMBER(FU13),FU13,0))) + IF(FV13="X",10,IF(FV13="M",0,IF(ISNUMBER(FV13),FV13,0))),"")</f>
        <v/>
      </c>
      <c r="FX13" s="62"/>
      <c r="FY13" s="62"/>
      <c r="FZ13" s="62"/>
      <c r="GA13" s="62"/>
      <c r="GB13" s="62"/>
      <c r="GC13" s="62"/>
      <c r="GD13" s="63" t="str">
        <f>IF(OR(ISNUMBER(FX13),ISNUMBER(FY13),ISNUMBER(FZ13),ISNUMBER(GA13),ISNUMBER(GB13),ISNUMBER(GC13),FX13="X",FY13="X",FZ13="X",GA13="X",GB13="X",GC13="X",FX13="M",FY13="M",FZ13="M",GA13="M",GB13="M",GC13="M"),IF(FX13="X",10,IF(FX13="M",0,IF(ISNUMBER(FX13),FX13,0))) + IF(FY13="X",10,IF(FY13="M",0,IF(ISNUMBER(FY13),FY13,0))) + IF(FZ13="X",10,IF(FZ13="M",0,IF(ISNUMBER(FZ13),FZ13,0))) + IF(GA13="X",10,IF(GA13="M",0,IF(ISNUMBER(GA13),GA13,0))) + IF(GB13="X",10,IF(GB13="M",0,IF(ISNUMBER(GB13),GB13,0))) + IF(GC13="X",10,IF(GC13="M",0,IF(ISNUMBER(GC13),GC13,0))),"")</f>
        <v/>
      </c>
      <c r="GE13" s="62"/>
      <c r="GF13" s="62"/>
      <c r="GG13" s="62"/>
      <c r="GH13" s="62"/>
      <c r="GI13" s="62"/>
      <c r="GJ13" s="62"/>
      <c r="GK13" s="63" t="str">
        <f>IF(OR(ISNUMBER(GE13),ISNUMBER(GF13),ISNUMBER(GG13),ISNUMBER(GH13),ISNUMBER(GI13),ISNUMBER(GJ13),GE13="X",GF13="X",GG13="X",GH13="X",GI13="X",GJ13="X",GE13="M",GF13="M",GG13="M",GH13="M",GI13="M",GJ13="M"),IF(GE13="X",10,IF(GE13="M",0,IF(ISNUMBER(GE13),GE13,0))) + IF(GF13="X",10,IF(GF13="M",0,IF(ISNUMBER(GF13),GF13,0))) + IF(GG13="X",10,IF(GG13="M",0,IF(ISNUMBER(GG13),GG13,0))) + IF(GH13="X",10,IF(GH13="M",0,IF(ISNUMBER(GH13),GH13,0))) + IF(GI13="X",10,IF(GI13="M",0,IF(ISNUMBER(GI13),GI13,0))) + IF(GJ13="X",10,IF(GJ13="M",0,IF(ISNUMBER(GJ13),GJ13,0))),"")</f>
        <v/>
      </c>
      <c r="GL13" s="62"/>
      <c r="GM13" s="62"/>
      <c r="GN13" s="62"/>
      <c r="GO13" s="62"/>
      <c r="GP13" s="62"/>
      <c r="GQ13" s="62"/>
      <c r="GR13" s="63" t="str">
        <f>IF(OR(ISNUMBER(GL13),ISNUMBER(GM13),ISNUMBER(GN13),ISNUMBER(GO13),ISNUMBER(GP13),ISNUMBER(GQ13),GL13="X",GM13="X",GN13="X",GO13="X",GP13="X",GQ13="X",GL13="M",GM13="M",GN13="M",GO13="M",GP13="M",GQ13="M"),IF(GL13="X",10,IF(GL13="M",0,IF(ISNUMBER(GL13),GL13,0))) + IF(GM13="X",10,IF(GM13="M",0,IF(ISNUMBER(GM13),GM13,0))) + IF(GN13="X",10,IF(GN13="M",0,IF(ISNUMBER(GN13),GN13,0))) + IF(GO13="X",10,IF(GO13="M",0,IF(ISNUMBER(GO13),GO13,0))) + IF(GP13="X",10,IF(GP13="M",0,IF(ISNUMBER(GP13),GP13,0))) + IF(GQ13="X",10,IF(GQ13="M",0,IF(ISNUMBER(GQ13),GQ13,0))),"")</f>
        <v/>
      </c>
      <c r="GS13" s="62"/>
      <c r="GT13" s="62"/>
      <c r="GU13" s="62"/>
      <c r="GV13" s="62"/>
      <c r="GW13" s="62"/>
      <c r="GX13" s="62"/>
      <c r="GY13" s="63" t="str">
        <f>IF(OR(ISNUMBER(GS13),ISNUMBER(GT13),ISNUMBER(GU13),ISNUMBER(GV13),ISNUMBER(GW13),ISNUMBER(GX13),GS13="X",GT13="X",GU13="X",GV13="X",GW13="X",GX13="X",GS13="M",GT13="M",GU13="M",GV13="M",GW13="M",GX13="M"),IF(GS13="X",10,IF(GS13="M",0,IF(ISNUMBER(GS13),GS13,0))) + IF(GT13="X",10,IF(GT13="M",0,IF(ISNUMBER(GT13),GT13,0))) + IF(GU13="X",10,IF(GU13="M",0,IF(ISNUMBER(GU13),GU13,0))) + IF(GV13="X",10,IF(GV13="M",0,IF(ISNUMBER(GV13),GV13,0))) + IF(GW13="X",10,IF(GW13="M",0,IF(ISNUMBER(GW13),GW13,0))) + IF(GX13="X",10,IF(GX13="M",0,IF(ISNUMBER(GX13),GX13,0))),"")</f>
        <v/>
      </c>
      <c r="GZ13" s="64"/>
      <c r="HA13" s="64"/>
      <c r="HB13" s="64"/>
      <c r="HC13" s="64"/>
      <c r="HD13" s="64"/>
      <c r="HE13" s="64"/>
      <c r="HF13" s="63" t="str">
        <f>IF(OR(ISNUMBER(GZ13),ISNUMBER(HA13),ISNUMBER(HB13),ISNUMBER(HC13),ISNUMBER(HD13),ISNUMBER(HE13),GZ13="X",HA13="X",HB13="X",HC13="X",HD13="X",HE13="X",GZ13="M",HA13="M",HB13="M",HC13="M",HD13="M",HE13="M"),IF(GZ13="X",10,IF(GZ13="M",0,IF(ISNUMBER(GZ13),GZ13,0))) + IF(HA13="X",10,IF(HA13="M",0,IF(ISNUMBER(HA13),HA13,0))) + IF(HB13="X",10,IF(HB13="M",0,IF(ISNUMBER(HB13),HB13,0))) + IF(HC13="X",10,IF(HC13="M",0,IF(ISNUMBER(HC13),HC13,0))) + IF(HD13="X",10,IF(HD13="M",0,IF(ISNUMBER(HD13),HD13,0))) + IF(HE13="X",10,IF(HE13="M",0,IF(ISNUMBER(HE13),HE13,0))),"")</f>
        <v/>
      </c>
      <c r="HG13" s="65">
        <f>IF(AND(ISNUMBER(FW13),ISNUMBER(FW11)),IF(FW13&gt;FW11,2,IF(FW13=FW11,1,0)),0)+IF(AND(ISNUMBER(GD13),ISNUMBER(GD11)),IF(GD13&gt;GD11,2,IF(GD13=GD11,1,0)),0)+IF(AND(ISNUMBER(GK13),ISNUMBER(GK11)),IF(GK13&gt;GK11,2,IF(GK13=GK11,1,0)),0)+IF(AND(ISNUMBER(GR13),ISNUMBER(GR11)),IF(GR13&gt;GR11,2,IF(GR13=GR11,1,0)),0)+IF(AND(ISNUMBER(GY13),ISNUMBER(GY11)),IF(GY13&gt;GY11,2,IF(GY13=GY11,1,0)),0)</f>
        <v>0</v>
      </c>
      <c r="HH13" s="66"/>
      <c r="HI13" s="67">
        <f>IF(HG13&gt;0,IF(FQ13="X",10,IF(FQ13="M",0,IF(ISNUMBER(FQ13),FQ13,0)))+IF(FR13="X",10,IF(FR13="M",0,IF(ISNUMBER(FR13),FR13,0)))+IF(FS13="X",10,IF(FS13="M",0,IF(ISNUMBER(FS13),FS13,0)))+IF(FT13="X",10,IF(FT13="M",0,IF(ISNUMBER(FT13),FT13,0)))+IF(FU13="X",10,IF(FU13="M",0,IF(ISNUMBER(FU13),FU13,0)))+IF(FV13="X",10,IF(FV13="M",0,IF(ISNUMBER(FV13),FV13,0)))+IF(FX13="X",10,IF(FX13="M",0,IF(ISNUMBER(FX13),FX13,0)))+IF(FY13="X",10,IF(FY13="M",0,IF(ISNUMBER(FY13),FY13,0)))+IF(FZ13="X",10,IF(FZ13="M",0,IF(ISNUMBER(FZ13),FZ13,0)))+IF(GA13="X",10,IF(GA13="M",0,IF(ISNUMBER(GA13),GA13,0)))+IF(GB13="X",10,IF(GB13="M",0,IF(ISNUMBER(GB13),GB13,0)))+IF(GC13="X",10,IF(GC13="M",0,IF(ISNUMBER(GC13),GC13,0)))+IF(GE13="X",10,IF(GE13="M",0,IF(ISNUMBER(GE13),GE13,0)))+IF(GF13="X",10,IF(GF13="M",0,IF(ISNUMBER(GF13),GF13,0)))+IF(GG13="X",10,IF(GG13="M",0,IF(ISNUMBER(GG13),GG13,0)))+IF(GH13="X",10,IF(GH13="M",0,IF(ISNUMBER(GH13),GH13,0)))+IF(GI13="X",10,IF(GI13="M",0,IF(ISNUMBER(GI13),GI13,0)))+IF(GJ13="X",10,IF(GJ13="M",0,IF(ISNUMBER(GJ13),GJ13,0)))+IF(GL13="X",10,IF(GL13="M",0,IF(ISNUMBER(GL13),GL13,0)))+IF(GM13="X",10,IF(GM13="M",0,IF(ISNUMBER(GM13),GM13,0)))+IF(GN13="X",10,IF(GN13="M",0,IF(ISNUMBER(GN13),GN13,0)))+IF(GO13="X",10,IF(GO13="M",0,IF(ISNUMBER(GO13),GO13,0)))+IF(GP13="X",10,IF(GP13="M",0,IF(ISNUMBER(GP13),GP13,0)))+IF(GQ13="X",10,IF(GQ13="M",0,IF(ISNUMBER(GQ13),GQ13,0)))+IF(GS13="X",10,IF(GS13="M",0,IF(ISNUMBER(GS13),GS13,0)))+IF(GT13="X",10,IF(GT13="M",0,IF(ISNUMBER(GT13),GT13,0)))+IF(GU13="X",10,IF(GU13="M",0,IF(ISNUMBER(GU13),GU13,0)))+IF(GV13="X",10,IF(GV13="M",0,IF(ISNUMBER(GV13),GV13,0)))+IF(GW13="X",10,IF(GW13="M",0,IF(ISNUMBER(GW13),GW13,0)))+IF(GX13="X",10,IF(GX13="M",0,IF(ISNUMBER(GX13),GX13,0)))+IF(GZ13="X",10,IF(GZ13="M",0,IF(ISNUMBER(GZ13),GZ13,0)))+IF(HA13="X",10,IF(HA13="M",0,IF(ISNUMBER(HA13),HA13,0)))+IF(HB13="X",10,IF(HB13="M",0,IF(ISNUMBER(HB13),HB13,0)))+IF(HC13="X",10,IF(HC13="M",0,IF(ISNUMBER(HC13),HC13,0)))+IF(HD13="X",10,IF(HD13="M",0,IF(ISNUMBER(HD13),HD13,0)))+IF(HE13="X",10,IF(HE13="M",0,IF(ISNUMBER(HE13),HE13,0))),0)</f>
        <v>0</v>
      </c>
      <c r="HJ13" s="68" t="str">
        <f>IFERROR(IF(HH13="DQ","DISQUALIFIED",IF(HH11="DQ","&gt;&gt; Advance",IF(HL11="BYE","&gt;&gt; Advance",IF(HL13="BYE","BYE",IF(HG13&gt;=6,"WIN",IF(HG11&gt;=6,"LOSS",IF(AND(ISNUMBER(HF13),ISNUMBER(HF11)),IF(HF13&gt;HF11,"WIN",IF(HF13&lt;HF11,"LOSS","Shoot-Off")),"Playing"))))))),"Error")</f>
        <v>Playing</v>
      </c>
      <c r="HL13" s="69" t="str">
        <f>""</f>
        <v/>
      </c>
      <c r="HM13" s="113" t="str">
        <f>IFERROR(IF(OR(HM11="TBD",HM11=""),"",IF(OR(ISNUMBER(MATCH(HM11,'Novice 15M - Teams'!$N:$N,0)),ISNUMBER(MATCH(HM11,'Novice 15M - Teams'!$B:$B,0))),IF(ISNUMBER(MATCH(HM11,'Novice 15M - Teams'!$N:$N,0)),"Club: "&amp;INDEX('Novice 15M - Teams'!$C:$C,IF(ISNUMBER(MATCH(HM11,'Novice 15M - Teams'!$N:$N,0)),MATCH(HM11,'Novice 15M - Teams'!$N:$N,0),MATCH(HM11,'Novice 15M - Teams'!$B:$B,0)))&amp;"  |  "&amp;INDEX('Novice 15M - Teams'!$D:$D,IF(ISNUMBER(MATCH(HM11,'Novice 15M - Teams'!$N:$N,0)),MATCH(HM11,'Novice 15M - Teams'!$N:$N,0),MATCH(HM11,'Novice 15M - Teams'!$B:$B,0)))&amp;IF(INDEX('Novice 15M - Teams'!$E:$E,IF(ISNUMBER(MATCH(HM11,'Novice 15M - Teams'!$N:$N,0)),MATCH(HM11,'Novice 15M - Teams'!$N:$N,0),MATCH(HM11,'Novice 15M - Teams'!$B:$B,0)))&lt;&gt;"",", "&amp;INDEX('Novice 15M - Teams'!$E:$E,IF(ISNUMBER(MATCH(HM11,'Novice 15M - Teams'!$N:$N,0)),MATCH(HM11,'Novice 15M - Teams'!$N:$N,0),MATCH(HM11,'Novice 15M - Teams'!$B:$B,0))),"")&amp;IF(INDEX('Novice 15M - Teams'!$F:$F,IF(ISNUMBER(MATCH(HM11,'Novice 15M - Teams'!$N:$N,0)),MATCH(HM11,'Novice 15M - Teams'!$N:$N,0),MATCH(HM11,'Novice 15M - Teams'!$B:$B,0)))&lt;&gt;"",", "&amp;INDEX('Novice 15M - Teams'!$F:$F,IF(ISNUMBER(MATCH(HM11,'Novice 15M - Teams'!$N:$N,0)),MATCH(HM11,'Novice 15M - Teams'!$N:$N,0),MATCH(HM11,'Novice 15M - Teams'!$B:$B,0))),""),"Club: "&amp;INDEX('Novice 15M - Teams'!$C:$C,IF(ISNUMBER(MATCH(HM11,'Novice 15M - Teams'!$N:$N,0)),MATCH(HM11,'Novice 15M - Teams'!$N:$N,0),MATCH(HM11,'Novice 15M - Teams'!$B:$B,0)))),"")),"")</f>
        <v/>
      </c>
      <c r="HN13" s="113"/>
      <c r="HO13" s="113"/>
      <c r="HP13" s="113"/>
      <c r="HQ13" s="113"/>
      <c r="HR13" s="113"/>
      <c r="HS13" s="113"/>
      <c r="HT13" s="113"/>
      <c r="HU13" s="113"/>
      <c r="HV13" s="113"/>
      <c r="HW13" s="113"/>
      <c r="HX13" s="113"/>
      <c r="HY13" s="113"/>
      <c r="HZ13" s="113"/>
      <c r="IA13" s="113"/>
      <c r="IB13" s="113"/>
    </row>
    <row r="14" spans="1:237" ht="1.5" customHeight="1" x14ac:dyDescent="0.35">
      <c r="HM14" s="113"/>
      <c r="HN14" s="113"/>
      <c r="HO14" s="113"/>
      <c r="HP14" s="113"/>
      <c r="HQ14" s="113"/>
      <c r="HR14" s="113"/>
      <c r="HS14" s="113"/>
      <c r="HT14" s="113"/>
      <c r="HU14" s="113"/>
      <c r="HV14" s="113"/>
      <c r="HW14" s="113"/>
      <c r="HX14" s="113"/>
      <c r="HY14" s="113"/>
      <c r="HZ14" s="113"/>
      <c r="IA14" s="113"/>
      <c r="IB14" s="113"/>
    </row>
    <row r="15" spans="1:237" ht="10.5" customHeight="1" x14ac:dyDescent="0.35">
      <c r="A15" s="104" t="s">
        <v>198</v>
      </c>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t="s">
        <v>199</v>
      </c>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c r="CH15" s="104"/>
      <c r="CI15" s="104"/>
      <c r="CJ15" s="104"/>
      <c r="CK15" s="104"/>
      <c r="CL15" s="104"/>
      <c r="CM15" s="104"/>
      <c r="CN15" s="104"/>
      <c r="CO15" s="104"/>
      <c r="CP15" s="104"/>
      <c r="CQ15" s="104"/>
      <c r="CR15" s="104"/>
      <c r="CS15" s="104"/>
      <c r="CT15" s="104"/>
      <c r="CU15" s="104"/>
      <c r="CV15" s="104"/>
      <c r="CW15" s="104"/>
      <c r="CX15" s="104"/>
      <c r="CY15" s="104"/>
      <c r="CZ15" s="104"/>
      <c r="DA15" s="104"/>
      <c r="DB15" s="104"/>
      <c r="DC15" s="104"/>
      <c r="DD15" s="104"/>
      <c r="DE15" s="104"/>
      <c r="DF15" s="104"/>
      <c r="HM15" s="114" t="s">
        <v>200</v>
      </c>
      <c r="HN15" s="114"/>
      <c r="HO15" s="114"/>
      <c r="HP15" s="114"/>
      <c r="HQ15" s="114"/>
      <c r="HR15" s="114"/>
      <c r="HS15" s="114"/>
      <c r="HT15" s="114"/>
      <c r="HU15" s="114"/>
      <c r="HV15" s="114"/>
      <c r="HW15" s="114"/>
      <c r="HX15" s="114"/>
      <c r="HY15" s="114"/>
      <c r="HZ15" s="114"/>
      <c r="IA15" s="114"/>
      <c r="IB15" s="114"/>
    </row>
    <row r="16" spans="1:237" ht="15.75" customHeight="1" x14ac:dyDescent="0.35">
      <c r="A16" s="61" t="str">
        <f>IFERROR(IF(INDEX('Novice 15M - Teams'!$L:$L,MATCH(5,'Novice 15M - Teams'!$A:$A,0))="Yes","BYE",IF(OR(INDEX('Novice 15M - Teams'!$B:$B,MATCH(5,'Novice 15M - Teams'!$A:$A,0))="",ISERROR(MATCH(5,'Novice 15M - Teams'!$A:$A,0))),"BYE","#5")),"BYE")</f>
        <v>BYE</v>
      </c>
      <c r="B16" s="106" t="str">
        <f>IFERROR(IF(INDEX('Novice 15M - Teams'!$L:$L,MATCH(5,'Novice 15M - Teams'!$A:$A,0))="Yes","",IF(INDEX('Novice 15M - Teams'!$N:$N,MATCH(5,'Novice 15M - Teams'!$A:$A,0))&lt;&gt;"",INDEX('Novice 15M - Teams'!$N:$N,MATCH(5,'Novice 15M - Teams'!$A:$A,0)),IF(INDEX('Novice 15M - Teams'!$B:$B,MATCH(5,'Novice 15M - Teams'!$A:$A,0))="","",INDEX('Novice 15M - Teams'!$B:$B,MATCH(5,'Novice 15M - Teams'!$A:$A,0))))),"")</f>
        <v/>
      </c>
      <c r="C16" s="106"/>
      <c r="D16" s="106"/>
      <c r="E16" s="107" t="str">
        <f>IF(OR(A16="BYE",BA16="&gt;&gt; Advance"),"",IF((B2-A2+1)&gt;=8,(A2+MOD(INT((SUMPRODUCT(IF(A6&lt;&gt;"BYE",IF(A6&lt;&gt;"",IF(BA6&lt;&gt;"&gt;&gt; Advance",1,0),0),0)+IF(A8&lt;&gt;"BYE",IF(A8&lt;&gt;"",IF(BA8&lt;&gt;"&gt;&gt; Advance",1,0),0),0)+IF(A11&lt;&gt;"BYE",IF(A11&lt;&gt;"",IF(BA11&lt;&gt;"&gt;&gt; Advance",1,0),0),0)+IF(A13&lt;&gt;"BYE",IF(A13&lt;&gt;"",IF(BA13&lt;&gt;"&gt;&gt; Advance",1,0),0),0)+IF(A16&lt;&gt;"BYE",IF(A16&lt;&gt;"",IF(BA16&lt;&gt;"&gt;&gt; Advance",1,0),0),0))-1)/2),(B2-A2+1)))&amp;IF((MOD(SUMPRODUCT(IF(A6&lt;&gt;"BYE",IF(A6&lt;&gt;"",IF(BA6&lt;&gt;"&gt;&gt; Advance",1,0),0),0)+IF(A8&lt;&gt;"BYE",IF(A8&lt;&gt;"",IF(BA8&lt;&gt;"&gt;&gt; Advance",1,0),0),0)+IF(A11&lt;&gt;"BYE",IF(A11&lt;&gt;"",IF(BA11&lt;&gt;"&gt;&gt; Advance",1,0),0),0)+IF(A13&lt;&gt;"BYE",IF(A13&lt;&gt;"",IF(BA13&lt;&gt;"&gt;&gt; Advance",1,0),0),0)+IF(A16&lt;&gt;"BYE",IF(A16&lt;&gt;"",IF(BA16&lt;&gt;"&gt;&gt; Advance",1,0),0),0))-1,2)=0)," L"," R"),(A2+MOD(INT((SUMPRODUCT(IF(A6&lt;&gt;"BYE",IF(A6&lt;&gt;"",IF(BA6&lt;&gt;"&gt;&gt; Advance",1,0),0),0)+IF(A8&lt;&gt;"BYE",IF(A8&lt;&gt;"",IF(BA8&lt;&gt;"&gt;&gt; Advance",1,0),0),0)+IF(A11&lt;&gt;"BYE",IF(A11&lt;&gt;"",IF(BA11&lt;&gt;"&gt;&gt; Advance",1,0),0),0)+IF(A13&lt;&gt;"BYE",IF(A13&lt;&gt;"",IF(BA13&lt;&gt;"&gt;&gt; Advance",1,0),0),0)+IF(A16&lt;&gt;"BYE",IF(A16&lt;&gt;"",IF(BA16&lt;&gt;"&gt;&gt;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Advance",1,0),0),0))-1)/2)/(B2-A2+1),1)*2+MOD(SUMPRODUCT(IF(A6&lt;&gt;"BYE",IF(A6&lt;&gt;"",IF(BA6&lt;&gt;"&gt;&gt; Advance",1,0),0),0)+IF(A8&lt;&gt;"BYE",IF(A8&lt;&gt;"",IF(BA8&lt;&gt;"&gt;&gt; Advance",1,0),0),0)+IF(A11&lt;&gt;"BYE",IF(A11&lt;&gt;"",IF(BA11&lt;&gt;"&gt;&gt; Advance",1,0),0),0)+IF(A13&lt;&gt;"BYE",IF(A13&lt;&gt;"",IF(BA13&lt;&gt;"&gt;&gt; Advance",1,0),0),0)+IF(A16&lt;&gt;"BYE",IF(A16&lt;&gt;"",IF(BA16&lt;&gt;"&gt;&gt; Advance",1,0),0),0))-1,2))&amp;IF((MOD(SUMPRODUCT(IF(A6&lt;&gt;"BYE",IF(A6&lt;&gt;"",IF(BA6&lt;&gt;"&gt;&gt; Advance",1,0),0),0)+IF(A8&lt;&gt;"BYE",IF(A8&lt;&gt;"",IF(BA8&lt;&gt;"&gt;&gt; Advance",1,0),0),0)+IF(A11&lt;&gt;"BYE",IF(A11&lt;&gt;"",IF(BA11&lt;&gt;"&gt;&gt; Advance",1,0),0),0)+IF(A13&lt;&gt;"BYE",IF(A13&lt;&gt;"",IF(BA13&lt;&gt;"&gt;&gt; Advance",1,0),0),0)+IF(A16&lt;&gt;"BYE",IF(A16&lt;&gt;"",IF(BA16&lt;&gt;"&gt;&gt; Advance",1,0),0),0))-1,2)=0)," (L)"," (R)")))</f>
        <v/>
      </c>
      <c r="F16" s="107"/>
      <c r="G16" s="107"/>
      <c r="H16" s="62"/>
      <c r="I16" s="62"/>
      <c r="J16" s="62"/>
      <c r="K16" s="62"/>
      <c r="L16" s="62"/>
      <c r="M16" s="62"/>
      <c r="N16" s="63" t="str">
        <f>IF(OR(ISNUMBER(H16),ISNUMBER(I16),ISNUMBER(J16),ISNUMBER(K16),ISNUMBER(L16),ISNUMBER(M16),H16="X",I16="X",J16="X",K16="X",L16="X",M16="X",H16="M",I16="M",J16="M",K16="M",L16="M",M16="M"),IF(H16="X",10,IF(H16="M",0,IF(ISNUMBER(H16),H16,0))) + IF(I16="X",10,IF(I16="M",0,IF(ISNUMBER(I16),I16,0))) + IF(J16="X",10,IF(J16="M",0,IF(ISNUMBER(J16),J16,0))) + IF(K16="X",10,IF(K16="M",0,IF(ISNUMBER(K16),K16,0))) + IF(L16="X",10,IF(L16="M",0,IF(ISNUMBER(L16),L16,0))) + IF(M16="X",10,IF(M16="M",0,IF(ISNUMBER(M16),M16,0))),"")</f>
        <v/>
      </c>
      <c r="O16" s="62"/>
      <c r="P16" s="62"/>
      <c r="Q16" s="62"/>
      <c r="R16" s="62"/>
      <c r="S16" s="62"/>
      <c r="T16" s="62"/>
      <c r="U16" s="63" t="str">
        <f>IF(OR(ISNUMBER(O16),ISNUMBER(P16),ISNUMBER(Q16),ISNUMBER(R16),ISNUMBER(S16),ISNUMBER(T16),O16="X",P16="X",Q16="X",R16="X",S16="X",T16="X",O16="M",P16="M",Q16="M",R16="M",S16="M",T16="M"),IF(O16="X",10,IF(O16="M",0,IF(ISNUMBER(O16),O16,0))) + IF(P16="X",10,IF(P16="M",0,IF(ISNUMBER(P16),P16,0))) + IF(Q16="X",10,IF(Q16="M",0,IF(ISNUMBER(Q16),Q16,0))) + IF(R16="X",10,IF(R16="M",0,IF(ISNUMBER(R16),R16,0))) + IF(S16="X",10,IF(S16="M",0,IF(ISNUMBER(S16),S16,0))) + IF(T16="X",10,IF(T16="M",0,IF(ISNUMBER(T16),T16,0))),"")</f>
        <v/>
      </c>
      <c r="V16" s="62"/>
      <c r="W16" s="62"/>
      <c r="X16" s="62"/>
      <c r="Y16" s="62"/>
      <c r="Z16" s="62"/>
      <c r="AA16" s="62"/>
      <c r="AB16" s="63" t="str">
        <f>IF(OR(ISNUMBER(V16),ISNUMBER(W16),ISNUMBER(X16),ISNUMBER(Y16),ISNUMBER(Z16),ISNUMBER(AA16),V16="X",W16="X",X16="X",Y16="X",Z16="X",AA16="X",V16="M",W16="M",X16="M",Y16="M",Z16="M",AA16="M"),IF(V16="X",10,IF(V16="M",0,IF(ISNUMBER(V16),V16,0))) + IF(W16="X",10,IF(W16="M",0,IF(ISNUMBER(W16),W16,0))) + IF(X16="X",10,IF(X16="M",0,IF(ISNUMBER(X16),X16,0))) + IF(Y16="X",10,IF(Y16="M",0,IF(ISNUMBER(Y16),Y16,0))) + IF(Z16="X",10,IF(Z16="M",0,IF(ISNUMBER(Z16),Z16,0))) + IF(AA16="X",10,IF(AA16="M",0,IF(ISNUMBER(AA16),AA16,0))),"")</f>
        <v/>
      </c>
      <c r="AC16" s="62"/>
      <c r="AD16" s="62"/>
      <c r="AE16" s="62"/>
      <c r="AF16" s="62"/>
      <c r="AG16" s="62"/>
      <c r="AH16" s="62"/>
      <c r="AI16" s="63" t="str">
        <f>IF(OR(ISNUMBER(AC16),ISNUMBER(AD16),ISNUMBER(AE16),ISNUMBER(AF16),ISNUMBER(AG16),ISNUMBER(AH16),AC16="X",AD16="X",AE16="X",AF16="X",AG16="X",AH16="X",AC16="M",AD16="M",AE16="M",AF16="M",AG16="M",AH16="M"),IF(AC16="X",10,IF(AC16="M",0,IF(ISNUMBER(AC16),AC16,0))) + IF(AD16="X",10,IF(AD16="M",0,IF(ISNUMBER(AD16),AD16,0))) + IF(AE16="X",10,IF(AE16="M",0,IF(ISNUMBER(AE16),AE16,0))) + IF(AF16="X",10,IF(AF16="M",0,IF(ISNUMBER(AF16),AF16,0))) + IF(AG16="X",10,IF(AG16="M",0,IF(ISNUMBER(AG16),AG16,0))) + IF(AH16="X",10,IF(AH16="M",0,IF(ISNUMBER(AH16),AH16,0))),"")</f>
        <v/>
      </c>
      <c r="AJ16" s="62"/>
      <c r="AK16" s="62"/>
      <c r="AL16" s="62"/>
      <c r="AM16" s="62"/>
      <c r="AN16" s="62"/>
      <c r="AO16" s="62"/>
      <c r="AP16" s="63" t="str">
        <f>IF(OR(ISNUMBER(AJ16),ISNUMBER(AK16),ISNUMBER(AL16),ISNUMBER(AM16),ISNUMBER(AN16),ISNUMBER(AO16),AJ16="X",AK16="X",AL16="X",AM16="X",AN16="X",AO16="X",AJ16="M",AK16="M",AL16="M",AM16="M",AN16="M",AO16="M"),IF(AJ16="X",10,IF(AJ16="M",0,IF(ISNUMBER(AJ16),AJ16,0))) + IF(AK16="X",10,IF(AK16="M",0,IF(ISNUMBER(AK16),AK16,0))) + IF(AL16="X",10,IF(AL16="M",0,IF(ISNUMBER(AL16),AL16,0))) + IF(AM16="X",10,IF(AM16="M",0,IF(ISNUMBER(AM16),AM16,0))) + IF(AN16="X",10,IF(AN16="M",0,IF(ISNUMBER(AN16),AN16,0))) + IF(AO16="X",10,IF(AO16="M",0,IF(ISNUMBER(AO16),AO16,0))),"")</f>
        <v/>
      </c>
      <c r="AQ16" s="64"/>
      <c r="AR16" s="64"/>
      <c r="AS16" s="64"/>
      <c r="AT16" s="64"/>
      <c r="AU16" s="64"/>
      <c r="AV16" s="64"/>
      <c r="AW16" s="63" t="str">
        <f>IF(OR(ISNUMBER(AQ16),ISNUMBER(AR16),ISNUMBER(AS16),ISNUMBER(AT16),ISNUMBER(AU16),ISNUMBER(AV16),AQ16="X",AR16="X",AS16="X",AT16="X",AU16="X",AV16="X",AQ16="M",AR16="M",AS16="M",AT16="M",AU16="M",AV16="M"),IF(AQ16="X",10,IF(AQ16="M",0,IF(ISNUMBER(AQ16),AQ16,0))) + IF(AR16="X",10,IF(AR16="M",0,IF(ISNUMBER(AR16),AR16,0))) + IF(AS16="X",10,IF(AS16="M",0,IF(ISNUMBER(AS16),AS16,0))) + IF(AT16="X",10,IF(AT16="M",0,IF(ISNUMBER(AT16),AT16,0))) + IF(AU16="X",10,IF(AU16="M",0,IF(ISNUMBER(AU16),AU16,0))) + IF(AV16="X",10,IF(AV16="M",0,IF(ISNUMBER(AV16),AV16,0))),"")</f>
        <v/>
      </c>
      <c r="AX16" s="65">
        <f>IF(AND(ISNUMBER(N16),ISNUMBER(N18)),IF(N16&gt;N18,2,IF(N16=N18,1,0)),0)+IF(AND(ISNUMBER(U16),ISNUMBER(U18)),IF(U16&gt;U18,2,IF(U16=U18,1,0)),0)+IF(AND(ISNUMBER(AB16),ISNUMBER(AB18)),IF(AB16&gt;AB18,2,IF(AB16=AB18,1,0)),0)+IF(AND(ISNUMBER(AI16),ISNUMBER(AI18)),IF(AI16&gt;AI18,2,IF(AI16=AI18,1,0)),0)+IF(AND(ISNUMBER(AP16),ISNUMBER(AP18)),IF(AP16&gt;AP18,2,IF(AP16=AP18,1,0)),0)</f>
        <v>0</v>
      </c>
      <c r="AY16" s="66"/>
      <c r="AZ16" s="67">
        <f>IF(AX16&gt;0,IF(H16="X",10,IF(H16="M",0,IF(ISNUMBER(H16),H16,0)))+IF(I16="X",10,IF(I16="M",0,IF(ISNUMBER(I16),I16,0)))+IF(J16="X",10,IF(J16="M",0,IF(ISNUMBER(J16),J16,0)))+IF(K16="X",10,IF(K16="M",0,IF(ISNUMBER(K16),K16,0)))+IF(L16="X",10,IF(L16="M",0,IF(ISNUMBER(L16),L16,0)))+IF(M16="X",10,IF(M16="M",0,IF(ISNUMBER(M16),M16,0)))+IF(O16="X",10,IF(O16="M",0,IF(ISNUMBER(O16),O16,0)))+IF(P16="X",10,IF(P16="M",0,IF(ISNUMBER(P16),P16,0)))+IF(Q16="X",10,IF(Q16="M",0,IF(ISNUMBER(Q16),Q16,0)))+IF(R16="X",10,IF(R16="M",0,IF(ISNUMBER(R16),R16,0)))+IF(S16="X",10,IF(S16="M",0,IF(ISNUMBER(S16),S16,0)))+IF(T16="X",10,IF(T16="M",0,IF(ISNUMBER(T16),T16,0)))+IF(V16="X",10,IF(V16="M",0,IF(ISNUMBER(V16),V16,0)))+IF(W16="X",10,IF(W16="M",0,IF(ISNUMBER(W16),W16,0)))+IF(X16="X",10,IF(X16="M",0,IF(ISNUMBER(X16),X16,0)))+IF(Y16="X",10,IF(Y16="M",0,IF(ISNUMBER(Y16),Y16,0)))+IF(Z16="X",10,IF(Z16="M",0,IF(ISNUMBER(Z16),Z16,0)))+IF(AA16="X",10,IF(AA16="M",0,IF(ISNUMBER(AA16),AA16,0)))+IF(AC16="X",10,IF(AC16="M",0,IF(ISNUMBER(AC16),AC16,0)))+IF(AD16="X",10,IF(AD16="M",0,IF(ISNUMBER(AD16),AD16,0)))+IF(AE16="X",10,IF(AE16="M",0,IF(ISNUMBER(AE16),AE16,0)))+IF(AF16="X",10,IF(AF16="M",0,IF(ISNUMBER(AF16),AF16,0)))+IF(AG16="X",10,IF(AG16="M",0,IF(ISNUMBER(AG16),AG16,0)))+IF(AH16="X",10,IF(AH16="M",0,IF(ISNUMBER(AH16),AH16,0)))+IF(AJ16="X",10,IF(AJ16="M",0,IF(ISNUMBER(AJ16),AJ16,0)))+IF(AK16="X",10,IF(AK16="M",0,IF(ISNUMBER(AK16),AK16,0)))+IF(AL16="X",10,IF(AL16="M",0,IF(ISNUMBER(AL16),AL16,0)))+IF(AM16="X",10,IF(AM16="M",0,IF(ISNUMBER(AM16),AM16,0)))+IF(AN16="X",10,IF(AN16="M",0,IF(ISNUMBER(AN16),AN16,0)))+IF(AO16="X",10,IF(AO16="M",0,IF(ISNUMBER(AO16),AO16,0)))+IF(AQ16="X",10,IF(AQ16="M",0,IF(ISNUMBER(AQ16),AQ16,0)))+IF(AR16="X",10,IF(AR16="M",0,IF(ISNUMBER(AR16),AR16,0)))+IF(AS16="X",10,IF(AS16="M",0,IF(ISNUMBER(AS16),AS16,0)))+IF(AT16="X",10,IF(AT16="M",0,IF(ISNUMBER(AT16),AT16,0)))+IF(AU16="X",10,IF(AU16="M",0,IF(ISNUMBER(AU16),AU16,0)))+IF(AV16="X",10,IF(AV16="M",0,IF(ISNUMBER(AV16),AV16,0))),0)</f>
        <v>0</v>
      </c>
      <c r="BA16" s="68" t="str">
        <f>IFERROR(IF(AY16="DQ","DISQUALIFIED",IF(AY18="DQ","&gt;&gt; Advance",IF(BC18="BYE","&gt;&gt; Advance",IF(BC16="BYE","BYE",IF(AX16&gt;=6,"WIN",IF(AX18&gt;=6,"LOSS",IF(AND(ISNUMBER(AW16),ISNUMBER(AW18)),IF(AW16&gt;AW18,"WIN",IF(AW16&lt;AW18,"LOSS","Shoot-Off")),"Playing"))))))),"Error")</f>
        <v>&gt;&gt; Advance</v>
      </c>
      <c r="BC16" s="69" t="str">
        <f>IFERROR(IF(INDEX('Novice 15M - Teams'!$L:$L,MATCH(5,'Novice 15M - Teams'!$A:$A,0))="Yes","BYE",IF(OR(INDEX('Novice 15M - Teams'!$B:$B,MATCH(5,'Novice 15M - Teams'!$A:$A,0))="",ISERROR(MATCH(5,'Novice 15M - Teams'!$A:$A,0))),"BYE","")),"BYE")</f>
        <v>BYE</v>
      </c>
      <c r="BD16" s="61" t="s">
        <v>201</v>
      </c>
      <c r="BE16" s="106" t="str">
        <f>IFERROR(IF(BC26="BYE",IF(BC28="BYE","TBD",B28),IF(BC28="BYE",B26,IF(OR(BA26="WIN",BA26="&gt;&gt; Advance"),B26,IF(OR(BA28="WIN",BA28="&gt;&gt; Advance"),B28,"TBD")))),"TBD")</f>
        <v>TBD</v>
      </c>
      <c r="BF16" s="106"/>
      <c r="BG16" s="106"/>
      <c r="BH16" s="107" t="str">
        <f>IF(AND(BE16&lt;&gt;"TBD",BE16&lt;&gt;"",BE18&lt;&gt;"TBD",BE18&lt;&gt;"",DD16&lt;&gt;"&gt;&gt; Advance",DD18&lt;&gt;"&gt;&gt; Advance"),IF((B2-A2+1)&gt;=8,(A2+4)&amp;"",IF((B2-A2+1)&gt;=4,(A2+2)&amp;" L",(A2+MOD(2,(B2-A2+1)))&amp;CHAR(65+FLOOR(2/(B2-A2+1),1)*2)&amp;" (L)")),"")</f>
        <v/>
      </c>
      <c r="BI16" s="107"/>
      <c r="BJ16" s="107"/>
      <c r="BK16" s="62"/>
      <c r="BL16" s="62"/>
      <c r="BM16" s="62"/>
      <c r="BN16" s="62"/>
      <c r="BO16" s="62"/>
      <c r="BP16" s="62"/>
      <c r="BQ16" s="63" t="str">
        <f>IF(OR(ISNUMBER(BK16),ISNUMBER(BL16),ISNUMBER(BM16),ISNUMBER(BN16),ISNUMBER(BO16),ISNUMBER(BP16),BK16="X",BL16="X",BM16="X",BN16="X",BO16="X",BP16="X",BK16="M",BL16="M",BM16="M",BN16="M",BO16="M",BP16="M"),IF(BK16="X",10,IF(BK16="M",0,IF(ISNUMBER(BK16),BK16,0))) + IF(BL16="X",10,IF(BL16="M",0,IF(ISNUMBER(BL16),BL16,0))) + IF(BM16="X",10,IF(BM16="M",0,IF(ISNUMBER(BM16),BM16,0))) + IF(BN16="X",10,IF(BN16="M",0,IF(ISNUMBER(BN16),BN16,0))) + IF(BO16="X",10,IF(BO16="M",0,IF(ISNUMBER(BO16),BO16,0))) + IF(BP16="X",10,IF(BP16="M",0,IF(ISNUMBER(BP16),BP16,0))),"")</f>
        <v/>
      </c>
      <c r="BR16" s="62"/>
      <c r="BS16" s="62"/>
      <c r="BT16" s="62"/>
      <c r="BU16" s="62"/>
      <c r="BV16" s="62"/>
      <c r="BW16" s="62"/>
      <c r="BX16" s="63" t="str">
        <f>IF(OR(ISNUMBER(BR16),ISNUMBER(BS16),ISNUMBER(BT16),ISNUMBER(BU16),ISNUMBER(BV16),ISNUMBER(BW16),BR16="X",BS16="X",BT16="X",BU16="X",BV16="X",BW16="X",BR16="M",BS16="M",BT16="M",BU16="M",BV16="M",BW16="M"),IF(BR16="X",10,IF(BR16="M",0,IF(ISNUMBER(BR16),BR16,0))) + IF(BS16="X",10,IF(BS16="M",0,IF(ISNUMBER(BS16),BS16,0))) + IF(BT16="X",10,IF(BT16="M",0,IF(ISNUMBER(BT16),BT16,0))) + IF(BU16="X",10,IF(BU16="M",0,IF(ISNUMBER(BU16),BU16,0))) + IF(BV16="X",10,IF(BV16="M",0,IF(ISNUMBER(BV16),BV16,0))) + IF(BW16="X",10,IF(BW16="M",0,IF(ISNUMBER(BW16),BW16,0))),"")</f>
        <v/>
      </c>
      <c r="BY16" s="62"/>
      <c r="BZ16" s="62"/>
      <c r="CA16" s="62"/>
      <c r="CB16" s="62"/>
      <c r="CC16" s="62"/>
      <c r="CD16" s="62"/>
      <c r="CE16" s="63" t="str">
        <f>IF(OR(ISNUMBER(BY16),ISNUMBER(BZ16),ISNUMBER(CA16),ISNUMBER(CB16),ISNUMBER(CC16),ISNUMBER(CD16),BY16="X",BZ16="X",CA16="X",CB16="X",CC16="X",CD16="X",BY16="M",BZ16="M",CA16="M",CB16="M",CC16="M",CD16="M"),IF(BY16="X",10,IF(BY16="M",0,IF(ISNUMBER(BY16),BY16,0))) + IF(BZ16="X",10,IF(BZ16="M",0,IF(ISNUMBER(BZ16),BZ16,0))) + IF(CA16="X",10,IF(CA16="M",0,IF(ISNUMBER(CA16),CA16,0))) + IF(CB16="X",10,IF(CB16="M",0,IF(ISNUMBER(CB16),CB16,0))) + IF(CC16="X",10,IF(CC16="M",0,IF(ISNUMBER(CC16),CC16,0))) + IF(CD16="X",10,IF(CD16="M",0,IF(ISNUMBER(CD16),CD16,0))),"")</f>
        <v/>
      </c>
      <c r="CF16" s="62"/>
      <c r="CG16" s="62"/>
      <c r="CH16" s="62"/>
      <c r="CI16" s="62"/>
      <c r="CJ16" s="62"/>
      <c r="CK16" s="62"/>
      <c r="CL16" s="63" t="str">
        <f>IF(OR(ISNUMBER(CF16),ISNUMBER(CG16),ISNUMBER(CH16),ISNUMBER(CI16),ISNUMBER(CJ16),ISNUMBER(CK16),CF16="X",CG16="X",CH16="X",CI16="X",CJ16="X",CK16="X",CF16="M",CG16="M",CH16="M",CI16="M",CJ16="M",CK16="M"),IF(CF16="X",10,IF(CF16="M",0,IF(ISNUMBER(CF16),CF16,0))) + IF(CG16="X",10,IF(CG16="M",0,IF(ISNUMBER(CG16),CG16,0))) + IF(CH16="X",10,IF(CH16="M",0,IF(ISNUMBER(CH16),CH16,0))) + IF(CI16="X",10,IF(CI16="M",0,IF(ISNUMBER(CI16),CI16,0))) + IF(CJ16="X",10,IF(CJ16="M",0,IF(ISNUMBER(CJ16),CJ16,0))) + IF(CK16="X",10,IF(CK16="M",0,IF(ISNUMBER(CK16),CK16,0))),"")</f>
        <v/>
      </c>
      <c r="CM16" s="62"/>
      <c r="CN16" s="62"/>
      <c r="CO16" s="62"/>
      <c r="CP16" s="62"/>
      <c r="CQ16" s="62"/>
      <c r="CR16" s="62"/>
      <c r="CS16" s="63" t="str">
        <f>IF(OR(ISNUMBER(CM16),ISNUMBER(CN16),ISNUMBER(CO16),ISNUMBER(CP16),ISNUMBER(CQ16),ISNUMBER(CR16),CM16="X",CN16="X",CO16="X",CP16="X",CQ16="X",CR16="X",CM16="M",CN16="M",CO16="M",CP16="M",CQ16="M",CR16="M"),IF(CM16="X",10,IF(CM16="M",0,IF(ISNUMBER(CM16),CM16,0))) + IF(CN16="X",10,IF(CN16="M",0,IF(ISNUMBER(CN16),CN16,0))) + IF(CO16="X",10,IF(CO16="M",0,IF(ISNUMBER(CO16),CO16,0))) + IF(CP16="X",10,IF(CP16="M",0,IF(ISNUMBER(CP16),CP16,0))) + IF(CQ16="X",10,IF(CQ16="M",0,IF(ISNUMBER(CQ16),CQ16,0))) + IF(CR16="X",10,IF(CR16="M",0,IF(ISNUMBER(CR16),CR16,0))),"")</f>
        <v/>
      </c>
      <c r="CT16" s="64"/>
      <c r="CU16" s="64"/>
      <c r="CV16" s="64"/>
      <c r="CW16" s="64"/>
      <c r="CX16" s="64"/>
      <c r="CY16" s="64"/>
      <c r="CZ16" s="63" t="str">
        <f>IF(OR(ISNUMBER(CT16),ISNUMBER(CU16),ISNUMBER(CV16),ISNUMBER(CW16),ISNUMBER(CX16),ISNUMBER(CY16),CT16="X",CU16="X",CV16="X",CW16="X",CX16="X",CY16="X",CT16="M",CU16="M",CV16="M",CW16="M",CX16="M",CY16="M"),IF(CT16="X",10,IF(CT16="M",0,IF(ISNUMBER(CT16),CT16,0))) + IF(CU16="X",10,IF(CU16="M",0,IF(ISNUMBER(CU16),CU16,0))) + IF(CV16="X",10,IF(CV16="M",0,IF(ISNUMBER(CV16),CV16,0))) + IF(CW16="X",10,IF(CW16="M",0,IF(ISNUMBER(CW16),CW16,0))) + IF(CX16="X",10,IF(CX16="M",0,IF(ISNUMBER(CX16),CX16,0))) + IF(CY16="X",10,IF(CY16="M",0,IF(ISNUMBER(CY16),CY16,0))),"")</f>
        <v/>
      </c>
      <c r="DA16" s="65">
        <f>IF(AND(ISNUMBER(BQ16),ISNUMBER(BQ18)),IF(BQ16&gt;BQ18,2,IF(BQ16=BQ18,1,0)),0)+IF(AND(ISNUMBER(BX16),ISNUMBER(BX18)),IF(BX16&gt;BX18,2,IF(BX16=BX18,1,0)),0)+IF(AND(ISNUMBER(CE16),ISNUMBER(CE18)),IF(CE16&gt;CE18,2,IF(CE16=CE18,1,0)),0)+IF(AND(ISNUMBER(CL16),ISNUMBER(CL18)),IF(CL16&gt;CL18,2,IF(CL16=CL18,1,0)),0)+IF(AND(ISNUMBER(CS16),ISNUMBER(CS18)),IF(CS16&gt;CS18,2,IF(CS16=CS18,1,0)),0)</f>
        <v>0</v>
      </c>
      <c r="DB16" s="66"/>
      <c r="DC16" s="67">
        <f>IF(DA16&gt;0,IF(BK16="X",10,IF(BK16="M",0,IF(ISNUMBER(BK16),BK16,0)))+IF(BL16="X",10,IF(BL16="M",0,IF(ISNUMBER(BL16),BL16,0)))+IF(BM16="X",10,IF(BM16="M",0,IF(ISNUMBER(BM16),BM16,0)))+IF(BN16="X",10,IF(BN16="M",0,IF(ISNUMBER(BN16),BN16,0)))+IF(BO16="X",10,IF(BO16="M",0,IF(ISNUMBER(BO16),BO16,0)))+IF(BP16="X",10,IF(BP16="M",0,IF(ISNUMBER(BP16),BP16,0)))+IF(BR16="X",10,IF(BR16="M",0,IF(ISNUMBER(BR16),BR16,0)))+IF(BS16="X",10,IF(BS16="M",0,IF(ISNUMBER(BS16),BS16,0)))+IF(BT16="X",10,IF(BT16="M",0,IF(ISNUMBER(BT16),BT16,0)))+IF(BU16="X",10,IF(BU16="M",0,IF(ISNUMBER(BU16),BU16,0)))+IF(BV16="X",10,IF(BV16="M",0,IF(ISNUMBER(BV16),BV16,0)))+IF(BW16="X",10,IF(BW16="M",0,IF(ISNUMBER(BW16),BW16,0)))+IF(BY16="X",10,IF(BY16="M",0,IF(ISNUMBER(BY16),BY16,0)))+IF(BZ16="X",10,IF(BZ16="M",0,IF(ISNUMBER(BZ16),BZ16,0)))+IF(CA16="X",10,IF(CA16="M",0,IF(ISNUMBER(CA16),CA16,0)))+IF(CB16="X",10,IF(CB16="M",0,IF(ISNUMBER(CB16),CB16,0)))+IF(CC16="X",10,IF(CC16="M",0,IF(ISNUMBER(CC16),CC16,0)))+IF(CD16="X",10,IF(CD16="M",0,IF(ISNUMBER(CD16),CD16,0)))+IF(CF16="X",10,IF(CF16="M",0,IF(ISNUMBER(CF16),CF16,0)))+IF(CG16="X",10,IF(CG16="M",0,IF(ISNUMBER(CG16),CG16,0)))+IF(CH16="X",10,IF(CH16="M",0,IF(ISNUMBER(CH16),CH16,0)))+IF(CI16="X",10,IF(CI16="M",0,IF(ISNUMBER(CI16),CI16,0)))+IF(CJ16="X",10,IF(CJ16="M",0,IF(ISNUMBER(CJ16),CJ16,0)))+IF(CK16="X",10,IF(CK16="M",0,IF(ISNUMBER(CK16),CK16,0)))+IF(CM16="X",10,IF(CM16="M",0,IF(ISNUMBER(CM16),CM16,0)))+IF(CN16="X",10,IF(CN16="M",0,IF(ISNUMBER(CN16),CN16,0)))+IF(CO16="X",10,IF(CO16="M",0,IF(ISNUMBER(CO16),CO16,0)))+IF(CP16="X",10,IF(CP16="M",0,IF(ISNUMBER(CP16),CP16,0)))+IF(CQ16="X",10,IF(CQ16="M",0,IF(ISNUMBER(CQ16),CQ16,0)))+IF(CR16="X",10,IF(CR16="M",0,IF(ISNUMBER(CR16),CR16,0)))+IF(CT16="X",10,IF(CT16="M",0,IF(ISNUMBER(CT16),CT16,0)))+IF(CU16="X",10,IF(CU16="M",0,IF(ISNUMBER(CU16),CU16,0)))+IF(CV16="X",10,IF(CV16="M",0,IF(ISNUMBER(CV16),CV16,0)))+IF(CW16="X",10,IF(CW16="M",0,IF(ISNUMBER(CW16),CW16,0)))+IF(CX16="X",10,IF(CX16="M",0,IF(ISNUMBER(CX16),CX16,0)))+IF(CY16="X",10,IF(CY16="M",0,IF(ISNUMBER(CY16),CY16,0))),0)</f>
        <v>0</v>
      </c>
      <c r="DD16" s="68" t="str">
        <f>IFERROR(IF(DB16="DQ","DISQUALIFIED",IF(DB18="DQ","&gt;&gt; Advance",IF(DF18="BYE","&gt;&gt; Advance",IF(DF16="BYE","BYE",IF(DA16&gt;=6,"WIN",IF(DA18&gt;=6,"LOSS",IF(AND(ISNUMBER(CZ16),ISNUMBER(CZ18)),IF(CZ16&gt;CZ18,"WIN",IF(CZ16&lt;CZ18,"LOSS","Shoot-Off")),"Playing"))))))),"Error")</f>
        <v>&gt;&gt; Advance</v>
      </c>
      <c r="DF16" s="69" t="str">
        <f>IFERROR(IF(AND(BC26="BYE",BC28="BYE"),"BYE",""),"")</f>
        <v>BYE</v>
      </c>
      <c r="HM16" s="115" t="str">
        <f>IFERROR(IF(HL11="BYE",IF(HL13="BYE","TBD",FK13),IF(HL13="BYE",FK11,IF(OR(HJ11="WIN",HJ11="&gt;&gt; Advance"),FK11,IF(OR(HJ13="WIN",HJ13="&gt;&gt; Advance"),FK13,"TBD")))),"TBD")</f>
        <v>TBD</v>
      </c>
      <c r="HN16" s="115"/>
      <c r="HO16" s="115"/>
      <c r="HP16" s="115"/>
      <c r="HQ16" s="115"/>
      <c r="HR16" s="115"/>
      <c r="HS16" s="115"/>
      <c r="HT16" s="115"/>
      <c r="HU16" s="115"/>
      <c r="HV16" s="115"/>
      <c r="HW16" s="115"/>
      <c r="HX16" s="115"/>
      <c r="HY16" s="115"/>
      <c r="HZ16" s="115"/>
      <c r="IA16" s="115"/>
      <c r="IB16" s="115"/>
    </row>
    <row r="17" spans="1:236" ht="3" customHeight="1" x14ac:dyDescent="0.35">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HM17" s="115"/>
      <c r="HN17" s="115"/>
      <c r="HO17" s="115"/>
      <c r="HP17" s="115"/>
      <c r="HQ17" s="115"/>
      <c r="HR17" s="115"/>
      <c r="HS17" s="115"/>
      <c r="HT17" s="115"/>
      <c r="HU17" s="115"/>
      <c r="HV17" s="115"/>
      <c r="HW17" s="115"/>
      <c r="HX17" s="115"/>
      <c r="HY17" s="115"/>
      <c r="HZ17" s="115"/>
      <c r="IA17" s="115"/>
      <c r="IB17" s="115"/>
    </row>
    <row r="18" spans="1:236" ht="15.75" customHeight="1" x14ac:dyDescent="0.35">
      <c r="A18" s="61" t="str">
        <f>IFERROR(IF(INDEX('Novice 15M - Teams'!$L:$L,MATCH(12,'Novice 15M - Teams'!$A:$A,0))="Yes","BYE",IF(OR(INDEX('Novice 15M - Teams'!$B:$B,MATCH(12,'Novice 15M - Teams'!$A:$A,0))="",ISERROR(MATCH(12,'Novice 15M - Teams'!$A:$A,0))),"BYE","#12")),"BYE")</f>
        <v>BYE</v>
      </c>
      <c r="B18" s="106" t="str">
        <f>IFERROR(IF(INDEX('Novice 15M - Teams'!$L:$L,MATCH(12,'Novice 15M - Teams'!$A:$A,0))="Yes","",IF(INDEX('Novice 15M - Teams'!$N:$N,MATCH(12,'Novice 15M - Teams'!$A:$A,0))&lt;&gt;"",INDEX('Novice 15M - Teams'!$N:$N,MATCH(12,'Novice 15M - Teams'!$A:$A,0)),IF(INDEX('Novice 15M - Teams'!$B:$B,MATCH(12,'Novice 15M - Teams'!$A:$A,0))="","",INDEX('Novice 15M - Teams'!$B:$B,MATCH(12,'Novice 15M - Teams'!$A:$A,0))))),"")</f>
        <v/>
      </c>
      <c r="C18" s="106"/>
      <c r="D18" s="106"/>
      <c r="E18" s="107" t="str">
        <f>IF(OR(A18="BYE",BA18="&gt;&gt;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Advance",1,0),0),0))-1,2)=0)," (L)"," (R)")))</f>
        <v/>
      </c>
      <c r="F18" s="107"/>
      <c r="G18" s="107"/>
      <c r="H18" s="62"/>
      <c r="I18" s="62"/>
      <c r="J18" s="62"/>
      <c r="K18" s="62"/>
      <c r="L18" s="62"/>
      <c r="M18" s="62"/>
      <c r="N18" s="63" t="str">
        <f>IF(OR(ISNUMBER(H18),ISNUMBER(I18),ISNUMBER(J18),ISNUMBER(K18),ISNUMBER(L18),ISNUMBER(M18),H18="X",I18="X",J18="X",K18="X",L18="X",M18="X",H18="M",I18="M",J18="M",K18="M",L18="M",M18="M"),IF(H18="X",10,IF(H18="M",0,IF(ISNUMBER(H18),H18,0))) + IF(I18="X",10,IF(I18="M",0,IF(ISNUMBER(I18),I18,0))) + IF(J18="X",10,IF(J18="M",0,IF(ISNUMBER(J18),J18,0))) + IF(K18="X",10,IF(K18="M",0,IF(ISNUMBER(K18),K18,0))) + IF(L18="X",10,IF(L18="M",0,IF(ISNUMBER(L18),L18,0))) + IF(M18="X",10,IF(M18="M",0,IF(ISNUMBER(M18),M18,0))),"")</f>
        <v/>
      </c>
      <c r="O18" s="62"/>
      <c r="P18" s="62"/>
      <c r="Q18" s="62"/>
      <c r="R18" s="62"/>
      <c r="S18" s="62"/>
      <c r="T18" s="62"/>
      <c r="U18" s="63" t="str">
        <f>IF(OR(ISNUMBER(O18),ISNUMBER(P18),ISNUMBER(Q18),ISNUMBER(R18),ISNUMBER(S18),ISNUMBER(T18),O18="X",P18="X",Q18="X",R18="X",S18="X",T18="X",O18="M",P18="M",Q18="M",R18="M",S18="M",T18="M"),IF(O18="X",10,IF(O18="M",0,IF(ISNUMBER(O18),O18,0))) + IF(P18="X",10,IF(P18="M",0,IF(ISNUMBER(P18),P18,0))) + IF(Q18="X",10,IF(Q18="M",0,IF(ISNUMBER(Q18),Q18,0))) + IF(R18="X",10,IF(R18="M",0,IF(ISNUMBER(R18),R18,0))) + IF(S18="X",10,IF(S18="M",0,IF(ISNUMBER(S18),S18,0))) + IF(T18="X",10,IF(T18="M",0,IF(ISNUMBER(T18),T18,0))),"")</f>
        <v/>
      </c>
      <c r="V18" s="62"/>
      <c r="W18" s="62"/>
      <c r="X18" s="62"/>
      <c r="Y18" s="62"/>
      <c r="Z18" s="62"/>
      <c r="AA18" s="62"/>
      <c r="AB18" s="63" t="str">
        <f>IF(OR(ISNUMBER(V18),ISNUMBER(W18),ISNUMBER(X18),ISNUMBER(Y18),ISNUMBER(Z18),ISNUMBER(AA18),V18="X",W18="X",X18="X",Y18="X",Z18="X",AA18="X",V18="M",W18="M",X18="M",Y18="M",Z18="M",AA18="M"),IF(V18="X",10,IF(V18="M",0,IF(ISNUMBER(V18),V18,0))) + IF(W18="X",10,IF(W18="M",0,IF(ISNUMBER(W18),W18,0))) + IF(X18="X",10,IF(X18="M",0,IF(ISNUMBER(X18),X18,0))) + IF(Y18="X",10,IF(Y18="M",0,IF(ISNUMBER(Y18),Y18,0))) + IF(Z18="X",10,IF(Z18="M",0,IF(ISNUMBER(Z18),Z18,0))) + IF(AA18="X",10,IF(AA18="M",0,IF(ISNUMBER(AA18),AA18,0))),"")</f>
        <v/>
      </c>
      <c r="AC18" s="62"/>
      <c r="AD18" s="62"/>
      <c r="AE18" s="62"/>
      <c r="AF18" s="62"/>
      <c r="AG18" s="62"/>
      <c r="AH18" s="62"/>
      <c r="AI18" s="63" t="str">
        <f>IF(OR(ISNUMBER(AC18),ISNUMBER(AD18),ISNUMBER(AE18),ISNUMBER(AF18),ISNUMBER(AG18),ISNUMBER(AH18),AC18="X",AD18="X",AE18="X",AF18="X",AG18="X",AH18="X",AC18="M",AD18="M",AE18="M",AF18="M",AG18="M",AH18="M"),IF(AC18="X",10,IF(AC18="M",0,IF(ISNUMBER(AC18),AC18,0))) + IF(AD18="X",10,IF(AD18="M",0,IF(ISNUMBER(AD18),AD18,0))) + IF(AE18="X",10,IF(AE18="M",0,IF(ISNUMBER(AE18),AE18,0))) + IF(AF18="X",10,IF(AF18="M",0,IF(ISNUMBER(AF18),AF18,0))) + IF(AG18="X",10,IF(AG18="M",0,IF(ISNUMBER(AG18),AG18,0))) + IF(AH18="X",10,IF(AH18="M",0,IF(ISNUMBER(AH18),AH18,0))),"")</f>
        <v/>
      </c>
      <c r="AJ18" s="62"/>
      <c r="AK18" s="62"/>
      <c r="AL18" s="62"/>
      <c r="AM18" s="62"/>
      <c r="AN18" s="62"/>
      <c r="AO18" s="62"/>
      <c r="AP18" s="63" t="str">
        <f>IF(OR(ISNUMBER(AJ18),ISNUMBER(AK18),ISNUMBER(AL18),ISNUMBER(AM18),ISNUMBER(AN18),ISNUMBER(AO18),AJ18="X",AK18="X",AL18="X",AM18="X",AN18="X",AO18="X",AJ18="M",AK18="M",AL18="M",AM18="M",AN18="M",AO18="M"),IF(AJ18="X",10,IF(AJ18="M",0,IF(ISNUMBER(AJ18),AJ18,0))) + IF(AK18="X",10,IF(AK18="M",0,IF(ISNUMBER(AK18),AK18,0))) + IF(AL18="X",10,IF(AL18="M",0,IF(ISNUMBER(AL18),AL18,0))) + IF(AM18="X",10,IF(AM18="M",0,IF(ISNUMBER(AM18),AM18,0))) + IF(AN18="X",10,IF(AN18="M",0,IF(ISNUMBER(AN18),AN18,0))) + IF(AO18="X",10,IF(AO18="M",0,IF(ISNUMBER(AO18),AO18,0))),"")</f>
        <v/>
      </c>
      <c r="AQ18" s="64"/>
      <c r="AR18" s="64"/>
      <c r="AS18" s="64"/>
      <c r="AT18" s="64"/>
      <c r="AU18" s="64"/>
      <c r="AV18" s="64"/>
      <c r="AW18" s="63" t="str">
        <f>IF(OR(ISNUMBER(AQ18),ISNUMBER(AR18),ISNUMBER(AS18),ISNUMBER(AT18),ISNUMBER(AU18),ISNUMBER(AV18),AQ18="X",AR18="X",AS18="X",AT18="X",AU18="X",AV18="X",AQ18="M",AR18="M",AS18="M",AT18="M",AU18="M",AV18="M"),IF(AQ18="X",10,IF(AQ18="M",0,IF(ISNUMBER(AQ18),AQ18,0))) + IF(AR18="X",10,IF(AR18="M",0,IF(ISNUMBER(AR18),AR18,0))) + IF(AS18="X",10,IF(AS18="M",0,IF(ISNUMBER(AS18),AS18,0))) + IF(AT18="X",10,IF(AT18="M",0,IF(ISNUMBER(AT18),AT18,0))) + IF(AU18="X",10,IF(AU18="M",0,IF(ISNUMBER(AU18),AU18,0))) + IF(AV18="X",10,IF(AV18="M",0,IF(ISNUMBER(AV18),AV18,0))),"")</f>
        <v/>
      </c>
      <c r="AX18" s="65">
        <f>IF(AND(ISNUMBER(N18),ISNUMBER(N16)),IF(N18&gt;N16,2,IF(N18=N16,1,0)),0)+IF(AND(ISNUMBER(U18),ISNUMBER(U16)),IF(U18&gt;U16,2,IF(U18=U16,1,0)),0)+IF(AND(ISNUMBER(AB18),ISNUMBER(AB16)),IF(AB18&gt;AB16,2,IF(AB18=AB16,1,0)),0)+IF(AND(ISNUMBER(AI18),ISNUMBER(AI16)),IF(AI18&gt;AI16,2,IF(AI18=AI16,1,0)),0)+IF(AND(ISNUMBER(AP18),ISNUMBER(AP16)),IF(AP18&gt;AP16,2,IF(AP18=AP16,1,0)),0)</f>
        <v>0</v>
      </c>
      <c r="AY18" s="66"/>
      <c r="AZ18" s="67">
        <f>IF(AX18&gt;0,IF(H18="X",10,IF(H18="M",0,IF(ISNUMBER(H18),H18,0)))+IF(I18="X",10,IF(I18="M",0,IF(ISNUMBER(I18),I18,0)))+IF(J18="X",10,IF(J18="M",0,IF(ISNUMBER(J18),J18,0)))+IF(K18="X",10,IF(K18="M",0,IF(ISNUMBER(K18),K18,0)))+IF(L18="X",10,IF(L18="M",0,IF(ISNUMBER(L18),L18,0)))+IF(M18="X",10,IF(M18="M",0,IF(ISNUMBER(M18),M18,0)))+IF(O18="X",10,IF(O18="M",0,IF(ISNUMBER(O18),O18,0)))+IF(P18="X",10,IF(P18="M",0,IF(ISNUMBER(P18),P18,0)))+IF(Q18="X",10,IF(Q18="M",0,IF(ISNUMBER(Q18),Q18,0)))+IF(R18="X",10,IF(R18="M",0,IF(ISNUMBER(R18),R18,0)))+IF(S18="X",10,IF(S18="M",0,IF(ISNUMBER(S18),S18,0)))+IF(T18="X",10,IF(T18="M",0,IF(ISNUMBER(T18),T18,0)))+IF(V18="X",10,IF(V18="M",0,IF(ISNUMBER(V18),V18,0)))+IF(W18="X",10,IF(W18="M",0,IF(ISNUMBER(W18),W18,0)))+IF(X18="X",10,IF(X18="M",0,IF(ISNUMBER(X18),X18,0)))+IF(Y18="X",10,IF(Y18="M",0,IF(ISNUMBER(Y18),Y18,0)))+IF(Z18="X",10,IF(Z18="M",0,IF(ISNUMBER(Z18),Z18,0)))+IF(AA18="X",10,IF(AA18="M",0,IF(ISNUMBER(AA18),AA18,0)))+IF(AC18="X",10,IF(AC18="M",0,IF(ISNUMBER(AC18),AC18,0)))+IF(AD18="X",10,IF(AD18="M",0,IF(ISNUMBER(AD18),AD18,0)))+IF(AE18="X",10,IF(AE18="M",0,IF(ISNUMBER(AE18),AE18,0)))+IF(AF18="X",10,IF(AF18="M",0,IF(ISNUMBER(AF18),AF18,0)))+IF(AG18="X",10,IF(AG18="M",0,IF(ISNUMBER(AG18),AG18,0)))+IF(AH18="X",10,IF(AH18="M",0,IF(ISNUMBER(AH18),AH18,0)))+IF(AJ18="X",10,IF(AJ18="M",0,IF(ISNUMBER(AJ18),AJ18,0)))+IF(AK18="X",10,IF(AK18="M",0,IF(ISNUMBER(AK18),AK18,0)))+IF(AL18="X",10,IF(AL18="M",0,IF(ISNUMBER(AL18),AL18,0)))+IF(AM18="X",10,IF(AM18="M",0,IF(ISNUMBER(AM18),AM18,0)))+IF(AN18="X",10,IF(AN18="M",0,IF(ISNUMBER(AN18),AN18,0)))+IF(AO18="X",10,IF(AO18="M",0,IF(ISNUMBER(AO18),AO18,0)))+IF(AQ18="X",10,IF(AQ18="M",0,IF(ISNUMBER(AQ18),AQ18,0)))+IF(AR18="X",10,IF(AR18="M",0,IF(ISNUMBER(AR18),AR18,0)))+IF(AS18="X",10,IF(AS18="M",0,IF(ISNUMBER(AS18),AS18,0)))+IF(AT18="X",10,IF(AT18="M",0,IF(ISNUMBER(AT18),AT18,0)))+IF(AU18="X",10,IF(AU18="M",0,IF(ISNUMBER(AU18),AU18,0)))+IF(AV18="X",10,IF(AV18="M",0,IF(ISNUMBER(AV18),AV18,0))),0)</f>
        <v>0</v>
      </c>
      <c r="BA18" s="68" t="str">
        <f>IFERROR(IF(AY18="DQ","DISQUALIFIED",IF(AY16="DQ","&gt;&gt; Advance",IF(BC16="BYE","&gt;&gt; Advance",IF(BC18="BYE","BYE",IF(AX18&gt;=6,"WIN",IF(AX16&gt;=6,"LOSS",IF(AND(ISNUMBER(AW18),ISNUMBER(AW16)),IF(AW18&gt;AW16,"WIN",IF(AW18&lt;AW16,"LOSS","Shoot-Off")),"Playing"))))))),"Error")</f>
        <v>&gt;&gt; Advance</v>
      </c>
      <c r="BC18" s="69" t="str">
        <f>IFERROR(IF(INDEX('Novice 15M - Teams'!$L:$L,MATCH(12,'Novice 15M - Teams'!$A:$A,0))="Yes","BYE",IF(OR(INDEX('Novice 15M - Teams'!$B:$B,MATCH(12,'Novice 15M - Teams'!$A:$A,0))="",ISERROR(MATCH(12,'Novice 15M - Teams'!$A:$A,0))),"BYE","")),"BYE")</f>
        <v>BYE</v>
      </c>
      <c r="BD18" s="61" t="s">
        <v>202</v>
      </c>
      <c r="BE18" s="106" t="str">
        <f>IFERROR(IF(BC31="BYE",IF(BC33="BYE","TBD",B33),IF(BC33="BYE",B31,IF(OR(BA31="WIN",BA31="&gt;&gt; Advance"),B31,IF(OR(BA33="WIN",BA33="&gt;&gt; Advance"),B33,"TBD")))),"TBD")</f>
        <v>TBD</v>
      </c>
      <c r="BF18" s="106"/>
      <c r="BG18" s="106"/>
      <c r="BH18" s="107" t="str">
        <f>IF(AND(BE16&lt;&gt;"TBD",BE16&lt;&gt;"",BE18&lt;&gt;"TBD",BE18&lt;&gt;"",DD16&lt;&gt;"&gt;&gt; Advance",DD18&lt;&gt;"&gt;&gt; Advance"),IF((B2-A2+1)&gt;=8,(A2+5)&amp;"",IF((B2-A2+1)&gt;=4,(A2+2)&amp;" R",(A2+MOD(2,(B2-A2+1)))&amp;CHAR(65+FLOOR(2/(B2-A2+1),1)*2+1)&amp;" (R)")),"")</f>
        <v/>
      </c>
      <c r="BI18" s="107"/>
      <c r="BJ18" s="107"/>
      <c r="BK18" s="62"/>
      <c r="BL18" s="62"/>
      <c r="BM18" s="62"/>
      <c r="BN18" s="62"/>
      <c r="BO18" s="62"/>
      <c r="BP18" s="62"/>
      <c r="BQ18" s="63" t="str">
        <f>IF(OR(ISNUMBER(BK18),ISNUMBER(BL18),ISNUMBER(BM18),ISNUMBER(BN18),ISNUMBER(BO18),ISNUMBER(BP18),BK18="X",BL18="X",BM18="X",BN18="X",BO18="X",BP18="X",BK18="M",BL18="M",BM18="M",BN18="M",BO18="M",BP18="M"),IF(BK18="X",10,IF(BK18="M",0,IF(ISNUMBER(BK18),BK18,0))) + IF(BL18="X",10,IF(BL18="M",0,IF(ISNUMBER(BL18),BL18,0))) + IF(BM18="X",10,IF(BM18="M",0,IF(ISNUMBER(BM18),BM18,0))) + IF(BN18="X",10,IF(BN18="M",0,IF(ISNUMBER(BN18),BN18,0))) + IF(BO18="X",10,IF(BO18="M",0,IF(ISNUMBER(BO18),BO18,0))) + IF(BP18="X",10,IF(BP18="M",0,IF(ISNUMBER(BP18),BP18,0))),"")</f>
        <v/>
      </c>
      <c r="BR18" s="62"/>
      <c r="BS18" s="62"/>
      <c r="BT18" s="62"/>
      <c r="BU18" s="62"/>
      <c r="BV18" s="62"/>
      <c r="BW18" s="62"/>
      <c r="BX18" s="63" t="str">
        <f>IF(OR(ISNUMBER(BR18),ISNUMBER(BS18),ISNUMBER(BT18),ISNUMBER(BU18),ISNUMBER(BV18),ISNUMBER(BW18),BR18="X",BS18="X",BT18="X",BU18="X",BV18="X",BW18="X",BR18="M",BS18="M",BT18="M",BU18="M",BV18="M",BW18="M"),IF(BR18="X",10,IF(BR18="M",0,IF(ISNUMBER(BR18),BR18,0))) + IF(BS18="X",10,IF(BS18="M",0,IF(ISNUMBER(BS18),BS18,0))) + IF(BT18="X",10,IF(BT18="M",0,IF(ISNUMBER(BT18),BT18,0))) + IF(BU18="X",10,IF(BU18="M",0,IF(ISNUMBER(BU18),BU18,0))) + IF(BV18="X",10,IF(BV18="M",0,IF(ISNUMBER(BV18),BV18,0))) + IF(BW18="X",10,IF(BW18="M",0,IF(ISNUMBER(BW18),BW18,0))),"")</f>
        <v/>
      </c>
      <c r="BY18" s="62"/>
      <c r="BZ18" s="62"/>
      <c r="CA18" s="62"/>
      <c r="CB18" s="62"/>
      <c r="CC18" s="62"/>
      <c r="CD18" s="62"/>
      <c r="CE18" s="63" t="str">
        <f>IF(OR(ISNUMBER(BY18),ISNUMBER(BZ18),ISNUMBER(CA18),ISNUMBER(CB18),ISNUMBER(CC18),ISNUMBER(CD18),BY18="X",BZ18="X",CA18="X",CB18="X",CC18="X",CD18="X",BY18="M",BZ18="M",CA18="M",CB18="M",CC18="M",CD18="M"),IF(BY18="X",10,IF(BY18="M",0,IF(ISNUMBER(BY18),BY18,0))) + IF(BZ18="X",10,IF(BZ18="M",0,IF(ISNUMBER(BZ18),BZ18,0))) + IF(CA18="X",10,IF(CA18="M",0,IF(ISNUMBER(CA18),CA18,0))) + IF(CB18="X",10,IF(CB18="M",0,IF(ISNUMBER(CB18),CB18,0))) + IF(CC18="X",10,IF(CC18="M",0,IF(ISNUMBER(CC18),CC18,0))) + IF(CD18="X",10,IF(CD18="M",0,IF(ISNUMBER(CD18),CD18,0))),"")</f>
        <v/>
      </c>
      <c r="CF18" s="62"/>
      <c r="CG18" s="62"/>
      <c r="CH18" s="62"/>
      <c r="CI18" s="62"/>
      <c r="CJ18" s="62"/>
      <c r="CK18" s="62"/>
      <c r="CL18" s="63" t="str">
        <f>IF(OR(ISNUMBER(CF18),ISNUMBER(CG18),ISNUMBER(CH18),ISNUMBER(CI18),ISNUMBER(CJ18),ISNUMBER(CK18),CF18="X",CG18="X",CH18="X",CI18="X",CJ18="X",CK18="X",CF18="M",CG18="M",CH18="M",CI18="M",CJ18="M",CK18="M"),IF(CF18="X",10,IF(CF18="M",0,IF(ISNUMBER(CF18),CF18,0))) + IF(CG18="X",10,IF(CG18="M",0,IF(ISNUMBER(CG18),CG18,0))) + IF(CH18="X",10,IF(CH18="M",0,IF(ISNUMBER(CH18),CH18,0))) + IF(CI18="X",10,IF(CI18="M",0,IF(ISNUMBER(CI18),CI18,0))) + IF(CJ18="X",10,IF(CJ18="M",0,IF(ISNUMBER(CJ18),CJ18,0))) + IF(CK18="X",10,IF(CK18="M",0,IF(ISNUMBER(CK18),CK18,0))),"")</f>
        <v/>
      </c>
      <c r="CM18" s="62"/>
      <c r="CN18" s="62"/>
      <c r="CO18" s="62"/>
      <c r="CP18" s="62"/>
      <c r="CQ18" s="62"/>
      <c r="CR18" s="62"/>
      <c r="CS18" s="63" t="str">
        <f>IF(OR(ISNUMBER(CM18),ISNUMBER(CN18),ISNUMBER(CO18),ISNUMBER(CP18),ISNUMBER(CQ18),ISNUMBER(CR18),CM18="X",CN18="X",CO18="X",CP18="X",CQ18="X",CR18="X",CM18="M",CN18="M",CO18="M",CP18="M",CQ18="M",CR18="M"),IF(CM18="X",10,IF(CM18="M",0,IF(ISNUMBER(CM18),CM18,0))) + IF(CN18="X",10,IF(CN18="M",0,IF(ISNUMBER(CN18),CN18,0))) + IF(CO18="X",10,IF(CO18="M",0,IF(ISNUMBER(CO18),CO18,0))) + IF(CP18="X",10,IF(CP18="M",0,IF(ISNUMBER(CP18),CP18,0))) + IF(CQ18="X",10,IF(CQ18="M",0,IF(ISNUMBER(CQ18),CQ18,0))) + IF(CR18="X",10,IF(CR18="M",0,IF(ISNUMBER(CR18),CR18,0))),"")</f>
        <v/>
      </c>
      <c r="CT18" s="64"/>
      <c r="CU18" s="64"/>
      <c r="CV18" s="64"/>
      <c r="CW18" s="64"/>
      <c r="CX18" s="64"/>
      <c r="CY18" s="64"/>
      <c r="CZ18" s="63" t="str">
        <f>IF(OR(ISNUMBER(CT18),ISNUMBER(CU18),ISNUMBER(CV18),ISNUMBER(CW18),ISNUMBER(CX18),ISNUMBER(CY18),CT18="X",CU18="X",CV18="X",CW18="X",CX18="X",CY18="X",CT18="M",CU18="M",CV18="M",CW18="M",CX18="M",CY18="M"),IF(CT18="X",10,IF(CT18="M",0,IF(ISNUMBER(CT18),CT18,0))) + IF(CU18="X",10,IF(CU18="M",0,IF(ISNUMBER(CU18),CU18,0))) + IF(CV18="X",10,IF(CV18="M",0,IF(ISNUMBER(CV18),CV18,0))) + IF(CW18="X",10,IF(CW18="M",0,IF(ISNUMBER(CW18),CW18,0))) + IF(CX18="X",10,IF(CX18="M",0,IF(ISNUMBER(CX18),CX18,0))) + IF(CY18="X",10,IF(CY18="M",0,IF(ISNUMBER(CY18),CY18,0))),"")</f>
        <v/>
      </c>
      <c r="DA18" s="65">
        <f>IF(AND(ISNUMBER(BQ18),ISNUMBER(BQ16)),IF(BQ18&gt;BQ16,2,IF(BQ18=BQ16,1,0)),0)+IF(AND(ISNUMBER(BX18),ISNUMBER(BX16)),IF(BX18&gt;BX16,2,IF(BX18=BX16,1,0)),0)+IF(AND(ISNUMBER(CE18),ISNUMBER(CE16)),IF(CE18&gt;CE16,2,IF(CE18=CE16,1,0)),0)+IF(AND(ISNUMBER(CL18),ISNUMBER(CL16)),IF(CL18&gt;CL16,2,IF(CL18=CL16,1,0)),0)+IF(AND(ISNUMBER(CS18),ISNUMBER(CS16)),IF(CS18&gt;CS16,2,IF(CS18=CS16,1,0)),0)</f>
        <v>0</v>
      </c>
      <c r="DB18" s="66"/>
      <c r="DC18" s="67">
        <f>IF(DA18&gt;0,IF(BK18="X",10,IF(BK18="M",0,IF(ISNUMBER(BK18),BK18,0)))+IF(BL18="X",10,IF(BL18="M",0,IF(ISNUMBER(BL18),BL18,0)))+IF(BM18="X",10,IF(BM18="M",0,IF(ISNUMBER(BM18),BM18,0)))+IF(BN18="X",10,IF(BN18="M",0,IF(ISNUMBER(BN18),BN18,0)))+IF(BO18="X",10,IF(BO18="M",0,IF(ISNUMBER(BO18),BO18,0)))+IF(BP18="X",10,IF(BP18="M",0,IF(ISNUMBER(BP18),BP18,0)))+IF(BR18="X",10,IF(BR18="M",0,IF(ISNUMBER(BR18),BR18,0)))+IF(BS18="X",10,IF(BS18="M",0,IF(ISNUMBER(BS18),BS18,0)))+IF(BT18="X",10,IF(BT18="M",0,IF(ISNUMBER(BT18),BT18,0)))+IF(BU18="X",10,IF(BU18="M",0,IF(ISNUMBER(BU18),BU18,0)))+IF(BV18="X",10,IF(BV18="M",0,IF(ISNUMBER(BV18),BV18,0)))+IF(BW18="X",10,IF(BW18="M",0,IF(ISNUMBER(BW18),BW18,0)))+IF(BY18="X",10,IF(BY18="M",0,IF(ISNUMBER(BY18),BY18,0)))+IF(BZ18="X",10,IF(BZ18="M",0,IF(ISNUMBER(BZ18),BZ18,0)))+IF(CA18="X",10,IF(CA18="M",0,IF(ISNUMBER(CA18),CA18,0)))+IF(CB18="X",10,IF(CB18="M",0,IF(ISNUMBER(CB18),CB18,0)))+IF(CC18="X",10,IF(CC18="M",0,IF(ISNUMBER(CC18),CC18,0)))+IF(CD18="X",10,IF(CD18="M",0,IF(ISNUMBER(CD18),CD18,0)))+IF(CF18="X",10,IF(CF18="M",0,IF(ISNUMBER(CF18),CF18,0)))+IF(CG18="X",10,IF(CG18="M",0,IF(ISNUMBER(CG18),CG18,0)))+IF(CH18="X",10,IF(CH18="M",0,IF(ISNUMBER(CH18),CH18,0)))+IF(CI18="X",10,IF(CI18="M",0,IF(ISNUMBER(CI18),CI18,0)))+IF(CJ18="X",10,IF(CJ18="M",0,IF(ISNUMBER(CJ18),CJ18,0)))+IF(CK18="X",10,IF(CK18="M",0,IF(ISNUMBER(CK18),CK18,0)))+IF(CM18="X",10,IF(CM18="M",0,IF(ISNUMBER(CM18),CM18,0)))+IF(CN18="X",10,IF(CN18="M",0,IF(ISNUMBER(CN18),CN18,0)))+IF(CO18="X",10,IF(CO18="M",0,IF(ISNUMBER(CO18),CO18,0)))+IF(CP18="X",10,IF(CP18="M",0,IF(ISNUMBER(CP18),CP18,0)))+IF(CQ18="X",10,IF(CQ18="M",0,IF(ISNUMBER(CQ18),CQ18,0)))+IF(CR18="X",10,IF(CR18="M",0,IF(ISNUMBER(CR18),CR18,0)))+IF(CT18="X",10,IF(CT18="M",0,IF(ISNUMBER(CT18),CT18,0)))+IF(CU18="X",10,IF(CU18="M",0,IF(ISNUMBER(CU18),CU18,0)))+IF(CV18="X",10,IF(CV18="M",0,IF(ISNUMBER(CV18),CV18,0)))+IF(CW18="X",10,IF(CW18="M",0,IF(ISNUMBER(CW18),CW18,0)))+IF(CX18="X",10,IF(CX18="M",0,IF(ISNUMBER(CX18),CX18,0)))+IF(CY18="X",10,IF(CY18="M",0,IF(ISNUMBER(CY18),CY18,0))),0)</f>
        <v>0</v>
      </c>
      <c r="DD18" s="68" t="str">
        <f>IFERROR(IF(DB18="DQ","DISQUALIFIED",IF(DB16="DQ","&gt;&gt; Advance",IF(DF16="BYE","&gt;&gt; Advance",IF(DF18="BYE","BYE",IF(DA18&gt;=6,"WIN",IF(DA16&gt;=6,"LOSS",IF(AND(ISNUMBER(CZ18),ISNUMBER(CZ16)),IF(CZ18&gt;CZ16,"WIN",IF(CZ18&lt;CZ16,"LOSS","Shoot-Off")),"Playing"))))))),"Error")</f>
        <v>&gt;&gt; Advance</v>
      </c>
      <c r="DF18" s="69" t="str">
        <f>IFERROR(IF(AND(BC31="BYE",BC33="BYE"),"BYE",""),"")</f>
        <v>BYE</v>
      </c>
      <c r="HM18" s="116" t="str">
        <f>IFERROR(IF(OR(HM16="TBD",HM16=""),"",IF(OR(ISNUMBER(MATCH(HM16,'Novice 15M - Teams'!$N:$N,0)),ISNUMBER(MATCH(HM16,'Novice 15M - Teams'!$B:$B,0))),IF(ISNUMBER(MATCH(HM16,'Novice 15M - Teams'!$N:$N,0)),"Club: "&amp;INDEX('Novice 15M - Teams'!$C:$C,IF(ISNUMBER(MATCH(HM16,'Novice 15M - Teams'!$N:$N,0)),MATCH(HM16,'Novice 15M - Teams'!$N:$N,0),MATCH(HM16,'Novice 15M - Teams'!$B:$B,0)))&amp;"  |  "&amp;INDEX('Novice 15M - Teams'!$D:$D,IF(ISNUMBER(MATCH(HM16,'Novice 15M - Teams'!$N:$N,0)),MATCH(HM16,'Novice 15M - Teams'!$N:$N,0),MATCH(HM16,'Novice 15M - Teams'!$B:$B,0)))&amp;IF(INDEX('Novice 15M - Teams'!$E:$E,IF(ISNUMBER(MATCH(HM16,'Novice 15M - Teams'!$N:$N,0)),MATCH(HM16,'Novice 15M - Teams'!$N:$N,0),MATCH(HM16,'Novice 15M - Teams'!$B:$B,0)))&lt;&gt;"",", "&amp;INDEX('Novice 15M - Teams'!$E:$E,IF(ISNUMBER(MATCH(HM16,'Novice 15M - Teams'!$N:$N,0)),MATCH(HM16,'Novice 15M - Teams'!$N:$N,0),MATCH(HM16,'Novice 15M - Teams'!$B:$B,0))),"")&amp;IF(INDEX('Novice 15M - Teams'!$F:$F,IF(ISNUMBER(MATCH(HM16,'Novice 15M - Teams'!$N:$N,0)),MATCH(HM16,'Novice 15M - Teams'!$N:$N,0),MATCH(HM16,'Novice 15M - Teams'!$B:$B,0)))&lt;&gt;"",", "&amp;INDEX('Novice 15M - Teams'!$F:$F,IF(ISNUMBER(MATCH(HM16,'Novice 15M - Teams'!$N:$N,0)),MATCH(HM16,'Novice 15M - Teams'!$N:$N,0),MATCH(HM16,'Novice 15M - Teams'!$B:$B,0))),""),"Club: "&amp;INDEX('Novice 15M - Teams'!$C:$C,IF(ISNUMBER(MATCH(HM16,'Novice 15M - Teams'!$N:$N,0)),MATCH(HM16,'Novice 15M - Teams'!$N:$N,0),MATCH(HM16,'Novice 15M - Teams'!$B:$B,0)))),"")),"")</f>
        <v/>
      </c>
      <c r="HN18" s="116"/>
      <c r="HO18" s="116"/>
      <c r="HP18" s="116"/>
      <c r="HQ18" s="116"/>
      <c r="HR18" s="116"/>
      <c r="HS18" s="116"/>
      <c r="HT18" s="116"/>
      <c r="HU18" s="116"/>
      <c r="HV18" s="116"/>
      <c r="HW18" s="116"/>
      <c r="HX18" s="116"/>
      <c r="HY18" s="116"/>
      <c r="HZ18" s="116"/>
      <c r="IA18" s="116"/>
      <c r="IB18" s="116"/>
    </row>
    <row r="19" spans="1:236" ht="1.5" customHeight="1" x14ac:dyDescent="0.35">
      <c r="HM19" s="116"/>
      <c r="HN19" s="116"/>
      <c r="HO19" s="116"/>
      <c r="HP19" s="116"/>
      <c r="HQ19" s="116"/>
      <c r="HR19" s="116"/>
      <c r="HS19" s="116"/>
      <c r="HT19" s="116"/>
      <c r="HU19" s="116"/>
      <c r="HV19" s="116"/>
      <c r="HW19" s="116"/>
      <c r="HX19" s="116"/>
      <c r="HY19" s="116"/>
      <c r="HZ19" s="116"/>
      <c r="IA19" s="116"/>
      <c r="IB19" s="116"/>
    </row>
    <row r="20" spans="1:236" ht="10.5" customHeight="1" x14ac:dyDescent="0.35">
      <c r="A20" s="104" t="s">
        <v>203</v>
      </c>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t="s">
        <v>204</v>
      </c>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4"/>
      <c r="CD20" s="104"/>
      <c r="CE20" s="104"/>
      <c r="CF20" s="104"/>
      <c r="CG20" s="104"/>
      <c r="CH20" s="104"/>
      <c r="CI20" s="104"/>
      <c r="CJ20" s="104"/>
      <c r="CK20" s="104"/>
      <c r="CL20" s="104"/>
      <c r="CM20" s="104"/>
      <c r="CN20" s="104"/>
      <c r="CO20" s="104"/>
      <c r="CP20" s="104"/>
      <c r="CQ20" s="104"/>
      <c r="CR20" s="104"/>
      <c r="CS20" s="104"/>
      <c r="CT20" s="104"/>
      <c r="CU20" s="104"/>
      <c r="CV20" s="104"/>
      <c r="CW20" s="104"/>
      <c r="CX20" s="104"/>
      <c r="CY20" s="104"/>
      <c r="CZ20" s="104"/>
      <c r="DA20" s="104"/>
      <c r="DB20" s="104"/>
      <c r="DC20" s="104"/>
      <c r="DD20" s="104"/>
      <c r="DE20" s="104"/>
      <c r="DF20" s="104"/>
    </row>
    <row r="21" spans="1:236" ht="15.75" customHeight="1" x14ac:dyDescent="0.35">
      <c r="A21" s="61" t="str">
        <f>IFERROR(IF(INDEX('Novice 15M - Teams'!$L:$L,MATCH(4,'Novice 15M - Teams'!$A:$A,0))="Yes","BYE",IF(OR(INDEX('Novice 15M - Teams'!$B:$B,MATCH(4,'Novice 15M - Teams'!$A:$A,0))="",ISERROR(MATCH(4,'Novice 15M - Teams'!$A:$A,0))),"BYE","#4")),"BYE")</f>
        <v>BYE</v>
      </c>
      <c r="B21" s="106" t="str">
        <f>IFERROR(IF(INDEX('Novice 15M - Teams'!$L:$L,MATCH(4,'Novice 15M - Teams'!$A:$A,0))="Yes","",IF(INDEX('Novice 15M - Teams'!$N:$N,MATCH(4,'Novice 15M - Teams'!$A:$A,0))&lt;&gt;"",INDEX('Novice 15M - Teams'!$N:$N,MATCH(4,'Novice 15M - Teams'!$A:$A,0)),IF(INDEX('Novice 15M - Teams'!$B:$B,MATCH(4,'Novice 15M - Teams'!$A:$A,0))="","",INDEX('Novice 15M - Teams'!$B:$B,MATCH(4,'Novice 15M - Teams'!$A:$A,0))))),"")</f>
        <v/>
      </c>
      <c r="C21" s="106"/>
      <c r="D21" s="106"/>
      <c r="E21" s="107" t="str">
        <f>IF(OR(A21="BYE",BA21="&gt;&gt;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Advance",1,0),0),0))-1,2)=0)," (L)"," (R)")))</f>
        <v/>
      </c>
      <c r="F21" s="107"/>
      <c r="G21" s="107"/>
      <c r="H21" s="62"/>
      <c r="I21" s="62"/>
      <c r="J21" s="62"/>
      <c r="K21" s="62"/>
      <c r="L21" s="62"/>
      <c r="M21" s="62"/>
      <c r="N21" s="63" t="str">
        <f>IF(OR(ISNUMBER(H21),ISNUMBER(I21),ISNUMBER(J21),ISNUMBER(K21),ISNUMBER(L21),ISNUMBER(M21),H21="X",I21="X",J21="X",K21="X",L21="X",M21="X",H21="M",I21="M",J21="M",K21="M",L21="M",M21="M"),IF(H21="X",10,IF(H21="M",0,IF(ISNUMBER(H21),H21,0))) + IF(I21="X",10,IF(I21="M",0,IF(ISNUMBER(I21),I21,0))) + IF(J21="X",10,IF(J21="M",0,IF(ISNUMBER(J21),J21,0))) + IF(K21="X",10,IF(K21="M",0,IF(ISNUMBER(K21),K21,0))) + IF(L21="X",10,IF(L21="M",0,IF(ISNUMBER(L21),L21,0))) + IF(M21="X",10,IF(M21="M",0,IF(ISNUMBER(M21),M21,0))),"")</f>
        <v/>
      </c>
      <c r="O21" s="62"/>
      <c r="P21" s="62"/>
      <c r="Q21" s="62"/>
      <c r="R21" s="62"/>
      <c r="S21" s="62"/>
      <c r="T21" s="62"/>
      <c r="U21" s="63" t="str">
        <f>IF(OR(ISNUMBER(O21),ISNUMBER(P21),ISNUMBER(Q21),ISNUMBER(R21),ISNUMBER(S21),ISNUMBER(T21),O21="X",P21="X",Q21="X",R21="X",S21="X",T21="X",O21="M",P21="M",Q21="M",R21="M",S21="M",T21="M"),IF(O21="X",10,IF(O21="M",0,IF(ISNUMBER(O21),O21,0))) + IF(P21="X",10,IF(P21="M",0,IF(ISNUMBER(P21),P21,0))) + IF(Q21="X",10,IF(Q21="M",0,IF(ISNUMBER(Q21),Q21,0))) + IF(R21="X",10,IF(R21="M",0,IF(ISNUMBER(R21),R21,0))) + IF(S21="X",10,IF(S21="M",0,IF(ISNUMBER(S21),S21,0))) + IF(T21="X",10,IF(T21="M",0,IF(ISNUMBER(T21),T21,0))),"")</f>
        <v/>
      </c>
      <c r="V21" s="62"/>
      <c r="W21" s="62"/>
      <c r="X21" s="62"/>
      <c r="Y21" s="62"/>
      <c r="Z21" s="62"/>
      <c r="AA21" s="62"/>
      <c r="AB21" s="63" t="str">
        <f>IF(OR(ISNUMBER(V21),ISNUMBER(W21),ISNUMBER(X21),ISNUMBER(Y21),ISNUMBER(Z21),ISNUMBER(AA21),V21="X",W21="X",X21="X",Y21="X",Z21="X",AA21="X",V21="M",W21="M",X21="M",Y21="M",Z21="M",AA21="M"),IF(V21="X",10,IF(V21="M",0,IF(ISNUMBER(V21),V21,0))) + IF(W21="X",10,IF(W21="M",0,IF(ISNUMBER(W21),W21,0))) + IF(X21="X",10,IF(X21="M",0,IF(ISNUMBER(X21),X21,0))) + IF(Y21="X",10,IF(Y21="M",0,IF(ISNUMBER(Y21),Y21,0))) + IF(Z21="X",10,IF(Z21="M",0,IF(ISNUMBER(Z21),Z21,0))) + IF(AA21="X",10,IF(AA21="M",0,IF(ISNUMBER(AA21),AA21,0))),"")</f>
        <v/>
      </c>
      <c r="AC21" s="62"/>
      <c r="AD21" s="62"/>
      <c r="AE21" s="62"/>
      <c r="AF21" s="62"/>
      <c r="AG21" s="62"/>
      <c r="AH21" s="62"/>
      <c r="AI21" s="63" t="str">
        <f>IF(OR(ISNUMBER(AC21),ISNUMBER(AD21),ISNUMBER(AE21),ISNUMBER(AF21),ISNUMBER(AG21),ISNUMBER(AH21),AC21="X",AD21="X",AE21="X",AF21="X",AG21="X",AH21="X",AC21="M",AD21="M",AE21="M",AF21="M",AG21="M",AH21="M"),IF(AC21="X",10,IF(AC21="M",0,IF(ISNUMBER(AC21),AC21,0))) + IF(AD21="X",10,IF(AD21="M",0,IF(ISNUMBER(AD21),AD21,0))) + IF(AE21="X",10,IF(AE21="M",0,IF(ISNUMBER(AE21),AE21,0))) + IF(AF21="X",10,IF(AF21="M",0,IF(ISNUMBER(AF21),AF21,0))) + IF(AG21="X",10,IF(AG21="M",0,IF(ISNUMBER(AG21),AG21,0))) + IF(AH21="X",10,IF(AH21="M",0,IF(ISNUMBER(AH21),AH21,0))),"")</f>
        <v/>
      </c>
      <c r="AJ21" s="62"/>
      <c r="AK21" s="62"/>
      <c r="AL21" s="62"/>
      <c r="AM21" s="62"/>
      <c r="AN21" s="62"/>
      <c r="AO21" s="62"/>
      <c r="AP21" s="63" t="str">
        <f>IF(OR(ISNUMBER(AJ21),ISNUMBER(AK21),ISNUMBER(AL21),ISNUMBER(AM21),ISNUMBER(AN21),ISNUMBER(AO21),AJ21="X",AK21="X",AL21="X",AM21="X",AN21="X",AO21="X",AJ21="M",AK21="M",AL21="M",AM21="M",AN21="M",AO21="M"),IF(AJ21="X",10,IF(AJ21="M",0,IF(ISNUMBER(AJ21),AJ21,0))) + IF(AK21="X",10,IF(AK21="M",0,IF(ISNUMBER(AK21),AK21,0))) + IF(AL21="X",10,IF(AL21="M",0,IF(ISNUMBER(AL21),AL21,0))) + IF(AM21="X",10,IF(AM21="M",0,IF(ISNUMBER(AM21),AM21,0))) + IF(AN21="X",10,IF(AN21="M",0,IF(ISNUMBER(AN21),AN21,0))) + IF(AO21="X",10,IF(AO21="M",0,IF(ISNUMBER(AO21),AO21,0))),"")</f>
        <v/>
      </c>
      <c r="AQ21" s="64"/>
      <c r="AR21" s="64"/>
      <c r="AS21" s="64"/>
      <c r="AT21" s="64"/>
      <c r="AU21" s="64"/>
      <c r="AV21" s="64"/>
      <c r="AW21" s="63" t="str">
        <f>IF(OR(ISNUMBER(AQ21),ISNUMBER(AR21),ISNUMBER(AS21),ISNUMBER(AT21),ISNUMBER(AU21),ISNUMBER(AV21),AQ21="X",AR21="X",AS21="X",AT21="X",AU21="X",AV21="X",AQ21="M",AR21="M",AS21="M",AT21="M",AU21="M",AV21="M"),IF(AQ21="X",10,IF(AQ21="M",0,IF(ISNUMBER(AQ21),AQ21,0))) + IF(AR21="X",10,IF(AR21="M",0,IF(ISNUMBER(AR21),AR21,0))) + IF(AS21="X",10,IF(AS21="M",0,IF(ISNUMBER(AS21),AS21,0))) + IF(AT21="X",10,IF(AT21="M",0,IF(ISNUMBER(AT21),AT21,0))) + IF(AU21="X",10,IF(AU21="M",0,IF(ISNUMBER(AU21),AU21,0))) + IF(AV21="X",10,IF(AV21="M",0,IF(ISNUMBER(AV21),AV21,0))),"")</f>
        <v/>
      </c>
      <c r="AX21" s="65">
        <f>IF(AND(ISNUMBER(N21),ISNUMBER(N23)),IF(N21&gt;N23,2,IF(N21=N23,1,0)),0)+IF(AND(ISNUMBER(U21),ISNUMBER(U23)),IF(U21&gt;U23,2,IF(U21=U23,1,0)),0)+IF(AND(ISNUMBER(AB21),ISNUMBER(AB23)),IF(AB21&gt;AB23,2,IF(AB21=AB23,1,0)),0)+IF(AND(ISNUMBER(AI21),ISNUMBER(AI23)),IF(AI21&gt;AI23,2,IF(AI21=AI23,1,0)),0)+IF(AND(ISNUMBER(AP21),ISNUMBER(AP23)),IF(AP21&gt;AP23,2,IF(AP21=AP23,1,0)),0)</f>
        <v>0</v>
      </c>
      <c r="AY21" s="66"/>
      <c r="AZ21" s="67">
        <f>IF(AX21&gt;0,IF(H21="X",10,IF(H21="M",0,IF(ISNUMBER(H21),H21,0)))+IF(I21="X",10,IF(I21="M",0,IF(ISNUMBER(I21),I21,0)))+IF(J21="X",10,IF(J21="M",0,IF(ISNUMBER(J21),J21,0)))+IF(K21="X",10,IF(K21="M",0,IF(ISNUMBER(K21),K21,0)))+IF(L21="X",10,IF(L21="M",0,IF(ISNUMBER(L21),L21,0)))+IF(M21="X",10,IF(M21="M",0,IF(ISNUMBER(M21),M21,0)))+IF(O21="X",10,IF(O21="M",0,IF(ISNUMBER(O21),O21,0)))+IF(P21="X",10,IF(P21="M",0,IF(ISNUMBER(P21),P21,0)))+IF(Q21="X",10,IF(Q21="M",0,IF(ISNUMBER(Q21),Q21,0)))+IF(R21="X",10,IF(R21="M",0,IF(ISNUMBER(R21),R21,0)))+IF(S21="X",10,IF(S21="M",0,IF(ISNUMBER(S21),S21,0)))+IF(T21="X",10,IF(T21="M",0,IF(ISNUMBER(T21),T21,0)))+IF(V21="X",10,IF(V21="M",0,IF(ISNUMBER(V21),V21,0)))+IF(W21="X",10,IF(W21="M",0,IF(ISNUMBER(W21),W21,0)))+IF(X21="X",10,IF(X21="M",0,IF(ISNUMBER(X21),X21,0)))+IF(Y21="X",10,IF(Y21="M",0,IF(ISNUMBER(Y21),Y21,0)))+IF(Z21="X",10,IF(Z21="M",0,IF(ISNUMBER(Z21),Z21,0)))+IF(AA21="X",10,IF(AA21="M",0,IF(ISNUMBER(AA21),AA21,0)))+IF(AC21="X",10,IF(AC21="M",0,IF(ISNUMBER(AC21),AC21,0)))+IF(AD21="X",10,IF(AD21="M",0,IF(ISNUMBER(AD21),AD21,0)))+IF(AE21="X",10,IF(AE21="M",0,IF(ISNUMBER(AE21),AE21,0)))+IF(AF21="X",10,IF(AF21="M",0,IF(ISNUMBER(AF21),AF21,0)))+IF(AG21="X",10,IF(AG21="M",0,IF(ISNUMBER(AG21),AG21,0)))+IF(AH21="X",10,IF(AH21="M",0,IF(ISNUMBER(AH21),AH21,0)))+IF(AJ21="X",10,IF(AJ21="M",0,IF(ISNUMBER(AJ21),AJ21,0)))+IF(AK21="X",10,IF(AK21="M",0,IF(ISNUMBER(AK21),AK21,0)))+IF(AL21="X",10,IF(AL21="M",0,IF(ISNUMBER(AL21),AL21,0)))+IF(AM21="X",10,IF(AM21="M",0,IF(ISNUMBER(AM21),AM21,0)))+IF(AN21="X",10,IF(AN21="M",0,IF(ISNUMBER(AN21),AN21,0)))+IF(AO21="X",10,IF(AO21="M",0,IF(ISNUMBER(AO21),AO21,0)))+IF(AQ21="X",10,IF(AQ21="M",0,IF(ISNUMBER(AQ21),AQ21,0)))+IF(AR21="X",10,IF(AR21="M",0,IF(ISNUMBER(AR21),AR21,0)))+IF(AS21="X",10,IF(AS21="M",0,IF(ISNUMBER(AS21),AS21,0)))+IF(AT21="X",10,IF(AT21="M",0,IF(ISNUMBER(AT21),AT21,0)))+IF(AU21="X",10,IF(AU21="M",0,IF(ISNUMBER(AU21),AU21,0)))+IF(AV21="X",10,IF(AV21="M",0,IF(ISNUMBER(AV21),AV21,0))),0)</f>
        <v>0</v>
      </c>
      <c r="BA21" s="68" t="str">
        <f>IFERROR(IF(AY21="DQ","DISQUALIFIED",IF(AY23="DQ","&gt;&gt; Advance",IF(BC23="BYE","&gt;&gt; Advance",IF(BC21="BYE","BYE",IF(AX21&gt;=6,"WIN",IF(AX23&gt;=6,"LOSS",IF(AND(ISNUMBER(AW21),ISNUMBER(AW23)),IF(AW21&gt;AW23,"WIN",IF(AW21&lt;AW23,"LOSS","Shoot-Off")),"Playing"))))))),"Error")</f>
        <v>&gt;&gt; Advance</v>
      </c>
      <c r="BC21" s="69" t="str">
        <f>IFERROR(IF(INDEX('Novice 15M - Teams'!$L:$L,MATCH(4,'Novice 15M - Teams'!$A:$A,0))="Yes","BYE",IF(OR(INDEX('Novice 15M - Teams'!$B:$B,MATCH(4,'Novice 15M - Teams'!$A:$A,0))="",ISERROR(MATCH(4,'Novice 15M - Teams'!$A:$A,0))),"BYE","")),"BYE")</f>
        <v>BYE</v>
      </c>
      <c r="BD21" s="61" t="s">
        <v>205</v>
      </c>
      <c r="BE21" s="106" t="str">
        <f>IFERROR(IF(BC36="BYE",IF(BC38="BYE","TBD",B38),IF(BC38="BYE",B36,IF(OR(BA36="WIN",BA36="&gt;&gt; Advance"),B36,IF(OR(BA38="WIN",BA38="&gt;&gt; Advance"),B38,"TBD")))),"TBD")</f>
        <v>TBD</v>
      </c>
      <c r="BF21" s="106"/>
      <c r="BG21" s="106"/>
      <c r="BH21" s="107" t="str">
        <f>IF(AND(BE21&lt;&gt;"TBD",BE21&lt;&gt;"",BE23&lt;&gt;"TBD",BE23&lt;&gt;"",DD21&lt;&gt;"&gt;&gt; Advance",DD23&lt;&gt;"&gt;&gt; Advance"),IF((B2-A2+1)&gt;=8,(A2+6)&amp;"",IF((B2-A2+1)&gt;=4,(A2+3)&amp;" L",(A2+MOD(3,(B2-A2+1)))&amp;CHAR(65+FLOOR(3/(B2-A2+1),1)*2)&amp;" (L)")),"")</f>
        <v/>
      </c>
      <c r="BI21" s="107"/>
      <c r="BJ21" s="107"/>
      <c r="BK21" s="62"/>
      <c r="BL21" s="62"/>
      <c r="BM21" s="62"/>
      <c r="BN21" s="62"/>
      <c r="BO21" s="62"/>
      <c r="BP21" s="62"/>
      <c r="BQ21" s="63" t="str">
        <f>IF(OR(ISNUMBER(BK21),ISNUMBER(BL21),ISNUMBER(BM21),ISNUMBER(BN21),ISNUMBER(BO21),ISNUMBER(BP21),BK21="X",BL21="X",BM21="X",BN21="X",BO21="X",BP21="X",BK21="M",BL21="M",BM21="M",BN21="M",BO21="M",BP21="M"),IF(BK21="X",10,IF(BK21="M",0,IF(ISNUMBER(BK21),BK21,0))) + IF(BL21="X",10,IF(BL21="M",0,IF(ISNUMBER(BL21),BL21,0))) + IF(BM21="X",10,IF(BM21="M",0,IF(ISNUMBER(BM21),BM21,0))) + IF(BN21="X",10,IF(BN21="M",0,IF(ISNUMBER(BN21),BN21,0))) + IF(BO21="X",10,IF(BO21="M",0,IF(ISNUMBER(BO21),BO21,0))) + IF(BP21="X",10,IF(BP21="M",0,IF(ISNUMBER(BP21),BP21,0))),"")</f>
        <v/>
      </c>
      <c r="BR21" s="62"/>
      <c r="BS21" s="62"/>
      <c r="BT21" s="62"/>
      <c r="BU21" s="62"/>
      <c r="BV21" s="62"/>
      <c r="BW21" s="62"/>
      <c r="BX21" s="63" t="str">
        <f>IF(OR(ISNUMBER(BR21),ISNUMBER(BS21),ISNUMBER(BT21),ISNUMBER(BU21),ISNUMBER(BV21),ISNUMBER(BW21),BR21="X",BS21="X",BT21="X",BU21="X",BV21="X",BW21="X",BR21="M",BS21="M",BT21="M",BU21="M",BV21="M",BW21="M"),IF(BR21="X",10,IF(BR21="M",0,IF(ISNUMBER(BR21),BR21,0))) + IF(BS21="X",10,IF(BS21="M",0,IF(ISNUMBER(BS21),BS21,0))) + IF(BT21="X",10,IF(BT21="M",0,IF(ISNUMBER(BT21),BT21,0))) + IF(BU21="X",10,IF(BU21="M",0,IF(ISNUMBER(BU21),BU21,0))) + IF(BV21="X",10,IF(BV21="M",0,IF(ISNUMBER(BV21),BV21,0))) + IF(BW21="X",10,IF(BW21="M",0,IF(ISNUMBER(BW21),BW21,0))),"")</f>
        <v/>
      </c>
      <c r="BY21" s="62"/>
      <c r="BZ21" s="62"/>
      <c r="CA21" s="62"/>
      <c r="CB21" s="62"/>
      <c r="CC21" s="62"/>
      <c r="CD21" s="62"/>
      <c r="CE21" s="63" t="str">
        <f>IF(OR(ISNUMBER(BY21),ISNUMBER(BZ21),ISNUMBER(CA21),ISNUMBER(CB21),ISNUMBER(CC21),ISNUMBER(CD21),BY21="X",BZ21="X",CA21="X",CB21="X",CC21="X",CD21="X",BY21="M",BZ21="M",CA21="M",CB21="M",CC21="M",CD21="M"),IF(BY21="X",10,IF(BY21="M",0,IF(ISNUMBER(BY21),BY21,0))) + IF(BZ21="X",10,IF(BZ21="M",0,IF(ISNUMBER(BZ21),BZ21,0))) + IF(CA21="X",10,IF(CA21="M",0,IF(ISNUMBER(CA21),CA21,0))) + IF(CB21="X",10,IF(CB21="M",0,IF(ISNUMBER(CB21),CB21,0))) + IF(CC21="X",10,IF(CC21="M",0,IF(ISNUMBER(CC21),CC21,0))) + IF(CD21="X",10,IF(CD21="M",0,IF(ISNUMBER(CD21),CD21,0))),"")</f>
        <v/>
      </c>
      <c r="CF21" s="62"/>
      <c r="CG21" s="62"/>
      <c r="CH21" s="62"/>
      <c r="CI21" s="62"/>
      <c r="CJ21" s="62"/>
      <c r="CK21" s="62"/>
      <c r="CL21" s="63" t="str">
        <f>IF(OR(ISNUMBER(CF21),ISNUMBER(CG21),ISNUMBER(CH21),ISNUMBER(CI21),ISNUMBER(CJ21),ISNUMBER(CK21),CF21="X",CG21="X",CH21="X",CI21="X",CJ21="X",CK21="X",CF21="M",CG21="M",CH21="M",CI21="M",CJ21="M",CK21="M"),IF(CF21="X",10,IF(CF21="M",0,IF(ISNUMBER(CF21),CF21,0))) + IF(CG21="X",10,IF(CG21="M",0,IF(ISNUMBER(CG21),CG21,0))) + IF(CH21="X",10,IF(CH21="M",0,IF(ISNUMBER(CH21),CH21,0))) + IF(CI21="X",10,IF(CI21="M",0,IF(ISNUMBER(CI21),CI21,0))) + IF(CJ21="X",10,IF(CJ21="M",0,IF(ISNUMBER(CJ21),CJ21,0))) + IF(CK21="X",10,IF(CK21="M",0,IF(ISNUMBER(CK21),CK21,0))),"")</f>
        <v/>
      </c>
      <c r="CM21" s="62"/>
      <c r="CN21" s="62"/>
      <c r="CO21" s="62"/>
      <c r="CP21" s="62"/>
      <c r="CQ21" s="62"/>
      <c r="CR21" s="62"/>
      <c r="CS21" s="63" t="str">
        <f>IF(OR(ISNUMBER(CM21),ISNUMBER(CN21),ISNUMBER(CO21),ISNUMBER(CP21),ISNUMBER(CQ21),ISNUMBER(CR21),CM21="X",CN21="X",CO21="X",CP21="X",CQ21="X",CR21="X",CM21="M",CN21="M",CO21="M",CP21="M",CQ21="M",CR21="M"),IF(CM21="X",10,IF(CM21="M",0,IF(ISNUMBER(CM21),CM21,0))) + IF(CN21="X",10,IF(CN21="M",0,IF(ISNUMBER(CN21),CN21,0))) + IF(CO21="X",10,IF(CO21="M",0,IF(ISNUMBER(CO21),CO21,0))) + IF(CP21="X",10,IF(CP21="M",0,IF(ISNUMBER(CP21),CP21,0))) + IF(CQ21="X",10,IF(CQ21="M",0,IF(ISNUMBER(CQ21),CQ21,0))) + IF(CR21="X",10,IF(CR21="M",0,IF(ISNUMBER(CR21),CR21,0))),"")</f>
        <v/>
      </c>
      <c r="CT21" s="64"/>
      <c r="CU21" s="64"/>
      <c r="CV21" s="64"/>
      <c r="CW21" s="64"/>
      <c r="CX21" s="64"/>
      <c r="CY21" s="64"/>
      <c r="CZ21" s="63" t="str">
        <f>IF(OR(ISNUMBER(CT21),ISNUMBER(CU21),ISNUMBER(CV21),ISNUMBER(CW21),ISNUMBER(CX21),ISNUMBER(CY21),CT21="X",CU21="X",CV21="X",CW21="X",CX21="X",CY21="X",CT21="M",CU21="M",CV21="M",CW21="M",CX21="M",CY21="M"),IF(CT21="X",10,IF(CT21="M",0,IF(ISNUMBER(CT21),CT21,0))) + IF(CU21="X",10,IF(CU21="M",0,IF(ISNUMBER(CU21),CU21,0))) + IF(CV21="X",10,IF(CV21="M",0,IF(ISNUMBER(CV21),CV21,0))) + IF(CW21="X",10,IF(CW21="M",0,IF(ISNUMBER(CW21),CW21,0))) + IF(CX21="X",10,IF(CX21="M",0,IF(ISNUMBER(CX21),CX21,0))) + IF(CY21="X",10,IF(CY21="M",0,IF(ISNUMBER(CY21),CY21,0))),"")</f>
        <v/>
      </c>
      <c r="DA21" s="65">
        <f>IF(AND(ISNUMBER(BQ21),ISNUMBER(BQ23)),IF(BQ21&gt;BQ23,2,IF(BQ21=BQ23,1,0)),0)+IF(AND(ISNUMBER(BX21),ISNUMBER(BX23)),IF(BX21&gt;BX23,2,IF(BX21=BX23,1,0)),0)+IF(AND(ISNUMBER(CE21),ISNUMBER(CE23)),IF(CE21&gt;CE23,2,IF(CE21=CE23,1,0)),0)+IF(AND(ISNUMBER(CL21),ISNUMBER(CL23)),IF(CL21&gt;CL23,2,IF(CL21=CL23,1,0)),0)+IF(AND(ISNUMBER(CS21),ISNUMBER(CS23)),IF(CS21&gt;CS23,2,IF(CS21=CS23,1,0)),0)</f>
        <v>0</v>
      </c>
      <c r="DB21" s="66"/>
      <c r="DC21" s="67">
        <f>IF(DA21&gt;0,IF(BK21="X",10,IF(BK21="M",0,IF(ISNUMBER(BK21),BK21,0)))+IF(BL21="X",10,IF(BL21="M",0,IF(ISNUMBER(BL21),BL21,0)))+IF(BM21="X",10,IF(BM21="M",0,IF(ISNUMBER(BM21),BM21,0)))+IF(BN21="X",10,IF(BN21="M",0,IF(ISNUMBER(BN21),BN21,0)))+IF(BO21="X",10,IF(BO21="M",0,IF(ISNUMBER(BO21),BO21,0)))+IF(BP21="X",10,IF(BP21="M",0,IF(ISNUMBER(BP21),BP21,0)))+IF(BR21="X",10,IF(BR21="M",0,IF(ISNUMBER(BR21),BR21,0)))+IF(BS21="X",10,IF(BS21="M",0,IF(ISNUMBER(BS21),BS21,0)))+IF(BT21="X",10,IF(BT21="M",0,IF(ISNUMBER(BT21),BT21,0)))+IF(BU21="X",10,IF(BU21="M",0,IF(ISNUMBER(BU21),BU21,0)))+IF(BV21="X",10,IF(BV21="M",0,IF(ISNUMBER(BV21),BV21,0)))+IF(BW21="X",10,IF(BW21="M",0,IF(ISNUMBER(BW21),BW21,0)))+IF(BY21="X",10,IF(BY21="M",0,IF(ISNUMBER(BY21),BY21,0)))+IF(BZ21="X",10,IF(BZ21="M",0,IF(ISNUMBER(BZ21),BZ21,0)))+IF(CA21="X",10,IF(CA21="M",0,IF(ISNUMBER(CA21),CA21,0)))+IF(CB21="X",10,IF(CB21="M",0,IF(ISNUMBER(CB21),CB21,0)))+IF(CC21="X",10,IF(CC21="M",0,IF(ISNUMBER(CC21),CC21,0)))+IF(CD21="X",10,IF(CD21="M",0,IF(ISNUMBER(CD21),CD21,0)))+IF(CF21="X",10,IF(CF21="M",0,IF(ISNUMBER(CF21),CF21,0)))+IF(CG21="X",10,IF(CG21="M",0,IF(ISNUMBER(CG21),CG21,0)))+IF(CH21="X",10,IF(CH21="M",0,IF(ISNUMBER(CH21),CH21,0)))+IF(CI21="X",10,IF(CI21="M",0,IF(ISNUMBER(CI21),CI21,0)))+IF(CJ21="X",10,IF(CJ21="M",0,IF(ISNUMBER(CJ21),CJ21,0)))+IF(CK21="X",10,IF(CK21="M",0,IF(ISNUMBER(CK21),CK21,0)))+IF(CM21="X",10,IF(CM21="M",0,IF(ISNUMBER(CM21),CM21,0)))+IF(CN21="X",10,IF(CN21="M",0,IF(ISNUMBER(CN21),CN21,0)))+IF(CO21="X",10,IF(CO21="M",0,IF(ISNUMBER(CO21),CO21,0)))+IF(CP21="X",10,IF(CP21="M",0,IF(ISNUMBER(CP21),CP21,0)))+IF(CQ21="X",10,IF(CQ21="M",0,IF(ISNUMBER(CQ21),CQ21,0)))+IF(CR21="X",10,IF(CR21="M",0,IF(ISNUMBER(CR21),CR21,0)))+IF(CT21="X",10,IF(CT21="M",0,IF(ISNUMBER(CT21),CT21,0)))+IF(CU21="X",10,IF(CU21="M",0,IF(ISNUMBER(CU21),CU21,0)))+IF(CV21="X",10,IF(CV21="M",0,IF(ISNUMBER(CV21),CV21,0)))+IF(CW21="X",10,IF(CW21="M",0,IF(ISNUMBER(CW21),CW21,0)))+IF(CX21="X",10,IF(CX21="M",0,IF(ISNUMBER(CX21),CX21,0)))+IF(CY21="X",10,IF(CY21="M",0,IF(ISNUMBER(CY21),CY21,0))),0)</f>
        <v>0</v>
      </c>
      <c r="DD21" s="68" t="str">
        <f>IFERROR(IF(DB21="DQ","DISQUALIFIED",IF(DB23="DQ","&gt;&gt; Advance",IF(DF23="BYE","&gt;&gt; Advance",IF(DF21="BYE","BYE",IF(DA21&gt;=6,"WIN",IF(DA23&gt;=6,"LOSS",IF(AND(ISNUMBER(CZ21),ISNUMBER(CZ23)),IF(CZ21&gt;CZ23,"WIN",IF(CZ21&lt;CZ23,"LOSS","Shoot-Off")),"Playing"))))))),"Error")</f>
        <v>&gt;&gt; Advance</v>
      </c>
      <c r="DF21" s="69" t="str">
        <f>IFERROR(IF(AND(BC36="BYE",BC38="BYE"),"BYE",""),"")</f>
        <v>BYE</v>
      </c>
    </row>
    <row r="22" spans="1:236" ht="3" customHeight="1" x14ac:dyDescent="0.35">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row>
    <row r="23" spans="1:236" ht="15.75" customHeight="1" x14ac:dyDescent="0.35">
      <c r="A23" s="61" t="str">
        <f>IFERROR(IF(INDEX('Novice 15M - Teams'!$L:$L,MATCH(13,'Novice 15M - Teams'!$A:$A,0))="Yes","BYE",IF(OR(INDEX('Novice 15M - Teams'!$B:$B,MATCH(13,'Novice 15M - Teams'!$A:$A,0))="",ISERROR(MATCH(13,'Novice 15M - Teams'!$A:$A,0))),"BYE","#13")),"BYE")</f>
        <v>BYE</v>
      </c>
      <c r="B23" s="106" t="str">
        <f>IFERROR(IF(INDEX('Novice 15M - Teams'!$L:$L,MATCH(13,'Novice 15M - Teams'!$A:$A,0))="Yes","",IF(INDEX('Novice 15M - Teams'!$N:$N,MATCH(13,'Novice 15M - Teams'!$A:$A,0))&lt;&gt;"",INDEX('Novice 15M - Teams'!$N:$N,MATCH(13,'Novice 15M - Teams'!$A:$A,0)),IF(INDEX('Novice 15M - Teams'!$B:$B,MATCH(13,'Novice 15M - Teams'!$A:$A,0))="","",INDEX('Novice 15M - Teams'!$B:$B,MATCH(13,'Novice 15M - Teams'!$A:$A,0))))),"")</f>
        <v/>
      </c>
      <c r="C23" s="106"/>
      <c r="D23" s="106"/>
      <c r="E23" s="107" t="str">
        <f>IF(OR(A23="BYE",BA23="&gt;&gt;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Advance",1,0),0),0))-1,2)=0)," (L)"," (R)")))</f>
        <v/>
      </c>
      <c r="F23" s="107"/>
      <c r="G23" s="107"/>
      <c r="H23" s="62"/>
      <c r="I23" s="62"/>
      <c r="J23" s="62"/>
      <c r="K23" s="62"/>
      <c r="L23" s="62"/>
      <c r="M23" s="62"/>
      <c r="N23" s="63" t="str">
        <f>IF(OR(ISNUMBER(H23),ISNUMBER(I23),ISNUMBER(J23),ISNUMBER(K23),ISNUMBER(L23),ISNUMBER(M23),H23="X",I23="X",J23="X",K23="X",L23="X",M23="X",H23="M",I23="M",J23="M",K23="M",L23="M",M23="M"),IF(H23="X",10,IF(H23="M",0,IF(ISNUMBER(H23),H23,0))) + IF(I23="X",10,IF(I23="M",0,IF(ISNUMBER(I23),I23,0))) + IF(J23="X",10,IF(J23="M",0,IF(ISNUMBER(J23),J23,0))) + IF(K23="X",10,IF(K23="M",0,IF(ISNUMBER(K23),K23,0))) + IF(L23="X",10,IF(L23="M",0,IF(ISNUMBER(L23),L23,0))) + IF(M23="X",10,IF(M23="M",0,IF(ISNUMBER(M23),M23,0))),"")</f>
        <v/>
      </c>
      <c r="O23" s="62"/>
      <c r="P23" s="62"/>
      <c r="Q23" s="62"/>
      <c r="R23" s="62"/>
      <c r="S23" s="62"/>
      <c r="T23" s="62"/>
      <c r="U23" s="63" t="str">
        <f>IF(OR(ISNUMBER(O23),ISNUMBER(P23),ISNUMBER(Q23),ISNUMBER(R23),ISNUMBER(S23),ISNUMBER(T23),O23="X",P23="X",Q23="X",R23="X",S23="X",T23="X",O23="M",P23="M",Q23="M",R23="M",S23="M",T23="M"),IF(O23="X",10,IF(O23="M",0,IF(ISNUMBER(O23),O23,0))) + IF(P23="X",10,IF(P23="M",0,IF(ISNUMBER(P23),P23,0))) + IF(Q23="X",10,IF(Q23="M",0,IF(ISNUMBER(Q23),Q23,0))) + IF(R23="X",10,IF(R23="M",0,IF(ISNUMBER(R23),R23,0))) + IF(S23="X",10,IF(S23="M",0,IF(ISNUMBER(S23),S23,0))) + IF(T23="X",10,IF(T23="M",0,IF(ISNUMBER(T23),T23,0))),"")</f>
        <v/>
      </c>
      <c r="V23" s="62"/>
      <c r="W23" s="62"/>
      <c r="X23" s="62"/>
      <c r="Y23" s="62"/>
      <c r="Z23" s="62"/>
      <c r="AA23" s="62"/>
      <c r="AB23" s="63" t="str">
        <f>IF(OR(ISNUMBER(V23),ISNUMBER(W23),ISNUMBER(X23),ISNUMBER(Y23),ISNUMBER(Z23),ISNUMBER(AA23),V23="X",W23="X",X23="X",Y23="X",Z23="X",AA23="X",V23="M",W23="M",X23="M",Y23="M",Z23="M",AA23="M"),IF(V23="X",10,IF(V23="M",0,IF(ISNUMBER(V23),V23,0))) + IF(W23="X",10,IF(W23="M",0,IF(ISNUMBER(W23),W23,0))) + IF(X23="X",10,IF(X23="M",0,IF(ISNUMBER(X23),X23,0))) + IF(Y23="X",10,IF(Y23="M",0,IF(ISNUMBER(Y23),Y23,0))) + IF(Z23="X",10,IF(Z23="M",0,IF(ISNUMBER(Z23),Z23,0))) + IF(AA23="X",10,IF(AA23="M",0,IF(ISNUMBER(AA23),AA23,0))),"")</f>
        <v/>
      </c>
      <c r="AC23" s="62"/>
      <c r="AD23" s="62"/>
      <c r="AE23" s="62"/>
      <c r="AF23" s="62"/>
      <c r="AG23" s="62"/>
      <c r="AH23" s="62"/>
      <c r="AI23" s="63" t="str">
        <f>IF(OR(ISNUMBER(AC23),ISNUMBER(AD23),ISNUMBER(AE23),ISNUMBER(AF23),ISNUMBER(AG23),ISNUMBER(AH23),AC23="X",AD23="X",AE23="X",AF23="X",AG23="X",AH23="X",AC23="M",AD23="M",AE23="M",AF23="M",AG23="M",AH23="M"),IF(AC23="X",10,IF(AC23="M",0,IF(ISNUMBER(AC23),AC23,0))) + IF(AD23="X",10,IF(AD23="M",0,IF(ISNUMBER(AD23),AD23,0))) + IF(AE23="X",10,IF(AE23="M",0,IF(ISNUMBER(AE23),AE23,0))) + IF(AF23="X",10,IF(AF23="M",0,IF(ISNUMBER(AF23),AF23,0))) + IF(AG23="X",10,IF(AG23="M",0,IF(ISNUMBER(AG23),AG23,0))) + IF(AH23="X",10,IF(AH23="M",0,IF(ISNUMBER(AH23),AH23,0))),"")</f>
        <v/>
      </c>
      <c r="AJ23" s="62"/>
      <c r="AK23" s="62"/>
      <c r="AL23" s="62"/>
      <c r="AM23" s="62"/>
      <c r="AN23" s="62"/>
      <c r="AO23" s="62"/>
      <c r="AP23" s="63" t="str">
        <f>IF(OR(ISNUMBER(AJ23),ISNUMBER(AK23),ISNUMBER(AL23),ISNUMBER(AM23),ISNUMBER(AN23),ISNUMBER(AO23),AJ23="X",AK23="X",AL23="X",AM23="X",AN23="X",AO23="X",AJ23="M",AK23="M",AL23="M",AM23="M",AN23="M",AO23="M"),IF(AJ23="X",10,IF(AJ23="M",0,IF(ISNUMBER(AJ23),AJ23,0))) + IF(AK23="X",10,IF(AK23="M",0,IF(ISNUMBER(AK23),AK23,0))) + IF(AL23="X",10,IF(AL23="M",0,IF(ISNUMBER(AL23),AL23,0))) + IF(AM23="X",10,IF(AM23="M",0,IF(ISNUMBER(AM23),AM23,0))) + IF(AN23="X",10,IF(AN23="M",0,IF(ISNUMBER(AN23),AN23,0))) + IF(AO23="X",10,IF(AO23="M",0,IF(ISNUMBER(AO23),AO23,0))),"")</f>
        <v/>
      </c>
      <c r="AQ23" s="64"/>
      <c r="AR23" s="64"/>
      <c r="AS23" s="64"/>
      <c r="AT23" s="64"/>
      <c r="AU23" s="64"/>
      <c r="AV23" s="64"/>
      <c r="AW23" s="63" t="str">
        <f>IF(OR(ISNUMBER(AQ23),ISNUMBER(AR23),ISNUMBER(AS23),ISNUMBER(AT23),ISNUMBER(AU23),ISNUMBER(AV23),AQ23="X",AR23="X",AS23="X",AT23="X",AU23="X",AV23="X",AQ23="M",AR23="M",AS23="M",AT23="M",AU23="M",AV23="M"),IF(AQ23="X",10,IF(AQ23="M",0,IF(ISNUMBER(AQ23),AQ23,0))) + IF(AR23="X",10,IF(AR23="M",0,IF(ISNUMBER(AR23),AR23,0))) + IF(AS23="X",10,IF(AS23="M",0,IF(ISNUMBER(AS23),AS23,0))) + IF(AT23="X",10,IF(AT23="M",0,IF(ISNUMBER(AT23),AT23,0))) + IF(AU23="X",10,IF(AU23="M",0,IF(ISNUMBER(AU23),AU23,0))) + IF(AV23="X",10,IF(AV23="M",0,IF(ISNUMBER(AV23),AV23,0))),"")</f>
        <v/>
      </c>
      <c r="AX23" s="65">
        <f>IF(AND(ISNUMBER(N23),ISNUMBER(N21)),IF(N23&gt;N21,2,IF(N23=N21,1,0)),0)+IF(AND(ISNUMBER(U23),ISNUMBER(U21)),IF(U23&gt;U21,2,IF(U23=U21,1,0)),0)+IF(AND(ISNUMBER(AB23),ISNUMBER(AB21)),IF(AB23&gt;AB21,2,IF(AB23=AB21,1,0)),0)+IF(AND(ISNUMBER(AI23),ISNUMBER(AI21)),IF(AI23&gt;AI21,2,IF(AI23=AI21,1,0)),0)+IF(AND(ISNUMBER(AP23),ISNUMBER(AP21)),IF(AP23&gt;AP21,2,IF(AP23=AP21,1,0)),0)</f>
        <v>0</v>
      </c>
      <c r="AY23" s="66"/>
      <c r="AZ23" s="67">
        <f>IF(AX23&gt;0,IF(H23="X",10,IF(H23="M",0,IF(ISNUMBER(H23),H23,0)))+IF(I23="X",10,IF(I23="M",0,IF(ISNUMBER(I23),I23,0)))+IF(J23="X",10,IF(J23="M",0,IF(ISNUMBER(J23),J23,0)))+IF(K23="X",10,IF(K23="M",0,IF(ISNUMBER(K23),K23,0)))+IF(L23="X",10,IF(L23="M",0,IF(ISNUMBER(L23),L23,0)))+IF(M23="X",10,IF(M23="M",0,IF(ISNUMBER(M23),M23,0)))+IF(O23="X",10,IF(O23="M",0,IF(ISNUMBER(O23),O23,0)))+IF(P23="X",10,IF(P23="M",0,IF(ISNUMBER(P23),P23,0)))+IF(Q23="X",10,IF(Q23="M",0,IF(ISNUMBER(Q23),Q23,0)))+IF(R23="X",10,IF(R23="M",0,IF(ISNUMBER(R23),R23,0)))+IF(S23="X",10,IF(S23="M",0,IF(ISNUMBER(S23),S23,0)))+IF(T23="X",10,IF(T23="M",0,IF(ISNUMBER(T23),T23,0)))+IF(V23="X",10,IF(V23="M",0,IF(ISNUMBER(V23),V23,0)))+IF(W23="X",10,IF(W23="M",0,IF(ISNUMBER(W23),W23,0)))+IF(X23="X",10,IF(X23="M",0,IF(ISNUMBER(X23),X23,0)))+IF(Y23="X",10,IF(Y23="M",0,IF(ISNUMBER(Y23),Y23,0)))+IF(Z23="X",10,IF(Z23="M",0,IF(ISNUMBER(Z23),Z23,0)))+IF(AA23="X",10,IF(AA23="M",0,IF(ISNUMBER(AA23),AA23,0)))+IF(AC23="X",10,IF(AC23="M",0,IF(ISNUMBER(AC23),AC23,0)))+IF(AD23="X",10,IF(AD23="M",0,IF(ISNUMBER(AD23),AD23,0)))+IF(AE23="X",10,IF(AE23="M",0,IF(ISNUMBER(AE23),AE23,0)))+IF(AF23="X",10,IF(AF23="M",0,IF(ISNUMBER(AF23),AF23,0)))+IF(AG23="X",10,IF(AG23="M",0,IF(ISNUMBER(AG23),AG23,0)))+IF(AH23="X",10,IF(AH23="M",0,IF(ISNUMBER(AH23),AH23,0)))+IF(AJ23="X",10,IF(AJ23="M",0,IF(ISNUMBER(AJ23),AJ23,0)))+IF(AK23="X",10,IF(AK23="M",0,IF(ISNUMBER(AK23),AK23,0)))+IF(AL23="X",10,IF(AL23="M",0,IF(ISNUMBER(AL23),AL23,0)))+IF(AM23="X",10,IF(AM23="M",0,IF(ISNUMBER(AM23),AM23,0)))+IF(AN23="X",10,IF(AN23="M",0,IF(ISNUMBER(AN23),AN23,0)))+IF(AO23="X",10,IF(AO23="M",0,IF(ISNUMBER(AO23),AO23,0)))+IF(AQ23="X",10,IF(AQ23="M",0,IF(ISNUMBER(AQ23),AQ23,0)))+IF(AR23="X",10,IF(AR23="M",0,IF(ISNUMBER(AR23),AR23,0)))+IF(AS23="X",10,IF(AS23="M",0,IF(ISNUMBER(AS23),AS23,0)))+IF(AT23="X",10,IF(AT23="M",0,IF(ISNUMBER(AT23),AT23,0)))+IF(AU23="X",10,IF(AU23="M",0,IF(ISNUMBER(AU23),AU23,0)))+IF(AV23="X",10,IF(AV23="M",0,IF(ISNUMBER(AV23),AV23,0))),0)</f>
        <v>0</v>
      </c>
      <c r="BA23" s="68" t="str">
        <f>IFERROR(IF(AY23="DQ","DISQUALIFIED",IF(AY21="DQ","&gt;&gt; Advance",IF(BC21="BYE","&gt;&gt; Advance",IF(BC23="BYE","BYE",IF(AX23&gt;=6,"WIN",IF(AX21&gt;=6,"LOSS",IF(AND(ISNUMBER(AW23),ISNUMBER(AW21)),IF(AW23&gt;AW21,"WIN",IF(AW23&lt;AW21,"LOSS","Shoot-Off")),"Playing"))))))),"Error")</f>
        <v>&gt;&gt; Advance</v>
      </c>
      <c r="BC23" s="69" t="str">
        <f>IFERROR(IF(INDEX('Novice 15M - Teams'!$L:$L,MATCH(13,'Novice 15M - Teams'!$A:$A,0))="Yes","BYE",IF(OR(INDEX('Novice 15M - Teams'!$B:$B,MATCH(13,'Novice 15M - Teams'!$A:$A,0))="",ISERROR(MATCH(13,'Novice 15M - Teams'!$A:$A,0))),"BYE","")),"BYE")</f>
        <v>BYE</v>
      </c>
      <c r="BD23" s="61" t="s">
        <v>206</v>
      </c>
      <c r="BE23" s="106" t="str">
        <f>IFERROR(IF(BC41="BYE",IF(BC43="BYE","TBD",B43),IF(BC43="BYE",B41,IF(OR(BA41="WIN",BA41="&gt;&gt; Advance"),B41,IF(OR(BA43="WIN",BA43="&gt;&gt; Advance"),B43,"TBD")))),"TBD")</f>
        <v>TBD</v>
      </c>
      <c r="BF23" s="106"/>
      <c r="BG23" s="106"/>
      <c r="BH23" s="107" t="str">
        <f>IF(AND(BE21&lt;&gt;"TBD",BE21&lt;&gt;"",BE23&lt;&gt;"TBD",BE23&lt;&gt;"",DD21&lt;&gt;"&gt;&gt; Advance",DD23&lt;&gt;"&gt;&gt; Advance"),IF((B2-A2+1)&gt;=8,(A2+7)&amp;"",IF((B2-A2+1)&gt;=4,(A2+3)&amp;" R",(A2+MOD(3,(B2-A2+1)))&amp;CHAR(65+FLOOR(3/(B2-A2+1),1)*2+1)&amp;" (R)")),"")</f>
        <v/>
      </c>
      <c r="BI23" s="107"/>
      <c r="BJ23" s="107"/>
      <c r="BK23" s="62"/>
      <c r="BL23" s="62"/>
      <c r="BM23" s="62"/>
      <c r="BN23" s="62"/>
      <c r="BO23" s="62"/>
      <c r="BP23" s="62"/>
      <c r="BQ23" s="63" t="str">
        <f>IF(OR(ISNUMBER(BK23),ISNUMBER(BL23),ISNUMBER(BM23),ISNUMBER(BN23),ISNUMBER(BO23),ISNUMBER(BP23),BK23="X",BL23="X",BM23="X",BN23="X",BO23="X",BP23="X",BK23="M",BL23="M",BM23="M",BN23="M",BO23="M",BP23="M"),IF(BK23="X",10,IF(BK23="M",0,IF(ISNUMBER(BK23),BK23,0))) + IF(BL23="X",10,IF(BL23="M",0,IF(ISNUMBER(BL23),BL23,0))) + IF(BM23="X",10,IF(BM23="M",0,IF(ISNUMBER(BM23),BM23,0))) + IF(BN23="X",10,IF(BN23="M",0,IF(ISNUMBER(BN23),BN23,0))) + IF(BO23="X",10,IF(BO23="M",0,IF(ISNUMBER(BO23),BO23,0))) + IF(BP23="X",10,IF(BP23="M",0,IF(ISNUMBER(BP23),BP23,0))),"")</f>
        <v/>
      </c>
      <c r="BR23" s="62"/>
      <c r="BS23" s="62"/>
      <c r="BT23" s="62"/>
      <c r="BU23" s="62"/>
      <c r="BV23" s="62"/>
      <c r="BW23" s="62"/>
      <c r="BX23" s="63" t="str">
        <f>IF(OR(ISNUMBER(BR23),ISNUMBER(BS23),ISNUMBER(BT23),ISNUMBER(BU23),ISNUMBER(BV23),ISNUMBER(BW23),BR23="X",BS23="X",BT23="X",BU23="X",BV23="X",BW23="X",BR23="M",BS23="M",BT23="M",BU23="M",BV23="M",BW23="M"),IF(BR23="X",10,IF(BR23="M",0,IF(ISNUMBER(BR23),BR23,0))) + IF(BS23="X",10,IF(BS23="M",0,IF(ISNUMBER(BS23),BS23,0))) + IF(BT23="X",10,IF(BT23="M",0,IF(ISNUMBER(BT23),BT23,0))) + IF(BU23="X",10,IF(BU23="M",0,IF(ISNUMBER(BU23),BU23,0))) + IF(BV23="X",10,IF(BV23="M",0,IF(ISNUMBER(BV23),BV23,0))) + IF(BW23="X",10,IF(BW23="M",0,IF(ISNUMBER(BW23),BW23,0))),"")</f>
        <v/>
      </c>
      <c r="BY23" s="62"/>
      <c r="BZ23" s="62"/>
      <c r="CA23" s="62"/>
      <c r="CB23" s="62"/>
      <c r="CC23" s="62"/>
      <c r="CD23" s="62"/>
      <c r="CE23" s="63" t="str">
        <f>IF(OR(ISNUMBER(BY23),ISNUMBER(BZ23),ISNUMBER(CA23),ISNUMBER(CB23),ISNUMBER(CC23),ISNUMBER(CD23),BY23="X",BZ23="X",CA23="X",CB23="X",CC23="X",CD23="X",BY23="M",BZ23="M",CA23="M",CB23="M",CC23="M",CD23="M"),IF(BY23="X",10,IF(BY23="M",0,IF(ISNUMBER(BY23),BY23,0))) + IF(BZ23="X",10,IF(BZ23="M",0,IF(ISNUMBER(BZ23),BZ23,0))) + IF(CA23="X",10,IF(CA23="M",0,IF(ISNUMBER(CA23),CA23,0))) + IF(CB23="X",10,IF(CB23="M",0,IF(ISNUMBER(CB23),CB23,0))) + IF(CC23="X",10,IF(CC23="M",0,IF(ISNUMBER(CC23),CC23,0))) + IF(CD23="X",10,IF(CD23="M",0,IF(ISNUMBER(CD23),CD23,0))),"")</f>
        <v/>
      </c>
      <c r="CF23" s="62"/>
      <c r="CG23" s="62"/>
      <c r="CH23" s="62"/>
      <c r="CI23" s="62"/>
      <c r="CJ23" s="62"/>
      <c r="CK23" s="62"/>
      <c r="CL23" s="63" t="str">
        <f>IF(OR(ISNUMBER(CF23),ISNUMBER(CG23),ISNUMBER(CH23),ISNUMBER(CI23),ISNUMBER(CJ23),ISNUMBER(CK23),CF23="X",CG23="X",CH23="X",CI23="X",CJ23="X",CK23="X",CF23="M",CG23="M",CH23="M",CI23="M",CJ23="M",CK23="M"),IF(CF23="X",10,IF(CF23="M",0,IF(ISNUMBER(CF23),CF23,0))) + IF(CG23="X",10,IF(CG23="M",0,IF(ISNUMBER(CG23),CG23,0))) + IF(CH23="X",10,IF(CH23="M",0,IF(ISNUMBER(CH23),CH23,0))) + IF(CI23="X",10,IF(CI23="M",0,IF(ISNUMBER(CI23),CI23,0))) + IF(CJ23="X",10,IF(CJ23="M",0,IF(ISNUMBER(CJ23),CJ23,0))) + IF(CK23="X",10,IF(CK23="M",0,IF(ISNUMBER(CK23),CK23,0))),"")</f>
        <v/>
      </c>
      <c r="CM23" s="62"/>
      <c r="CN23" s="62"/>
      <c r="CO23" s="62"/>
      <c r="CP23" s="62"/>
      <c r="CQ23" s="62"/>
      <c r="CR23" s="62"/>
      <c r="CS23" s="63" t="str">
        <f>IF(OR(ISNUMBER(CM23),ISNUMBER(CN23),ISNUMBER(CO23),ISNUMBER(CP23),ISNUMBER(CQ23),ISNUMBER(CR23),CM23="X",CN23="X",CO23="X",CP23="X",CQ23="X",CR23="X",CM23="M",CN23="M",CO23="M",CP23="M",CQ23="M",CR23="M"),IF(CM23="X",10,IF(CM23="M",0,IF(ISNUMBER(CM23),CM23,0))) + IF(CN23="X",10,IF(CN23="M",0,IF(ISNUMBER(CN23),CN23,0))) + IF(CO23="X",10,IF(CO23="M",0,IF(ISNUMBER(CO23),CO23,0))) + IF(CP23="X",10,IF(CP23="M",0,IF(ISNUMBER(CP23),CP23,0))) + IF(CQ23="X",10,IF(CQ23="M",0,IF(ISNUMBER(CQ23),CQ23,0))) + IF(CR23="X",10,IF(CR23="M",0,IF(ISNUMBER(CR23),CR23,0))),"")</f>
        <v/>
      </c>
      <c r="CT23" s="64"/>
      <c r="CU23" s="64"/>
      <c r="CV23" s="64"/>
      <c r="CW23" s="64"/>
      <c r="CX23" s="64"/>
      <c r="CY23" s="64"/>
      <c r="CZ23" s="63" t="str">
        <f>IF(OR(ISNUMBER(CT23),ISNUMBER(CU23),ISNUMBER(CV23),ISNUMBER(CW23),ISNUMBER(CX23),ISNUMBER(CY23),CT23="X",CU23="X",CV23="X",CW23="X",CX23="X",CY23="X",CT23="M",CU23="M",CV23="M",CW23="M",CX23="M",CY23="M"),IF(CT23="X",10,IF(CT23="M",0,IF(ISNUMBER(CT23),CT23,0))) + IF(CU23="X",10,IF(CU23="M",0,IF(ISNUMBER(CU23),CU23,0))) + IF(CV23="X",10,IF(CV23="M",0,IF(ISNUMBER(CV23),CV23,0))) + IF(CW23="X",10,IF(CW23="M",0,IF(ISNUMBER(CW23),CW23,0))) + IF(CX23="X",10,IF(CX23="M",0,IF(ISNUMBER(CX23),CX23,0))) + IF(CY23="X",10,IF(CY23="M",0,IF(ISNUMBER(CY23),CY23,0))),"")</f>
        <v/>
      </c>
      <c r="DA23" s="65">
        <f>IF(AND(ISNUMBER(BQ23),ISNUMBER(BQ21)),IF(BQ23&gt;BQ21,2,IF(BQ23=BQ21,1,0)),0)+IF(AND(ISNUMBER(BX23),ISNUMBER(BX21)),IF(BX23&gt;BX21,2,IF(BX23=BX21,1,0)),0)+IF(AND(ISNUMBER(CE23),ISNUMBER(CE21)),IF(CE23&gt;CE21,2,IF(CE23=CE21,1,0)),0)+IF(AND(ISNUMBER(CL23),ISNUMBER(CL21)),IF(CL23&gt;CL21,2,IF(CL23=CL21,1,0)),0)+IF(AND(ISNUMBER(CS23),ISNUMBER(CS21)),IF(CS23&gt;CS21,2,IF(CS23=CS21,1,0)),0)</f>
        <v>0</v>
      </c>
      <c r="DB23" s="66"/>
      <c r="DC23" s="67">
        <f>IF(DA23&gt;0,IF(BK23="X",10,IF(BK23="M",0,IF(ISNUMBER(BK23),BK23,0)))+IF(BL23="X",10,IF(BL23="M",0,IF(ISNUMBER(BL23),BL23,0)))+IF(BM23="X",10,IF(BM23="M",0,IF(ISNUMBER(BM23),BM23,0)))+IF(BN23="X",10,IF(BN23="M",0,IF(ISNUMBER(BN23),BN23,0)))+IF(BO23="X",10,IF(BO23="M",0,IF(ISNUMBER(BO23),BO23,0)))+IF(BP23="X",10,IF(BP23="M",0,IF(ISNUMBER(BP23),BP23,0)))+IF(BR23="X",10,IF(BR23="M",0,IF(ISNUMBER(BR23),BR23,0)))+IF(BS23="X",10,IF(BS23="M",0,IF(ISNUMBER(BS23),BS23,0)))+IF(BT23="X",10,IF(BT23="M",0,IF(ISNUMBER(BT23),BT23,0)))+IF(BU23="X",10,IF(BU23="M",0,IF(ISNUMBER(BU23),BU23,0)))+IF(BV23="X",10,IF(BV23="M",0,IF(ISNUMBER(BV23),BV23,0)))+IF(BW23="X",10,IF(BW23="M",0,IF(ISNUMBER(BW23),BW23,0)))+IF(BY23="X",10,IF(BY23="M",0,IF(ISNUMBER(BY23),BY23,0)))+IF(BZ23="X",10,IF(BZ23="M",0,IF(ISNUMBER(BZ23),BZ23,0)))+IF(CA23="X",10,IF(CA23="M",0,IF(ISNUMBER(CA23),CA23,0)))+IF(CB23="X",10,IF(CB23="M",0,IF(ISNUMBER(CB23),CB23,0)))+IF(CC23="X",10,IF(CC23="M",0,IF(ISNUMBER(CC23),CC23,0)))+IF(CD23="X",10,IF(CD23="M",0,IF(ISNUMBER(CD23),CD23,0)))+IF(CF23="X",10,IF(CF23="M",0,IF(ISNUMBER(CF23),CF23,0)))+IF(CG23="X",10,IF(CG23="M",0,IF(ISNUMBER(CG23),CG23,0)))+IF(CH23="X",10,IF(CH23="M",0,IF(ISNUMBER(CH23),CH23,0)))+IF(CI23="X",10,IF(CI23="M",0,IF(ISNUMBER(CI23),CI23,0)))+IF(CJ23="X",10,IF(CJ23="M",0,IF(ISNUMBER(CJ23),CJ23,0)))+IF(CK23="X",10,IF(CK23="M",0,IF(ISNUMBER(CK23),CK23,0)))+IF(CM23="X",10,IF(CM23="M",0,IF(ISNUMBER(CM23),CM23,0)))+IF(CN23="X",10,IF(CN23="M",0,IF(ISNUMBER(CN23),CN23,0)))+IF(CO23="X",10,IF(CO23="M",0,IF(ISNUMBER(CO23),CO23,0)))+IF(CP23="X",10,IF(CP23="M",0,IF(ISNUMBER(CP23),CP23,0)))+IF(CQ23="X",10,IF(CQ23="M",0,IF(ISNUMBER(CQ23),CQ23,0)))+IF(CR23="X",10,IF(CR23="M",0,IF(ISNUMBER(CR23),CR23,0)))+IF(CT23="X",10,IF(CT23="M",0,IF(ISNUMBER(CT23),CT23,0)))+IF(CU23="X",10,IF(CU23="M",0,IF(ISNUMBER(CU23),CU23,0)))+IF(CV23="X",10,IF(CV23="M",0,IF(ISNUMBER(CV23),CV23,0)))+IF(CW23="X",10,IF(CW23="M",0,IF(ISNUMBER(CW23),CW23,0)))+IF(CX23="X",10,IF(CX23="M",0,IF(ISNUMBER(CX23),CX23,0)))+IF(CY23="X",10,IF(CY23="M",0,IF(ISNUMBER(CY23),CY23,0))),0)</f>
        <v>0</v>
      </c>
      <c r="DD23" s="68" t="str">
        <f>IFERROR(IF(DB23="DQ","DISQUALIFIED",IF(DB21="DQ","&gt;&gt; Advance",IF(DF21="BYE","&gt;&gt; Advance",IF(DF23="BYE","BYE",IF(DA23&gt;=6,"WIN",IF(DA21&gt;=6,"LOSS",IF(AND(ISNUMBER(CZ23),ISNUMBER(CZ21)),IF(CZ23&gt;CZ21,"WIN",IF(CZ23&lt;CZ21,"LOSS","Shoot-Off")),"Playing"))))))),"Error")</f>
        <v>&gt;&gt; Advance</v>
      </c>
      <c r="DF23" s="69" t="str">
        <f>IFERROR(IF(AND(BC41="BYE",BC43="BYE"),"BYE",""),"")</f>
        <v>BYE</v>
      </c>
    </row>
    <row r="24" spans="1:236" ht="1.5" customHeight="1" x14ac:dyDescent="0.35"/>
    <row r="25" spans="1:236" ht="10.5" customHeight="1" x14ac:dyDescent="0.35">
      <c r="A25" s="104" t="s">
        <v>207</v>
      </c>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row>
    <row r="26" spans="1:236" ht="15.75" customHeight="1" x14ac:dyDescent="0.35">
      <c r="A26" s="61" t="str">
        <f>IFERROR(IF(INDEX('Novice 15M - Teams'!$L:$L,MATCH(3,'Novice 15M - Teams'!$A:$A,0))="Yes","BYE",IF(OR(INDEX('Novice 15M - Teams'!$B:$B,MATCH(3,'Novice 15M - Teams'!$A:$A,0))="",ISERROR(MATCH(3,'Novice 15M - Teams'!$A:$A,0))),"BYE","#3")),"BYE")</f>
        <v>BYE</v>
      </c>
      <c r="B26" s="106" t="str">
        <f>IFERROR(IF(INDEX('Novice 15M - Teams'!$L:$L,MATCH(3,'Novice 15M - Teams'!$A:$A,0))="Yes","",IF(INDEX('Novice 15M - Teams'!$N:$N,MATCH(3,'Novice 15M - Teams'!$A:$A,0))&lt;&gt;"",INDEX('Novice 15M - Teams'!$N:$N,MATCH(3,'Novice 15M - Teams'!$A:$A,0)),IF(INDEX('Novice 15M - Teams'!$B:$B,MATCH(3,'Novice 15M - Teams'!$A:$A,0))="","",INDEX('Novice 15M - Teams'!$B:$B,MATCH(3,'Novice 15M - Teams'!$A:$A,0))))),"")</f>
        <v/>
      </c>
      <c r="C26" s="106"/>
      <c r="D26" s="106"/>
      <c r="E26" s="107" t="str">
        <f>IF(OR(A26="BYE",BA26="&gt;&gt;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Advance",1,0),0),0))-1,2)=0)," (L)"," (R)")))</f>
        <v/>
      </c>
      <c r="F26" s="107"/>
      <c r="G26" s="107"/>
      <c r="H26" s="62"/>
      <c r="I26" s="62"/>
      <c r="J26" s="62"/>
      <c r="K26" s="62"/>
      <c r="L26" s="62"/>
      <c r="M26" s="62"/>
      <c r="N26" s="63" t="str">
        <f>IF(OR(ISNUMBER(H26),ISNUMBER(I26),ISNUMBER(J26),ISNUMBER(K26),ISNUMBER(L26),ISNUMBER(M26),H26="X",I26="X",J26="X",K26="X",L26="X",M26="X",H26="M",I26="M",J26="M",K26="M",L26="M",M26="M"),IF(H26="X",10,IF(H26="M",0,IF(ISNUMBER(H26),H26,0))) + IF(I26="X",10,IF(I26="M",0,IF(ISNUMBER(I26),I26,0))) + IF(J26="X",10,IF(J26="M",0,IF(ISNUMBER(J26),J26,0))) + IF(K26="X",10,IF(K26="M",0,IF(ISNUMBER(K26),K26,0))) + IF(L26="X",10,IF(L26="M",0,IF(ISNUMBER(L26),L26,0))) + IF(M26="X",10,IF(M26="M",0,IF(ISNUMBER(M26),M26,0))),"")</f>
        <v/>
      </c>
      <c r="O26" s="62"/>
      <c r="P26" s="62"/>
      <c r="Q26" s="62"/>
      <c r="R26" s="62"/>
      <c r="S26" s="62"/>
      <c r="T26" s="62"/>
      <c r="U26" s="63" t="str">
        <f>IF(OR(ISNUMBER(O26),ISNUMBER(P26),ISNUMBER(Q26),ISNUMBER(R26),ISNUMBER(S26),ISNUMBER(T26),O26="X",P26="X",Q26="X",R26="X",S26="X",T26="X",O26="M",P26="M",Q26="M",R26="M",S26="M",T26="M"),IF(O26="X",10,IF(O26="M",0,IF(ISNUMBER(O26),O26,0))) + IF(P26="X",10,IF(P26="M",0,IF(ISNUMBER(P26),P26,0))) + IF(Q26="X",10,IF(Q26="M",0,IF(ISNUMBER(Q26),Q26,0))) + IF(R26="X",10,IF(R26="M",0,IF(ISNUMBER(R26),R26,0))) + IF(S26="X",10,IF(S26="M",0,IF(ISNUMBER(S26),S26,0))) + IF(T26="X",10,IF(T26="M",0,IF(ISNUMBER(T26),T26,0))),"")</f>
        <v/>
      </c>
      <c r="V26" s="62"/>
      <c r="W26" s="62"/>
      <c r="X26" s="62"/>
      <c r="Y26" s="62"/>
      <c r="Z26" s="62"/>
      <c r="AA26" s="62"/>
      <c r="AB26" s="63" t="str">
        <f>IF(OR(ISNUMBER(V26),ISNUMBER(W26),ISNUMBER(X26),ISNUMBER(Y26),ISNUMBER(Z26),ISNUMBER(AA26),V26="X",W26="X",X26="X",Y26="X",Z26="X",AA26="X",V26="M",W26="M",X26="M",Y26="M",Z26="M",AA26="M"),IF(V26="X",10,IF(V26="M",0,IF(ISNUMBER(V26),V26,0))) + IF(W26="X",10,IF(W26="M",0,IF(ISNUMBER(W26),W26,0))) + IF(X26="X",10,IF(X26="M",0,IF(ISNUMBER(X26),X26,0))) + IF(Y26="X",10,IF(Y26="M",0,IF(ISNUMBER(Y26),Y26,0))) + IF(Z26="X",10,IF(Z26="M",0,IF(ISNUMBER(Z26),Z26,0))) + IF(AA26="X",10,IF(AA26="M",0,IF(ISNUMBER(AA26),AA26,0))),"")</f>
        <v/>
      </c>
      <c r="AC26" s="62"/>
      <c r="AD26" s="62"/>
      <c r="AE26" s="62"/>
      <c r="AF26" s="62"/>
      <c r="AG26" s="62"/>
      <c r="AH26" s="62"/>
      <c r="AI26" s="63" t="str">
        <f>IF(OR(ISNUMBER(AC26),ISNUMBER(AD26),ISNUMBER(AE26),ISNUMBER(AF26),ISNUMBER(AG26),ISNUMBER(AH26),AC26="X",AD26="X",AE26="X",AF26="X",AG26="X",AH26="X",AC26="M",AD26="M",AE26="M",AF26="M",AG26="M",AH26="M"),IF(AC26="X",10,IF(AC26="M",0,IF(ISNUMBER(AC26),AC26,0))) + IF(AD26="X",10,IF(AD26="M",0,IF(ISNUMBER(AD26),AD26,0))) + IF(AE26="X",10,IF(AE26="M",0,IF(ISNUMBER(AE26),AE26,0))) + IF(AF26="X",10,IF(AF26="M",0,IF(ISNUMBER(AF26),AF26,0))) + IF(AG26="X",10,IF(AG26="M",0,IF(ISNUMBER(AG26),AG26,0))) + IF(AH26="X",10,IF(AH26="M",0,IF(ISNUMBER(AH26),AH26,0))),"")</f>
        <v/>
      </c>
      <c r="AJ26" s="62"/>
      <c r="AK26" s="62"/>
      <c r="AL26" s="62"/>
      <c r="AM26" s="62"/>
      <c r="AN26" s="62"/>
      <c r="AO26" s="62"/>
      <c r="AP26" s="63" t="str">
        <f>IF(OR(ISNUMBER(AJ26),ISNUMBER(AK26),ISNUMBER(AL26),ISNUMBER(AM26),ISNUMBER(AN26),ISNUMBER(AO26),AJ26="X",AK26="X",AL26="X",AM26="X",AN26="X",AO26="X",AJ26="M",AK26="M",AL26="M",AM26="M",AN26="M",AO26="M"),IF(AJ26="X",10,IF(AJ26="M",0,IF(ISNUMBER(AJ26),AJ26,0))) + IF(AK26="X",10,IF(AK26="M",0,IF(ISNUMBER(AK26),AK26,0))) + IF(AL26="X",10,IF(AL26="M",0,IF(ISNUMBER(AL26),AL26,0))) + IF(AM26="X",10,IF(AM26="M",0,IF(ISNUMBER(AM26),AM26,0))) + IF(AN26="X",10,IF(AN26="M",0,IF(ISNUMBER(AN26),AN26,0))) + IF(AO26="X",10,IF(AO26="M",0,IF(ISNUMBER(AO26),AO26,0))),"")</f>
        <v/>
      </c>
      <c r="AQ26" s="64"/>
      <c r="AR26" s="64"/>
      <c r="AS26" s="64"/>
      <c r="AT26" s="64"/>
      <c r="AU26" s="64"/>
      <c r="AV26" s="64"/>
      <c r="AW26" s="63" t="str">
        <f>IF(OR(ISNUMBER(AQ26),ISNUMBER(AR26),ISNUMBER(AS26),ISNUMBER(AT26),ISNUMBER(AU26),ISNUMBER(AV26),AQ26="X",AR26="X",AS26="X",AT26="X",AU26="X",AV26="X",AQ26="M",AR26="M",AS26="M",AT26="M",AU26="M",AV26="M"),IF(AQ26="X",10,IF(AQ26="M",0,IF(ISNUMBER(AQ26),AQ26,0))) + IF(AR26="X",10,IF(AR26="M",0,IF(ISNUMBER(AR26),AR26,0))) + IF(AS26="X",10,IF(AS26="M",0,IF(ISNUMBER(AS26),AS26,0))) + IF(AT26="X",10,IF(AT26="M",0,IF(ISNUMBER(AT26),AT26,0))) + IF(AU26="X",10,IF(AU26="M",0,IF(ISNUMBER(AU26),AU26,0))) + IF(AV26="X",10,IF(AV26="M",0,IF(ISNUMBER(AV26),AV26,0))),"")</f>
        <v/>
      </c>
      <c r="AX26" s="65">
        <f>IF(AND(ISNUMBER(N26),ISNUMBER(N28)),IF(N26&gt;N28,2,IF(N26=N28,1,0)),0)+IF(AND(ISNUMBER(U26),ISNUMBER(U28)),IF(U26&gt;U28,2,IF(U26=U28,1,0)),0)+IF(AND(ISNUMBER(AB26),ISNUMBER(AB28)),IF(AB26&gt;AB28,2,IF(AB26=AB28,1,0)),0)+IF(AND(ISNUMBER(AI26),ISNUMBER(AI28)),IF(AI26&gt;AI28,2,IF(AI26=AI28,1,0)),0)+IF(AND(ISNUMBER(AP26),ISNUMBER(AP28)),IF(AP26&gt;AP28,2,IF(AP26=AP28,1,0)),0)</f>
        <v>0</v>
      </c>
      <c r="AY26" s="66"/>
      <c r="AZ26" s="67">
        <f>IF(AX26&gt;0,IF(H26="X",10,IF(H26="M",0,IF(ISNUMBER(H26),H26,0)))+IF(I26="X",10,IF(I26="M",0,IF(ISNUMBER(I26),I26,0)))+IF(J26="X",10,IF(J26="M",0,IF(ISNUMBER(J26),J26,0)))+IF(K26="X",10,IF(K26="M",0,IF(ISNUMBER(K26),K26,0)))+IF(L26="X",10,IF(L26="M",0,IF(ISNUMBER(L26),L26,0)))+IF(M26="X",10,IF(M26="M",0,IF(ISNUMBER(M26),M26,0)))+IF(O26="X",10,IF(O26="M",0,IF(ISNUMBER(O26),O26,0)))+IF(P26="X",10,IF(P26="M",0,IF(ISNUMBER(P26),P26,0)))+IF(Q26="X",10,IF(Q26="M",0,IF(ISNUMBER(Q26),Q26,0)))+IF(R26="X",10,IF(R26="M",0,IF(ISNUMBER(R26),R26,0)))+IF(S26="X",10,IF(S26="M",0,IF(ISNUMBER(S26),S26,0)))+IF(T26="X",10,IF(T26="M",0,IF(ISNUMBER(T26),T26,0)))+IF(V26="X",10,IF(V26="M",0,IF(ISNUMBER(V26),V26,0)))+IF(W26="X",10,IF(W26="M",0,IF(ISNUMBER(W26),W26,0)))+IF(X26="X",10,IF(X26="M",0,IF(ISNUMBER(X26),X26,0)))+IF(Y26="X",10,IF(Y26="M",0,IF(ISNUMBER(Y26),Y26,0)))+IF(Z26="X",10,IF(Z26="M",0,IF(ISNUMBER(Z26),Z26,0)))+IF(AA26="X",10,IF(AA26="M",0,IF(ISNUMBER(AA26),AA26,0)))+IF(AC26="X",10,IF(AC26="M",0,IF(ISNUMBER(AC26),AC26,0)))+IF(AD26="X",10,IF(AD26="M",0,IF(ISNUMBER(AD26),AD26,0)))+IF(AE26="X",10,IF(AE26="M",0,IF(ISNUMBER(AE26),AE26,0)))+IF(AF26="X",10,IF(AF26="M",0,IF(ISNUMBER(AF26),AF26,0)))+IF(AG26="X",10,IF(AG26="M",0,IF(ISNUMBER(AG26),AG26,0)))+IF(AH26="X",10,IF(AH26="M",0,IF(ISNUMBER(AH26),AH26,0)))+IF(AJ26="X",10,IF(AJ26="M",0,IF(ISNUMBER(AJ26),AJ26,0)))+IF(AK26="X",10,IF(AK26="M",0,IF(ISNUMBER(AK26),AK26,0)))+IF(AL26="X",10,IF(AL26="M",0,IF(ISNUMBER(AL26),AL26,0)))+IF(AM26="X",10,IF(AM26="M",0,IF(ISNUMBER(AM26),AM26,0)))+IF(AN26="X",10,IF(AN26="M",0,IF(ISNUMBER(AN26),AN26,0)))+IF(AO26="X",10,IF(AO26="M",0,IF(ISNUMBER(AO26),AO26,0)))+IF(AQ26="X",10,IF(AQ26="M",0,IF(ISNUMBER(AQ26),AQ26,0)))+IF(AR26="X",10,IF(AR26="M",0,IF(ISNUMBER(AR26),AR26,0)))+IF(AS26="X",10,IF(AS26="M",0,IF(ISNUMBER(AS26),AS26,0)))+IF(AT26="X",10,IF(AT26="M",0,IF(ISNUMBER(AT26),AT26,0)))+IF(AU26="X",10,IF(AU26="M",0,IF(ISNUMBER(AU26),AU26,0)))+IF(AV26="X",10,IF(AV26="M",0,IF(ISNUMBER(AV26),AV26,0))),0)</f>
        <v>0</v>
      </c>
      <c r="BA26" s="68" t="str">
        <f>IFERROR(IF(AY26="DQ","DISQUALIFIED",IF(AY28="DQ","&gt;&gt; Advance",IF(BC28="BYE","&gt;&gt; Advance",IF(BC26="BYE","BYE",IF(AX26&gt;=6,"WIN",IF(AX28&gt;=6,"LOSS",IF(AND(ISNUMBER(AW26),ISNUMBER(AW28)),IF(AW26&gt;AW28,"WIN",IF(AW26&lt;AW28,"LOSS","Shoot-Off")),"Playing"))))))),"Error")</f>
        <v>&gt;&gt; Advance</v>
      </c>
      <c r="BC26" s="69" t="str">
        <f>IFERROR(IF(INDEX('Novice 15M - Teams'!$L:$L,MATCH(3,'Novice 15M - Teams'!$A:$A,0))="Yes","BYE",IF(OR(INDEX('Novice 15M - Teams'!$B:$B,MATCH(3,'Novice 15M - Teams'!$A:$A,0))="",ISERROR(MATCH(3,'Novice 15M - Teams'!$A:$A,0))),"BYE","")),"BYE")</f>
        <v>BYE</v>
      </c>
    </row>
    <row r="27" spans="1:236" ht="3" customHeight="1" x14ac:dyDescent="0.35">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row>
    <row r="28" spans="1:236" ht="15.75" customHeight="1" x14ac:dyDescent="0.35">
      <c r="A28" s="61" t="str">
        <f>IFERROR(IF(INDEX('Novice 15M - Teams'!$L:$L,MATCH(14,'Novice 15M - Teams'!$A:$A,0))="Yes","BYE",IF(OR(INDEX('Novice 15M - Teams'!$B:$B,MATCH(14,'Novice 15M - Teams'!$A:$A,0))="",ISERROR(MATCH(14,'Novice 15M - Teams'!$A:$A,0))),"BYE","#14")),"BYE")</f>
        <v>BYE</v>
      </c>
      <c r="B28" s="106" t="str">
        <f>IFERROR(IF(INDEX('Novice 15M - Teams'!$L:$L,MATCH(14,'Novice 15M - Teams'!$A:$A,0))="Yes","",IF(INDEX('Novice 15M - Teams'!$N:$N,MATCH(14,'Novice 15M - Teams'!$A:$A,0))&lt;&gt;"",INDEX('Novice 15M - Teams'!$N:$N,MATCH(14,'Novice 15M - Teams'!$A:$A,0)),IF(INDEX('Novice 15M - Teams'!$B:$B,MATCH(14,'Novice 15M - Teams'!$A:$A,0))="","",INDEX('Novice 15M - Teams'!$B:$B,MATCH(14,'Novice 15M - Teams'!$A:$A,0))))),"")</f>
        <v/>
      </c>
      <c r="C28" s="106"/>
      <c r="D28" s="106"/>
      <c r="E28" s="107" t="str">
        <f>IF(OR(A28="BYE",BA28="&gt;&gt;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Advance",1,0),0),0))-1,2)=0)," (L)"," (R)")))</f>
        <v/>
      </c>
      <c r="F28" s="107"/>
      <c r="G28" s="107"/>
      <c r="H28" s="62"/>
      <c r="I28" s="62"/>
      <c r="J28" s="62"/>
      <c r="K28" s="62"/>
      <c r="L28" s="62"/>
      <c r="M28" s="62"/>
      <c r="N28" s="63" t="str">
        <f>IF(OR(ISNUMBER(H28),ISNUMBER(I28),ISNUMBER(J28),ISNUMBER(K28),ISNUMBER(L28),ISNUMBER(M28),H28="X",I28="X",J28="X",K28="X",L28="X",M28="X",H28="M",I28="M",J28="M",K28="M",L28="M",M28="M"),IF(H28="X",10,IF(H28="M",0,IF(ISNUMBER(H28),H28,0))) + IF(I28="X",10,IF(I28="M",0,IF(ISNUMBER(I28),I28,0))) + IF(J28="X",10,IF(J28="M",0,IF(ISNUMBER(J28),J28,0))) + IF(K28="X",10,IF(K28="M",0,IF(ISNUMBER(K28),K28,0))) + IF(L28="X",10,IF(L28="M",0,IF(ISNUMBER(L28),L28,0))) + IF(M28="X",10,IF(M28="M",0,IF(ISNUMBER(M28),M28,0))),"")</f>
        <v/>
      </c>
      <c r="O28" s="62"/>
      <c r="P28" s="62"/>
      <c r="Q28" s="62"/>
      <c r="R28" s="62"/>
      <c r="S28" s="62"/>
      <c r="T28" s="62"/>
      <c r="U28" s="63" t="str">
        <f>IF(OR(ISNUMBER(O28),ISNUMBER(P28),ISNUMBER(Q28),ISNUMBER(R28),ISNUMBER(S28),ISNUMBER(T28),O28="X",P28="X",Q28="X",R28="X",S28="X",T28="X",O28="M",P28="M",Q28="M",R28="M",S28="M",T28="M"),IF(O28="X",10,IF(O28="M",0,IF(ISNUMBER(O28),O28,0))) + IF(P28="X",10,IF(P28="M",0,IF(ISNUMBER(P28),P28,0))) + IF(Q28="X",10,IF(Q28="M",0,IF(ISNUMBER(Q28),Q28,0))) + IF(R28="X",10,IF(R28="M",0,IF(ISNUMBER(R28),R28,0))) + IF(S28="X",10,IF(S28="M",0,IF(ISNUMBER(S28),S28,0))) + IF(T28="X",10,IF(T28="M",0,IF(ISNUMBER(T28),T28,0))),"")</f>
        <v/>
      </c>
      <c r="V28" s="62"/>
      <c r="W28" s="62"/>
      <c r="X28" s="62"/>
      <c r="Y28" s="62"/>
      <c r="Z28" s="62"/>
      <c r="AA28" s="62"/>
      <c r="AB28" s="63" t="str">
        <f>IF(OR(ISNUMBER(V28),ISNUMBER(W28),ISNUMBER(X28),ISNUMBER(Y28),ISNUMBER(Z28),ISNUMBER(AA28),V28="X",W28="X",X28="X",Y28="X",Z28="X",AA28="X",V28="M",W28="M",X28="M",Y28="M",Z28="M",AA28="M"),IF(V28="X",10,IF(V28="M",0,IF(ISNUMBER(V28),V28,0))) + IF(W28="X",10,IF(W28="M",0,IF(ISNUMBER(W28),W28,0))) + IF(X28="X",10,IF(X28="M",0,IF(ISNUMBER(X28),X28,0))) + IF(Y28="X",10,IF(Y28="M",0,IF(ISNUMBER(Y28),Y28,0))) + IF(Z28="X",10,IF(Z28="M",0,IF(ISNUMBER(Z28),Z28,0))) + IF(AA28="X",10,IF(AA28="M",0,IF(ISNUMBER(AA28),AA28,0))),"")</f>
        <v/>
      </c>
      <c r="AC28" s="62"/>
      <c r="AD28" s="62"/>
      <c r="AE28" s="62"/>
      <c r="AF28" s="62"/>
      <c r="AG28" s="62"/>
      <c r="AH28" s="62"/>
      <c r="AI28" s="63" t="str">
        <f>IF(OR(ISNUMBER(AC28),ISNUMBER(AD28),ISNUMBER(AE28),ISNUMBER(AF28),ISNUMBER(AG28),ISNUMBER(AH28),AC28="X",AD28="X",AE28="X",AF28="X",AG28="X",AH28="X",AC28="M",AD28="M",AE28="M",AF28="M",AG28="M",AH28="M"),IF(AC28="X",10,IF(AC28="M",0,IF(ISNUMBER(AC28),AC28,0))) + IF(AD28="X",10,IF(AD28="M",0,IF(ISNUMBER(AD28),AD28,0))) + IF(AE28="X",10,IF(AE28="M",0,IF(ISNUMBER(AE28),AE28,0))) + IF(AF28="X",10,IF(AF28="M",0,IF(ISNUMBER(AF28),AF28,0))) + IF(AG28="X",10,IF(AG28="M",0,IF(ISNUMBER(AG28),AG28,0))) + IF(AH28="X",10,IF(AH28="M",0,IF(ISNUMBER(AH28),AH28,0))),"")</f>
        <v/>
      </c>
      <c r="AJ28" s="62"/>
      <c r="AK28" s="62"/>
      <c r="AL28" s="62"/>
      <c r="AM28" s="62"/>
      <c r="AN28" s="62"/>
      <c r="AO28" s="62"/>
      <c r="AP28" s="63" t="str">
        <f>IF(OR(ISNUMBER(AJ28),ISNUMBER(AK28),ISNUMBER(AL28),ISNUMBER(AM28),ISNUMBER(AN28),ISNUMBER(AO28),AJ28="X",AK28="X",AL28="X",AM28="X",AN28="X",AO28="X",AJ28="M",AK28="M",AL28="M",AM28="M",AN28="M",AO28="M"),IF(AJ28="X",10,IF(AJ28="M",0,IF(ISNUMBER(AJ28),AJ28,0))) + IF(AK28="X",10,IF(AK28="M",0,IF(ISNUMBER(AK28),AK28,0))) + IF(AL28="X",10,IF(AL28="M",0,IF(ISNUMBER(AL28),AL28,0))) + IF(AM28="X",10,IF(AM28="M",0,IF(ISNUMBER(AM28),AM28,0))) + IF(AN28="X",10,IF(AN28="M",0,IF(ISNUMBER(AN28),AN28,0))) + IF(AO28="X",10,IF(AO28="M",0,IF(ISNUMBER(AO28),AO28,0))),"")</f>
        <v/>
      </c>
      <c r="AQ28" s="64"/>
      <c r="AR28" s="64"/>
      <c r="AS28" s="64"/>
      <c r="AT28" s="64"/>
      <c r="AU28" s="64"/>
      <c r="AV28" s="64"/>
      <c r="AW28" s="63" t="str">
        <f>IF(OR(ISNUMBER(AQ28),ISNUMBER(AR28),ISNUMBER(AS28),ISNUMBER(AT28),ISNUMBER(AU28),ISNUMBER(AV28),AQ28="X",AR28="X",AS28="X",AT28="X",AU28="X",AV28="X",AQ28="M",AR28="M",AS28="M",AT28="M",AU28="M",AV28="M"),IF(AQ28="X",10,IF(AQ28="M",0,IF(ISNUMBER(AQ28),AQ28,0))) + IF(AR28="X",10,IF(AR28="M",0,IF(ISNUMBER(AR28),AR28,0))) + IF(AS28="X",10,IF(AS28="M",0,IF(ISNUMBER(AS28),AS28,0))) + IF(AT28="X",10,IF(AT28="M",0,IF(ISNUMBER(AT28),AT28,0))) + IF(AU28="X",10,IF(AU28="M",0,IF(ISNUMBER(AU28),AU28,0))) + IF(AV28="X",10,IF(AV28="M",0,IF(ISNUMBER(AV28),AV28,0))),"")</f>
        <v/>
      </c>
      <c r="AX28" s="65">
        <f>IF(AND(ISNUMBER(N28),ISNUMBER(N26)),IF(N28&gt;N26,2,IF(N28=N26,1,0)),0)+IF(AND(ISNUMBER(U28),ISNUMBER(U26)),IF(U28&gt;U26,2,IF(U28=U26,1,0)),0)+IF(AND(ISNUMBER(AB28),ISNUMBER(AB26)),IF(AB28&gt;AB26,2,IF(AB28=AB26,1,0)),0)+IF(AND(ISNUMBER(AI28),ISNUMBER(AI26)),IF(AI28&gt;AI26,2,IF(AI28=AI26,1,0)),0)+IF(AND(ISNUMBER(AP28),ISNUMBER(AP26)),IF(AP28&gt;AP26,2,IF(AP28=AP26,1,0)),0)</f>
        <v>0</v>
      </c>
      <c r="AY28" s="66"/>
      <c r="AZ28" s="67">
        <f>IF(AX28&gt;0,IF(H28="X",10,IF(H28="M",0,IF(ISNUMBER(H28),H28,0)))+IF(I28="X",10,IF(I28="M",0,IF(ISNUMBER(I28),I28,0)))+IF(J28="X",10,IF(J28="M",0,IF(ISNUMBER(J28),J28,0)))+IF(K28="X",10,IF(K28="M",0,IF(ISNUMBER(K28),K28,0)))+IF(L28="X",10,IF(L28="M",0,IF(ISNUMBER(L28),L28,0)))+IF(M28="X",10,IF(M28="M",0,IF(ISNUMBER(M28),M28,0)))+IF(O28="X",10,IF(O28="M",0,IF(ISNUMBER(O28),O28,0)))+IF(P28="X",10,IF(P28="M",0,IF(ISNUMBER(P28),P28,0)))+IF(Q28="X",10,IF(Q28="M",0,IF(ISNUMBER(Q28),Q28,0)))+IF(R28="X",10,IF(R28="M",0,IF(ISNUMBER(R28),R28,0)))+IF(S28="X",10,IF(S28="M",0,IF(ISNUMBER(S28),S28,0)))+IF(T28="X",10,IF(T28="M",0,IF(ISNUMBER(T28),T28,0)))+IF(V28="X",10,IF(V28="M",0,IF(ISNUMBER(V28),V28,0)))+IF(W28="X",10,IF(W28="M",0,IF(ISNUMBER(W28),W28,0)))+IF(X28="X",10,IF(X28="M",0,IF(ISNUMBER(X28),X28,0)))+IF(Y28="X",10,IF(Y28="M",0,IF(ISNUMBER(Y28),Y28,0)))+IF(Z28="X",10,IF(Z28="M",0,IF(ISNUMBER(Z28),Z28,0)))+IF(AA28="X",10,IF(AA28="M",0,IF(ISNUMBER(AA28),AA28,0)))+IF(AC28="X",10,IF(AC28="M",0,IF(ISNUMBER(AC28),AC28,0)))+IF(AD28="X",10,IF(AD28="M",0,IF(ISNUMBER(AD28),AD28,0)))+IF(AE28="X",10,IF(AE28="M",0,IF(ISNUMBER(AE28),AE28,0)))+IF(AF28="X",10,IF(AF28="M",0,IF(ISNUMBER(AF28),AF28,0)))+IF(AG28="X",10,IF(AG28="M",0,IF(ISNUMBER(AG28),AG28,0)))+IF(AH28="X",10,IF(AH28="M",0,IF(ISNUMBER(AH28),AH28,0)))+IF(AJ28="X",10,IF(AJ28="M",0,IF(ISNUMBER(AJ28),AJ28,0)))+IF(AK28="X",10,IF(AK28="M",0,IF(ISNUMBER(AK28),AK28,0)))+IF(AL28="X",10,IF(AL28="M",0,IF(ISNUMBER(AL28),AL28,0)))+IF(AM28="X",10,IF(AM28="M",0,IF(ISNUMBER(AM28),AM28,0)))+IF(AN28="X",10,IF(AN28="M",0,IF(ISNUMBER(AN28),AN28,0)))+IF(AO28="X",10,IF(AO28="M",0,IF(ISNUMBER(AO28),AO28,0)))+IF(AQ28="X",10,IF(AQ28="M",0,IF(ISNUMBER(AQ28),AQ28,0)))+IF(AR28="X",10,IF(AR28="M",0,IF(ISNUMBER(AR28),AR28,0)))+IF(AS28="X",10,IF(AS28="M",0,IF(ISNUMBER(AS28),AS28,0)))+IF(AT28="X",10,IF(AT28="M",0,IF(ISNUMBER(AT28),AT28,0)))+IF(AU28="X",10,IF(AU28="M",0,IF(ISNUMBER(AU28),AU28,0)))+IF(AV28="X",10,IF(AV28="M",0,IF(ISNUMBER(AV28),AV28,0))),0)</f>
        <v>0</v>
      </c>
      <c r="BA28" s="68" t="str">
        <f>IFERROR(IF(AY28="DQ","DISQUALIFIED",IF(AY26="DQ","&gt;&gt; Advance",IF(BC26="BYE","&gt;&gt; Advance",IF(BC28="BYE","BYE",IF(AX28&gt;=6,"WIN",IF(AX26&gt;=6,"LOSS",IF(AND(ISNUMBER(AW28),ISNUMBER(AW26)),IF(AW28&gt;AW26,"WIN",IF(AW28&lt;AW26,"LOSS","Shoot-Off")),"Playing"))))))),"Error")</f>
        <v>&gt;&gt; Advance</v>
      </c>
      <c r="BC28" s="69" t="str">
        <f>IFERROR(IF(INDEX('Novice 15M - Teams'!$L:$L,MATCH(14,'Novice 15M - Teams'!$A:$A,0))="Yes","BYE",IF(OR(INDEX('Novice 15M - Teams'!$B:$B,MATCH(14,'Novice 15M - Teams'!$A:$A,0))="",ISERROR(MATCH(14,'Novice 15M - Teams'!$A:$A,0))),"BYE","")),"BYE")</f>
        <v>BYE</v>
      </c>
    </row>
    <row r="29" spans="1:236" ht="1.5" customHeight="1" x14ac:dyDescent="0.35"/>
    <row r="30" spans="1:236" ht="10.5" customHeight="1" x14ac:dyDescent="0.35">
      <c r="A30" s="104" t="s">
        <v>208</v>
      </c>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row>
    <row r="31" spans="1:236" ht="15.75" customHeight="1" x14ac:dyDescent="0.35">
      <c r="A31" s="61" t="str">
        <f>IFERROR(IF(INDEX('Novice 15M - Teams'!$L:$L,MATCH(6,'Novice 15M - Teams'!$A:$A,0))="Yes","BYE",IF(OR(INDEX('Novice 15M - Teams'!$B:$B,MATCH(6,'Novice 15M - Teams'!$A:$A,0))="",ISERROR(MATCH(6,'Novice 15M - Teams'!$A:$A,0))),"BYE","#6")),"BYE")</f>
        <v>BYE</v>
      </c>
      <c r="B31" s="106" t="str">
        <f>IFERROR(IF(INDEX('Novice 15M - Teams'!$L:$L,MATCH(6,'Novice 15M - Teams'!$A:$A,0))="Yes","",IF(INDEX('Novice 15M - Teams'!$N:$N,MATCH(6,'Novice 15M - Teams'!$A:$A,0))&lt;&gt;"",INDEX('Novice 15M - Teams'!$N:$N,MATCH(6,'Novice 15M - Teams'!$A:$A,0)),IF(INDEX('Novice 15M - Teams'!$B:$B,MATCH(6,'Novice 15M - Teams'!$A:$A,0))="","",INDEX('Novice 15M - Teams'!$B:$B,MATCH(6,'Novice 15M - Teams'!$A:$A,0))))),"")</f>
        <v/>
      </c>
      <c r="C31" s="106"/>
      <c r="D31" s="106"/>
      <c r="E31" s="107" t="str">
        <f>IF(OR(A31="BYE",BA31="&gt;&gt;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Advance",1,0),0),0))-1,2)=0)," (L)"," (R)")))</f>
        <v/>
      </c>
      <c r="F31" s="107"/>
      <c r="G31" s="107"/>
      <c r="H31" s="62"/>
      <c r="I31" s="62"/>
      <c r="J31" s="62"/>
      <c r="K31" s="62"/>
      <c r="L31" s="62"/>
      <c r="M31" s="62"/>
      <c r="N31" s="63" t="str">
        <f>IF(OR(ISNUMBER(H31),ISNUMBER(I31),ISNUMBER(J31),ISNUMBER(K31),ISNUMBER(L31),ISNUMBER(M31),H31="X",I31="X",J31="X",K31="X",L31="X",M31="X",H31="M",I31="M",J31="M",K31="M",L31="M",M31="M"),IF(H31="X",10,IF(H31="M",0,IF(ISNUMBER(H31),H31,0))) + IF(I31="X",10,IF(I31="M",0,IF(ISNUMBER(I31),I31,0))) + IF(J31="X",10,IF(J31="M",0,IF(ISNUMBER(J31),J31,0))) + IF(K31="X",10,IF(K31="M",0,IF(ISNUMBER(K31),K31,0))) + IF(L31="X",10,IF(L31="M",0,IF(ISNUMBER(L31),L31,0))) + IF(M31="X",10,IF(M31="M",0,IF(ISNUMBER(M31),M31,0))),"")</f>
        <v/>
      </c>
      <c r="O31" s="62"/>
      <c r="P31" s="62"/>
      <c r="Q31" s="62"/>
      <c r="R31" s="62"/>
      <c r="S31" s="62"/>
      <c r="T31" s="62"/>
      <c r="U31" s="63" t="str">
        <f>IF(OR(ISNUMBER(O31),ISNUMBER(P31),ISNUMBER(Q31),ISNUMBER(R31),ISNUMBER(S31),ISNUMBER(T31),O31="X",P31="X",Q31="X",R31="X",S31="X",T31="X",O31="M",P31="M",Q31="M",R31="M",S31="M",T31="M"),IF(O31="X",10,IF(O31="M",0,IF(ISNUMBER(O31),O31,0))) + IF(P31="X",10,IF(P31="M",0,IF(ISNUMBER(P31),P31,0))) + IF(Q31="X",10,IF(Q31="M",0,IF(ISNUMBER(Q31),Q31,0))) + IF(R31="X",10,IF(R31="M",0,IF(ISNUMBER(R31),R31,0))) + IF(S31="X",10,IF(S31="M",0,IF(ISNUMBER(S31),S31,0))) + IF(T31="X",10,IF(T31="M",0,IF(ISNUMBER(T31),T31,0))),"")</f>
        <v/>
      </c>
      <c r="V31" s="62"/>
      <c r="W31" s="62"/>
      <c r="X31" s="62"/>
      <c r="Y31" s="62"/>
      <c r="Z31" s="62"/>
      <c r="AA31" s="62"/>
      <c r="AB31" s="63" t="str">
        <f>IF(OR(ISNUMBER(V31),ISNUMBER(W31),ISNUMBER(X31),ISNUMBER(Y31),ISNUMBER(Z31),ISNUMBER(AA31),V31="X",W31="X",X31="X",Y31="X",Z31="X",AA31="X",V31="M",W31="M",X31="M",Y31="M",Z31="M",AA31="M"),IF(V31="X",10,IF(V31="M",0,IF(ISNUMBER(V31),V31,0))) + IF(W31="X",10,IF(W31="M",0,IF(ISNUMBER(W31),W31,0))) + IF(X31="X",10,IF(X31="M",0,IF(ISNUMBER(X31),X31,0))) + IF(Y31="X",10,IF(Y31="M",0,IF(ISNUMBER(Y31),Y31,0))) + IF(Z31="X",10,IF(Z31="M",0,IF(ISNUMBER(Z31),Z31,0))) + IF(AA31="X",10,IF(AA31="M",0,IF(ISNUMBER(AA31),AA31,0))),"")</f>
        <v/>
      </c>
      <c r="AC31" s="62"/>
      <c r="AD31" s="62"/>
      <c r="AE31" s="62"/>
      <c r="AF31" s="62"/>
      <c r="AG31" s="62"/>
      <c r="AH31" s="62"/>
      <c r="AI31" s="63" t="str">
        <f>IF(OR(ISNUMBER(AC31),ISNUMBER(AD31),ISNUMBER(AE31),ISNUMBER(AF31),ISNUMBER(AG31),ISNUMBER(AH31),AC31="X",AD31="X",AE31="X",AF31="X",AG31="X",AH31="X",AC31="M",AD31="M",AE31="M",AF31="M",AG31="M",AH31="M"),IF(AC31="X",10,IF(AC31="M",0,IF(ISNUMBER(AC31),AC31,0))) + IF(AD31="X",10,IF(AD31="M",0,IF(ISNUMBER(AD31),AD31,0))) + IF(AE31="X",10,IF(AE31="M",0,IF(ISNUMBER(AE31),AE31,0))) + IF(AF31="X",10,IF(AF31="M",0,IF(ISNUMBER(AF31),AF31,0))) + IF(AG31="X",10,IF(AG31="M",0,IF(ISNUMBER(AG31),AG31,0))) + IF(AH31="X",10,IF(AH31="M",0,IF(ISNUMBER(AH31),AH31,0))),"")</f>
        <v/>
      </c>
      <c r="AJ31" s="62"/>
      <c r="AK31" s="62"/>
      <c r="AL31" s="62"/>
      <c r="AM31" s="62"/>
      <c r="AN31" s="62"/>
      <c r="AO31" s="62"/>
      <c r="AP31" s="63" t="str">
        <f>IF(OR(ISNUMBER(AJ31),ISNUMBER(AK31),ISNUMBER(AL31),ISNUMBER(AM31),ISNUMBER(AN31),ISNUMBER(AO31),AJ31="X",AK31="X",AL31="X",AM31="X",AN31="X",AO31="X",AJ31="M",AK31="M",AL31="M",AM31="M",AN31="M",AO31="M"),IF(AJ31="X",10,IF(AJ31="M",0,IF(ISNUMBER(AJ31),AJ31,0))) + IF(AK31="X",10,IF(AK31="M",0,IF(ISNUMBER(AK31),AK31,0))) + IF(AL31="X",10,IF(AL31="M",0,IF(ISNUMBER(AL31),AL31,0))) + IF(AM31="X",10,IF(AM31="M",0,IF(ISNUMBER(AM31),AM31,0))) + IF(AN31="X",10,IF(AN31="M",0,IF(ISNUMBER(AN31),AN31,0))) + IF(AO31="X",10,IF(AO31="M",0,IF(ISNUMBER(AO31),AO31,0))),"")</f>
        <v/>
      </c>
      <c r="AQ31" s="64"/>
      <c r="AR31" s="64"/>
      <c r="AS31" s="64"/>
      <c r="AT31" s="64"/>
      <c r="AU31" s="64"/>
      <c r="AV31" s="64"/>
      <c r="AW31" s="63" t="str">
        <f>IF(OR(ISNUMBER(AQ31),ISNUMBER(AR31),ISNUMBER(AS31),ISNUMBER(AT31),ISNUMBER(AU31),ISNUMBER(AV31),AQ31="X",AR31="X",AS31="X",AT31="X",AU31="X",AV31="X",AQ31="M",AR31="M",AS31="M",AT31="M",AU31="M",AV31="M"),IF(AQ31="X",10,IF(AQ31="M",0,IF(ISNUMBER(AQ31),AQ31,0))) + IF(AR31="X",10,IF(AR31="M",0,IF(ISNUMBER(AR31),AR31,0))) + IF(AS31="X",10,IF(AS31="M",0,IF(ISNUMBER(AS31),AS31,0))) + IF(AT31="X",10,IF(AT31="M",0,IF(ISNUMBER(AT31),AT31,0))) + IF(AU31="X",10,IF(AU31="M",0,IF(ISNUMBER(AU31),AU31,0))) + IF(AV31="X",10,IF(AV31="M",0,IF(ISNUMBER(AV31),AV31,0))),"")</f>
        <v/>
      </c>
      <c r="AX31" s="65">
        <f>IF(AND(ISNUMBER(N31),ISNUMBER(N33)),IF(N31&gt;N33,2,IF(N31=N33,1,0)),0)+IF(AND(ISNUMBER(U31),ISNUMBER(U33)),IF(U31&gt;U33,2,IF(U31=U33,1,0)),0)+IF(AND(ISNUMBER(AB31),ISNUMBER(AB33)),IF(AB31&gt;AB33,2,IF(AB31=AB33,1,0)),0)+IF(AND(ISNUMBER(AI31),ISNUMBER(AI33)),IF(AI31&gt;AI33,2,IF(AI31=AI33,1,0)),0)+IF(AND(ISNUMBER(AP31),ISNUMBER(AP33)),IF(AP31&gt;AP33,2,IF(AP31=AP33,1,0)),0)</f>
        <v>0</v>
      </c>
      <c r="AY31" s="66"/>
      <c r="AZ31" s="67">
        <f>IF(AX31&gt;0,IF(H31="X",10,IF(H31="M",0,IF(ISNUMBER(H31),H31,0)))+IF(I31="X",10,IF(I31="M",0,IF(ISNUMBER(I31),I31,0)))+IF(J31="X",10,IF(J31="M",0,IF(ISNUMBER(J31),J31,0)))+IF(K31="X",10,IF(K31="M",0,IF(ISNUMBER(K31),K31,0)))+IF(L31="X",10,IF(L31="M",0,IF(ISNUMBER(L31),L31,0)))+IF(M31="X",10,IF(M31="M",0,IF(ISNUMBER(M31),M31,0)))+IF(O31="X",10,IF(O31="M",0,IF(ISNUMBER(O31),O31,0)))+IF(P31="X",10,IF(P31="M",0,IF(ISNUMBER(P31),P31,0)))+IF(Q31="X",10,IF(Q31="M",0,IF(ISNUMBER(Q31),Q31,0)))+IF(R31="X",10,IF(R31="M",0,IF(ISNUMBER(R31),R31,0)))+IF(S31="X",10,IF(S31="M",0,IF(ISNUMBER(S31),S31,0)))+IF(T31="X",10,IF(T31="M",0,IF(ISNUMBER(T31),T31,0)))+IF(V31="X",10,IF(V31="M",0,IF(ISNUMBER(V31),V31,0)))+IF(W31="X",10,IF(W31="M",0,IF(ISNUMBER(W31),W31,0)))+IF(X31="X",10,IF(X31="M",0,IF(ISNUMBER(X31),X31,0)))+IF(Y31="X",10,IF(Y31="M",0,IF(ISNUMBER(Y31),Y31,0)))+IF(Z31="X",10,IF(Z31="M",0,IF(ISNUMBER(Z31),Z31,0)))+IF(AA31="X",10,IF(AA31="M",0,IF(ISNUMBER(AA31),AA31,0)))+IF(AC31="X",10,IF(AC31="M",0,IF(ISNUMBER(AC31),AC31,0)))+IF(AD31="X",10,IF(AD31="M",0,IF(ISNUMBER(AD31),AD31,0)))+IF(AE31="X",10,IF(AE31="M",0,IF(ISNUMBER(AE31),AE31,0)))+IF(AF31="X",10,IF(AF31="M",0,IF(ISNUMBER(AF31),AF31,0)))+IF(AG31="X",10,IF(AG31="M",0,IF(ISNUMBER(AG31),AG31,0)))+IF(AH31="X",10,IF(AH31="M",0,IF(ISNUMBER(AH31),AH31,0)))+IF(AJ31="X",10,IF(AJ31="M",0,IF(ISNUMBER(AJ31),AJ31,0)))+IF(AK31="X",10,IF(AK31="M",0,IF(ISNUMBER(AK31),AK31,0)))+IF(AL31="X",10,IF(AL31="M",0,IF(ISNUMBER(AL31),AL31,0)))+IF(AM31="X",10,IF(AM31="M",0,IF(ISNUMBER(AM31),AM31,0)))+IF(AN31="X",10,IF(AN31="M",0,IF(ISNUMBER(AN31),AN31,0)))+IF(AO31="X",10,IF(AO31="M",0,IF(ISNUMBER(AO31),AO31,0)))+IF(AQ31="X",10,IF(AQ31="M",0,IF(ISNUMBER(AQ31),AQ31,0)))+IF(AR31="X",10,IF(AR31="M",0,IF(ISNUMBER(AR31),AR31,0)))+IF(AS31="X",10,IF(AS31="M",0,IF(ISNUMBER(AS31),AS31,0)))+IF(AT31="X",10,IF(AT31="M",0,IF(ISNUMBER(AT31),AT31,0)))+IF(AU31="X",10,IF(AU31="M",0,IF(ISNUMBER(AU31),AU31,0)))+IF(AV31="X",10,IF(AV31="M",0,IF(ISNUMBER(AV31),AV31,0))),0)</f>
        <v>0</v>
      </c>
      <c r="BA31" s="68" t="str">
        <f>IFERROR(IF(AY31="DQ","DISQUALIFIED",IF(AY33="DQ","&gt;&gt; Advance",IF(BC33="BYE","&gt;&gt; Advance",IF(BC31="BYE","BYE",IF(AX31&gt;=6,"WIN",IF(AX33&gt;=6,"LOSS",IF(AND(ISNUMBER(AW31),ISNUMBER(AW33)),IF(AW31&gt;AW33,"WIN",IF(AW31&lt;AW33,"LOSS","Shoot-Off")),"Playing"))))))),"Error")</f>
        <v>&gt;&gt; Advance</v>
      </c>
      <c r="BC31" s="69" t="str">
        <f>IFERROR(IF(INDEX('Novice 15M - Teams'!$L:$L,MATCH(6,'Novice 15M - Teams'!$A:$A,0))="Yes","BYE",IF(OR(INDEX('Novice 15M - Teams'!$B:$B,MATCH(6,'Novice 15M - Teams'!$A:$A,0))="",ISERROR(MATCH(6,'Novice 15M - Teams'!$A:$A,0))),"BYE","")),"BYE")</f>
        <v>BYE</v>
      </c>
    </row>
    <row r="32" spans="1:236" ht="3" customHeight="1" x14ac:dyDescent="0.35">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row>
    <row r="33" spans="1:237" ht="15.75" customHeight="1" x14ac:dyDescent="0.35">
      <c r="A33" s="61" t="str">
        <f>IFERROR(IF(INDEX('Novice 15M - Teams'!$L:$L,MATCH(11,'Novice 15M - Teams'!$A:$A,0))="Yes","BYE",IF(OR(INDEX('Novice 15M - Teams'!$B:$B,MATCH(11,'Novice 15M - Teams'!$A:$A,0))="",ISERROR(MATCH(11,'Novice 15M - Teams'!$A:$A,0))),"BYE","#11")),"BYE")</f>
        <v>BYE</v>
      </c>
      <c r="B33" s="106" t="str">
        <f>IFERROR(IF(INDEX('Novice 15M - Teams'!$L:$L,MATCH(11,'Novice 15M - Teams'!$A:$A,0))="Yes","",IF(INDEX('Novice 15M - Teams'!$N:$N,MATCH(11,'Novice 15M - Teams'!$A:$A,0))&lt;&gt;"",INDEX('Novice 15M - Teams'!$N:$N,MATCH(11,'Novice 15M - Teams'!$A:$A,0)),IF(INDEX('Novice 15M - Teams'!$B:$B,MATCH(11,'Novice 15M - Teams'!$A:$A,0))="","",INDEX('Novice 15M - Teams'!$B:$B,MATCH(11,'Novice 15M - Teams'!$A:$A,0))))),"")</f>
        <v/>
      </c>
      <c r="C33" s="106"/>
      <c r="D33" s="106"/>
      <c r="E33" s="107" t="str">
        <f>IF(OR(A33="BYE",BA33="&gt;&gt;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Advance",1,0),0),0))-1,2)=0)," (L)"," (R)")))</f>
        <v/>
      </c>
      <c r="F33" s="107"/>
      <c r="G33" s="107"/>
      <c r="H33" s="62"/>
      <c r="I33" s="62"/>
      <c r="J33" s="62"/>
      <c r="K33" s="62"/>
      <c r="L33" s="62"/>
      <c r="M33" s="62"/>
      <c r="N33" s="63" t="str">
        <f>IF(OR(ISNUMBER(H33),ISNUMBER(I33),ISNUMBER(J33),ISNUMBER(K33),ISNUMBER(L33),ISNUMBER(M33),H33="X",I33="X",J33="X",K33="X",L33="X",M33="X",H33="M",I33="M",J33="M",K33="M",L33="M",M33="M"),IF(H33="X",10,IF(H33="M",0,IF(ISNUMBER(H33),H33,0))) + IF(I33="X",10,IF(I33="M",0,IF(ISNUMBER(I33),I33,0))) + IF(J33="X",10,IF(J33="M",0,IF(ISNUMBER(J33),J33,0))) + IF(K33="X",10,IF(K33="M",0,IF(ISNUMBER(K33),K33,0))) + IF(L33="X",10,IF(L33="M",0,IF(ISNUMBER(L33),L33,0))) + IF(M33="X",10,IF(M33="M",0,IF(ISNUMBER(M33),M33,0))),"")</f>
        <v/>
      </c>
      <c r="O33" s="62"/>
      <c r="P33" s="62"/>
      <c r="Q33" s="62"/>
      <c r="R33" s="62"/>
      <c r="S33" s="62"/>
      <c r="T33" s="62"/>
      <c r="U33" s="63" t="str">
        <f>IF(OR(ISNUMBER(O33),ISNUMBER(P33),ISNUMBER(Q33),ISNUMBER(R33),ISNUMBER(S33),ISNUMBER(T33),O33="X",P33="X",Q33="X",R33="X",S33="X",T33="X",O33="M",P33="M",Q33="M",R33="M",S33="M",T33="M"),IF(O33="X",10,IF(O33="M",0,IF(ISNUMBER(O33),O33,0))) + IF(P33="X",10,IF(P33="M",0,IF(ISNUMBER(P33),P33,0))) + IF(Q33="X",10,IF(Q33="M",0,IF(ISNUMBER(Q33),Q33,0))) + IF(R33="X",10,IF(R33="M",0,IF(ISNUMBER(R33),R33,0))) + IF(S33="X",10,IF(S33="M",0,IF(ISNUMBER(S33),S33,0))) + IF(T33="X",10,IF(T33="M",0,IF(ISNUMBER(T33),T33,0))),"")</f>
        <v/>
      </c>
      <c r="V33" s="62"/>
      <c r="W33" s="62"/>
      <c r="X33" s="62"/>
      <c r="Y33" s="62"/>
      <c r="Z33" s="62"/>
      <c r="AA33" s="62"/>
      <c r="AB33" s="63" t="str">
        <f>IF(OR(ISNUMBER(V33),ISNUMBER(W33),ISNUMBER(X33),ISNUMBER(Y33),ISNUMBER(Z33),ISNUMBER(AA33),V33="X",W33="X",X33="X",Y33="X",Z33="X",AA33="X",V33="M",W33="M",X33="M",Y33="M",Z33="M",AA33="M"),IF(V33="X",10,IF(V33="M",0,IF(ISNUMBER(V33),V33,0))) + IF(W33="X",10,IF(W33="M",0,IF(ISNUMBER(W33),W33,0))) + IF(X33="X",10,IF(X33="M",0,IF(ISNUMBER(X33),X33,0))) + IF(Y33="X",10,IF(Y33="M",0,IF(ISNUMBER(Y33),Y33,0))) + IF(Z33="X",10,IF(Z33="M",0,IF(ISNUMBER(Z33),Z33,0))) + IF(AA33="X",10,IF(AA33="M",0,IF(ISNUMBER(AA33),AA33,0))),"")</f>
        <v/>
      </c>
      <c r="AC33" s="62"/>
      <c r="AD33" s="62"/>
      <c r="AE33" s="62"/>
      <c r="AF33" s="62"/>
      <c r="AG33" s="62"/>
      <c r="AH33" s="62"/>
      <c r="AI33" s="63" t="str">
        <f>IF(OR(ISNUMBER(AC33),ISNUMBER(AD33),ISNUMBER(AE33),ISNUMBER(AF33),ISNUMBER(AG33),ISNUMBER(AH33),AC33="X",AD33="X",AE33="X",AF33="X",AG33="X",AH33="X",AC33="M",AD33="M",AE33="M",AF33="M",AG33="M",AH33="M"),IF(AC33="X",10,IF(AC33="M",0,IF(ISNUMBER(AC33),AC33,0))) + IF(AD33="X",10,IF(AD33="M",0,IF(ISNUMBER(AD33),AD33,0))) + IF(AE33="X",10,IF(AE33="M",0,IF(ISNUMBER(AE33),AE33,0))) + IF(AF33="X",10,IF(AF33="M",0,IF(ISNUMBER(AF33),AF33,0))) + IF(AG33="X",10,IF(AG33="M",0,IF(ISNUMBER(AG33),AG33,0))) + IF(AH33="X",10,IF(AH33="M",0,IF(ISNUMBER(AH33),AH33,0))),"")</f>
        <v/>
      </c>
      <c r="AJ33" s="62"/>
      <c r="AK33" s="62"/>
      <c r="AL33" s="62"/>
      <c r="AM33" s="62"/>
      <c r="AN33" s="62"/>
      <c r="AO33" s="62"/>
      <c r="AP33" s="63" t="str">
        <f>IF(OR(ISNUMBER(AJ33),ISNUMBER(AK33),ISNUMBER(AL33),ISNUMBER(AM33),ISNUMBER(AN33),ISNUMBER(AO33),AJ33="X",AK33="X",AL33="X",AM33="X",AN33="X",AO33="X",AJ33="M",AK33="M",AL33="M",AM33="M",AN33="M",AO33="M"),IF(AJ33="X",10,IF(AJ33="M",0,IF(ISNUMBER(AJ33),AJ33,0))) + IF(AK33="X",10,IF(AK33="M",0,IF(ISNUMBER(AK33),AK33,0))) + IF(AL33="X",10,IF(AL33="M",0,IF(ISNUMBER(AL33),AL33,0))) + IF(AM33="X",10,IF(AM33="M",0,IF(ISNUMBER(AM33),AM33,0))) + IF(AN33="X",10,IF(AN33="M",0,IF(ISNUMBER(AN33),AN33,0))) + IF(AO33="X",10,IF(AO33="M",0,IF(ISNUMBER(AO33),AO33,0))),"")</f>
        <v/>
      </c>
      <c r="AQ33" s="64"/>
      <c r="AR33" s="64"/>
      <c r="AS33" s="64"/>
      <c r="AT33" s="64"/>
      <c r="AU33" s="64"/>
      <c r="AV33" s="64"/>
      <c r="AW33" s="63" t="str">
        <f>IF(OR(ISNUMBER(AQ33),ISNUMBER(AR33),ISNUMBER(AS33),ISNUMBER(AT33),ISNUMBER(AU33),ISNUMBER(AV33),AQ33="X",AR33="X",AS33="X",AT33="X",AU33="X",AV33="X",AQ33="M",AR33="M",AS33="M",AT33="M",AU33="M",AV33="M"),IF(AQ33="X",10,IF(AQ33="M",0,IF(ISNUMBER(AQ33),AQ33,0))) + IF(AR33="X",10,IF(AR33="M",0,IF(ISNUMBER(AR33),AR33,0))) + IF(AS33="X",10,IF(AS33="M",0,IF(ISNUMBER(AS33),AS33,0))) + IF(AT33="X",10,IF(AT33="M",0,IF(ISNUMBER(AT33),AT33,0))) + IF(AU33="X",10,IF(AU33="M",0,IF(ISNUMBER(AU33),AU33,0))) + IF(AV33="X",10,IF(AV33="M",0,IF(ISNUMBER(AV33),AV33,0))),"")</f>
        <v/>
      </c>
      <c r="AX33" s="65">
        <f>IF(AND(ISNUMBER(N33),ISNUMBER(N31)),IF(N33&gt;N31,2,IF(N33=N31,1,0)),0)+IF(AND(ISNUMBER(U33),ISNUMBER(U31)),IF(U33&gt;U31,2,IF(U33=U31,1,0)),0)+IF(AND(ISNUMBER(AB33),ISNUMBER(AB31)),IF(AB33&gt;AB31,2,IF(AB33=AB31,1,0)),0)+IF(AND(ISNUMBER(AI33),ISNUMBER(AI31)),IF(AI33&gt;AI31,2,IF(AI33=AI31,1,0)),0)+IF(AND(ISNUMBER(AP33),ISNUMBER(AP31)),IF(AP33&gt;AP31,2,IF(AP33=AP31,1,0)),0)</f>
        <v>0</v>
      </c>
      <c r="AY33" s="66"/>
      <c r="AZ33" s="67">
        <f>IF(AX33&gt;0,IF(H33="X",10,IF(H33="M",0,IF(ISNUMBER(H33),H33,0)))+IF(I33="X",10,IF(I33="M",0,IF(ISNUMBER(I33),I33,0)))+IF(J33="X",10,IF(J33="M",0,IF(ISNUMBER(J33),J33,0)))+IF(K33="X",10,IF(K33="M",0,IF(ISNUMBER(K33),K33,0)))+IF(L33="X",10,IF(L33="M",0,IF(ISNUMBER(L33),L33,0)))+IF(M33="X",10,IF(M33="M",0,IF(ISNUMBER(M33),M33,0)))+IF(O33="X",10,IF(O33="M",0,IF(ISNUMBER(O33),O33,0)))+IF(P33="X",10,IF(P33="M",0,IF(ISNUMBER(P33),P33,0)))+IF(Q33="X",10,IF(Q33="M",0,IF(ISNUMBER(Q33),Q33,0)))+IF(R33="X",10,IF(R33="M",0,IF(ISNUMBER(R33),R33,0)))+IF(S33="X",10,IF(S33="M",0,IF(ISNUMBER(S33),S33,0)))+IF(T33="X",10,IF(T33="M",0,IF(ISNUMBER(T33),T33,0)))+IF(V33="X",10,IF(V33="M",0,IF(ISNUMBER(V33),V33,0)))+IF(W33="X",10,IF(W33="M",0,IF(ISNUMBER(W33),W33,0)))+IF(X33="X",10,IF(X33="M",0,IF(ISNUMBER(X33),X33,0)))+IF(Y33="X",10,IF(Y33="M",0,IF(ISNUMBER(Y33),Y33,0)))+IF(Z33="X",10,IF(Z33="M",0,IF(ISNUMBER(Z33),Z33,0)))+IF(AA33="X",10,IF(AA33="M",0,IF(ISNUMBER(AA33),AA33,0)))+IF(AC33="X",10,IF(AC33="M",0,IF(ISNUMBER(AC33),AC33,0)))+IF(AD33="X",10,IF(AD33="M",0,IF(ISNUMBER(AD33),AD33,0)))+IF(AE33="X",10,IF(AE33="M",0,IF(ISNUMBER(AE33),AE33,0)))+IF(AF33="X",10,IF(AF33="M",0,IF(ISNUMBER(AF33),AF33,0)))+IF(AG33="X",10,IF(AG33="M",0,IF(ISNUMBER(AG33),AG33,0)))+IF(AH33="X",10,IF(AH33="M",0,IF(ISNUMBER(AH33),AH33,0)))+IF(AJ33="X",10,IF(AJ33="M",0,IF(ISNUMBER(AJ33),AJ33,0)))+IF(AK33="X",10,IF(AK33="M",0,IF(ISNUMBER(AK33),AK33,0)))+IF(AL33="X",10,IF(AL33="M",0,IF(ISNUMBER(AL33),AL33,0)))+IF(AM33="X",10,IF(AM33="M",0,IF(ISNUMBER(AM33),AM33,0)))+IF(AN33="X",10,IF(AN33="M",0,IF(ISNUMBER(AN33),AN33,0)))+IF(AO33="X",10,IF(AO33="M",0,IF(ISNUMBER(AO33),AO33,0)))+IF(AQ33="X",10,IF(AQ33="M",0,IF(ISNUMBER(AQ33),AQ33,0)))+IF(AR33="X",10,IF(AR33="M",0,IF(ISNUMBER(AR33),AR33,0)))+IF(AS33="X",10,IF(AS33="M",0,IF(ISNUMBER(AS33),AS33,0)))+IF(AT33="X",10,IF(AT33="M",0,IF(ISNUMBER(AT33),AT33,0)))+IF(AU33="X",10,IF(AU33="M",0,IF(ISNUMBER(AU33),AU33,0)))+IF(AV33="X",10,IF(AV33="M",0,IF(ISNUMBER(AV33),AV33,0))),0)</f>
        <v>0</v>
      </c>
      <c r="BA33" s="68" t="str">
        <f>IFERROR(IF(AY33="DQ","DISQUALIFIED",IF(AY31="DQ","&gt;&gt; Advance",IF(BC31="BYE","&gt;&gt; Advance",IF(BC33="BYE","BYE",IF(AX33&gt;=6,"WIN",IF(AX31&gt;=6,"LOSS",IF(AND(ISNUMBER(AW33),ISNUMBER(AW31)),IF(AW33&gt;AW31,"WIN",IF(AW33&lt;AW31,"LOSS","Shoot-Off")),"Playing"))))))),"Error")</f>
        <v>&gt;&gt; Advance</v>
      </c>
      <c r="BC33" s="69" t="str">
        <f>IFERROR(IF(INDEX('Novice 15M - Teams'!$L:$L,MATCH(11,'Novice 15M - Teams'!$A:$A,0))="Yes","BYE",IF(OR(INDEX('Novice 15M - Teams'!$B:$B,MATCH(11,'Novice 15M - Teams'!$A:$A,0))="",ISERROR(MATCH(11,'Novice 15M - Teams'!$A:$A,0))),"BYE","")),"BYE")</f>
        <v>BYE</v>
      </c>
    </row>
    <row r="34" spans="1:237" ht="1.5" customHeight="1" x14ac:dyDescent="0.35"/>
    <row r="35" spans="1:237" ht="10.5" customHeight="1" x14ac:dyDescent="0.35">
      <c r="A35" s="104" t="s">
        <v>209</v>
      </c>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row>
    <row r="36" spans="1:237" ht="15.75" customHeight="1" x14ac:dyDescent="0.35">
      <c r="A36" s="61" t="str">
        <f>IFERROR(IF(INDEX('Novice 15M - Teams'!$L:$L,MATCH(7,'Novice 15M - Teams'!$A:$A,0))="Yes","BYE",IF(OR(INDEX('Novice 15M - Teams'!$B:$B,MATCH(7,'Novice 15M - Teams'!$A:$A,0))="",ISERROR(MATCH(7,'Novice 15M - Teams'!$A:$A,0))),"BYE","#7")),"BYE")</f>
        <v>BYE</v>
      </c>
      <c r="B36" s="106" t="str">
        <f>IFERROR(IF(INDEX('Novice 15M - Teams'!$L:$L,MATCH(7,'Novice 15M - Teams'!$A:$A,0))="Yes","",IF(INDEX('Novice 15M - Teams'!$N:$N,MATCH(7,'Novice 15M - Teams'!$A:$A,0))&lt;&gt;"",INDEX('Novice 15M - Teams'!$N:$N,MATCH(7,'Novice 15M - Teams'!$A:$A,0)),IF(INDEX('Novice 15M - Teams'!$B:$B,MATCH(7,'Novice 15M - Teams'!$A:$A,0))="","",INDEX('Novice 15M - Teams'!$B:$B,MATCH(7,'Novice 15M - Teams'!$A:$A,0))))),"")</f>
        <v/>
      </c>
      <c r="C36" s="106"/>
      <c r="D36" s="106"/>
      <c r="E36" s="107" t="str">
        <f>IF(OR(A36="BYE",BA36="&gt;&gt;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Advance",1,0),0),0))-1,2)=0)," (L)"," (R)")))</f>
        <v/>
      </c>
      <c r="F36" s="107"/>
      <c r="G36" s="107"/>
      <c r="H36" s="62"/>
      <c r="I36" s="62"/>
      <c r="J36" s="62"/>
      <c r="K36" s="62"/>
      <c r="L36" s="62"/>
      <c r="M36" s="62"/>
      <c r="N36" s="63" t="str">
        <f>IF(OR(ISNUMBER(H36),ISNUMBER(I36),ISNUMBER(J36),ISNUMBER(K36),ISNUMBER(L36),ISNUMBER(M36),H36="X",I36="X",J36="X",K36="X",L36="X",M36="X",H36="M",I36="M",J36="M",K36="M",L36="M",M36="M"),IF(H36="X",10,IF(H36="M",0,IF(ISNUMBER(H36),H36,0))) + IF(I36="X",10,IF(I36="M",0,IF(ISNUMBER(I36),I36,0))) + IF(J36="X",10,IF(J36="M",0,IF(ISNUMBER(J36),J36,0))) + IF(K36="X",10,IF(K36="M",0,IF(ISNUMBER(K36),K36,0))) + IF(L36="X",10,IF(L36="M",0,IF(ISNUMBER(L36),L36,0))) + IF(M36="X",10,IF(M36="M",0,IF(ISNUMBER(M36),M36,0))),"")</f>
        <v/>
      </c>
      <c r="O36" s="62"/>
      <c r="P36" s="62"/>
      <c r="Q36" s="62"/>
      <c r="R36" s="62"/>
      <c r="S36" s="62"/>
      <c r="T36" s="62"/>
      <c r="U36" s="63" t="str">
        <f>IF(OR(ISNUMBER(O36),ISNUMBER(P36),ISNUMBER(Q36),ISNUMBER(R36),ISNUMBER(S36),ISNUMBER(T36),O36="X",P36="X",Q36="X",R36="X",S36="X",T36="X",O36="M",P36="M",Q36="M",R36="M",S36="M",T36="M"),IF(O36="X",10,IF(O36="M",0,IF(ISNUMBER(O36),O36,0))) + IF(P36="X",10,IF(P36="M",0,IF(ISNUMBER(P36),P36,0))) + IF(Q36="X",10,IF(Q36="M",0,IF(ISNUMBER(Q36),Q36,0))) + IF(R36="X",10,IF(R36="M",0,IF(ISNUMBER(R36),R36,0))) + IF(S36="X",10,IF(S36="M",0,IF(ISNUMBER(S36),S36,0))) + IF(T36="X",10,IF(T36="M",0,IF(ISNUMBER(T36),T36,0))),"")</f>
        <v/>
      </c>
      <c r="V36" s="62"/>
      <c r="W36" s="62"/>
      <c r="X36" s="62"/>
      <c r="Y36" s="62"/>
      <c r="Z36" s="62"/>
      <c r="AA36" s="62"/>
      <c r="AB36" s="63" t="str">
        <f>IF(OR(ISNUMBER(V36),ISNUMBER(W36),ISNUMBER(X36),ISNUMBER(Y36),ISNUMBER(Z36),ISNUMBER(AA36),V36="X",W36="X",X36="X",Y36="X",Z36="X",AA36="X",V36="M",W36="M",X36="M",Y36="M",Z36="M",AA36="M"),IF(V36="X",10,IF(V36="M",0,IF(ISNUMBER(V36),V36,0))) + IF(W36="X",10,IF(W36="M",0,IF(ISNUMBER(W36),W36,0))) + IF(X36="X",10,IF(X36="M",0,IF(ISNUMBER(X36),X36,0))) + IF(Y36="X",10,IF(Y36="M",0,IF(ISNUMBER(Y36),Y36,0))) + IF(Z36="X",10,IF(Z36="M",0,IF(ISNUMBER(Z36),Z36,0))) + IF(AA36="X",10,IF(AA36="M",0,IF(ISNUMBER(AA36),AA36,0))),"")</f>
        <v/>
      </c>
      <c r="AC36" s="62"/>
      <c r="AD36" s="62"/>
      <c r="AE36" s="62"/>
      <c r="AF36" s="62"/>
      <c r="AG36" s="62"/>
      <c r="AH36" s="62"/>
      <c r="AI36" s="63" t="str">
        <f>IF(OR(ISNUMBER(AC36),ISNUMBER(AD36),ISNUMBER(AE36),ISNUMBER(AF36),ISNUMBER(AG36),ISNUMBER(AH36),AC36="X",AD36="X",AE36="X",AF36="X",AG36="X",AH36="X",AC36="M",AD36="M",AE36="M",AF36="M",AG36="M",AH36="M"),IF(AC36="X",10,IF(AC36="M",0,IF(ISNUMBER(AC36),AC36,0))) + IF(AD36="X",10,IF(AD36="M",0,IF(ISNUMBER(AD36),AD36,0))) + IF(AE36="X",10,IF(AE36="M",0,IF(ISNUMBER(AE36),AE36,0))) + IF(AF36="X",10,IF(AF36="M",0,IF(ISNUMBER(AF36),AF36,0))) + IF(AG36="X",10,IF(AG36="M",0,IF(ISNUMBER(AG36),AG36,0))) + IF(AH36="X",10,IF(AH36="M",0,IF(ISNUMBER(AH36),AH36,0))),"")</f>
        <v/>
      </c>
      <c r="AJ36" s="62"/>
      <c r="AK36" s="62"/>
      <c r="AL36" s="62"/>
      <c r="AM36" s="62"/>
      <c r="AN36" s="62"/>
      <c r="AO36" s="62"/>
      <c r="AP36" s="63" t="str">
        <f>IF(OR(ISNUMBER(AJ36),ISNUMBER(AK36),ISNUMBER(AL36),ISNUMBER(AM36),ISNUMBER(AN36),ISNUMBER(AO36),AJ36="X",AK36="X",AL36="X",AM36="X",AN36="X",AO36="X",AJ36="M",AK36="M",AL36="M",AM36="M",AN36="M",AO36="M"),IF(AJ36="X",10,IF(AJ36="M",0,IF(ISNUMBER(AJ36),AJ36,0))) + IF(AK36="X",10,IF(AK36="M",0,IF(ISNUMBER(AK36),AK36,0))) + IF(AL36="X",10,IF(AL36="M",0,IF(ISNUMBER(AL36),AL36,0))) + IF(AM36="X",10,IF(AM36="M",0,IF(ISNUMBER(AM36),AM36,0))) + IF(AN36="X",10,IF(AN36="M",0,IF(ISNUMBER(AN36),AN36,0))) + IF(AO36="X",10,IF(AO36="M",0,IF(ISNUMBER(AO36),AO36,0))),"")</f>
        <v/>
      </c>
      <c r="AQ36" s="64"/>
      <c r="AR36" s="64"/>
      <c r="AS36" s="64"/>
      <c r="AT36" s="64"/>
      <c r="AU36" s="64"/>
      <c r="AV36" s="64"/>
      <c r="AW36" s="63" t="str">
        <f>IF(OR(ISNUMBER(AQ36),ISNUMBER(AR36),ISNUMBER(AS36),ISNUMBER(AT36),ISNUMBER(AU36),ISNUMBER(AV36),AQ36="X",AR36="X",AS36="X",AT36="X",AU36="X",AV36="X",AQ36="M",AR36="M",AS36="M",AT36="M",AU36="M",AV36="M"),IF(AQ36="X",10,IF(AQ36="M",0,IF(ISNUMBER(AQ36),AQ36,0))) + IF(AR36="X",10,IF(AR36="M",0,IF(ISNUMBER(AR36),AR36,0))) + IF(AS36="X",10,IF(AS36="M",0,IF(ISNUMBER(AS36),AS36,0))) + IF(AT36="X",10,IF(AT36="M",0,IF(ISNUMBER(AT36),AT36,0))) + IF(AU36="X",10,IF(AU36="M",0,IF(ISNUMBER(AU36),AU36,0))) + IF(AV36="X",10,IF(AV36="M",0,IF(ISNUMBER(AV36),AV36,0))),"")</f>
        <v/>
      </c>
      <c r="AX36" s="65">
        <f>IF(AND(ISNUMBER(N36),ISNUMBER(N38)),IF(N36&gt;N38,2,IF(N36=N38,1,0)),0)+IF(AND(ISNUMBER(U36),ISNUMBER(U38)),IF(U36&gt;U38,2,IF(U36=U38,1,0)),0)+IF(AND(ISNUMBER(AB36),ISNUMBER(AB38)),IF(AB36&gt;AB38,2,IF(AB36=AB38,1,0)),0)+IF(AND(ISNUMBER(AI36),ISNUMBER(AI38)),IF(AI36&gt;AI38,2,IF(AI36=AI38,1,0)),0)+IF(AND(ISNUMBER(AP36),ISNUMBER(AP38)),IF(AP36&gt;AP38,2,IF(AP36=AP38,1,0)),0)</f>
        <v>0</v>
      </c>
      <c r="AY36" s="66"/>
      <c r="AZ36" s="67">
        <f>IF(AX36&gt;0,IF(H36="X",10,IF(H36="M",0,IF(ISNUMBER(H36),H36,0)))+IF(I36="X",10,IF(I36="M",0,IF(ISNUMBER(I36),I36,0)))+IF(J36="X",10,IF(J36="M",0,IF(ISNUMBER(J36),J36,0)))+IF(K36="X",10,IF(K36="M",0,IF(ISNUMBER(K36),K36,0)))+IF(L36="X",10,IF(L36="M",0,IF(ISNUMBER(L36),L36,0)))+IF(M36="X",10,IF(M36="M",0,IF(ISNUMBER(M36),M36,0)))+IF(O36="X",10,IF(O36="M",0,IF(ISNUMBER(O36),O36,0)))+IF(P36="X",10,IF(P36="M",0,IF(ISNUMBER(P36),P36,0)))+IF(Q36="X",10,IF(Q36="M",0,IF(ISNUMBER(Q36),Q36,0)))+IF(R36="X",10,IF(R36="M",0,IF(ISNUMBER(R36),R36,0)))+IF(S36="X",10,IF(S36="M",0,IF(ISNUMBER(S36),S36,0)))+IF(T36="X",10,IF(T36="M",0,IF(ISNUMBER(T36),T36,0)))+IF(V36="X",10,IF(V36="M",0,IF(ISNUMBER(V36),V36,0)))+IF(W36="X",10,IF(W36="M",0,IF(ISNUMBER(W36),W36,0)))+IF(X36="X",10,IF(X36="M",0,IF(ISNUMBER(X36),X36,0)))+IF(Y36="X",10,IF(Y36="M",0,IF(ISNUMBER(Y36),Y36,0)))+IF(Z36="X",10,IF(Z36="M",0,IF(ISNUMBER(Z36),Z36,0)))+IF(AA36="X",10,IF(AA36="M",0,IF(ISNUMBER(AA36),AA36,0)))+IF(AC36="X",10,IF(AC36="M",0,IF(ISNUMBER(AC36),AC36,0)))+IF(AD36="X",10,IF(AD36="M",0,IF(ISNUMBER(AD36),AD36,0)))+IF(AE36="X",10,IF(AE36="M",0,IF(ISNUMBER(AE36),AE36,0)))+IF(AF36="X",10,IF(AF36="M",0,IF(ISNUMBER(AF36),AF36,0)))+IF(AG36="X",10,IF(AG36="M",0,IF(ISNUMBER(AG36),AG36,0)))+IF(AH36="X",10,IF(AH36="M",0,IF(ISNUMBER(AH36),AH36,0)))+IF(AJ36="X",10,IF(AJ36="M",0,IF(ISNUMBER(AJ36),AJ36,0)))+IF(AK36="X",10,IF(AK36="M",0,IF(ISNUMBER(AK36),AK36,0)))+IF(AL36="X",10,IF(AL36="M",0,IF(ISNUMBER(AL36),AL36,0)))+IF(AM36="X",10,IF(AM36="M",0,IF(ISNUMBER(AM36),AM36,0)))+IF(AN36="X",10,IF(AN36="M",0,IF(ISNUMBER(AN36),AN36,0)))+IF(AO36="X",10,IF(AO36="M",0,IF(ISNUMBER(AO36),AO36,0)))+IF(AQ36="X",10,IF(AQ36="M",0,IF(ISNUMBER(AQ36),AQ36,0)))+IF(AR36="X",10,IF(AR36="M",0,IF(ISNUMBER(AR36),AR36,0)))+IF(AS36="X",10,IF(AS36="M",0,IF(ISNUMBER(AS36),AS36,0)))+IF(AT36="X",10,IF(AT36="M",0,IF(ISNUMBER(AT36),AT36,0)))+IF(AU36="X",10,IF(AU36="M",0,IF(ISNUMBER(AU36),AU36,0)))+IF(AV36="X",10,IF(AV36="M",0,IF(ISNUMBER(AV36),AV36,0))),0)</f>
        <v>0</v>
      </c>
      <c r="BA36" s="68" t="str">
        <f>IFERROR(IF(AY36="DQ","DISQUALIFIED",IF(AY38="DQ","&gt;&gt; Advance",IF(BC38="BYE","&gt;&gt; Advance",IF(BC36="BYE","BYE",IF(AX36&gt;=6,"WIN",IF(AX38&gt;=6,"LOSS",IF(AND(ISNUMBER(AW36),ISNUMBER(AW38)),IF(AW36&gt;AW38,"WIN",IF(AW36&lt;AW38,"LOSS","Shoot-Off")),"Playing"))))))),"Error")</f>
        <v>&gt;&gt; Advance</v>
      </c>
      <c r="BC36" s="69" t="str">
        <f>IFERROR(IF(INDEX('Novice 15M - Teams'!$L:$L,MATCH(7,'Novice 15M - Teams'!$A:$A,0))="Yes","BYE",IF(OR(INDEX('Novice 15M - Teams'!$B:$B,MATCH(7,'Novice 15M - Teams'!$A:$A,0))="",ISERROR(MATCH(7,'Novice 15M - Teams'!$A:$A,0))),"BYE","")),"BYE")</f>
        <v>BYE</v>
      </c>
    </row>
    <row r="37" spans="1:237" ht="3" customHeight="1" x14ac:dyDescent="0.35">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row>
    <row r="38" spans="1:237" ht="15.75" customHeight="1" x14ac:dyDescent="0.35">
      <c r="A38" s="61" t="str">
        <f>IFERROR(IF(INDEX('Novice 15M - Teams'!$L:$L,MATCH(10,'Novice 15M - Teams'!$A:$A,0))="Yes","BYE",IF(OR(INDEX('Novice 15M - Teams'!$B:$B,MATCH(10,'Novice 15M - Teams'!$A:$A,0))="",ISERROR(MATCH(10,'Novice 15M - Teams'!$A:$A,0))),"BYE","#10")),"BYE")</f>
        <v>BYE</v>
      </c>
      <c r="B38" s="106" t="str">
        <f>IFERROR(IF(INDEX('Novice 15M - Teams'!$L:$L,MATCH(10,'Novice 15M - Teams'!$A:$A,0))="Yes","",IF(INDEX('Novice 15M - Teams'!$N:$N,MATCH(10,'Novice 15M - Teams'!$A:$A,0))&lt;&gt;"",INDEX('Novice 15M - Teams'!$N:$N,MATCH(10,'Novice 15M - Teams'!$A:$A,0)),IF(INDEX('Novice 15M - Teams'!$B:$B,MATCH(10,'Novice 15M - Teams'!$A:$A,0))="","",INDEX('Novice 15M - Teams'!$B:$B,MATCH(10,'Novice 15M - Teams'!$A:$A,0))))),"")</f>
        <v/>
      </c>
      <c r="C38" s="106"/>
      <c r="D38" s="106"/>
      <c r="E38" s="107" t="str">
        <f>IF(OR(A38="BYE",BA38="&gt;&gt;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Advance",1,0),0),0))-1,2)=0)," (L)"," (R)")))</f>
        <v/>
      </c>
      <c r="F38" s="107"/>
      <c r="G38" s="107"/>
      <c r="H38" s="62"/>
      <c r="I38" s="62"/>
      <c r="J38" s="62"/>
      <c r="K38" s="62"/>
      <c r="L38" s="62"/>
      <c r="M38" s="62"/>
      <c r="N38" s="63" t="str">
        <f>IF(OR(ISNUMBER(H38),ISNUMBER(I38),ISNUMBER(J38),ISNUMBER(K38),ISNUMBER(L38),ISNUMBER(M38),H38="X",I38="X",J38="X",K38="X",L38="X",M38="X",H38="M",I38="M",J38="M",K38="M",L38="M",M38="M"),IF(H38="X",10,IF(H38="M",0,IF(ISNUMBER(H38),H38,0))) + IF(I38="X",10,IF(I38="M",0,IF(ISNUMBER(I38),I38,0))) + IF(J38="X",10,IF(J38="M",0,IF(ISNUMBER(J38),J38,0))) + IF(K38="X",10,IF(K38="M",0,IF(ISNUMBER(K38),K38,0))) + IF(L38="X",10,IF(L38="M",0,IF(ISNUMBER(L38),L38,0))) + IF(M38="X",10,IF(M38="M",0,IF(ISNUMBER(M38),M38,0))),"")</f>
        <v/>
      </c>
      <c r="O38" s="62"/>
      <c r="P38" s="62"/>
      <c r="Q38" s="62"/>
      <c r="R38" s="62"/>
      <c r="S38" s="62"/>
      <c r="T38" s="62"/>
      <c r="U38" s="63" t="str">
        <f>IF(OR(ISNUMBER(O38),ISNUMBER(P38),ISNUMBER(Q38),ISNUMBER(R38),ISNUMBER(S38),ISNUMBER(T38),O38="X",P38="X",Q38="X",R38="X",S38="X",T38="X",O38="M",P38="M",Q38="M",R38="M",S38="M",T38="M"),IF(O38="X",10,IF(O38="M",0,IF(ISNUMBER(O38),O38,0))) + IF(P38="X",10,IF(P38="M",0,IF(ISNUMBER(P38),P38,0))) + IF(Q38="X",10,IF(Q38="M",0,IF(ISNUMBER(Q38),Q38,0))) + IF(R38="X",10,IF(R38="M",0,IF(ISNUMBER(R38),R38,0))) + IF(S38="X",10,IF(S38="M",0,IF(ISNUMBER(S38),S38,0))) + IF(T38="X",10,IF(T38="M",0,IF(ISNUMBER(T38),T38,0))),"")</f>
        <v/>
      </c>
      <c r="V38" s="62"/>
      <c r="W38" s="62"/>
      <c r="X38" s="62"/>
      <c r="Y38" s="62"/>
      <c r="Z38" s="62"/>
      <c r="AA38" s="62"/>
      <c r="AB38" s="63" t="str">
        <f>IF(OR(ISNUMBER(V38),ISNUMBER(W38),ISNUMBER(X38),ISNUMBER(Y38),ISNUMBER(Z38),ISNUMBER(AA38),V38="X",W38="X",X38="X",Y38="X",Z38="X",AA38="X",V38="M",W38="M",X38="M",Y38="M",Z38="M",AA38="M"),IF(V38="X",10,IF(V38="M",0,IF(ISNUMBER(V38),V38,0))) + IF(W38="X",10,IF(W38="M",0,IF(ISNUMBER(W38),W38,0))) + IF(X38="X",10,IF(X38="M",0,IF(ISNUMBER(X38),X38,0))) + IF(Y38="X",10,IF(Y38="M",0,IF(ISNUMBER(Y38),Y38,0))) + IF(Z38="X",10,IF(Z38="M",0,IF(ISNUMBER(Z38),Z38,0))) + IF(AA38="X",10,IF(AA38="M",0,IF(ISNUMBER(AA38),AA38,0))),"")</f>
        <v/>
      </c>
      <c r="AC38" s="62"/>
      <c r="AD38" s="62"/>
      <c r="AE38" s="62"/>
      <c r="AF38" s="62"/>
      <c r="AG38" s="62"/>
      <c r="AH38" s="62"/>
      <c r="AI38" s="63" t="str">
        <f>IF(OR(ISNUMBER(AC38),ISNUMBER(AD38),ISNUMBER(AE38),ISNUMBER(AF38),ISNUMBER(AG38),ISNUMBER(AH38),AC38="X",AD38="X",AE38="X",AF38="X",AG38="X",AH38="X",AC38="M",AD38="M",AE38="M",AF38="M",AG38="M",AH38="M"),IF(AC38="X",10,IF(AC38="M",0,IF(ISNUMBER(AC38),AC38,0))) + IF(AD38="X",10,IF(AD38="M",0,IF(ISNUMBER(AD38),AD38,0))) + IF(AE38="X",10,IF(AE38="M",0,IF(ISNUMBER(AE38),AE38,0))) + IF(AF38="X",10,IF(AF38="M",0,IF(ISNUMBER(AF38),AF38,0))) + IF(AG38="X",10,IF(AG38="M",0,IF(ISNUMBER(AG38),AG38,0))) + IF(AH38="X",10,IF(AH38="M",0,IF(ISNUMBER(AH38),AH38,0))),"")</f>
        <v/>
      </c>
      <c r="AJ38" s="62"/>
      <c r="AK38" s="62"/>
      <c r="AL38" s="62"/>
      <c r="AM38" s="62"/>
      <c r="AN38" s="62"/>
      <c r="AO38" s="62"/>
      <c r="AP38" s="63" t="str">
        <f>IF(OR(ISNUMBER(AJ38),ISNUMBER(AK38),ISNUMBER(AL38),ISNUMBER(AM38),ISNUMBER(AN38),ISNUMBER(AO38),AJ38="X",AK38="X",AL38="X",AM38="X",AN38="X",AO38="X",AJ38="M",AK38="M",AL38="M",AM38="M",AN38="M",AO38="M"),IF(AJ38="X",10,IF(AJ38="M",0,IF(ISNUMBER(AJ38),AJ38,0))) + IF(AK38="X",10,IF(AK38="M",0,IF(ISNUMBER(AK38),AK38,0))) + IF(AL38="X",10,IF(AL38="M",0,IF(ISNUMBER(AL38),AL38,0))) + IF(AM38="X",10,IF(AM38="M",0,IF(ISNUMBER(AM38),AM38,0))) + IF(AN38="X",10,IF(AN38="M",0,IF(ISNUMBER(AN38),AN38,0))) + IF(AO38="X",10,IF(AO38="M",0,IF(ISNUMBER(AO38),AO38,0))),"")</f>
        <v/>
      </c>
      <c r="AQ38" s="64"/>
      <c r="AR38" s="64"/>
      <c r="AS38" s="64"/>
      <c r="AT38" s="64"/>
      <c r="AU38" s="64"/>
      <c r="AV38" s="64"/>
      <c r="AW38" s="63" t="str">
        <f>IF(OR(ISNUMBER(AQ38),ISNUMBER(AR38),ISNUMBER(AS38),ISNUMBER(AT38),ISNUMBER(AU38),ISNUMBER(AV38),AQ38="X",AR38="X",AS38="X",AT38="X",AU38="X",AV38="X",AQ38="M",AR38="M",AS38="M",AT38="M",AU38="M",AV38="M"),IF(AQ38="X",10,IF(AQ38="M",0,IF(ISNUMBER(AQ38),AQ38,0))) + IF(AR38="X",10,IF(AR38="M",0,IF(ISNUMBER(AR38),AR38,0))) + IF(AS38="X",10,IF(AS38="M",0,IF(ISNUMBER(AS38),AS38,0))) + IF(AT38="X",10,IF(AT38="M",0,IF(ISNUMBER(AT38),AT38,0))) + IF(AU38="X",10,IF(AU38="M",0,IF(ISNUMBER(AU38),AU38,0))) + IF(AV38="X",10,IF(AV38="M",0,IF(ISNUMBER(AV38),AV38,0))),"")</f>
        <v/>
      </c>
      <c r="AX38" s="65">
        <f>IF(AND(ISNUMBER(N38),ISNUMBER(N36)),IF(N38&gt;N36,2,IF(N38=N36,1,0)),0)+IF(AND(ISNUMBER(U38),ISNUMBER(U36)),IF(U38&gt;U36,2,IF(U38=U36,1,0)),0)+IF(AND(ISNUMBER(AB38),ISNUMBER(AB36)),IF(AB38&gt;AB36,2,IF(AB38=AB36,1,0)),0)+IF(AND(ISNUMBER(AI38),ISNUMBER(AI36)),IF(AI38&gt;AI36,2,IF(AI38=AI36,1,0)),0)+IF(AND(ISNUMBER(AP38),ISNUMBER(AP36)),IF(AP38&gt;AP36,2,IF(AP38=AP36,1,0)),0)</f>
        <v>0</v>
      </c>
      <c r="AY38" s="66"/>
      <c r="AZ38" s="67">
        <f>IF(AX38&gt;0,IF(H38="X",10,IF(H38="M",0,IF(ISNUMBER(H38),H38,0)))+IF(I38="X",10,IF(I38="M",0,IF(ISNUMBER(I38),I38,0)))+IF(J38="X",10,IF(J38="M",0,IF(ISNUMBER(J38),J38,0)))+IF(K38="X",10,IF(K38="M",0,IF(ISNUMBER(K38),K38,0)))+IF(L38="X",10,IF(L38="M",0,IF(ISNUMBER(L38),L38,0)))+IF(M38="X",10,IF(M38="M",0,IF(ISNUMBER(M38),M38,0)))+IF(O38="X",10,IF(O38="M",0,IF(ISNUMBER(O38),O38,0)))+IF(P38="X",10,IF(P38="M",0,IF(ISNUMBER(P38),P38,0)))+IF(Q38="X",10,IF(Q38="M",0,IF(ISNUMBER(Q38),Q38,0)))+IF(R38="X",10,IF(R38="M",0,IF(ISNUMBER(R38),R38,0)))+IF(S38="X",10,IF(S38="M",0,IF(ISNUMBER(S38),S38,0)))+IF(T38="X",10,IF(T38="M",0,IF(ISNUMBER(T38),T38,0)))+IF(V38="X",10,IF(V38="M",0,IF(ISNUMBER(V38),V38,0)))+IF(W38="X",10,IF(W38="M",0,IF(ISNUMBER(W38),W38,0)))+IF(X38="X",10,IF(X38="M",0,IF(ISNUMBER(X38),X38,0)))+IF(Y38="X",10,IF(Y38="M",0,IF(ISNUMBER(Y38),Y38,0)))+IF(Z38="X",10,IF(Z38="M",0,IF(ISNUMBER(Z38),Z38,0)))+IF(AA38="X",10,IF(AA38="M",0,IF(ISNUMBER(AA38),AA38,0)))+IF(AC38="X",10,IF(AC38="M",0,IF(ISNUMBER(AC38),AC38,0)))+IF(AD38="X",10,IF(AD38="M",0,IF(ISNUMBER(AD38),AD38,0)))+IF(AE38="X",10,IF(AE38="M",0,IF(ISNUMBER(AE38),AE38,0)))+IF(AF38="X",10,IF(AF38="M",0,IF(ISNUMBER(AF38),AF38,0)))+IF(AG38="X",10,IF(AG38="M",0,IF(ISNUMBER(AG38),AG38,0)))+IF(AH38="X",10,IF(AH38="M",0,IF(ISNUMBER(AH38),AH38,0)))+IF(AJ38="X",10,IF(AJ38="M",0,IF(ISNUMBER(AJ38),AJ38,0)))+IF(AK38="X",10,IF(AK38="M",0,IF(ISNUMBER(AK38),AK38,0)))+IF(AL38="X",10,IF(AL38="M",0,IF(ISNUMBER(AL38),AL38,0)))+IF(AM38="X",10,IF(AM38="M",0,IF(ISNUMBER(AM38),AM38,0)))+IF(AN38="X",10,IF(AN38="M",0,IF(ISNUMBER(AN38),AN38,0)))+IF(AO38="X",10,IF(AO38="M",0,IF(ISNUMBER(AO38),AO38,0)))+IF(AQ38="X",10,IF(AQ38="M",0,IF(ISNUMBER(AQ38),AQ38,0)))+IF(AR38="X",10,IF(AR38="M",0,IF(ISNUMBER(AR38),AR38,0)))+IF(AS38="X",10,IF(AS38="M",0,IF(ISNUMBER(AS38),AS38,0)))+IF(AT38="X",10,IF(AT38="M",0,IF(ISNUMBER(AT38),AT38,0)))+IF(AU38="X",10,IF(AU38="M",0,IF(ISNUMBER(AU38),AU38,0)))+IF(AV38="X",10,IF(AV38="M",0,IF(ISNUMBER(AV38),AV38,0))),0)</f>
        <v>0</v>
      </c>
      <c r="BA38" s="68" t="str">
        <f>IFERROR(IF(AY38="DQ","DISQUALIFIED",IF(AY36="DQ","&gt;&gt; Advance",IF(BC36="BYE","&gt;&gt; Advance",IF(BC38="BYE","BYE",IF(AX38&gt;=6,"WIN",IF(AX36&gt;=6,"LOSS",IF(AND(ISNUMBER(AW38),ISNUMBER(AW36)),IF(AW38&gt;AW36,"WIN",IF(AW38&lt;AW36,"LOSS","Shoot-Off")),"Playing"))))))),"Error")</f>
        <v>&gt;&gt; Advance</v>
      </c>
      <c r="BC38" s="69" t="str">
        <f>IFERROR(IF(INDEX('Novice 15M - Teams'!$L:$L,MATCH(10,'Novice 15M - Teams'!$A:$A,0))="Yes","BYE",IF(OR(INDEX('Novice 15M - Teams'!$B:$B,MATCH(10,'Novice 15M - Teams'!$A:$A,0))="",ISERROR(MATCH(10,'Novice 15M - Teams'!$A:$A,0))),"BYE","")),"BYE")</f>
        <v>BYE</v>
      </c>
    </row>
    <row r="39" spans="1:237" ht="1.5" customHeight="1" x14ac:dyDescent="0.35"/>
    <row r="40" spans="1:237" ht="10.5" customHeight="1" x14ac:dyDescent="0.35">
      <c r="A40" s="104" t="s">
        <v>210</v>
      </c>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row>
    <row r="41" spans="1:237" ht="15.75" customHeight="1" x14ac:dyDescent="0.35">
      <c r="A41" s="61" t="str">
        <f>IFERROR(IF(INDEX('Novice 15M - Teams'!$L:$L,MATCH(2,'Novice 15M - Teams'!$A:$A,0))="Yes","BYE",IF(OR(INDEX('Novice 15M - Teams'!$B:$B,MATCH(2,'Novice 15M - Teams'!$A:$A,0))="",ISERROR(MATCH(2,'Novice 15M - Teams'!$A:$A,0))),"BYE","#2")),"BYE")</f>
        <v>BYE</v>
      </c>
      <c r="B41" s="106" t="str">
        <f>IFERROR(IF(INDEX('Novice 15M - Teams'!$L:$L,MATCH(2,'Novice 15M - Teams'!$A:$A,0))="Yes","",IF(INDEX('Novice 15M - Teams'!$N:$N,MATCH(2,'Novice 15M - Teams'!$A:$A,0))&lt;&gt;"",INDEX('Novice 15M - Teams'!$N:$N,MATCH(2,'Novice 15M - Teams'!$A:$A,0)),IF(INDEX('Novice 15M - Teams'!$B:$B,MATCH(2,'Novice 15M - Teams'!$A:$A,0))="","",INDEX('Novice 15M - Teams'!$B:$B,MATCH(2,'Novice 15M - Teams'!$A:$A,0))))),"")</f>
        <v/>
      </c>
      <c r="C41" s="106"/>
      <c r="D41" s="106"/>
      <c r="E41" s="107" t="str">
        <f>IF(OR(A41="BYE",BA41="&gt;&gt;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Advance",1,0),0),0))-1,2)=0)," (L)"," (R)")))</f>
        <v/>
      </c>
      <c r="F41" s="107"/>
      <c r="G41" s="107"/>
      <c r="H41" s="62"/>
      <c r="I41" s="62"/>
      <c r="J41" s="62"/>
      <c r="K41" s="62"/>
      <c r="L41" s="62"/>
      <c r="M41" s="62"/>
      <c r="N41" s="63" t="str">
        <f>IF(OR(ISNUMBER(H41),ISNUMBER(I41),ISNUMBER(J41),ISNUMBER(K41),ISNUMBER(L41),ISNUMBER(M41),H41="X",I41="X",J41="X",K41="X",L41="X",M41="X",H41="M",I41="M",J41="M",K41="M",L41="M",M41="M"),IF(H41="X",10,IF(H41="M",0,IF(ISNUMBER(H41),H41,0))) + IF(I41="X",10,IF(I41="M",0,IF(ISNUMBER(I41),I41,0))) + IF(J41="X",10,IF(J41="M",0,IF(ISNUMBER(J41),J41,0))) + IF(K41="X",10,IF(K41="M",0,IF(ISNUMBER(K41),K41,0))) + IF(L41="X",10,IF(L41="M",0,IF(ISNUMBER(L41),L41,0))) + IF(M41="X",10,IF(M41="M",0,IF(ISNUMBER(M41),M41,0))),"")</f>
        <v/>
      </c>
      <c r="O41" s="62"/>
      <c r="P41" s="62"/>
      <c r="Q41" s="62"/>
      <c r="R41" s="62"/>
      <c r="S41" s="62"/>
      <c r="T41" s="62"/>
      <c r="U41" s="63" t="str">
        <f>IF(OR(ISNUMBER(O41),ISNUMBER(P41),ISNUMBER(Q41),ISNUMBER(R41),ISNUMBER(S41),ISNUMBER(T41),O41="X",P41="X",Q41="X",R41="X",S41="X",T41="X",O41="M",P41="M",Q41="M",R41="M",S41="M",T41="M"),IF(O41="X",10,IF(O41="M",0,IF(ISNUMBER(O41),O41,0))) + IF(P41="X",10,IF(P41="M",0,IF(ISNUMBER(P41),P41,0))) + IF(Q41="X",10,IF(Q41="M",0,IF(ISNUMBER(Q41),Q41,0))) + IF(R41="X",10,IF(R41="M",0,IF(ISNUMBER(R41),R41,0))) + IF(S41="X",10,IF(S41="M",0,IF(ISNUMBER(S41),S41,0))) + IF(T41="X",10,IF(T41="M",0,IF(ISNUMBER(T41),T41,0))),"")</f>
        <v/>
      </c>
      <c r="V41" s="62"/>
      <c r="W41" s="62"/>
      <c r="X41" s="62"/>
      <c r="Y41" s="62"/>
      <c r="Z41" s="62"/>
      <c r="AA41" s="62"/>
      <c r="AB41" s="63" t="str">
        <f>IF(OR(ISNUMBER(V41),ISNUMBER(W41),ISNUMBER(X41),ISNUMBER(Y41),ISNUMBER(Z41),ISNUMBER(AA41),V41="X",W41="X",X41="X",Y41="X",Z41="X",AA41="X",V41="M",W41="M",X41="M",Y41="M",Z41="M",AA41="M"),IF(V41="X",10,IF(V41="M",0,IF(ISNUMBER(V41),V41,0))) + IF(W41="X",10,IF(W41="M",0,IF(ISNUMBER(W41),W41,0))) + IF(X41="X",10,IF(X41="M",0,IF(ISNUMBER(X41),X41,0))) + IF(Y41="X",10,IF(Y41="M",0,IF(ISNUMBER(Y41),Y41,0))) + IF(Z41="X",10,IF(Z41="M",0,IF(ISNUMBER(Z41),Z41,0))) + IF(AA41="X",10,IF(AA41="M",0,IF(ISNUMBER(AA41),AA41,0))),"")</f>
        <v/>
      </c>
      <c r="AC41" s="62"/>
      <c r="AD41" s="62"/>
      <c r="AE41" s="62"/>
      <c r="AF41" s="62"/>
      <c r="AG41" s="62"/>
      <c r="AH41" s="62"/>
      <c r="AI41" s="63" t="str">
        <f>IF(OR(ISNUMBER(AC41),ISNUMBER(AD41),ISNUMBER(AE41),ISNUMBER(AF41),ISNUMBER(AG41),ISNUMBER(AH41),AC41="X",AD41="X",AE41="X",AF41="X",AG41="X",AH41="X",AC41="M",AD41="M",AE41="M",AF41="M",AG41="M",AH41="M"),IF(AC41="X",10,IF(AC41="M",0,IF(ISNUMBER(AC41),AC41,0))) + IF(AD41="X",10,IF(AD41="M",0,IF(ISNUMBER(AD41),AD41,0))) + IF(AE41="X",10,IF(AE41="M",0,IF(ISNUMBER(AE41),AE41,0))) + IF(AF41="X",10,IF(AF41="M",0,IF(ISNUMBER(AF41),AF41,0))) + IF(AG41="X",10,IF(AG41="M",0,IF(ISNUMBER(AG41),AG41,0))) + IF(AH41="X",10,IF(AH41="M",0,IF(ISNUMBER(AH41),AH41,0))),"")</f>
        <v/>
      </c>
      <c r="AJ41" s="62"/>
      <c r="AK41" s="62"/>
      <c r="AL41" s="62"/>
      <c r="AM41" s="62"/>
      <c r="AN41" s="62"/>
      <c r="AO41" s="62"/>
      <c r="AP41" s="63" t="str">
        <f>IF(OR(ISNUMBER(AJ41),ISNUMBER(AK41),ISNUMBER(AL41),ISNUMBER(AM41),ISNUMBER(AN41),ISNUMBER(AO41),AJ41="X",AK41="X",AL41="X",AM41="X",AN41="X",AO41="X",AJ41="M",AK41="M",AL41="M",AM41="M",AN41="M",AO41="M"),IF(AJ41="X",10,IF(AJ41="M",0,IF(ISNUMBER(AJ41),AJ41,0))) + IF(AK41="X",10,IF(AK41="M",0,IF(ISNUMBER(AK41),AK41,0))) + IF(AL41="X",10,IF(AL41="M",0,IF(ISNUMBER(AL41),AL41,0))) + IF(AM41="X",10,IF(AM41="M",0,IF(ISNUMBER(AM41),AM41,0))) + IF(AN41="X",10,IF(AN41="M",0,IF(ISNUMBER(AN41),AN41,0))) + IF(AO41="X",10,IF(AO41="M",0,IF(ISNUMBER(AO41),AO41,0))),"")</f>
        <v/>
      </c>
      <c r="AQ41" s="64"/>
      <c r="AR41" s="64"/>
      <c r="AS41" s="64"/>
      <c r="AT41" s="64"/>
      <c r="AU41" s="64"/>
      <c r="AV41" s="64"/>
      <c r="AW41" s="63" t="str">
        <f>IF(OR(ISNUMBER(AQ41),ISNUMBER(AR41),ISNUMBER(AS41),ISNUMBER(AT41),ISNUMBER(AU41),ISNUMBER(AV41),AQ41="X",AR41="X",AS41="X",AT41="X",AU41="X",AV41="X",AQ41="M",AR41="M",AS41="M",AT41="M",AU41="M",AV41="M"),IF(AQ41="X",10,IF(AQ41="M",0,IF(ISNUMBER(AQ41),AQ41,0))) + IF(AR41="X",10,IF(AR41="M",0,IF(ISNUMBER(AR41),AR41,0))) + IF(AS41="X",10,IF(AS41="M",0,IF(ISNUMBER(AS41),AS41,0))) + IF(AT41="X",10,IF(AT41="M",0,IF(ISNUMBER(AT41),AT41,0))) + IF(AU41="X",10,IF(AU41="M",0,IF(ISNUMBER(AU41),AU41,0))) + IF(AV41="X",10,IF(AV41="M",0,IF(ISNUMBER(AV41),AV41,0))),"")</f>
        <v/>
      </c>
      <c r="AX41" s="65">
        <f>IF(AND(ISNUMBER(N41),ISNUMBER(N43)),IF(N41&gt;N43,2,IF(N41=N43,1,0)),0)+IF(AND(ISNUMBER(U41),ISNUMBER(U43)),IF(U41&gt;U43,2,IF(U41=U43,1,0)),0)+IF(AND(ISNUMBER(AB41),ISNUMBER(AB43)),IF(AB41&gt;AB43,2,IF(AB41=AB43,1,0)),0)+IF(AND(ISNUMBER(AI41),ISNUMBER(AI43)),IF(AI41&gt;AI43,2,IF(AI41=AI43,1,0)),0)+IF(AND(ISNUMBER(AP41),ISNUMBER(AP43)),IF(AP41&gt;AP43,2,IF(AP41=AP43,1,0)),0)</f>
        <v>0</v>
      </c>
      <c r="AY41" s="66"/>
      <c r="AZ41" s="67">
        <f>IF(AX41&gt;0,IF(H41="X",10,IF(H41="M",0,IF(ISNUMBER(H41),H41,0)))+IF(I41="X",10,IF(I41="M",0,IF(ISNUMBER(I41),I41,0)))+IF(J41="X",10,IF(J41="M",0,IF(ISNUMBER(J41),J41,0)))+IF(K41="X",10,IF(K41="M",0,IF(ISNUMBER(K41),K41,0)))+IF(L41="X",10,IF(L41="M",0,IF(ISNUMBER(L41),L41,0)))+IF(M41="X",10,IF(M41="M",0,IF(ISNUMBER(M41),M41,0)))+IF(O41="X",10,IF(O41="M",0,IF(ISNUMBER(O41),O41,0)))+IF(P41="X",10,IF(P41="M",0,IF(ISNUMBER(P41),P41,0)))+IF(Q41="X",10,IF(Q41="M",0,IF(ISNUMBER(Q41),Q41,0)))+IF(R41="X",10,IF(R41="M",0,IF(ISNUMBER(R41),R41,0)))+IF(S41="X",10,IF(S41="M",0,IF(ISNUMBER(S41),S41,0)))+IF(T41="X",10,IF(T41="M",0,IF(ISNUMBER(T41),T41,0)))+IF(V41="X",10,IF(V41="M",0,IF(ISNUMBER(V41),V41,0)))+IF(W41="X",10,IF(W41="M",0,IF(ISNUMBER(W41),W41,0)))+IF(X41="X",10,IF(X41="M",0,IF(ISNUMBER(X41),X41,0)))+IF(Y41="X",10,IF(Y41="M",0,IF(ISNUMBER(Y41),Y41,0)))+IF(Z41="X",10,IF(Z41="M",0,IF(ISNUMBER(Z41),Z41,0)))+IF(AA41="X",10,IF(AA41="M",0,IF(ISNUMBER(AA41),AA41,0)))+IF(AC41="X",10,IF(AC41="M",0,IF(ISNUMBER(AC41),AC41,0)))+IF(AD41="X",10,IF(AD41="M",0,IF(ISNUMBER(AD41),AD41,0)))+IF(AE41="X",10,IF(AE41="M",0,IF(ISNUMBER(AE41),AE41,0)))+IF(AF41="X",10,IF(AF41="M",0,IF(ISNUMBER(AF41),AF41,0)))+IF(AG41="X",10,IF(AG41="M",0,IF(ISNUMBER(AG41),AG41,0)))+IF(AH41="X",10,IF(AH41="M",0,IF(ISNUMBER(AH41),AH41,0)))+IF(AJ41="X",10,IF(AJ41="M",0,IF(ISNUMBER(AJ41),AJ41,0)))+IF(AK41="X",10,IF(AK41="M",0,IF(ISNUMBER(AK41),AK41,0)))+IF(AL41="X",10,IF(AL41="M",0,IF(ISNUMBER(AL41),AL41,0)))+IF(AM41="X",10,IF(AM41="M",0,IF(ISNUMBER(AM41),AM41,0)))+IF(AN41="X",10,IF(AN41="M",0,IF(ISNUMBER(AN41),AN41,0)))+IF(AO41="X",10,IF(AO41="M",0,IF(ISNUMBER(AO41),AO41,0)))+IF(AQ41="X",10,IF(AQ41="M",0,IF(ISNUMBER(AQ41),AQ41,0)))+IF(AR41="X",10,IF(AR41="M",0,IF(ISNUMBER(AR41),AR41,0)))+IF(AS41="X",10,IF(AS41="M",0,IF(ISNUMBER(AS41),AS41,0)))+IF(AT41="X",10,IF(AT41="M",0,IF(ISNUMBER(AT41),AT41,0)))+IF(AU41="X",10,IF(AU41="M",0,IF(ISNUMBER(AU41),AU41,0)))+IF(AV41="X",10,IF(AV41="M",0,IF(ISNUMBER(AV41),AV41,0))),0)</f>
        <v>0</v>
      </c>
      <c r="BA41" s="68" t="str">
        <f>IFERROR(IF(AY41="DQ","DISQUALIFIED",IF(AY43="DQ","&gt;&gt; Advance",IF(BC43="BYE","&gt;&gt; Advance",IF(BC41="BYE","BYE",IF(AX41&gt;=6,"WIN",IF(AX43&gt;=6,"LOSS",IF(AND(ISNUMBER(AW41),ISNUMBER(AW43)),IF(AW41&gt;AW43,"WIN",IF(AW41&lt;AW43,"LOSS","Shoot-Off")),"Playing"))))))),"Error")</f>
        <v>&gt;&gt; Advance</v>
      </c>
      <c r="BC41" s="69" t="str">
        <f>IFERROR(IF(INDEX('Novice 15M - Teams'!$L:$L,MATCH(2,'Novice 15M - Teams'!$A:$A,0))="Yes","BYE",IF(OR(INDEX('Novice 15M - Teams'!$B:$B,MATCH(2,'Novice 15M - Teams'!$A:$A,0))="",ISERROR(MATCH(2,'Novice 15M - Teams'!$A:$A,0))),"BYE","")),"BYE")</f>
        <v>BYE</v>
      </c>
    </row>
    <row r="42" spans="1:237" ht="3" customHeight="1" x14ac:dyDescent="0.35">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row>
    <row r="43" spans="1:237" ht="15.75" customHeight="1" x14ac:dyDescent="0.35">
      <c r="A43" s="61" t="str">
        <f>IFERROR(IF(INDEX('Novice 15M - Teams'!$L:$L,MATCH(15,'Novice 15M - Teams'!$A:$A,0))="Yes","BYE",IF(OR(INDEX('Novice 15M - Teams'!$B:$B,MATCH(15,'Novice 15M - Teams'!$A:$A,0))="",ISERROR(MATCH(15,'Novice 15M - Teams'!$A:$A,0))),"BYE","#15")),"BYE")</f>
        <v>BYE</v>
      </c>
      <c r="B43" s="106" t="str">
        <f>IFERROR(IF(INDEX('Novice 15M - Teams'!$L:$L,MATCH(15,'Novice 15M - Teams'!$A:$A,0))="Yes","",IF(INDEX('Novice 15M - Teams'!$N:$N,MATCH(15,'Novice 15M - Teams'!$A:$A,0))&lt;&gt;"",INDEX('Novice 15M - Teams'!$N:$N,MATCH(15,'Novice 15M - Teams'!$A:$A,0)),IF(INDEX('Novice 15M - Teams'!$B:$B,MATCH(15,'Novice 15M - Teams'!$A:$A,0))="","",INDEX('Novice 15M - Teams'!$B:$B,MATCH(15,'Novice 15M - Teams'!$A:$A,0))))),"")</f>
        <v/>
      </c>
      <c r="C43" s="106"/>
      <c r="D43" s="106"/>
      <c r="E43" s="107" t="str">
        <f>IF(OR(A43="BYE",BA43="&gt;&gt; Advance"),"",IF((B2-A2+1)&gt;=8,(A2+MOD(INT((SUMPRODUCT(IF(A6&lt;&gt;"BYE",IF(A6&lt;&gt;"",IF(BA6&lt;&gt;"&gt;&gt;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Advance",1,0),0),0))-1,2)=0)," L"," R"),(A2+MOD(INT((SUMPRODUCT(IF(A6&lt;&gt;"BYE",IF(A6&lt;&gt;"",IF(BA6&lt;&gt;"&gt;&gt;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Advance",1,0),0),0))-1)/2),(B2-A2+1)))&amp;CHAR(65+FLOOR(INT((SUMPRODUCT(IF(A6&lt;&gt;"BYE",IF(A6&lt;&gt;"",IF(BA6&lt;&gt;"&gt;&gt;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Advance",1,0),0),0))-1)/2)/(B2-A2+1),1)*2+MOD(SUMPRODUCT(IF(A6&lt;&gt;"BYE",IF(A6&lt;&gt;"",IF(BA6&lt;&gt;"&gt;&gt;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Advance",1,0),0),0))-1,2))&amp;IF((MOD(SUMPRODUCT(IF(A6&lt;&gt;"BYE",IF(A6&lt;&gt;"",IF(BA6&lt;&gt;"&gt;&gt; Advance",1,0),0),0)+IF(A8&lt;&gt;"BYE",IF(A8&lt;&gt;"",IF(BA8&lt;&gt;"&gt;&gt; Advance",1,0),0),0)+IF(A11&lt;&gt;"BYE",IF(A11&lt;&gt;"",IF(BA11&lt;&gt;"&gt;&gt; Advance",1,0),0),0)+IF(A13&lt;&gt;"BYE",IF(A13&lt;&gt;"",IF(BA13&lt;&gt;"&gt;&gt; Advance",1,0),0),0)+IF(A16&lt;&gt;"BYE",IF(A16&lt;&gt;"",IF(BA16&lt;&gt;"&gt;&gt; Advance",1,0),0),0)+IF(A18&lt;&gt;"BYE",IF(A18&lt;&gt;"",IF(BA18&lt;&gt;"&gt;&gt; Advance",1,0),0),0)+IF(A21&lt;&gt;"BYE",IF(A21&lt;&gt;"",IF(BA21&lt;&gt;"&gt;&gt; Advance",1,0),0),0)+IF(A23&lt;&gt;"BYE",IF(A23&lt;&gt;"",IF(BA23&lt;&gt;"&gt;&gt; Advance",1,0),0),0)+IF(A26&lt;&gt;"BYE",IF(A26&lt;&gt;"",IF(BA26&lt;&gt;"&gt;&gt; Advance",1,0),0),0)+IF(A28&lt;&gt;"BYE",IF(A28&lt;&gt;"",IF(BA28&lt;&gt;"&gt;&gt; Advance",1,0),0),0)+IF(A31&lt;&gt;"BYE",IF(A31&lt;&gt;"",IF(BA31&lt;&gt;"&gt;&gt; Advance",1,0),0),0)+IF(A33&lt;&gt;"BYE",IF(A33&lt;&gt;"",IF(BA33&lt;&gt;"&gt;&gt; Advance",1,0),0),0)+IF(A36&lt;&gt;"BYE",IF(A36&lt;&gt;"",IF(BA36&lt;&gt;"&gt;&gt; Advance",1,0),0),0)+IF(A38&lt;&gt;"BYE",IF(A38&lt;&gt;"",IF(BA38&lt;&gt;"&gt;&gt; Advance",1,0),0),0)+IF(A41&lt;&gt;"BYE",IF(A41&lt;&gt;"",IF(BA41&lt;&gt;"&gt;&gt; Advance",1,0),0),0)+IF(A43&lt;&gt;"BYE",IF(A43&lt;&gt;"",IF(BA43&lt;&gt;"&gt;&gt; Advance",1,0),0),0))-1,2)=0)," (L)"," (R)")))</f>
        <v/>
      </c>
      <c r="F43" s="107"/>
      <c r="G43" s="107"/>
      <c r="H43" s="62"/>
      <c r="I43" s="62"/>
      <c r="J43" s="62"/>
      <c r="K43" s="62"/>
      <c r="L43" s="62"/>
      <c r="M43" s="62"/>
      <c r="N43" s="63" t="str">
        <f>IF(OR(ISNUMBER(H43),ISNUMBER(I43),ISNUMBER(J43),ISNUMBER(K43),ISNUMBER(L43),ISNUMBER(M43),H43="X",I43="X",J43="X",K43="X",L43="X",M43="X",H43="M",I43="M",J43="M",K43="M",L43="M",M43="M"),IF(H43="X",10,IF(H43="M",0,IF(ISNUMBER(H43),H43,0))) + IF(I43="X",10,IF(I43="M",0,IF(ISNUMBER(I43),I43,0))) + IF(J43="X",10,IF(J43="M",0,IF(ISNUMBER(J43),J43,0))) + IF(K43="X",10,IF(K43="M",0,IF(ISNUMBER(K43),K43,0))) + IF(L43="X",10,IF(L43="M",0,IF(ISNUMBER(L43),L43,0))) + IF(M43="X",10,IF(M43="M",0,IF(ISNUMBER(M43),M43,0))),"")</f>
        <v/>
      </c>
      <c r="O43" s="62"/>
      <c r="P43" s="62"/>
      <c r="Q43" s="62"/>
      <c r="R43" s="62"/>
      <c r="S43" s="62"/>
      <c r="T43" s="62"/>
      <c r="U43" s="63" t="str">
        <f>IF(OR(ISNUMBER(O43),ISNUMBER(P43),ISNUMBER(Q43),ISNUMBER(R43),ISNUMBER(S43),ISNUMBER(T43),O43="X",P43="X",Q43="X",R43="X",S43="X",T43="X",O43="M",P43="M",Q43="M",R43="M",S43="M",T43="M"),IF(O43="X",10,IF(O43="M",0,IF(ISNUMBER(O43),O43,0))) + IF(P43="X",10,IF(P43="M",0,IF(ISNUMBER(P43),P43,0))) + IF(Q43="X",10,IF(Q43="M",0,IF(ISNUMBER(Q43),Q43,0))) + IF(R43="X",10,IF(R43="M",0,IF(ISNUMBER(R43),R43,0))) + IF(S43="X",10,IF(S43="M",0,IF(ISNUMBER(S43),S43,0))) + IF(T43="X",10,IF(T43="M",0,IF(ISNUMBER(T43),T43,0))),"")</f>
        <v/>
      </c>
      <c r="V43" s="62"/>
      <c r="W43" s="62"/>
      <c r="X43" s="62"/>
      <c r="Y43" s="62"/>
      <c r="Z43" s="62"/>
      <c r="AA43" s="62"/>
      <c r="AB43" s="63" t="str">
        <f>IF(OR(ISNUMBER(V43),ISNUMBER(W43),ISNUMBER(X43),ISNUMBER(Y43),ISNUMBER(Z43),ISNUMBER(AA43),V43="X",W43="X",X43="X",Y43="X",Z43="X",AA43="X",V43="M",W43="M",X43="M",Y43="M",Z43="M",AA43="M"),IF(V43="X",10,IF(V43="M",0,IF(ISNUMBER(V43),V43,0))) + IF(W43="X",10,IF(W43="M",0,IF(ISNUMBER(W43),W43,0))) + IF(X43="X",10,IF(X43="M",0,IF(ISNUMBER(X43),X43,0))) + IF(Y43="X",10,IF(Y43="M",0,IF(ISNUMBER(Y43),Y43,0))) + IF(Z43="X",10,IF(Z43="M",0,IF(ISNUMBER(Z43),Z43,0))) + IF(AA43="X",10,IF(AA43="M",0,IF(ISNUMBER(AA43),AA43,0))),"")</f>
        <v/>
      </c>
      <c r="AC43" s="62"/>
      <c r="AD43" s="62"/>
      <c r="AE43" s="62"/>
      <c r="AF43" s="62"/>
      <c r="AG43" s="62"/>
      <c r="AH43" s="62"/>
      <c r="AI43" s="63" t="str">
        <f>IF(OR(ISNUMBER(AC43),ISNUMBER(AD43),ISNUMBER(AE43),ISNUMBER(AF43),ISNUMBER(AG43),ISNUMBER(AH43),AC43="X",AD43="X",AE43="X",AF43="X",AG43="X",AH43="X",AC43="M",AD43="M",AE43="M",AF43="M",AG43="M",AH43="M"),IF(AC43="X",10,IF(AC43="M",0,IF(ISNUMBER(AC43),AC43,0))) + IF(AD43="X",10,IF(AD43="M",0,IF(ISNUMBER(AD43),AD43,0))) + IF(AE43="X",10,IF(AE43="M",0,IF(ISNUMBER(AE43),AE43,0))) + IF(AF43="X",10,IF(AF43="M",0,IF(ISNUMBER(AF43),AF43,0))) + IF(AG43="X",10,IF(AG43="M",0,IF(ISNUMBER(AG43),AG43,0))) + IF(AH43="X",10,IF(AH43="M",0,IF(ISNUMBER(AH43),AH43,0))),"")</f>
        <v/>
      </c>
      <c r="AJ43" s="62"/>
      <c r="AK43" s="62"/>
      <c r="AL43" s="62"/>
      <c r="AM43" s="62"/>
      <c r="AN43" s="62"/>
      <c r="AO43" s="62"/>
      <c r="AP43" s="63" t="str">
        <f>IF(OR(ISNUMBER(AJ43),ISNUMBER(AK43),ISNUMBER(AL43),ISNUMBER(AM43),ISNUMBER(AN43),ISNUMBER(AO43),AJ43="X",AK43="X",AL43="X",AM43="X",AN43="X",AO43="X",AJ43="M",AK43="M",AL43="M",AM43="M",AN43="M",AO43="M"),IF(AJ43="X",10,IF(AJ43="M",0,IF(ISNUMBER(AJ43),AJ43,0))) + IF(AK43="X",10,IF(AK43="M",0,IF(ISNUMBER(AK43),AK43,0))) + IF(AL43="X",10,IF(AL43="M",0,IF(ISNUMBER(AL43),AL43,0))) + IF(AM43="X",10,IF(AM43="M",0,IF(ISNUMBER(AM43),AM43,0))) + IF(AN43="X",10,IF(AN43="M",0,IF(ISNUMBER(AN43),AN43,0))) + IF(AO43="X",10,IF(AO43="M",0,IF(ISNUMBER(AO43),AO43,0))),"")</f>
        <v/>
      </c>
      <c r="AQ43" s="64"/>
      <c r="AR43" s="64"/>
      <c r="AS43" s="64"/>
      <c r="AT43" s="64"/>
      <c r="AU43" s="64"/>
      <c r="AV43" s="64"/>
      <c r="AW43" s="63" t="str">
        <f>IF(OR(ISNUMBER(AQ43),ISNUMBER(AR43),ISNUMBER(AS43),ISNUMBER(AT43),ISNUMBER(AU43),ISNUMBER(AV43),AQ43="X",AR43="X",AS43="X",AT43="X",AU43="X",AV43="X",AQ43="M",AR43="M",AS43="M",AT43="M",AU43="M",AV43="M"),IF(AQ43="X",10,IF(AQ43="M",0,IF(ISNUMBER(AQ43),AQ43,0))) + IF(AR43="X",10,IF(AR43="M",0,IF(ISNUMBER(AR43),AR43,0))) + IF(AS43="X",10,IF(AS43="M",0,IF(ISNUMBER(AS43),AS43,0))) + IF(AT43="X",10,IF(AT43="M",0,IF(ISNUMBER(AT43),AT43,0))) + IF(AU43="X",10,IF(AU43="M",0,IF(ISNUMBER(AU43),AU43,0))) + IF(AV43="X",10,IF(AV43="M",0,IF(ISNUMBER(AV43),AV43,0))),"")</f>
        <v/>
      </c>
      <c r="AX43" s="65">
        <f>IF(AND(ISNUMBER(N43),ISNUMBER(N41)),IF(N43&gt;N41,2,IF(N43=N41,1,0)),0)+IF(AND(ISNUMBER(U43),ISNUMBER(U41)),IF(U43&gt;U41,2,IF(U43=U41,1,0)),0)+IF(AND(ISNUMBER(AB43),ISNUMBER(AB41)),IF(AB43&gt;AB41,2,IF(AB43=AB41,1,0)),0)+IF(AND(ISNUMBER(AI43),ISNUMBER(AI41)),IF(AI43&gt;AI41,2,IF(AI43=AI41,1,0)),0)+IF(AND(ISNUMBER(AP43),ISNUMBER(AP41)),IF(AP43&gt;AP41,2,IF(AP43=AP41,1,0)),0)</f>
        <v>0</v>
      </c>
      <c r="AY43" s="66"/>
      <c r="AZ43" s="67">
        <f>IF(AX43&gt;0,IF(H43="X",10,IF(H43="M",0,IF(ISNUMBER(H43),H43,0)))+IF(I43="X",10,IF(I43="M",0,IF(ISNUMBER(I43),I43,0)))+IF(J43="X",10,IF(J43="M",0,IF(ISNUMBER(J43),J43,0)))+IF(K43="X",10,IF(K43="M",0,IF(ISNUMBER(K43),K43,0)))+IF(L43="X",10,IF(L43="M",0,IF(ISNUMBER(L43),L43,0)))+IF(M43="X",10,IF(M43="M",0,IF(ISNUMBER(M43),M43,0)))+IF(O43="X",10,IF(O43="M",0,IF(ISNUMBER(O43),O43,0)))+IF(P43="X",10,IF(P43="M",0,IF(ISNUMBER(P43),P43,0)))+IF(Q43="X",10,IF(Q43="M",0,IF(ISNUMBER(Q43),Q43,0)))+IF(R43="X",10,IF(R43="M",0,IF(ISNUMBER(R43),R43,0)))+IF(S43="X",10,IF(S43="M",0,IF(ISNUMBER(S43),S43,0)))+IF(T43="X",10,IF(T43="M",0,IF(ISNUMBER(T43),T43,0)))+IF(V43="X",10,IF(V43="M",0,IF(ISNUMBER(V43),V43,0)))+IF(W43="X",10,IF(W43="M",0,IF(ISNUMBER(W43),W43,0)))+IF(X43="X",10,IF(X43="M",0,IF(ISNUMBER(X43),X43,0)))+IF(Y43="X",10,IF(Y43="M",0,IF(ISNUMBER(Y43),Y43,0)))+IF(Z43="X",10,IF(Z43="M",0,IF(ISNUMBER(Z43),Z43,0)))+IF(AA43="X",10,IF(AA43="M",0,IF(ISNUMBER(AA43),AA43,0)))+IF(AC43="X",10,IF(AC43="M",0,IF(ISNUMBER(AC43),AC43,0)))+IF(AD43="X",10,IF(AD43="M",0,IF(ISNUMBER(AD43),AD43,0)))+IF(AE43="X",10,IF(AE43="M",0,IF(ISNUMBER(AE43),AE43,0)))+IF(AF43="X",10,IF(AF43="M",0,IF(ISNUMBER(AF43),AF43,0)))+IF(AG43="X",10,IF(AG43="M",0,IF(ISNUMBER(AG43),AG43,0)))+IF(AH43="X",10,IF(AH43="M",0,IF(ISNUMBER(AH43),AH43,0)))+IF(AJ43="X",10,IF(AJ43="M",0,IF(ISNUMBER(AJ43),AJ43,0)))+IF(AK43="X",10,IF(AK43="M",0,IF(ISNUMBER(AK43),AK43,0)))+IF(AL43="X",10,IF(AL43="M",0,IF(ISNUMBER(AL43),AL43,0)))+IF(AM43="X",10,IF(AM43="M",0,IF(ISNUMBER(AM43),AM43,0)))+IF(AN43="X",10,IF(AN43="M",0,IF(ISNUMBER(AN43),AN43,0)))+IF(AO43="X",10,IF(AO43="M",0,IF(ISNUMBER(AO43),AO43,0)))+IF(AQ43="X",10,IF(AQ43="M",0,IF(ISNUMBER(AQ43),AQ43,0)))+IF(AR43="X",10,IF(AR43="M",0,IF(ISNUMBER(AR43),AR43,0)))+IF(AS43="X",10,IF(AS43="M",0,IF(ISNUMBER(AS43),AS43,0)))+IF(AT43="X",10,IF(AT43="M",0,IF(ISNUMBER(AT43),AT43,0)))+IF(AU43="X",10,IF(AU43="M",0,IF(ISNUMBER(AU43),AU43,0)))+IF(AV43="X",10,IF(AV43="M",0,IF(ISNUMBER(AV43),AV43,0))),0)</f>
        <v>0</v>
      </c>
      <c r="BA43" s="68" t="str">
        <f>IFERROR(IF(AY43="DQ","DISQUALIFIED",IF(AY41="DQ","&gt;&gt; Advance",IF(BC41="BYE","&gt;&gt; Advance",IF(BC43="BYE","BYE",IF(AX43&gt;=6,"WIN",IF(AX41&gt;=6,"LOSS",IF(AND(ISNUMBER(AW43),ISNUMBER(AW41)),IF(AW43&gt;AW41,"WIN",IF(AW43&lt;AW41,"LOSS","Shoot-Off")),"Playing"))))))),"Error")</f>
        <v>&gt;&gt; Advance</v>
      </c>
      <c r="BC43" s="69" t="str">
        <f>IFERROR(IF(INDEX('Novice 15M - Teams'!$L:$L,MATCH(15,'Novice 15M - Teams'!$A:$A,0))="Yes","BYE",IF(OR(INDEX('Novice 15M - Teams'!$B:$B,MATCH(15,'Novice 15M - Teams'!$A:$A,0))="",ISERROR(MATCH(15,'Novice 15M - Teams'!$A:$A,0))),"BYE","")),"BYE")</f>
        <v>BYE</v>
      </c>
    </row>
    <row r="44" spans="1:237" ht="1.5" customHeight="1" x14ac:dyDescent="0.35"/>
    <row r="45" spans="1:237" ht="15.75" customHeight="1" x14ac:dyDescent="0.35">
      <c r="A45" s="117" t="s">
        <v>211</v>
      </c>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117"/>
      <c r="BS45" s="117"/>
      <c r="BT45" s="117"/>
      <c r="BU45" s="117"/>
      <c r="BV45" s="117"/>
      <c r="BW45" s="117"/>
      <c r="BX45" s="117"/>
      <c r="BY45" s="117"/>
      <c r="BZ45" s="117"/>
      <c r="CA45" s="117"/>
      <c r="CB45" s="117"/>
      <c r="CC45" s="117"/>
      <c r="CD45" s="117"/>
      <c r="CE45" s="117"/>
      <c r="CF45" s="117"/>
      <c r="CG45" s="117"/>
      <c r="CH45" s="117"/>
      <c r="CI45" s="117"/>
      <c r="CJ45" s="117"/>
      <c r="CK45" s="117"/>
      <c r="CL45" s="117"/>
      <c r="CM45" s="117"/>
      <c r="CN45" s="117"/>
      <c r="CO45" s="117"/>
      <c r="CP45" s="117"/>
      <c r="CQ45" s="117"/>
      <c r="CR45" s="117"/>
      <c r="CS45" s="117"/>
      <c r="CT45" s="117"/>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7"/>
      <c r="EB45" s="117"/>
      <c r="EC45" s="117"/>
      <c r="ED45" s="117"/>
      <c r="EE45" s="117"/>
      <c r="EF45" s="117"/>
      <c r="EG45" s="117"/>
      <c r="EH45" s="117"/>
      <c r="EI45" s="117"/>
      <c r="EJ45" s="117"/>
      <c r="EK45" s="117"/>
      <c r="EL45" s="117"/>
      <c r="EM45" s="117"/>
      <c r="EN45" s="117"/>
      <c r="EO45" s="117"/>
      <c r="EP45" s="117"/>
      <c r="EQ45" s="117"/>
      <c r="ER45" s="117"/>
      <c r="ES45" s="117"/>
      <c r="ET45" s="117"/>
      <c r="EU45" s="117"/>
      <c r="EV45" s="117"/>
      <c r="EW45" s="117"/>
      <c r="EX45" s="117"/>
      <c r="EY45" s="117"/>
      <c r="EZ45" s="117"/>
      <c r="FA45" s="117"/>
      <c r="FB45" s="117"/>
      <c r="FC45" s="117"/>
      <c r="FD45" s="117"/>
      <c r="FE45" s="117"/>
      <c r="FF45" s="117"/>
      <c r="FG45" s="117"/>
      <c r="FH45" s="117"/>
      <c r="FI45" s="117"/>
      <c r="FJ45" s="117"/>
      <c r="FK45" s="117"/>
      <c r="FL45" s="117"/>
      <c r="FM45" s="117"/>
      <c r="FN45" s="117"/>
      <c r="FO45" s="117"/>
      <c r="FP45" s="117"/>
      <c r="FQ45" s="117"/>
      <c r="FR45" s="117"/>
      <c r="FS45" s="117"/>
      <c r="FT45" s="117"/>
      <c r="FU45" s="117"/>
      <c r="FV45" s="117"/>
      <c r="FW45" s="117"/>
      <c r="FX45" s="117"/>
      <c r="FY45" s="117"/>
      <c r="FZ45" s="117"/>
      <c r="GA45" s="117"/>
      <c r="GB45" s="117"/>
      <c r="GC45" s="117"/>
      <c r="GD45" s="117"/>
      <c r="GE45" s="117"/>
      <c r="GF45" s="117"/>
      <c r="GG45" s="117"/>
      <c r="GH45" s="117"/>
      <c r="GI45" s="117"/>
      <c r="GJ45" s="117"/>
      <c r="GK45" s="117"/>
      <c r="GL45" s="117"/>
      <c r="GM45" s="117"/>
      <c r="GN45" s="117"/>
      <c r="GO45" s="117"/>
      <c r="GP45" s="117"/>
      <c r="GQ45" s="117"/>
      <c r="GR45" s="117"/>
      <c r="GS45" s="117"/>
      <c r="GT45" s="117"/>
      <c r="GU45" s="117"/>
      <c r="GV45" s="117"/>
      <c r="GW45" s="117"/>
      <c r="GX45" s="117"/>
      <c r="GY45" s="117"/>
      <c r="GZ45" s="117"/>
      <c r="HA45" s="117"/>
      <c r="HB45" s="117"/>
      <c r="HC45" s="117"/>
      <c r="HD45" s="117"/>
      <c r="HE45" s="117"/>
      <c r="HF45" s="117"/>
      <c r="HG45" s="117"/>
      <c r="HH45" s="117"/>
      <c r="HI45" s="117"/>
      <c r="HJ45" s="117"/>
      <c r="HK45" s="117"/>
      <c r="HL45" s="117"/>
      <c r="HM45" s="117"/>
      <c r="HN45" s="117"/>
      <c r="HO45" s="117"/>
      <c r="HP45" s="117"/>
      <c r="HQ45" s="117"/>
      <c r="HR45" s="117"/>
      <c r="HS45" s="117"/>
      <c r="HT45" s="117"/>
      <c r="HU45" s="117"/>
      <c r="HV45" s="117"/>
      <c r="HW45" s="117"/>
      <c r="HX45" s="117"/>
      <c r="HY45" s="117"/>
      <c r="HZ45" s="117"/>
      <c r="IA45" s="117"/>
      <c r="IB45" s="117"/>
      <c r="IC45" s="117"/>
    </row>
    <row r="46" spans="1:237" ht="13.5" customHeight="1" x14ac:dyDescent="0.35">
      <c r="A46" s="4" t="s">
        <v>212</v>
      </c>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row>
    <row r="47" spans="1:237" ht="13.5" customHeight="1" x14ac:dyDescent="0.35">
      <c r="A47" s="118" t="s">
        <v>213</v>
      </c>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8"/>
      <c r="DY47" s="118"/>
      <c r="DZ47" s="118"/>
      <c r="EA47" s="118"/>
      <c r="EB47" s="118"/>
      <c r="EC47" s="118"/>
      <c r="ED47" s="118"/>
      <c r="EE47" s="118"/>
      <c r="EF47" s="118"/>
      <c r="EG47" s="118"/>
      <c r="EH47" s="118"/>
      <c r="EI47" s="118"/>
      <c r="EJ47" s="118"/>
      <c r="EK47" s="118"/>
      <c r="EL47" s="118"/>
      <c r="EM47" s="118"/>
      <c r="EN47" s="118"/>
      <c r="EO47" s="118"/>
      <c r="EP47" s="118"/>
      <c r="EQ47" s="118"/>
      <c r="ER47" s="118"/>
      <c r="ES47" s="118"/>
      <c r="ET47" s="118"/>
      <c r="EU47" s="118"/>
      <c r="EV47" s="118"/>
      <c r="EW47" s="118"/>
      <c r="EX47" s="118"/>
      <c r="EY47" s="118"/>
      <c r="EZ47" s="118"/>
      <c r="FA47" s="118"/>
      <c r="FB47" s="118"/>
      <c r="FC47" s="118"/>
      <c r="FD47" s="118"/>
      <c r="FE47" s="118"/>
      <c r="FF47" s="118"/>
      <c r="FG47" s="118"/>
      <c r="FH47" s="118"/>
      <c r="FI47" s="118"/>
      <c r="FJ47" s="118"/>
      <c r="FK47" s="118"/>
      <c r="FL47" s="118"/>
      <c r="FM47" s="118"/>
      <c r="FN47" s="118"/>
      <c r="FO47" s="118"/>
      <c r="FP47" s="118"/>
      <c r="FQ47" s="118"/>
      <c r="FR47" s="118"/>
      <c r="FS47" s="118"/>
      <c r="FT47" s="118"/>
      <c r="FU47" s="118"/>
      <c r="FV47" s="118"/>
      <c r="FW47" s="118"/>
      <c r="FX47" s="118"/>
      <c r="FY47" s="118"/>
      <c r="FZ47" s="118"/>
      <c r="GA47" s="118"/>
      <c r="GB47" s="118"/>
      <c r="GC47" s="118"/>
      <c r="GD47" s="118"/>
      <c r="GE47" s="118"/>
      <c r="GF47" s="118"/>
      <c r="GG47" s="118"/>
      <c r="GH47" s="118"/>
      <c r="GI47" s="118"/>
      <c r="GJ47" s="118"/>
      <c r="GK47" s="118"/>
      <c r="GL47" s="118"/>
      <c r="GM47" s="118"/>
      <c r="GN47" s="118"/>
      <c r="GO47" s="118"/>
      <c r="GP47" s="118"/>
      <c r="GQ47" s="118"/>
      <c r="GR47" s="118"/>
      <c r="GS47" s="118"/>
      <c r="GT47" s="118"/>
      <c r="GU47" s="118"/>
      <c r="GV47" s="118"/>
      <c r="GW47" s="118"/>
      <c r="GX47" s="118"/>
      <c r="GY47" s="118"/>
      <c r="GZ47" s="118"/>
      <c r="HA47" s="118"/>
      <c r="HB47" s="118"/>
      <c r="HC47" s="118"/>
      <c r="HD47" s="118"/>
      <c r="HE47" s="118"/>
      <c r="HF47" s="118"/>
      <c r="HG47" s="118"/>
      <c r="HH47" s="118"/>
      <c r="HI47" s="118"/>
      <c r="HJ47" s="118"/>
      <c r="HK47" s="118"/>
      <c r="HL47" s="118"/>
      <c r="HM47" s="118"/>
      <c r="HN47" s="118"/>
      <c r="HO47" s="118"/>
      <c r="HP47" s="118"/>
      <c r="HQ47" s="118"/>
      <c r="HR47" s="118"/>
      <c r="HS47" s="118"/>
      <c r="HT47" s="118"/>
      <c r="HU47" s="118"/>
      <c r="HV47" s="118"/>
      <c r="HW47" s="118"/>
      <c r="HX47" s="118"/>
      <c r="HY47" s="118"/>
      <c r="HZ47" s="118"/>
      <c r="IA47" s="118"/>
      <c r="IB47" s="118"/>
      <c r="IC47" s="118"/>
    </row>
    <row r="48" spans="1:237" ht="13.5" customHeight="1" x14ac:dyDescent="0.35">
      <c r="A48" s="9" t="s">
        <v>214</v>
      </c>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row>
  </sheetData>
  <mergeCells count="134">
    <mergeCell ref="A45:IC45"/>
    <mergeCell ref="A46:IC46"/>
    <mergeCell ref="A47:IC47"/>
    <mergeCell ref="A48:IC48"/>
    <mergeCell ref="A35:BC35"/>
    <mergeCell ref="B36:D36"/>
    <mergeCell ref="E36:G36"/>
    <mergeCell ref="B38:D38"/>
    <mergeCell ref="E38:G38"/>
    <mergeCell ref="A40:BC40"/>
    <mergeCell ref="B41:D41"/>
    <mergeCell ref="E41:G41"/>
    <mergeCell ref="B43:D43"/>
    <mergeCell ref="E43:G43"/>
    <mergeCell ref="A25:BC25"/>
    <mergeCell ref="B26:D26"/>
    <mergeCell ref="E26:G26"/>
    <mergeCell ref="B28:D28"/>
    <mergeCell ref="E28:G28"/>
    <mergeCell ref="A30:BC30"/>
    <mergeCell ref="B31:D31"/>
    <mergeCell ref="E31:G31"/>
    <mergeCell ref="B33:D33"/>
    <mergeCell ref="E33:G33"/>
    <mergeCell ref="A20:BC20"/>
    <mergeCell ref="BD20:DF20"/>
    <mergeCell ref="B21:D21"/>
    <mergeCell ref="E21:G21"/>
    <mergeCell ref="BE21:BG21"/>
    <mergeCell ref="BH21:BJ21"/>
    <mergeCell ref="B23:D23"/>
    <mergeCell ref="E23:G23"/>
    <mergeCell ref="BE23:BG23"/>
    <mergeCell ref="BH23:BJ23"/>
    <mergeCell ref="A15:BC15"/>
    <mergeCell ref="BD15:DF15"/>
    <mergeCell ref="HM15:IB15"/>
    <mergeCell ref="B16:D16"/>
    <mergeCell ref="E16:G16"/>
    <mergeCell ref="BE16:BG16"/>
    <mergeCell ref="BH16:BJ16"/>
    <mergeCell ref="HM16:IB17"/>
    <mergeCell ref="B18:D18"/>
    <mergeCell ref="E18:G18"/>
    <mergeCell ref="BE18:BG18"/>
    <mergeCell ref="BH18:BJ18"/>
    <mergeCell ref="HM18:IB19"/>
    <mergeCell ref="B13:D13"/>
    <mergeCell ref="E13:G13"/>
    <mergeCell ref="BE13:BG13"/>
    <mergeCell ref="BH13:BJ13"/>
    <mergeCell ref="DH13:DJ13"/>
    <mergeCell ref="DK13:DM13"/>
    <mergeCell ref="FK13:FM13"/>
    <mergeCell ref="FN13:FP13"/>
    <mergeCell ref="HM13:IB14"/>
    <mergeCell ref="A10:BC10"/>
    <mergeCell ref="BD10:DF10"/>
    <mergeCell ref="DG10:FI10"/>
    <mergeCell ref="FJ10:HL10"/>
    <mergeCell ref="HM10:IB10"/>
    <mergeCell ref="B11:D11"/>
    <mergeCell ref="E11:G11"/>
    <mergeCell ref="BE11:BG11"/>
    <mergeCell ref="BH11:BJ11"/>
    <mergeCell ref="DH11:DJ11"/>
    <mergeCell ref="DK11:DM11"/>
    <mergeCell ref="FK11:FM11"/>
    <mergeCell ref="FN11:FP11"/>
    <mergeCell ref="HM11:IB12"/>
    <mergeCell ref="B8:D8"/>
    <mergeCell ref="E8:G8"/>
    <mergeCell ref="BE8:BG8"/>
    <mergeCell ref="BH8:BJ8"/>
    <mergeCell ref="DH8:DJ8"/>
    <mergeCell ref="DK8:DM8"/>
    <mergeCell ref="FK8:FM8"/>
    <mergeCell ref="FN8:FP8"/>
    <mergeCell ref="HM8:IB9"/>
    <mergeCell ref="FJ9:HL9"/>
    <mergeCell ref="HM5:IB5"/>
    <mergeCell ref="B6:D6"/>
    <mergeCell ref="E6:G6"/>
    <mergeCell ref="BE6:BG6"/>
    <mergeCell ref="BH6:BJ6"/>
    <mergeCell ref="DH6:DJ6"/>
    <mergeCell ref="DK6:DM6"/>
    <mergeCell ref="FK6:FM6"/>
    <mergeCell ref="FN6:FP6"/>
    <mergeCell ref="HM6:IB7"/>
    <mergeCell ref="FN4:FP4"/>
    <mergeCell ref="FQ4:FW4"/>
    <mergeCell ref="FX4:GD4"/>
    <mergeCell ref="GE4:GK4"/>
    <mergeCell ref="GL4:GR4"/>
    <mergeCell ref="GS4:GY4"/>
    <mergeCell ref="GZ4:HF4"/>
    <mergeCell ref="A5:BC5"/>
    <mergeCell ref="BD5:DF5"/>
    <mergeCell ref="DG5:FI5"/>
    <mergeCell ref="FJ5:HL5"/>
    <mergeCell ref="DH4:DJ4"/>
    <mergeCell ref="DK4:DM4"/>
    <mergeCell ref="DN4:DT4"/>
    <mergeCell ref="DU4:EA4"/>
    <mergeCell ref="EB4:EH4"/>
    <mergeCell ref="EI4:EO4"/>
    <mergeCell ref="EP4:EV4"/>
    <mergeCell ref="EW4:FC4"/>
    <mergeCell ref="FK4:FM4"/>
    <mergeCell ref="A1:IC1"/>
    <mergeCell ref="C2:J2"/>
    <mergeCell ref="K2:IC2"/>
    <mergeCell ref="A3:BC3"/>
    <mergeCell ref="BD3:DF3"/>
    <mergeCell ref="DG3:FI3"/>
    <mergeCell ref="FJ3:HL3"/>
    <mergeCell ref="HM3:IB4"/>
    <mergeCell ref="B4:D4"/>
    <mergeCell ref="E4:G4"/>
    <mergeCell ref="H4:N4"/>
    <mergeCell ref="O4:U4"/>
    <mergeCell ref="V4:AB4"/>
    <mergeCell ref="AC4:AI4"/>
    <mergeCell ref="AJ4:AP4"/>
    <mergeCell ref="AQ4:AW4"/>
    <mergeCell ref="BE4:BG4"/>
    <mergeCell ref="BH4:BJ4"/>
    <mergeCell ref="BK4:BQ4"/>
    <mergeCell ref="BR4:BX4"/>
    <mergeCell ref="BY4:CE4"/>
    <mergeCell ref="CF4:CL4"/>
    <mergeCell ref="CM4:CS4"/>
    <mergeCell ref="CT4:CZ4"/>
  </mergeCells>
  <dataValidations count="1">
    <dataValidation type="list" sqref="AY6 DB6 FE6 HH6 AY8 DB8 FE8 HH8 AY11 DB11 FE11 HH11 AY13 DB13 FE13 HH13 AY16 DB16 AY18 DB18 AY21 DB21 AY23 DB23 AY26 AY28 AY31 AY33 AY36 AY38 AY41 AY43" xr:uid="{00000000-0002-0000-0E00-000000000000}">
      <formula1>"DQ"</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A148C"/>
    <pageSetUpPr fitToPage="1"/>
  </sheetPr>
  <dimension ref="A1:M549"/>
  <sheetViews>
    <sheetView showGridLines="0" zoomScaleNormal="100" workbookViewId="0"/>
  </sheetViews>
  <sheetFormatPr defaultColWidth="8.6328125" defaultRowHeight="14.5" x14ac:dyDescent="0.35"/>
  <cols>
    <col min="1" max="1" width="4" customWidth="1"/>
    <col min="2" max="4" width="7" customWidth="1"/>
    <col min="5" max="5" width="8" customWidth="1"/>
    <col min="6" max="6" width="9" customWidth="1"/>
    <col min="7" max="7" width="3" customWidth="1"/>
    <col min="8" max="8" width="4" customWidth="1"/>
    <col min="9" max="11" width="7" customWidth="1"/>
    <col min="12" max="12" width="8" customWidth="1"/>
    <col min="13" max="13" width="9" customWidth="1"/>
  </cols>
  <sheetData>
    <row r="1" spans="1:13" ht="39.75" customHeight="1" x14ac:dyDescent="0.35">
      <c r="A1" s="119" t="s">
        <v>215</v>
      </c>
      <c r="B1" s="119"/>
      <c r="C1" s="119"/>
      <c r="D1" s="119"/>
      <c r="E1" s="119"/>
      <c r="F1" s="119"/>
      <c r="G1" s="119"/>
      <c r="H1" s="119"/>
      <c r="I1" s="119"/>
      <c r="J1" s="119"/>
      <c r="K1" s="119"/>
      <c r="L1" s="119"/>
      <c r="M1" s="119"/>
    </row>
    <row r="2" spans="1:13" ht="13.5" customHeight="1" x14ac:dyDescent="0.35">
      <c r="A2" s="120" t="s">
        <v>261</v>
      </c>
      <c r="B2" s="120"/>
      <c r="C2" s="120"/>
      <c r="D2" s="120"/>
      <c r="E2" s="120"/>
      <c r="F2" s="120"/>
      <c r="G2" s="120"/>
      <c r="H2" s="120"/>
      <c r="I2" s="120"/>
      <c r="J2" s="120"/>
      <c r="K2" s="120"/>
      <c r="L2" s="120"/>
      <c r="M2" s="120"/>
    </row>
    <row r="3" spans="1:13" ht="6" customHeight="1" x14ac:dyDescent="0.35"/>
    <row r="4" spans="1:13" ht="12" customHeight="1" x14ac:dyDescent="0.35">
      <c r="A4" s="121" t="s">
        <v>217</v>
      </c>
      <c r="B4" s="121"/>
      <c r="C4" s="121"/>
      <c r="D4" s="121"/>
      <c r="E4" s="121"/>
      <c r="F4" s="121"/>
      <c r="G4" s="121"/>
      <c r="H4" s="121"/>
      <c r="I4" s="121"/>
      <c r="J4" s="121"/>
      <c r="K4" s="121"/>
      <c r="L4" s="121"/>
      <c r="M4" s="121"/>
    </row>
    <row r="5" spans="1:13" ht="6" customHeight="1" x14ac:dyDescent="0.35"/>
    <row r="6" spans="1:13" ht="15.75" customHeight="1" x14ac:dyDescent="0.35">
      <c r="A6" s="73" t="s">
        <v>218</v>
      </c>
      <c r="B6" s="122" t="str">
        <f>IF('Novice 15M - Scoring'!B6&lt;&gt;"",'Novice 15M - Scoring'!B6,"")</f>
        <v>Michael Allan Corpuz</v>
      </c>
      <c r="C6" s="122"/>
      <c r="D6" s="122"/>
      <c r="E6" s="73" t="s">
        <v>219</v>
      </c>
      <c r="F6" s="74">
        <f>IF('Novice 15M - Scoring'!B6&lt;&gt;"",'Novice 15M - Scoring'!BB6,"")</f>
        <v>1</v>
      </c>
      <c r="H6" s="73" t="s">
        <v>218</v>
      </c>
      <c r="I6" s="122" t="str">
        <f>IF('Novice 15M - Scoring'!B7&lt;&gt;"",'Novice 15M - Scoring'!B7,"")</f>
        <v>Valerie Shantalle Buenaventura</v>
      </c>
      <c r="J6" s="122"/>
      <c r="K6" s="122"/>
      <c r="L6" s="73" t="s">
        <v>219</v>
      </c>
      <c r="M6" s="74">
        <f>IF('Novice 15M - Scoring'!B7&lt;&gt;"",'Novice 15M - Scoring'!BB7,"")</f>
        <v>1</v>
      </c>
    </row>
    <row r="7" spans="1:13" ht="15.75" customHeight="1" x14ac:dyDescent="0.35">
      <c r="A7" s="73" t="s">
        <v>220</v>
      </c>
      <c r="B7" s="123" t="str">
        <f>IF('Novice 15M - Scoring'!B6&lt;&gt;"",'Novice 15M - Scoring'!D6,"")</f>
        <v>Attack Arena AC</v>
      </c>
      <c r="C7" s="123"/>
      <c r="D7" s="123"/>
      <c r="E7" s="73" t="s">
        <v>8</v>
      </c>
      <c r="F7" s="75">
        <f>IF('Novice 15M - Scoring'!B6&lt;&gt;"",'Novice 15M - Scoring'!E6,"")</f>
        <v>3</v>
      </c>
      <c r="H7" s="73" t="s">
        <v>220</v>
      </c>
      <c r="I7" s="123" t="str">
        <f>IF('Novice 15M - Scoring'!B7&lt;&gt;"",'Novice 15M - Scoring'!D7,"")</f>
        <v>Greenpark Camp</v>
      </c>
      <c r="J7" s="123"/>
      <c r="K7" s="123"/>
      <c r="L7" s="73" t="s">
        <v>8</v>
      </c>
      <c r="M7" s="75">
        <f>IF('Novice 15M - Scoring'!B7&lt;&gt;"",'Novice 15M - Scoring'!E7,"")</f>
        <v>4</v>
      </c>
    </row>
    <row r="8" spans="1:13" ht="3.75" customHeight="1" x14ac:dyDescent="0.35"/>
    <row r="9" spans="1:13" ht="25.5" customHeight="1" x14ac:dyDescent="0.35">
      <c r="A9" s="76" t="s">
        <v>221</v>
      </c>
      <c r="B9" s="77" t="s">
        <v>222</v>
      </c>
      <c r="C9" s="77" t="s">
        <v>223</v>
      </c>
      <c r="D9" s="77" t="s">
        <v>224</v>
      </c>
      <c r="E9" s="76" t="s">
        <v>225</v>
      </c>
      <c r="F9" s="76" t="s">
        <v>226</v>
      </c>
      <c r="H9" s="76" t="s">
        <v>221</v>
      </c>
      <c r="I9" s="77" t="s">
        <v>222</v>
      </c>
      <c r="J9" s="77" t="s">
        <v>223</v>
      </c>
      <c r="K9" s="77" t="s">
        <v>224</v>
      </c>
      <c r="L9" s="76" t="s">
        <v>225</v>
      </c>
      <c r="M9" s="76" t="s">
        <v>226</v>
      </c>
    </row>
    <row r="10" spans="1:13" ht="19.5" customHeight="1" x14ac:dyDescent="0.35">
      <c r="A10" s="78" t="s">
        <v>222</v>
      </c>
      <c r="B10" s="79" t="str">
        <f>IF('Novice 15M - Scoring'!B6&lt;&gt;"",IF('Novice 15M - Scoring'!F6&lt;&gt;"",'Novice 15M - Scoring'!F6,""),"")</f>
        <v/>
      </c>
      <c r="C10" s="79" t="str">
        <f>IF('Novice 15M - Scoring'!B6&lt;&gt;"",IF('Novice 15M - Scoring'!G6&lt;&gt;"",'Novice 15M - Scoring'!G6,""),"")</f>
        <v/>
      </c>
      <c r="D10" s="79" t="str">
        <f>IF('Novice 15M - Scoring'!B6&lt;&gt;"",IF('Novice 15M - Scoring'!H6&lt;&gt;"",'Novice 15M - Scoring'!H6,""),"")</f>
        <v/>
      </c>
      <c r="E10" s="80">
        <f>IF('Novice 15M - Scoring'!B6&lt;&gt;"",'Novice 15M - Scoring'!AP6,"")</f>
        <v>0</v>
      </c>
      <c r="F10" s="81">
        <f>IFERROR(IF(ISNUMBER(E10),E10,""),"")</f>
        <v>0</v>
      </c>
      <c r="H10" s="78" t="s">
        <v>222</v>
      </c>
      <c r="I10" s="79" t="str">
        <f>IF('Novice 15M - Scoring'!B7&lt;&gt;"",IF('Novice 15M - Scoring'!F7&lt;&gt;"",'Novice 15M - Scoring'!F7,""),"")</f>
        <v/>
      </c>
      <c r="J10" s="79" t="str">
        <f>IF('Novice 15M - Scoring'!B7&lt;&gt;"",IF('Novice 15M - Scoring'!G7&lt;&gt;"",'Novice 15M - Scoring'!G7,""),"")</f>
        <v/>
      </c>
      <c r="K10" s="79" t="str">
        <f>IF('Novice 15M - Scoring'!B7&lt;&gt;"",IF('Novice 15M - Scoring'!H7&lt;&gt;"",'Novice 15M - Scoring'!H7,""),"")</f>
        <v/>
      </c>
      <c r="L10" s="80">
        <f>IF('Novice 15M - Scoring'!B7&lt;&gt;"",'Novice 15M - Scoring'!AP7,"")</f>
        <v>0</v>
      </c>
      <c r="M10" s="81">
        <f>IFERROR(IF(ISNUMBER(L10),L10,""),"")</f>
        <v>0</v>
      </c>
    </row>
    <row r="11" spans="1:13" ht="19.5" customHeight="1" x14ac:dyDescent="0.35">
      <c r="A11" s="78" t="s">
        <v>223</v>
      </c>
      <c r="B11" s="79" t="str">
        <f>IF('Novice 15M - Scoring'!B6&lt;&gt;"",IF('Novice 15M - Scoring'!L6&lt;&gt;"",'Novice 15M - Scoring'!L6,""),"")</f>
        <v/>
      </c>
      <c r="C11" s="79" t="str">
        <f>IF('Novice 15M - Scoring'!B6&lt;&gt;"",IF('Novice 15M - Scoring'!M6&lt;&gt;"",'Novice 15M - Scoring'!M6,""),"")</f>
        <v/>
      </c>
      <c r="D11" s="79" t="str">
        <f>IF('Novice 15M - Scoring'!B6&lt;&gt;"",IF('Novice 15M - Scoring'!N6&lt;&gt;"",'Novice 15M - Scoring'!N6,""),"")</f>
        <v/>
      </c>
      <c r="E11" s="80">
        <f>IF('Novice 15M - Scoring'!B6&lt;&gt;"",'Novice 15M - Scoring'!AQ6,"")</f>
        <v>0</v>
      </c>
      <c r="F11" s="81">
        <f>IF(E10&lt;&gt;"",IFERROR(IF(ISNUMBER(E10),E10,0),0)+IFERROR(IF(ISNUMBER(E11),E11,0),0),"")</f>
        <v>0</v>
      </c>
      <c r="H11" s="78" t="s">
        <v>223</v>
      </c>
      <c r="I11" s="79" t="str">
        <f>IF('Novice 15M - Scoring'!B7&lt;&gt;"",IF('Novice 15M - Scoring'!L7&lt;&gt;"",'Novice 15M - Scoring'!L7,""),"")</f>
        <v/>
      </c>
      <c r="J11" s="79" t="str">
        <f>IF('Novice 15M - Scoring'!B7&lt;&gt;"",IF('Novice 15M - Scoring'!M7&lt;&gt;"",'Novice 15M - Scoring'!M7,""),"")</f>
        <v/>
      </c>
      <c r="K11" s="79" t="str">
        <f>IF('Novice 15M - Scoring'!B7&lt;&gt;"",IF('Novice 15M - Scoring'!N7&lt;&gt;"",'Novice 15M - Scoring'!N7,""),"")</f>
        <v/>
      </c>
      <c r="L11" s="80">
        <f>IF('Novice 15M - Scoring'!B7&lt;&gt;"",'Novice 15M - Scoring'!AQ7,"")</f>
        <v>0</v>
      </c>
      <c r="M11" s="81">
        <f>IF(L10&lt;&gt;"",IFERROR(IF(ISNUMBER(L10),L10,0),0)+IFERROR(IF(ISNUMBER(L11),L11,0),0),"")</f>
        <v>0</v>
      </c>
    </row>
    <row r="12" spans="1:13" ht="19.5" customHeight="1" x14ac:dyDescent="0.35">
      <c r="A12" s="78" t="s">
        <v>224</v>
      </c>
      <c r="B12" s="79" t="str">
        <f>IF('Novice 15M - Scoring'!B6&lt;&gt;"",IF('Novice 15M - Scoring'!R6&lt;&gt;"",'Novice 15M - Scoring'!R6,""),"")</f>
        <v/>
      </c>
      <c r="C12" s="79" t="str">
        <f>IF('Novice 15M - Scoring'!B6&lt;&gt;"",IF('Novice 15M - Scoring'!S6&lt;&gt;"",'Novice 15M - Scoring'!S6,""),"")</f>
        <v/>
      </c>
      <c r="D12" s="79" t="str">
        <f>IF('Novice 15M - Scoring'!B6&lt;&gt;"",IF('Novice 15M - Scoring'!T6&lt;&gt;"",'Novice 15M - Scoring'!T6,""),"")</f>
        <v/>
      </c>
      <c r="E12" s="80">
        <f>IF('Novice 15M - Scoring'!B6&lt;&gt;"",'Novice 15M - Scoring'!AR6,"")</f>
        <v>0</v>
      </c>
      <c r="F12" s="81">
        <f>IF(E10&lt;&gt;"",IFERROR(IF(ISNUMBER(E10),E10,0),0)+IFERROR(IF(ISNUMBER(E11),E11,0),0)+IFERROR(IF(ISNUMBER(E12),E12,0),0),"")</f>
        <v>0</v>
      </c>
      <c r="H12" s="78" t="s">
        <v>224</v>
      </c>
      <c r="I12" s="79" t="str">
        <f>IF('Novice 15M - Scoring'!B7&lt;&gt;"",IF('Novice 15M - Scoring'!R7&lt;&gt;"",'Novice 15M - Scoring'!R7,""),"")</f>
        <v/>
      </c>
      <c r="J12" s="79" t="str">
        <f>IF('Novice 15M - Scoring'!B7&lt;&gt;"",IF('Novice 15M - Scoring'!S7&lt;&gt;"",'Novice 15M - Scoring'!S7,""),"")</f>
        <v/>
      </c>
      <c r="K12" s="79" t="str">
        <f>IF('Novice 15M - Scoring'!B7&lt;&gt;"",IF('Novice 15M - Scoring'!T7&lt;&gt;"",'Novice 15M - Scoring'!T7,""),"")</f>
        <v/>
      </c>
      <c r="L12" s="80">
        <f>IF('Novice 15M - Scoring'!B7&lt;&gt;"",'Novice 15M - Scoring'!AR7,"")</f>
        <v>0</v>
      </c>
      <c r="M12" s="81">
        <f>IF(L10&lt;&gt;"",IFERROR(IF(ISNUMBER(L10),L10,0),0)+IFERROR(IF(ISNUMBER(L11),L11,0),0)+IFERROR(IF(ISNUMBER(L12),L12,0),0),"")</f>
        <v>0</v>
      </c>
    </row>
    <row r="13" spans="1:13" ht="19.5" customHeight="1" x14ac:dyDescent="0.35">
      <c r="A13" s="78" t="s">
        <v>227</v>
      </c>
      <c r="B13" s="79" t="str">
        <f>IF('Novice 15M - Scoring'!B6&lt;&gt;"",IF('Novice 15M - Scoring'!X6&lt;&gt;"",'Novice 15M - Scoring'!X6,""),"")</f>
        <v/>
      </c>
      <c r="C13" s="79" t="str">
        <f>IF('Novice 15M - Scoring'!B6&lt;&gt;"",IF('Novice 15M - Scoring'!Y6&lt;&gt;"",'Novice 15M - Scoring'!Y6,""),"")</f>
        <v/>
      </c>
      <c r="D13" s="79" t="str">
        <f>IF('Novice 15M - Scoring'!B6&lt;&gt;"",IF('Novice 15M - Scoring'!Z6&lt;&gt;"",'Novice 15M - Scoring'!Z6,""),"")</f>
        <v/>
      </c>
      <c r="E13" s="80">
        <f>IF('Novice 15M - Scoring'!B6&lt;&gt;"",'Novice 15M - Scoring'!AS6,"")</f>
        <v>0</v>
      </c>
      <c r="F13" s="81">
        <f>IF(E10&lt;&gt;"",IFERROR(IF(ISNUMBER(E10),E10,0),0)+IFERROR(IF(ISNUMBER(E11),E11,0),0)+IFERROR(IF(ISNUMBER(E12),E12,0),0)+IFERROR(IF(ISNUMBER(E13),E13,0),0),"")</f>
        <v>0</v>
      </c>
      <c r="H13" s="78" t="s">
        <v>227</v>
      </c>
      <c r="I13" s="79" t="str">
        <f>IF('Novice 15M - Scoring'!B7&lt;&gt;"",IF('Novice 15M - Scoring'!X7&lt;&gt;"",'Novice 15M - Scoring'!X7,""),"")</f>
        <v/>
      </c>
      <c r="J13" s="79" t="str">
        <f>IF('Novice 15M - Scoring'!B7&lt;&gt;"",IF('Novice 15M - Scoring'!Y7&lt;&gt;"",'Novice 15M - Scoring'!Y7,""),"")</f>
        <v/>
      </c>
      <c r="K13" s="79" t="str">
        <f>IF('Novice 15M - Scoring'!B7&lt;&gt;"",IF('Novice 15M - Scoring'!Z7&lt;&gt;"",'Novice 15M - Scoring'!Z7,""),"")</f>
        <v/>
      </c>
      <c r="L13" s="80">
        <f>IF('Novice 15M - Scoring'!B7&lt;&gt;"",'Novice 15M - Scoring'!AS7,"")</f>
        <v>0</v>
      </c>
      <c r="M13" s="81">
        <f>IF(L10&lt;&gt;"",IFERROR(IF(ISNUMBER(L10),L10,0),0)+IFERROR(IF(ISNUMBER(L11),L11,0),0)+IFERROR(IF(ISNUMBER(L12),L12,0),0)+IFERROR(IF(ISNUMBER(L13),L13,0),0),"")</f>
        <v>0</v>
      </c>
    </row>
    <row r="14" spans="1:13" ht="19.5" customHeight="1" x14ac:dyDescent="0.35">
      <c r="A14" s="78" t="s">
        <v>228</v>
      </c>
      <c r="B14" s="79" t="str">
        <f>IF('Novice 15M - Scoring'!B6&lt;&gt;"",IF('Novice 15M - Scoring'!AD6&lt;&gt;"",'Novice 15M - Scoring'!AD6,""),"")</f>
        <v/>
      </c>
      <c r="C14" s="79" t="str">
        <f>IF('Novice 15M - Scoring'!B6&lt;&gt;"",IF('Novice 15M - Scoring'!AE6&lt;&gt;"",'Novice 15M - Scoring'!AE6,""),"")</f>
        <v/>
      </c>
      <c r="D14" s="79" t="str">
        <f>IF('Novice 15M - Scoring'!B6&lt;&gt;"",IF('Novice 15M - Scoring'!AF6&lt;&gt;"",'Novice 15M - Scoring'!AF6,""),"")</f>
        <v/>
      </c>
      <c r="E14" s="80">
        <f>IF('Novice 15M - Scoring'!B6&lt;&gt;"",'Novice 15M - Scoring'!AT6,"")</f>
        <v>0</v>
      </c>
      <c r="F14" s="81">
        <f>IF(E10&lt;&gt;"",IFERROR(IF(ISNUMBER(E10),E10,0),0)+IFERROR(IF(ISNUMBER(E11),E11,0),0)+IFERROR(IF(ISNUMBER(E12),E12,0),0)+IFERROR(IF(ISNUMBER(E13),E13,0),0)+IFERROR(IF(ISNUMBER(E14),E14,0),0),"")</f>
        <v>0</v>
      </c>
      <c r="H14" s="78" t="s">
        <v>228</v>
      </c>
      <c r="I14" s="79" t="str">
        <f>IF('Novice 15M - Scoring'!B7&lt;&gt;"",IF('Novice 15M - Scoring'!AD7&lt;&gt;"",'Novice 15M - Scoring'!AD7,""),"")</f>
        <v/>
      </c>
      <c r="J14" s="79" t="str">
        <f>IF('Novice 15M - Scoring'!B7&lt;&gt;"",IF('Novice 15M - Scoring'!AE7&lt;&gt;"",'Novice 15M - Scoring'!AE7,""),"")</f>
        <v/>
      </c>
      <c r="K14" s="79" t="str">
        <f>IF('Novice 15M - Scoring'!B7&lt;&gt;"",IF('Novice 15M - Scoring'!AF7&lt;&gt;"",'Novice 15M - Scoring'!AF7,""),"")</f>
        <v/>
      </c>
      <c r="L14" s="80">
        <f>IF('Novice 15M - Scoring'!B7&lt;&gt;"",'Novice 15M - Scoring'!AT7,"")</f>
        <v>0</v>
      </c>
      <c r="M14" s="81">
        <f>IF(L10&lt;&gt;"",IFERROR(IF(ISNUMBER(L10),L10,0),0)+IFERROR(IF(ISNUMBER(L11),L11,0),0)+IFERROR(IF(ISNUMBER(L12),L12,0),0)+IFERROR(IF(ISNUMBER(L13),L13,0),0)+IFERROR(IF(ISNUMBER(L14),L14,0),0),"")</f>
        <v>0</v>
      </c>
    </row>
    <row r="15" spans="1:13" ht="19.5" customHeight="1" x14ac:dyDescent="0.35">
      <c r="A15" s="78" t="s">
        <v>229</v>
      </c>
      <c r="B15" s="79" t="str">
        <f>IF('Novice 15M - Scoring'!B6&lt;&gt;"",IF('Novice 15M - Scoring'!AJ6&lt;&gt;"",'Novice 15M - Scoring'!AJ6,""),"")</f>
        <v/>
      </c>
      <c r="C15" s="79" t="str">
        <f>IF('Novice 15M - Scoring'!B6&lt;&gt;"",IF('Novice 15M - Scoring'!AK6&lt;&gt;"",'Novice 15M - Scoring'!AK6,""),"")</f>
        <v/>
      </c>
      <c r="D15" s="79" t="str">
        <f>IF('Novice 15M - Scoring'!B6&lt;&gt;"",IF('Novice 15M - Scoring'!AL6&lt;&gt;"",'Novice 15M - Scoring'!AL6,""),"")</f>
        <v/>
      </c>
      <c r="E15" s="80">
        <f>IF('Novice 15M - Scoring'!B6&lt;&gt;"",'Novice 15M - Scoring'!AU6,"")</f>
        <v>0</v>
      </c>
      <c r="F15" s="81">
        <f>IF(E10&lt;&gt;"",IFERROR(IF(ISNUMBER(E10),E10,0),0)+IFERROR(IF(ISNUMBER(E11),E11,0),0)+IFERROR(IF(ISNUMBER(E12),E12,0),0)+IFERROR(IF(ISNUMBER(E13),E13,0),0)+IFERROR(IF(ISNUMBER(E14),E14,0),0)+IFERROR(IF(ISNUMBER(E15),E15,0),0),"")</f>
        <v>0</v>
      </c>
      <c r="H15" s="78" t="s">
        <v>229</v>
      </c>
      <c r="I15" s="79" t="str">
        <f>IF('Novice 15M - Scoring'!B7&lt;&gt;"",IF('Novice 15M - Scoring'!AJ7&lt;&gt;"",'Novice 15M - Scoring'!AJ7,""),"")</f>
        <v/>
      </c>
      <c r="J15" s="79" t="str">
        <f>IF('Novice 15M - Scoring'!B7&lt;&gt;"",IF('Novice 15M - Scoring'!AK7&lt;&gt;"",'Novice 15M - Scoring'!AK7,""),"")</f>
        <v/>
      </c>
      <c r="K15" s="79" t="str">
        <f>IF('Novice 15M - Scoring'!B7&lt;&gt;"",IF('Novice 15M - Scoring'!AL7&lt;&gt;"",'Novice 15M - Scoring'!AL7,""),"")</f>
        <v/>
      </c>
      <c r="L15" s="80">
        <f>IF('Novice 15M - Scoring'!B7&lt;&gt;"",'Novice 15M - Scoring'!AU7,"")</f>
        <v>0</v>
      </c>
      <c r="M15" s="81">
        <f>IF(L10&lt;&gt;"",IFERROR(IF(ISNUMBER(L10),L10,0),0)+IFERROR(IF(ISNUMBER(L11),L11,0),0)+IFERROR(IF(ISNUMBER(L12),L12,0),0)+IFERROR(IF(ISNUMBER(L13),L13,0),0)+IFERROR(IF(ISNUMBER(L14),L14,0),0)+IFERROR(IF(ISNUMBER(L15),L15,0),0),"")</f>
        <v>0</v>
      </c>
    </row>
    <row r="16" spans="1:13" ht="3.75" customHeight="1" x14ac:dyDescent="0.35"/>
    <row r="17" spans="1:13" ht="24" customHeight="1" x14ac:dyDescent="0.35">
      <c r="A17" s="124" t="s">
        <v>230</v>
      </c>
      <c r="B17" s="124"/>
      <c r="C17" s="124"/>
      <c r="D17" s="124"/>
      <c r="E17" s="125">
        <f>IF('Novice 15M - Scoring'!B6&lt;&gt;"",'Novice 15M - Scoring'!AV6,"")</f>
        <v>0</v>
      </c>
      <c r="F17" s="125"/>
      <c r="H17" s="124" t="s">
        <v>230</v>
      </c>
      <c r="I17" s="124"/>
      <c r="J17" s="124"/>
      <c r="K17" s="124"/>
      <c r="L17" s="125">
        <f>IF('Novice 15M - Scoring'!B7&lt;&gt;"",'Novice 15M - Scoring'!AV7,"")</f>
        <v>0</v>
      </c>
      <c r="M17" s="125"/>
    </row>
    <row r="18" spans="1:13" ht="19.5" customHeight="1" x14ac:dyDescent="0.35">
      <c r="E18" s="125"/>
      <c r="F18" s="125"/>
      <c r="L18" s="125"/>
      <c r="M18" s="125"/>
    </row>
    <row r="19" spans="1:13" ht="3.75" customHeight="1" x14ac:dyDescent="0.35"/>
    <row r="20" spans="1:13" ht="18" customHeight="1" x14ac:dyDescent="0.35">
      <c r="A20" s="73" t="s">
        <v>126</v>
      </c>
      <c r="B20" s="82">
        <f>IF('Novice 15M - Scoring'!B6&lt;&gt;"",'Novice 15M - Scoring'!AW6,"")</f>
        <v>0</v>
      </c>
      <c r="C20" s="73" t="s">
        <v>127</v>
      </c>
      <c r="D20" s="83">
        <f>IF('Novice 15M - Scoring'!B6&lt;&gt;"",'Novice 15M - Scoring'!AX6,"")</f>
        <v>0</v>
      </c>
      <c r="E20" s="73" t="s">
        <v>128</v>
      </c>
      <c r="F20" s="83">
        <f>IF('Novice 15M - Scoring'!B6&lt;&gt;"",'Novice 15M - Scoring'!AY6,"")</f>
        <v>0</v>
      </c>
      <c r="H20" s="73" t="s">
        <v>126</v>
      </c>
      <c r="I20" s="82">
        <f>IF('Novice 15M - Scoring'!B7&lt;&gt;"",'Novice 15M - Scoring'!AW7,"")</f>
        <v>0</v>
      </c>
      <c r="J20" s="73" t="s">
        <v>127</v>
      </c>
      <c r="K20" s="83">
        <f>IF('Novice 15M - Scoring'!B7&lt;&gt;"",'Novice 15M - Scoring'!AX7,"")</f>
        <v>0</v>
      </c>
      <c r="L20" s="73" t="s">
        <v>128</v>
      </c>
      <c r="M20" s="83">
        <f>IF('Novice 15M - Scoring'!B7&lt;&gt;"",'Novice 15M - Scoring'!AY7,"")</f>
        <v>0</v>
      </c>
    </row>
    <row r="21" spans="1:13" ht="3.75" customHeight="1" x14ac:dyDescent="0.35"/>
    <row r="22" spans="1:13" ht="7.5" customHeight="1" x14ac:dyDescent="0.35">
      <c r="A22" s="126"/>
      <c r="B22" s="126"/>
      <c r="C22" s="126"/>
      <c r="D22" s="126"/>
      <c r="E22" s="126"/>
      <c r="F22" s="126"/>
      <c r="G22" s="126"/>
      <c r="H22" s="126"/>
      <c r="I22" s="126"/>
      <c r="J22" s="126"/>
      <c r="K22" s="126"/>
      <c r="L22" s="126"/>
      <c r="M22" s="126"/>
    </row>
    <row r="23" spans="1:13" ht="15.75" customHeight="1" x14ac:dyDescent="0.35">
      <c r="A23" s="73" t="s">
        <v>218</v>
      </c>
      <c r="B23" s="122" t="str">
        <f>IF('Novice 15M - Scoring'!B8&lt;&gt;"",'Novice 15M - Scoring'!B8,"")</f>
        <v>Kyara Lorielle Zate</v>
      </c>
      <c r="C23" s="122"/>
      <c r="D23" s="122"/>
      <c r="E23" s="73" t="s">
        <v>219</v>
      </c>
      <c r="F23" s="74">
        <f>IF('Novice 15M - Scoring'!B8&lt;&gt;"",'Novice 15M - Scoring'!BB8,"")</f>
        <v>1</v>
      </c>
      <c r="H23" s="73" t="s">
        <v>218</v>
      </c>
      <c r="I23" s="122" t="str">
        <f>IF('Novice 15M - Scoring'!B9&lt;&gt;"",'Novice 15M - Scoring'!B9,"")</f>
        <v/>
      </c>
      <c r="J23" s="122"/>
      <c r="K23" s="122"/>
      <c r="L23" s="73" t="s">
        <v>219</v>
      </c>
      <c r="M23" s="74" t="str">
        <f>IF('Novice 15M - Scoring'!B9&lt;&gt;"",'Novice 15M - Scoring'!BB9,"")</f>
        <v/>
      </c>
    </row>
    <row r="24" spans="1:13" ht="15.75" customHeight="1" x14ac:dyDescent="0.35">
      <c r="A24" s="73" t="s">
        <v>220</v>
      </c>
      <c r="B24" s="123" t="str">
        <f>IF('Novice 15M - Scoring'!B8&lt;&gt;"",'Novice 15M - Scoring'!D8,"")</f>
        <v>Pasig Greenpark AC</v>
      </c>
      <c r="C24" s="123"/>
      <c r="D24" s="123"/>
      <c r="E24" s="73" t="s">
        <v>8</v>
      </c>
      <c r="F24" s="75">
        <f>IF('Novice 15M - Scoring'!B8&lt;&gt;"",'Novice 15M - Scoring'!E8,"")</f>
        <v>5</v>
      </c>
      <c r="H24" s="73" t="s">
        <v>220</v>
      </c>
      <c r="I24" s="123" t="str">
        <f>IF('Novice 15M - Scoring'!B9&lt;&gt;"",'Novice 15M - Scoring'!D9,"")</f>
        <v/>
      </c>
      <c r="J24" s="123"/>
      <c r="K24" s="123"/>
      <c r="L24" s="73" t="s">
        <v>8</v>
      </c>
      <c r="M24" s="75" t="str">
        <f>IF('Novice 15M - Scoring'!B9&lt;&gt;"",'Novice 15M - Scoring'!E9,"")</f>
        <v/>
      </c>
    </row>
    <row r="25" spans="1:13" ht="3.75" customHeight="1" x14ac:dyDescent="0.35"/>
    <row r="26" spans="1:13" ht="25.5" customHeight="1" x14ac:dyDescent="0.35">
      <c r="A26" s="76" t="s">
        <v>221</v>
      </c>
      <c r="B26" s="77" t="s">
        <v>222</v>
      </c>
      <c r="C26" s="77" t="s">
        <v>223</v>
      </c>
      <c r="D26" s="77" t="s">
        <v>224</v>
      </c>
      <c r="E26" s="76" t="s">
        <v>225</v>
      </c>
      <c r="F26" s="76" t="s">
        <v>226</v>
      </c>
      <c r="H26" s="76" t="s">
        <v>221</v>
      </c>
      <c r="I26" s="77" t="s">
        <v>222</v>
      </c>
      <c r="J26" s="77" t="s">
        <v>223</v>
      </c>
      <c r="K26" s="77" t="s">
        <v>224</v>
      </c>
      <c r="L26" s="76" t="s">
        <v>225</v>
      </c>
      <c r="M26" s="76" t="s">
        <v>226</v>
      </c>
    </row>
    <row r="27" spans="1:13" ht="19.5" customHeight="1" x14ac:dyDescent="0.35">
      <c r="A27" s="78" t="s">
        <v>222</v>
      </c>
      <c r="B27" s="79" t="str">
        <f>IF('Novice 15M - Scoring'!B8&lt;&gt;"",IF('Novice 15M - Scoring'!F8&lt;&gt;"",'Novice 15M - Scoring'!F8,""),"")</f>
        <v/>
      </c>
      <c r="C27" s="79" t="str">
        <f>IF('Novice 15M - Scoring'!B8&lt;&gt;"",IF('Novice 15M - Scoring'!G8&lt;&gt;"",'Novice 15M - Scoring'!G8,""),"")</f>
        <v/>
      </c>
      <c r="D27" s="79" t="str">
        <f>IF('Novice 15M - Scoring'!B8&lt;&gt;"",IF('Novice 15M - Scoring'!H8&lt;&gt;"",'Novice 15M - Scoring'!H8,""),"")</f>
        <v/>
      </c>
      <c r="E27" s="80">
        <f>IF('Novice 15M - Scoring'!B8&lt;&gt;"",'Novice 15M - Scoring'!AP8,"")</f>
        <v>0</v>
      </c>
      <c r="F27" s="81">
        <f>IFERROR(IF(ISNUMBER(E27),E27,""),"")</f>
        <v>0</v>
      </c>
      <c r="H27" s="78" t="s">
        <v>222</v>
      </c>
      <c r="I27" s="79" t="str">
        <f>IF('Novice 15M - Scoring'!B9&lt;&gt;"",IF('Novice 15M - Scoring'!F9&lt;&gt;"",'Novice 15M - Scoring'!F9,""),"")</f>
        <v/>
      </c>
      <c r="J27" s="79" t="str">
        <f>IF('Novice 15M - Scoring'!B9&lt;&gt;"",IF('Novice 15M - Scoring'!G9&lt;&gt;"",'Novice 15M - Scoring'!G9,""),"")</f>
        <v/>
      </c>
      <c r="K27" s="79" t="str">
        <f>IF('Novice 15M - Scoring'!B9&lt;&gt;"",IF('Novice 15M - Scoring'!H9&lt;&gt;"",'Novice 15M - Scoring'!H9,""),"")</f>
        <v/>
      </c>
      <c r="L27" s="80" t="str">
        <f>IF('Novice 15M - Scoring'!B9&lt;&gt;"",'Novice 15M - Scoring'!AP9,"")</f>
        <v/>
      </c>
      <c r="M27" s="81" t="str">
        <f>IFERROR(IF(ISNUMBER(L27),L27,""),"")</f>
        <v/>
      </c>
    </row>
    <row r="28" spans="1:13" ht="19.5" customHeight="1" x14ac:dyDescent="0.35">
      <c r="A28" s="78" t="s">
        <v>223</v>
      </c>
      <c r="B28" s="79" t="str">
        <f>IF('Novice 15M - Scoring'!B8&lt;&gt;"",IF('Novice 15M - Scoring'!L8&lt;&gt;"",'Novice 15M - Scoring'!L8,""),"")</f>
        <v/>
      </c>
      <c r="C28" s="79" t="str">
        <f>IF('Novice 15M - Scoring'!B8&lt;&gt;"",IF('Novice 15M - Scoring'!M8&lt;&gt;"",'Novice 15M - Scoring'!M8,""),"")</f>
        <v/>
      </c>
      <c r="D28" s="79" t="str">
        <f>IF('Novice 15M - Scoring'!B8&lt;&gt;"",IF('Novice 15M - Scoring'!N8&lt;&gt;"",'Novice 15M - Scoring'!N8,""),"")</f>
        <v/>
      </c>
      <c r="E28" s="80">
        <f>IF('Novice 15M - Scoring'!B8&lt;&gt;"",'Novice 15M - Scoring'!AQ8,"")</f>
        <v>0</v>
      </c>
      <c r="F28" s="81">
        <f>IF(E27&lt;&gt;"",IFERROR(IF(ISNUMBER(E27),E27,0),0)+IFERROR(IF(ISNUMBER(E28),E28,0),0),"")</f>
        <v>0</v>
      </c>
      <c r="H28" s="78" t="s">
        <v>223</v>
      </c>
      <c r="I28" s="79" t="str">
        <f>IF('Novice 15M - Scoring'!B9&lt;&gt;"",IF('Novice 15M - Scoring'!L9&lt;&gt;"",'Novice 15M - Scoring'!L9,""),"")</f>
        <v/>
      </c>
      <c r="J28" s="79" t="str">
        <f>IF('Novice 15M - Scoring'!B9&lt;&gt;"",IF('Novice 15M - Scoring'!M9&lt;&gt;"",'Novice 15M - Scoring'!M9,""),"")</f>
        <v/>
      </c>
      <c r="K28" s="79" t="str">
        <f>IF('Novice 15M - Scoring'!B9&lt;&gt;"",IF('Novice 15M - Scoring'!N9&lt;&gt;"",'Novice 15M - Scoring'!N9,""),"")</f>
        <v/>
      </c>
      <c r="L28" s="80" t="str">
        <f>IF('Novice 15M - Scoring'!B9&lt;&gt;"",'Novice 15M - Scoring'!AQ9,"")</f>
        <v/>
      </c>
      <c r="M28" s="81" t="str">
        <f>IF(L27&lt;&gt;"",IFERROR(IF(ISNUMBER(L27),L27,0),0)+IFERROR(IF(ISNUMBER(L28),L28,0),0),"")</f>
        <v/>
      </c>
    </row>
    <row r="29" spans="1:13" ht="19.5" customHeight="1" x14ac:dyDescent="0.35">
      <c r="A29" s="78" t="s">
        <v>224</v>
      </c>
      <c r="B29" s="79" t="str">
        <f>IF('Novice 15M - Scoring'!B8&lt;&gt;"",IF('Novice 15M - Scoring'!R8&lt;&gt;"",'Novice 15M - Scoring'!R8,""),"")</f>
        <v/>
      </c>
      <c r="C29" s="79" t="str">
        <f>IF('Novice 15M - Scoring'!B8&lt;&gt;"",IF('Novice 15M - Scoring'!S8&lt;&gt;"",'Novice 15M - Scoring'!S8,""),"")</f>
        <v/>
      </c>
      <c r="D29" s="79" t="str">
        <f>IF('Novice 15M - Scoring'!B8&lt;&gt;"",IF('Novice 15M - Scoring'!T8&lt;&gt;"",'Novice 15M - Scoring'!T8,""),"")</f>
        <v/>
      </c>
      <c r="E29" s="80">
        <f>IF('Novice 15M - Scoring'!B8&lt;&gt;"",'Novice 15M - Scoring'!AR8,"")</f>
        <v>0</v>
      </c>
      <c r="F29" s="81">
        <f>IF(E27&lt;&gt;"",IFERROR(IF(ISNUMBER(E27),E27,0),0)+IFERROR(IF(ISNUMBER(E28),E28,0),0)+IFERROR(IF(ISNUMBER(E29),E29,0),0),"")</f>
        <v>0</v>
      </c>
      <c r="H29" s="78" t="s">
        <v>224</v>
      </c>
      <c r="I29" s="79" t="str">
        <f>IF('Novice 15M - Scoring'!B9&lt;&gt;"",IF('Novice 15M - Scoring'!R9&lt;&gt;"",'Novice 15M - Scoring'!R9,""),"")</f>
        <v/>
      </c>
      <c r="J29" s="79" t="str">
        <f>IF('Novice 15M - Scoring'!B9&lt;&gt;"",IF('Novice 15M - Scoring'!S9&lt;&gt;"",'Novice 15M - Scoring'!S9,""),"")</f>
        <v/>
      </c>
      <c r="K29" s="79" t="str">
        <f>IF('Novice 15M - Scoring'!B9&lt;&gt;"",IF('Novice 15M - Scoring'!T9&lt;&gt;"",'Novice 15M - Scoring'!T9,""),"")</f>
        <v/>
      </c>
      <c r="L29" s="80" t="str">
        <f>IF('Novice 15M - Scoring'!B9&lt;&gt;"",'Novice 15M - Scoring'!AR9,"")</f>
        <v/>
      </c>
      <c r="M29" s="81" t="str">
        <f>IF(L27&lt;&gt;"",IFERROR(IF(ISNUMBER(L27),L27,0),0)+IFERROR(IF(ISNUMBER(L28),L28,0),0)+IFERROR(IF(ISNUMBER(L29),L29,0),0),"")</f>
        <v/>
      </c>
    </row>
    <row r="30" spans="1:13" ht="19.5" customHeight="1" x14ac:dyDescent="0.35">
      <c r="A30" s="78" t="s">
        <v>227</v>
      </c>
      <c r="B30" s="79" t="str">
        <f>IF('Novice 15M - Scoring'!B8&lt;&gt;"",IF('Novice 15M - Scoring'!X8&lt;&gt;"",'Novice 15M - Scoring'!X8,""),"")</f>
        <v/>
      </c>
      <c r="C30" s="79" t="str">
        <f>IF('Novice 15M - Scoring'!B8&lt;&gt;"",IF('Novice 15M - Scoring'!Y8&lt;&gt;"",'Novice 15M - Scoring'!Y8,""),"")</f>
        <v/>
      </c>
      <c r="D30" s="79" t="str">
        <f>IF('Novice 15M - Scoring'!B8&lt;&gt;"",IF('Novice 15M - Scoring'!Z8&lt;&gt;"",'Novice 15M - Scoring'!Z8,""),"")</f>
        <v/>
      </c>
      <c r="E30" s="80">
        <f>IF('Novice 15M - Scoring'!B8&lt;&gt;"",'Novice 15M - Scoring'!AS8,"")</f>
        <v>0</v>
      </c>
      <c r="F30" s="81">
        <f>IF(E27&lt;&gt;"",IFERROR(IF(ISNUMBER(E27),E27,0),0)+IFERROR(IF(ISNUMBER(E28),E28,0),0)+IFERROR(IF(ISNUMBER(E29),E29,0),0)+IFERROR(IF(ISNUMBER(E30),E30,0),0),"")</f>
        <v>0</v>
      </c>
      <c r="H30" s="78" t="s">
        <v>227</v>
      </c>
      <c r="I30" s="79" t="str">
        <f>IF('Novice 15M - Scoring'!B9&lt;&gt;"",IF('Novice 15M - Scoring'!X9&lt;&gt;"",'Novice 15M - Scoring'!X9,""),"")</f>
        <v/>
      </c>
      <c r="J30" s="79" t="str">
        <f>IF('Novice 15M - Scoring'!B9&lt;&gt;"",IF('Novice 15M - Scoring'!Y9&lt;&gt;"",'Novice 15M - Scoring'!Y9,""),"")</f>
        <v/>
      </c>
      <c r="K30" s="79" t="str">
        <f>IF('Novice 15M - Scoring'!B9&lt;&gt;"",IF('Novice 15M - Scoring'!Z9&lt;&gt;"",'Novice 15M - Scoring'!Z9,""),"")</f>
        <v/>
      </c>
      <c r="L30" s="80" t="str">
        <f>IF('Novice 15M - Scoring'!B9&lt;&gt;"",'Novice 15M - Scoring'!AS9,"")</f>
        <v/>
      </c>
      <c r="M30" s="81" t="str">
        <f>IF(L27&lt;&gt;"",IFERROR(IF(ISNUMBER(L27),L27,0),0)+IFERROR(IF(ISNUMBER(L28),L28,0),0)+IFERROR(IF(ISNUMBER(L29),L29,0),0)+IFERROR(IF(ISNUMBER(L30),L30,0),0),"")</f>
        <v/>
      </c>
    </row>
    <row r="31" spans="1:13" ht="19.5" customHeight="1" x14ac:dyDescent="0.35">
      <c r="A31" s="78" t="s">
        <v>228</v>
      </c>
      <c r="B31" s="79" t="str">
        <f>IF('Novice 15M - Scoring'!B8&lt;&gt;"",IF('Novice 15M - Scoring'!AD8&lt;&gt;"",'Novice 15M - Scoring'!AD8,""),"")</f>
        <v/>
      </c>
      <c r="C31" s="79" t="str">
        <f>IF('Novice 15M - Scoring'!B8&lt;&gt;"",IF('Novice 15M - Scoring'!AE8&lt;&gt;"",'Novice 15M - Scoring'!AE8,""),"")</f>
        <v/>
      </c>
      <c r="D31" s="79" t="str">
        <f>IF('Novice 15M - Scoring'!B8&lt;&gt;"",IF('Novice 15M - Scoring'!AF8&lt;&gt;"",'Novice 15M - Scoring'!AF8,""),"")</f>
        <v/>
      </c>
      <c r="E31" s="80">
        <f>IF('Novice 15M - Scoring'!B8&lt;&gt;"",'Novice 15M - Scoring'!AT8,"")</f>
        <v>0</v>
      </c>
      <c r="F31" s="81">
        <f>IF(E27&lt;&gt;"",IFERROR(IF(ISNUMBER(E27),E27,0),0)+IFERROR(IF(ISNUMBER(E28),E28,0),0)+IFERROR(IF(ISNUMBER(E29),E29,0),0)+IFERROR(IF(ISNUMBER(E30),E30,0),0)+IFERROR(IF(ISNUMBER(E31),E31,0),0),"")</f>
        <v>0</v>
      </c>
      <c r="H31" s="78" t="s">
        <v>228</v>
      </c>
      <c r="I31" s="79" t="str">
        <f>IF('Novice 15M - Scoring'!B9&lt;&gt;"",IF('Novice 15M - Scoring'!AD9&lt;&gt;"",'Novice 15M - Scoring'!AD9,""),"")</f>
        <v/>
      </c>
      <c r="J31" s="79" t="str">
        <f>IF('Novice 15M - Scoring'!B9&lt;&gt;"",IF('Novice 15M - Scoring'!AE9&lt;&gt;"",'Novice 15M - Scoring'!AE9,""),"")</f>
        <v/>
      </c>
      <c r="K31" s="79" t="str">
        <f>IF('Novice 15M - Scoring'!B9&lt;&gt;"",IF('Novice 15M - Scoring'!AF9&lt;&gt;"",'Novice 15M - Scoring'!AF9,""),"")</f>
        <v/>
      </c>
      <c r="L31" s="80" t="str">
        <f>IF('Novice 15M - Scoring'!B9&lt;&gt;"",'Novice 15M - Scoring'!AT9,"")</f>
        <v/>
      </c>
      <c r="M31" s="81" t="str">
        <f>IF(L27&lt;&gt;"",IFERROR(IF(ISNUMBER(L27),L27,0),0)+IFERROR(IF(ISNUMBER(L28),L28,0),0)+IFERROR(IF(ISNUMBER(L29),L29,0),0)+IFERROR(IF(ISNUMBER(L30),L30,0),0)+IFERROR(IF(ISNUMBER(L31),L31,0),0),"")</f>
        <v/>
      </c>
    </row>
    <row r="32" spans="1:13" ht="19.5" customHeight="1" x14ac:dyDescent="0.35">
      <c r="A32" s="78" t="s">
        <v>229</v>
      </c>
      <c r="B32" s="79" t="str">
        <f>IF('Novice 15M - Scoring'!B8&lt;&gt;"",IF('Novice 15M - Scoring'!AJ8&lt;&gt;"",'Novice 15M - Scoring'!AJ8,""),"")</f>
        <v/>
      </c>
      <c r="C32" s="79" t="str">
        <f>IF('Novice 15M - Scoring'!B8&lt;&gt;"",IF('Novice 15M - Scoring'!AK8&lt;&gt;"",'Novice 15M - Scoring'!AK8,""),"")</f>
        <v/>
      </c>
      <c r="D32" s="79" t="str">
        <f>IF('Novice 15M - Scoring'!B8&lt;&gt;"",IF('Novice 15M - Scoring'!AL8&lt;&gt;"",'Novice 15M - Scoring'!AL8,""),"")</f>
        <v/>
      </c>
      <c r="E32" s="80">
        <f>IF('Novice 15M - Scoring'!B8&lt;&gt;"",'Novice 15M - Scoring'!AU8,"")</f>
        <v>0</v>
      </c>
      <c r="F32" s="81">
        <f>IF(E27&lt;&gt;"",IFERROR(IF(ISNUMBER(E27),E27,0),0)+IFERROR(IF(ISNUMBER(E28),E28,0),0)+IFERROR(IF(ISNUMBER(E29),E29,0),0)+IFERROR(IF(ISNUMBER(E30),E30,0),0)+IFERROR(IF(ISNUMBER(E31),E31,0),0)+IFERROR(IF(ISNUMBER(E32),E32,0),0),"")</f>
        <v>0</v>
      </c>
      <c r="H32" s="78" t="s">
        <v>229</v>
      </c>
      <c r="I32" s="79" t="str">
        <f>IF('Novice 15M - Scoring'!B9&lt;&gt;"",IF('Novice 15M - Scoring'!AJ9&lt;&gt;"",'Novice 15M - Scoring'!AJ9,""),"")</f>
        <v/>
      </c>
      <c r="J32" s="79" t="str">
        <f>IF('Novice 15M - Scoring'!B9&lt;&gt;"",IF('Novice 15M - Scoring'!AK9&lt;&gt;"",'Novice 15M - Scoring'!AK9,""),"")</f>
        <v/>
      </c>
      <c r="K32" s="79" t="str">
        <f>IF('Novice 15M - Scoring'!B9&lt;&gt;"",IF('Novice 15M - Scoring'!AL9&lt;&gt;"",'Novice 15M - Scoring'!AL9,""),"")</f>
        <v/>
      </c>
      <c r="L32" s="80" t="str">
        <f>IF('Novice 15M - Scoring'!B9&lt;&gt;"",'Novice 15M - Scoring'!AU9,"")</f>
        <v/>
      </c>
      <c r="M32" s="81" t="str">
        <f>IF(L27&lt;&gt;"",IFERROR(IF(ISNUMBER(L27),L27,0),0)+IFERROR(IF(ISNUMBER(L28),L28,0),0)+IFERROR(IF(ISNUMBER(L29),L29,0),0)+IFERROR(IF(ISNUMBER(L30),L30,0),0)+IFERROR(IF(ISNUMBER(L31),L31,0),0)+IFERROR(IF(ISNUMBER(L32),L32,0),0),"")</f>
        <v/>
      </c>
    </row>
    <row r="33" spans="1:13" ht="3.75" customHeight="1" x14ac:dyDescent="0.35"/>
    <row r="34" spans="1:13" ht="24" customHeight="1" x14ac:dyDescent="0.35">
      <c r="A34" s="124" t="s">
        <v>230</v>
      </c>
      <c r="B34" s="124"/>
      <c r="C34" s="124"/>
      <c r="D34" s="124"/>
      <c r="E34" s="125">
        <f>IF('Novice 15M - Scoring'!B8&lt;&gt;"",'Novice 15M - Scoring'!AV8,"")</f>
        <v>0</v>
      </c>
      <c r="F34" s="125"/>
      <c r="H34" s="124" t="s">
        <v>230</v>
      </c>
      <c r="I34" s="124"/>
      <c r="J34" s="124"/>
      <c r="K34" s="124"/>
      <c r="L34" s="125" t="str">
        <f>IF('Novice 15M - Scoring'!B9&lt;&gt;"",'Novice 15M - Scoring'!AV9,"")</f>
        <v/>
      </c>
      <c r="M34" s="125"/>
    </row>
    <row r="35" spans="1:13" ht="19.5" customHeight="1" x14ac:dyDescent="0.35">
      <c r="E35" s="125"/>
      <c r="F35" s="125"/>
      <c r="L35" s="125"/>
      <c r="M35" s="125"/>
    </row>
    <row r="36" spans="1:13" ht="3.75" customHeight="1" x14ac:dyDescent="0.35"/>
    <row r="37" spans="1:13" ht="18" customHeight="1" x14ac:dyDescent="0.35">
      <c r="A37" s="73" t="s">
        <v>126</v>
      </c>
      <c r="B37" s="82">
        <f>IF('Novice 15M - Scoring'!B8&lt;&gt;"",'Novice 15M - Scoring'!AW8,"")</f>
        <v>0</v>
      </c>
      <c r="C37" s="73" t="s">
        <v>127</v>
      </c>
      <c r="D37" s="83">
        <f>IF('Novice 15M - Scoring'!B8&lt;&gt;"",'Novice 15M - Scoring'!AX8,"")</f>
        <v>0</v>
      </c>
      <c r="E37" s="73" t="s">
        <v>128</v>
      </c>
      <c r="F37" s="83">
        <f>IF('Novice 15M - Scoring'!B8&lt;&gt;"",'Novice 15M - Scoring'!AY8,"")</f>
        <v>0</v>
      </c>
      <c r="H37" s="73" t="s">
        <v>126</v>
      </c>
      <c r="I37" s="82" t="str">
        <f>IF('Novice 15M - Scoring'!B9&lt;&gt;"",'Novice 15M - Scoring'!AW9,"")</f>
        <v/>
      </c>
      <c r="J37" s="73" t="s">
        <v>127</v>
      </c>
      <c r="K37" s="83" t="str">
        <f>IF('Novice 15M - Scoring'!B9&lt;&gt;"",'Novice 15M - Scoring'!AX9,"")</f>
        <v/>
      </c>
      <c r="L37" s="73" t="s">
        <v>128</v>
      </c>
      <c r="M37" s="83" t="str">
        <f>IF('Novice 15M - Scoring'!B9&lt;&gt;"",'Novice 15M - Scoring'!AY9,"")</f>
        <v/>
      </c>
    </row>
    <row r="38" spans="1:13" ht="3.75" customHeight="1" x14ac:dyDescent="0.35"/>
    <row r="39" spans="1:13" ht="7.5" customHeight="1" x14ac:dyDescent="0.35">
      <c r="A39" s="126"/>
      <c r="B39" s="126"/>
      <c r="C39" s="126"/>
      <c r="D39" s="126"/>
      <c r="E39" s="126"/>
      <c r="F39" s="126"/>
      <c r="G39" s="126"/>
      <c r="H39" s="126"/>
      <c r="I39" s="126"/>
      <c r="J39" s="126"/>
      <c r="K39" s="126"/>
      <c r="L39" s="126"/>
      <c r="M39" s="126"/>
    </row>
    <row r="40" spans="1:13" ht="15.75" customHeight="1" x14ac:dyDescent="0.35">
      <c r="A40" s="73" t="s">
        <v>218</v>
      </c>
      <c r="B40" s="122" t="str">
        <f>IF('Novice 15M - Scoring'!B10&lt;&gt;"",'Novice 15M - Scoring'!B10,"")</f>
        <v/>
      </c>
      <c r="C40" s="122"/>
      <c r="D40" s="122"/>
      <c r="E40" s="73" t="s">
        <v>219</v>
      </c>
      <c r="F40" s="74" t="str">
        <f>IF('Novice 15M - Scoring'!B10&lt;&gt;"",'Novice 15M - Scoring'!BB10,"")</f>
        <v/>
      </c>
      <c r="H40" s="73" t="s">
        <v>218</v>
      </c>
      <c r="I40" s="122" t="str">
        <f>IF('Novice 15M - Scoring'!B11&lt;&gt;"",'Novice 15M - Scoring'!B11,"")</f>
        <v/>
      </c>
      <c r="J40" s="122"/>
      <c r="K40" s="122"/>
      <c r="L40" s="73" t="s">
        <v>219</v>
      </c>
      <c r="M40" s="74" t="str">
        <f>IF('Novice 15M - Scoring'!B11&lt;&gt;"",'Novice 15M - Scoring'!BB11,"")</f>
        <v/>
      </c>
    </row>
    <row r="41" spans="1:13" ht="15.75" customHeight="1" x14ac:dyDescent="0.35">
      <c r="A41" s="73" t="s">
        <v>220</v>
      </c>
      <c r="B41" s="123" t="str">
        <f>IF('Novice 15M - Scoring'!B10&lt;&gt;"",'Novice 15M - Scoring'!D10,"")</f>
        <v/>
      </c>
      <c r="C41" s="123"/>
      <c r="D41" s="123"/>
      <c r="E41" s="73" t="s">
        <v>8</v>
      </c>
      <c r="F41" s="75" t="str">
        <f>IF('Novice 15M - Scoring'!B10&lt;&gt;"",'Novice 15M - Scoring'!E10,"")</f>
        <v/>
      </c>
      <c r="H41" s="73" t="s">
        <v>220</v>
      </c>
      <c r="I41" s="123" t="str">
        <f>IF('Novice 15M - Scoring'!B11&lt;&gt;"",'Novice 15M - Scoring'!D11,"")</f>
        <v/>
      </c>
      <c r="J41" s="123"/>
      <c r="K41" s="123"/>
      <c r="L41" s="73" t="s">
        <v>8</v>
      </c>
      <c r="M41" s="75" t="str">
        <f>IF('Novice 15M - Scoring'!B11&lt;&gt;"",'Novice 15M - Scoring'!E11,"")</f>
        <v/>
      </c>
    </row>
    <row r="42" spans="1:13" ht="3.75" customHeight="1" x14ac:dyDescent="0.35"/>
    <row r="43" spans="1:13" ht="25.5" customHeight="1" x14ac:dyDescent="0.35">
      <c r="A43" s="76" t="s">
        <v>221</v>
      </c>
      <c r="B43" s="77" t="s">
        <v>222</v>
      </c>
      <c r="C43" s="77" t="s">
        <v>223</v>
      </c>
      <c r="D43" s="77" t="s">
        <v>224</v>
      </c>
      <c r="E43" s="76" t="s">
        <v>225</v>
      </c>
      <c r="F43" s="76" t="s">
        <v>226</v>
      </c>
      <c r="H43" s="76" t="s">
        <v>221</v>
      </c>
      <c r="I43" s="77" t="s">
        <v>222</v>
      </c>
      <c r="J43" s="77" t="s">
        <v>223</v>
      </c>
      <c r="K43" s="77" t="s">
        <v>224</v>
      </c>
      <c r="L43" s="76" t="s">
        <v>225</v>
      </c>
      <c r="M43" s="76" t="s">
        <v>226</v>
      </c>
    </row>
    <row r="44" spans="1:13" ht="19.5" customHeight="1" x14ac:dyDescent="0.35">
      <c r="A44" s="78" t="s">
        <v>222</v>
      </c>
      <c r="B44" s="79" t="str">
        <f>IF('Novice 15M - Scoring'!B10&lt;&gt;"",IF('Novice 15M - Scoring'!F10&lt;&gt;"",'Novice 15M - Scoring'!F10,""),"")</f>
        <v/>
      </c>
      <c r="C44" s="79" t="str">
        <f>IF('Novice 15M - Scoring'!B10&lt;&gt;"",IF('Novice 15M - Scoring'!G10&lt;&gt;"",'Novice 15M - Scoring'!G10,""),"")</f>
        <v/>
      </c>
      <c r="D44" s="79" t="str">
        <f>IF('Novice 15M - Scoring'!B10&lt;&gt;"",IF('Novice 15M - Scoring'!H10&lt;&gt;"",'Novice 15M - Scoring'!H10,""),"")</f>
        <v/>
      </c>
      <c r="E44" s="80" t="str">
        <f>IF('Novice 15M - Scoring'!B10&lt;&gt;"",'Novice 15M - Scoring'!AP10,"")</f>
        <v/>
      </c>
      <c r="F44" s="81" t="str">
        <f>IFERROR(IF(ISNUMBER(E44),E44,""),"")</f>
        <v/>
      </c>
      <c r="H44" s="78" t="s">
        <v>222</v>
      </c>
      <c r="I44" s="79" t="str">
        <f>IF('Novice 15M - Scoring'!B11&lt;&gt;"",IF('Novice 15M - Scoring'!F11&lt;&gt;"",'Novice 15M - Scoring'!F11,""),"")</f>
        <v/>
      </c>
      <c r="J44" s="79" t="str">
        <f>IF('Novice 15M - Scoring'!B11&lt;&gt;"",IF('Novice 15M - Scoring'!G11&lt;&gt;"",'Novice 15M - Scoring'!G11,""),"")</f>
        <v/>
      </c>
      <c r="K44" s="79" t="str">
        <f>IF('Novice 15M - Scoring'!B11&lt;&gt;"",IF('Novice 15M - Scoring'!H11&lt;&gt;"",'Novice 15M - Scoring'!H11,""),"")</f>
        <v/>
      </c>
      <c r="L44" s="80" t="str">
        <f>IF('Novice 15M - Scoring'!B11&lt;&gt;"",'Novice 15M - Scoring'!AP11,"")</f>
        <v/>
      </c>
      <c r="M44" s="81" t="str">
        <f>IFERROR(IF(ISNUMBER(L44),L44,""),"")</f>
        <v/>
      </c>
    </row>
    <row r="45" spans="1:13" ht="19.5" customHeight="1" x14ac:dyDescent="0.35">
      <c r="A45" s="78" t="s">
        <v>223</v>
      </c>
      <c r="B45" s="79" t="str">
        <f>IF('Novice 15M - Scoring'!B10&lt;&gt;"",IF('Novice 15M - Scoring'!L10&lt;&gt;"",'Novice 15M - Scoring'!L10,""),"")</f>
        <v/>
      </c>
      <c r="C45" s="79" t="str">
        <f>IF('Novice 15M - Scoring'!B10&lt;&gt;"",IF('Novice 15M - Scoring'!M10&lt;&gt;"",'Novice 15M - Scoring'!M10,""),"")</f>
        <v/>
      </c>
      <c r="D45" s="79" t="str">
        <f>IF('Novice 15M - Scoring'!B10&lt;&gt;"",IF('Novice 15M - Scoring'!N10&lt;&gt;"",'Novice 15M - Scoring'!N10,""),"")</f>
        <v/>
      </c>
      <c r="E45" s="80" t="str">
        <f>IF('Novice 15M - Scoring'!B10&lt;&gt;"",'Novice 15M - Scoring'!AQ10,"")</f>
        <v/>
      </c>
      <c r="F45" s="81" t="str">
        <f>IF(E44&lt;&gt;"",IFERROR(IF(ISNUMBER(E44),E44,0),0)+IFERROR(IF(ISNUMBER(E45),E45,0),0),"")</f>
        <v/>
      </c>
      <c r="H45" s="78" t="s">
        <v>223</v>
      </c>
      <c r="I45" s="79" t="str">
        <f>IF('Novice 15M - Scoring'!B11&lt;&gt;"",IF('Novice 15M - Scoring'!L11&lt;&gt;"",'Novice 15M - Scoring'!L11,""),"")</f>
        <v/>
      </c>
      <c r="J45" s="79" t="str">
        <f>IF('Novice 15M - Scoring'!B11&lt;&gt;"",IF('Novice 15M - Scoring'!M11&lt;&gt;"",'Novice 15M - Scoring'!M11,""),"")</f>
        <v/>
      </c>
      <c r="K45" s="79" t="str">
        <f>IF('Novice 15M - Scoring'!B11&lt;&gt;"",IF('Novice 15M - Scoring'!N11&lt;&gt;"",'Novice 15M - Scoring'!N11,""),"")</f>
        <v/>
      </c>
      <c r="L45" s="80" t="str">
        <f>IF('Novice 15M - Scoring'!B11&lt;&gt;"",'Novice 15M - Scoring'!AQ11,"")</f>
        <v/>
      </c>
      <c r="M45" s="81" t="str">
        <f>IF(L44&lt;&gt;"",IFERROR(IF(ISNUMBER(L44),L44,0),0)+IFERROR(IF(ISNUMBER(L45),L45,0),0),"")</f>
        <v/>
      </c>
    </row>
    <row r="46" spans="1:13" ht="19.5" customHeight="1" x14ac:dyDescent="0.35">
      <c r="A46" s="78" t="s">
        <v>224</v>
      </c>
      <c r="B46" s="79" t="str">
        <f>IF('Novice 15M - Scoring'!B10&lt;&gt;"",IF('Novice 15M - Scoring'!R10&lt;&gt;"",'Novice 15M - Scoring'!R10,""),"")</f>
        <v/>
      </c>
      <c r="C46" s="79" t="str">
        <f>IF('Novice 15M - Scoring'!B10&lt;&gt;"",IF('Novice 15M - Scoring'!S10&lt;&gt;"",'Novice 15M - Scoring'!S10,""),"")</f>
        <v/>
      </c>
      <c r="D46" s="79" t="str">
        <f>IF('Novice 15M - Scoring'!B10&lt;&gt;"",IF('Novice 15M - Scoring'!T10&lt;&gt;"",'Novice 15M - Scoring'!T10,""),"")</f>
        <v/>
      </c>
      <c r="E46" s="80" t="str">
        <f>IF('Novice 15M - Scoring'!B10&lt;&gt;"",'Novice 15M - Scoring'!AR10,"")</f>
        <v/>
      </c>
      <c r="F46" s="81" t="str">
        <f>IF(E44&lt;&gt;"",IFERROR(IF(ISNUMBER(E44),E44,0),0)+IFERROR(IF(ISNUMBER(E45),E45,0),0)+IFERROR(IF(ISNUMBER(E46),E46,0),0),"")</f>
        <v/>
      </c>
      <c r="H46" s="78" t="s">
        <v>224</v>
      </c>
      <c r="I46" s="79" t="str">
        <f>IF('Novice 15M - Scoring'!B11&lt;&gt;"",IF('Novice 15M - Scoring'!R11&lt;&gt;"",'Novice 15M - Scoring'!R11,""),"")</f>
        <v/>
      </c>
      <c r="J46" s="79" t="str">
        <f>IF('Novice 15M - Scoring'!B11&lt;&gt;"",IF('Novice 15M - Scoring'!S11&lt;&gt;"",'Novice 15M - Scoring'!S11,""),"")</f>
        <v/>
      </c>
      <c r="K46" s="79" t="str">
        <f>IF('Novice 15M - Scoring'!B11&lt;&gt;"",IF('Novice 15M - Scoring'!T11&lt;&gt;"",'Novice 15M - Scoring'!T11,""),"")</f>
        <v/>
      </c>
      <c r="L46" s="80" t="str">
        <f>IF('Novice 15M - Scoring'!B11&lt;&gt;"",'Novice 15M - Scoring'!AR11,"")</f>
        <v/>
      </c>
      <c r="M46" s="81" t="str">
        <f>IF(L44&lt;&gt;"",IFERROR(IF(ISNUMBER(L44),L44,0),0)+IFERROR(IF(ISNUMBER(L45),L45,0),0)+IFERROR(IF(ISNUMBER(L46),L46,0),0),"")</f>
        <v/>
      </c>
    </row>
    <row r="47" spans="1:13" ht="19.5" customHeight="1" x14ac:dyDescent="0.35">
      <c r="A47" s="78" t="s">
        <v>227</v>
      </c>
      <c r="B47" s="79" t="str">
        <f>IF('Novice 15M - Scoring'!B10&lt;&gt;"",IF('Novice 15M - Scoring'!X10&lt;&gt;"",'Novice 15M - Scoring'!X10,""),"")</f>
        <v/>
      </c>
      <c r="C47" s="79" t="str">
        <f>IF('Novice 15M - Scoring'!B10&lt;&gt;"",IF('Novice 15M - Scoring'!Y10&lt;&gt;"",'Novice 15M - Scoring'!Y10,""),"")</f>
        <v/>
      </c>
      <c r="D47" s="79" t="str">
        <f>IF('Novice 15M - Scoring'!B10&lt;&gt;"",IF('Novice 15M - Scoring'!Z10&lt;&gt;"",'Novice 15M - Scoring'!Z10,""),"")</f>
        <v/>
      </c>
      <c r="E47" s="80" t="str">
        <f>IF('Novice 15M - Scoring'!B10&lt;&gt;"",'Novice 15M - Scoring'!AS10,"")</f>
        <v/>
      </c>
      <c r="F47" s="81" t="str">
        <f>IF(E44&lt;&gt;"",IFERROR(IF(ISNUMBER(E44),E44,0),0)+IFERROR(IF(ISNUMBER(E45),E45,0),0)+IFERROR(IF(ISNUMBER(E46),E46,0),0)+IFERROR(IF(ISNUMBER(E47),E47,0),0),"")</f>
        <v/>
      </c>
      <c r="H47" s="78" t="s">
        <v>227</v>
      </c>
      <c r="I47" s="79" t="str">
        <f>IF('Novice 15M - Scoring'!B11&lt;&gt;"",IF('Novice 15M - Scoring'!X11&lt;&gt;"",'Novice 15M - Scoring'!X11,""),"")</f>
        <v/>
      </c>
      <c r="J47" s="79" t="str">
        <f>IF('Novice 15M - Scoring'!B11&lt;&gt;"",IF('Novice 15M - Scoring'!Y11&lt;&gt;"",'Novice 15M - Scoring'!Y11,""),"")</f>
        <v/>
      </c>
      <c r="K47" s="79" t="str">
        <f>IF('Novice 15M - Scoring'!B11&lt;&gt;"",IF('Novice 15M - Scoring'!Z11&lt;&gt;"",'Novice 15M - Scoring'!Z11,""),"")</f>
        <v/>
      </c>
      <c r="L47" s="80" t="str">
        <f>IF('Novice 15M - Scoring'!B11&lt;&gt;"",'Novice 15M - Scoring'!AS11,"")</f>
        <v/>
      </c>
      <c r="M47" s="81" t="str">
        <f>IF(L44&lt;&gt;"",IFERROR(IF(ISNUMBER(L44),L44,0),0)+IFERROR(IF(ISNUMBER(L45),L45,0),0)+IFERROR(IF(ISNUMBER(L46),L46,0),0)+IFERROR(IF(ISNUMBER(L47),L47,0),0),"")</f>
        <v/>
      </c>
    </row>
    <row r="48" spans="1:13" ht="19.5" customHeight="1" x14ac:dyDescent="0.35">
      <c r="A48" s="78" t="s">
        <v>228</v>
      </c>
      <c r="B48" s="79" t="str">
        <f>IF('Novice 15M - Scoring'!B10&lt;&gt;"",IF('Novice 15M - Scoring'!AD10&lt;&gt;"",'Novice 15M - Scoring'!AD10,""),"")</f>
        <v/>
      </c>
      <c r="C48" s="79" t="str">
        <f>IF('Novice 15M - Scoring'!B10&lt;&gt;"",IF('Novice 15M - Scoring'!AE10&lt;&gt;"",'Novice 15M - Scoring'!AE10,""),"")</f>
        <v/>
      </c>
      <c r="D48" s="79" t="str">
        <f>IF('Novice 15M - Scoring'!B10&lt;&gt;"",IF('Novice 15M - Scoring'!AF10&lt;&gt;"",'Novice 15M - Scoring'!AF10,""),"")</f>
        <v/>
      </c>
      <c r="E48" s="80" t="str">
        <f>IF('Novice 15M - Scoring'!B10&lt;&gt;"",'Novice 15M - Scoring'!AT10,"")</f>
        <v/>
      </c>
      <c r="F48" s="81" t="str">
        <f>IF(E44&lt;&gt;"",IFERROR(IF(ISNUMBER(E44),E44,0),0)+IFERROR(IF(ISNUMBER(E45),E45,0),0)+IFERROR(IF(ISNUMBER(E46),E46,0),0)+IFERROR(IF(ISNUMBER(E47),E47,0),0)+IFERROR(IF(ISNUMBER(E48),E48,0),0),"")</f>
        <v/>
      </c>
      <c r="H48" s="78" t="s">
        <v>228</v>
      </c>
      <c r="I48" s="79" t="str">
        <f>IF('Novice 15M - Scoring'!B11&lt;&gt;"",IF('Novice 15M - Scoring'!AD11&lt;&gt;"",'Novice 15M - Scoring'!AD11,""),"")</f>
        <v/>
      </c>
      <c r="J48" s="79" t="str">
        <f>IF('Novice 15M - Scoring'!B11&lt;&gt;"",IF('Novice 15M - Scoring'!AE11&lt;&gt;"",'Novice 15M - Scoring'!AE11,""),"")</f>
        <v/>
      </c>
      <c r="K48" s="79" t="str">
        <f>IF('Novice 15M - Scoring'!B11&lt;&gt;"",IF('Novice 15M - Scoring'!AF11&lt;&gt;"",'Novice 15M - Scoring'!AF11,""),"")</f>
        <v/>
      </c>
      <c r="L48" s="80" t="str">
        <f>IF('Novice 15M - Scoring'!B11&lt;&gt;"",'Novice 15M - Scoring'!AT11,"")</f>
        <v/>
      </c>
      <c r="M48" s="81" t="str">
        <f>IF(L44&lt;&gt;"",IFERROR(IF(ISNUMBER(L44),L44,0),0)+IFERROR(IF(ISNUMBER(L45),L45,0),0)+IFERROR(IF(ISNUMBER(L46),L46,0),0)+IFERROR(IF(ISNUMBER(L47),L47,0),0)+IFERROR(IF(ISNUMBER(L48),L48,0),0),"")</f>
        <v/>
      </c>
    </row>
    <row r="49" spans="1:13" ht="19.5" customHeight="1" x14ac:dyDescent="0.35">
      <c r="A49" s="78" t="s">
        <v>229</v>
      </c>
      <c r="B49" s="79" t="str">
        <f>IF('Novice 15M - Scoring'!B10&lt;&gt;"",IF('Novice 15M - Scoring'!AJ10&lt;&gt;"",'Novice 15M - Scoring'!AJ10,""),"")</f>
        <v/>
      </c>
      <c r="C49" s="79" t="str">
        <f>IF('Novice 15M - Scoring'!B10&lt;&gt;"",IF('Novice 15M - Scoring'!AK10&lt;&gt;"",'Novice 15M - Scoring'!AK10,""),"")</f>
        <v/>
      </c>
      <c r="D49" s="79" t="str">
        <f>IF('Novice 15M - Scoring'!B10&lt;&gt;"",IF('Novice 15M - Scoring'!AL10&lt;&gt;"",'Novice 15M - Scoring'!AL10,""),"")</f>
        <v/>
      </c>
      <c r="E49" s="80" t="str">
        <f>IF('Novice 15M - Scoring'!B10&lt;&gt;"",'Novice 15M - Scoring'!AU10,"")</f>
        <v/>
      </c>
      <c r="F49" s="81" t="str">
        <f>IF(E44&lt;&gt;"",IFERROR(IF(ISNUMBER(E44),E44,0),0)+IFERROR(IF(ISNUMBER(E45),E45,0),0)+IFERROR(IF(ISNUMBER(E46),E46,0),0)+IFERROR(IF(ISNUMBER(E47),E47,0),0)+IFERROR(IF(ISNUMBER(E48),E48,0),0)+IFERROR(IF(ISNUMBER(E49),E49,0),0),"")</f>
        <v/>
      </c>
      <c r="H49" s="78" t="s">
        <v>229</v>
      </c>
      <c r="I49" s="79" t="str">
        <f>IF('Novice 15M - Scoring'!B11&lt;&gt;"",IF('Novice 15M - Scoring'!AJ11&lt;&gt;"",'Novice 15M - Scoring'!AJ11,""),"")</f>
        <v/>
      </c>
      <c r="J49" s="79" t="str">
        <f>IF('Novice 15M - Scoring'!B11&lt;&gt;"",IF('Novice 15M - Scoring'!AK11&lt;&gt;"",'Novice 15M - Scoring'!AK11,""),"")</f>
        <v/>
      </c>
      <c r="K49" s="79" t="str">
        <f>IF('Novice 15M - Scoring'!B11&lt;&gt;"",IF('Novice 15M - Scoring'!AL11&lt;&gt;"",'Novice 15M - Scoring'!AL11,""),"")</f>
        <v/>
      </c>
      <c r="L49" s="80" t="str">
        <f>IF('Novice 15M - Scoring'!B11&lt;&gt;"",'Novice 15M - Scoring'!AU11,"")</f>
        <v/>
      </c>
      <c r="M49" s="81" t="str">
        <f>IF(L44&lt;&gt;"",IFERROR(IF(ISNUMBER(L44),L44,0),0)+IFERROR(IF(ISNUMBER(L45),L45,0),0)+IFERROR(IF(ISNUMBER(L46),L46,0),0)+IFERROR(IF(ISNUMBER(L47),L47,0),0)+IFERROR(IF(ISNUMBER(L48),L48,0),0)+IFERROR(IF(ISNUMBER(L49),L49,0),0),"")</f>
        <v/>
      </c>
    </row>
    <row r="50" spans="1:13" ht="3.75" customHeight="1" x14ac:dyDescent="0.35"/>
    <row r="51" spans="1:13" ht="24" customHeight="1" x14ac:dyDescent="0.35">
      <c r="A51" s="124" t="s">
        <v>230</v>
      </c>
      <c r="B51" s="124"/>
      <c r="C51" s="124"/>
      <c r="D51" s="124"/>
      <c r="E51" s="125" t="str">
        <f>IF('Novice 15M - Scoring'!B10&lt;&gt;"",'Novice 15M - Scoring'!AV10,"")</f>
        <v/>
      </c>
      <c r="F51" s="125"/>
      <c r="H51" s="124" t="s">
        <v>230</v>
      </c>
      <c r="I51" s="124"/>
      <c r="J51" s="124"/>
      <c r="K51" s="124"/>
      <c r="L51" s="125" t="str">
        <f>IF('Novice 15M - Scoring'!B11&lt;&gt;"",'Novice 15M - Scoring'!AV11,"")</f>
        <v/>
      </c>
      <c r="M51" s="125"/>
    </row>
    <row r="52" spans="1:13" ht="19.5" customHeight="1" x14ac:dyDescent="0.35">
      <c r="E52" s="125"/>
      <c r="F52" s="125"/>
      <c r="L52" s="125"/>
      <c r="M52" s="125"/>
    </row>
    <row r="53" spans="1:13" ht="3.75" customHeight="1" x14ac:dyDescent="0.35"/>
    <row r="54" spans="1:13" ht="18" customHeight="1" x14ac:dyDescent="0.35">
      <c r="A54" s="73" t="s">
        <v>126</v>
      </c>
      <c r="B54" s="82" t="str">
        <f>IF('Novice 15M - Scoring'!B10&lt;&gt;"",'Novice 15M - Scoring'!AW10,"")</f>
        <v/>
      </c>
      <c r="C54" s="73" t="s">
        <v>127</v>
      </c>
      <c r="D54" s="83" t="str">
        <f>IF('Novice 15M - Scoring'!B10&lt;&gt;"",'Novice 15M - Scoring'!AX10,"")</f>
        <v/>
      </c>
      <c r="E54" s="73" t="s">
        <v>128</v>
      </c>
      <c r="F54" s="83" t="str">
        <f>IF('Novice 15M - Scoring'!B10&lt;&gt;"",'Novice 15M - Scoring'!AY10,"")</f>
        <v/>
      </c>
      <c r="H54" s="73" t="s">
        <v>126</v>
      </c>
      <c r="I54" s="82" t="str">
        <f>IF('Novice 15M - Scoring'!B11&lt;&gt;"",'Novice 15M - Scoring'!AW11,"")</f>
        <v/>
      </c>
      <c r="J54" s="73" t="s">
        <v>127</v>
      </c>
      <c r="K54" s="83" t="str">
        <f>IF('Novice 15M - Scoring'!B11&lt;&gt;"",'Novice 15M - Scoring'!AX11,"")</f>
        <v/>
      </c>
      <c r="L54" s="73" t="s">
        <v>128</v>
      </c>
      <c r="M54" s="83" t="str">
        <f>IF('Novice 15M - Scoring'!B11&lt;&gt;"",'Novice 15M - Scoring'!AY11,"")</f>
        <v/>
      </c>
    </row>
    <row r="55" spans="1:13" ht="3.75" customHeight="1" x14ac:dyDescent="0.35"/>
    <row r="56" spans="1:13" ht="7.5" customHeight="1" x14ac:dyDescent="0.35">
      <c r="A56" s="126"/>
      <c r="B56" s="126"/>
      <c r="C56" s="126"/>
      <c r="D56" s="126"/>
      <c r="E56" s="126"/>
      <c r="F56" s="126"/>
      <c r="G56" s="126"/>
      <c r="H56" s="126"/>
      <c r="I56" s="126"/>
      <c r="J56" s="126"/>
      <c r="K56" s="126"/>
      <c r="L56" s="126"/>
      <c r="M56" s="126"/>
    </row>
    <row r="57" spans="1:13" ht="15.75" customHeight="1" x14ac:dyDescent="0.35">
      <c r="A57" s="73" t="s">
        <v>218</v>
      </c>
      <c r="B57" s="122" t="str">
        <f>IF('Novice 15M - Scoring'!B12&lt;&gt;"",'Novice 15M - Scoring'!B12,"")</f>
        <v/>
      </c>
      <c r="C57" s="122"/>
      <c r="D57" s="122"/>
      <c r="E57" s="73" t="s">
        <v>219</v>
      </c>
      <c r="F57" s="74" t="str">
        <f>IF('Novice 15M - Scoring'!B12&lt;&gt;"",'Novice 15M - Scoring'!BB12,"")</f>
        <v/>
      </c>
      <c r="H57" s="73" t="s">
        <v>218</v>
      </c>
      <c r="I57" s="122" t="str">
        <f>IF('Novice 15M - Scoring'!B13&lt;&gt;"",'Novice 15M - Scoring'!B13,"")</f>
        <v/>
      </c>
      <c r="J57" s="122"/>
      <c r="K57" s="122"/>
      <c r="L57" s="73" t="s">
        <v>219</v>
      </c>
      <c r="M57" s="74" t="str">
        <f>IF('Novice 15M - Scoring'!B13&lt;&gt;"",'Novice 15M - Scoring'!BB13,"")</f>
        <v/>
      </c>
    </row>
    <row r="58" spans="1:13" ht="15.75" customHeight="1" x14ac:dyDescent="0.35">
      <c r="A58" s="73" t="s">
        <v>220</v>
      </c>
      <c r="B58" s="123" t="str">
        <f>IF('Novice 15M - Scoring'!B12&lt;&gt;"",'Novice 15M - Scoring'!D12,"")</f>
        <v/>
      </c>
      <c r="C58" s="123"/>
      <c r="D58" s="123"/>
      <c r="E58" s="73" t="s">
        <v>8</v>
      </c>
      <c r="F58" s="75" t="str">
        <f>IF('Novice 15M - Scoring'!B12&lt;&gt;"",'Novice 15M - Scoring'!E12,"")</f>
        <v/>
      </c>
      <c r="H58" s="73" t="s">
        <v>220</v>
      </c>
      <c r="I58" s="123" t="str">
        <f>IF('Novice 15M - Scoring'!B13&lt;&gt;"",'Novice 15M - Scoring'!D13,"")</f>
        <v/>
      </c>
      <c r="J58" s="123"/>
      <c r="K58" s="123"/>
      <c r="L58" s="73" t="s">
        <v>8</v>
      </c>
      <c r="M58" s="75" t="str">
        <f>IF('Novice 15M - Scoring'!B13&lt;&gt;"",'Novice 15M - Scoring'!E13,"")</f>
        <v/>
      </c>
    </row>
    <row r="59" spans="1:13" ht="3.75" customHeight="1" x14ac:dyDescent="0.35"/>
    <row r="60" spans="1:13" ht="25.5" customHeight="1" x14ac:dyDescent="0.35">
      <c r="A60" s="76" t="s">
        <v>221</v>
      </c>
      <c r="B60" s="77" t="s">
        <v>222</v>
      </c>
      <c r="C60" s="77" t="s">
        <v>223</v>
      </c>
      <c r="D60" s="77" t="s">
        <v>224</v>
      </c>
      <c r="E60" s="76" t="s">
        <v>225</v>
      </c>
      <c r="F60" s="76" t="s">
        <v>226</v>
      </c>
      <c r="H60" s="76" t="s">
        <v>221</v>
      </c>
      <c r="I60" s="77" t="s">
        <v>222</v>
      </c>
      <c r="J60" s="77" t="s">
        <v>223</v>
      </c>
      <c r="K60" s="77" t="s">
        <v>224</v>
      </c>
      <c r="L60" s="76" t="s">
        <v>225</v>
      </c>
      <c r="M60" s="76" t="s">
        <v>226</v>
      </c>
    </row>
    <row r="61" spans="1:13" ht="19.5" customHeight="1" x14ac:dyDescent="0.35">
      <c r="A61" s="78" t="s">
        <v>222</v>
      </c>
      <c r="B61" s="79" t="str">
        <f>IF('Novice 15M - Scoring'!B12&lt;&gt;"",IF('Novice 15M - Scoring'!F12&lt;&gt;"",'Novice 15M - Scoring'!F12,""),"")</f>
        <v/>
      </c>
      <c r="C61" s="79" t="str">
        <f>IF('Novice 15M - Scoring'!B12&lt;&gt;"",IF('Novice 15M - Scoring'!G12&lt;&gt;"",'Novice 15M - Scoring'!G12,""),"")</f>
        <v/>
      </c>
      <c r="D61" s="79" t="str">
        <f>IF('Novice 15M - Scoring'!B12&lt;&gt;"",IF('Novice 15M - Scoring'!H12&lt;&gt;"",'Novice 15M - Scoring'!H12,""),"")</f>
        <v/>
      </c>
      <c r="E61" s="80" t="str">
        <f>IF('Novice 15M - Scoring'!B12&lt;&gt;"",'Novice 15M - Scoring'!AP12,"")</f>
        <v/>
      </c>
      <c r="F61" s="81" t="str">
        <f>IFERROR(IF(ISNUMBER(E61),E61,""),"")</f>
        <v/>
      </c>
      <c r="H61" s="78" t="s">
        <v>222</v>
      </c>
      <c r="I61" s="79" t="str">
        <f>IF('Novice 15M - Scoring'!B13&lt;&gt;"",IF('Novice 15M - Scoring'!F13&lt;&gt;"",'Novice 15M - Scoring'!F13,""),"")</f>
        <v/>
      </c>
      <c r="J61" s="79" t="str">
        <f>IF('Novice 15M - Scoring'!B13&lt;&gt;"",IF('Novice 15M - Scoring'!G13&lt;&gt;"",'Novice 15M - Scoring'!G13,""),"")</f>
        <v/>
      </c>
      <c r="K61" s="79" t="str">
        <f>IF('Novice 15M - Scoring'!B13&lt;&gt;"",IF('Novice 15M - Scoring'!H13&lt;&gt;"",'Novice 15M - Scoring'!H13,""),"")</f>
        <v/>
      </c>
      <c r="L61" s="80" t="str">
        <f>IF('Novice 15M - Scoring'!B13&lt;&gt;"",'Novice 15M - Scoring'!AP13,"")</f>
        <v/>
      </c>
      <c r="M61" s="81" t="str">
        <f>IFERROR(IF(ISNUMBER(L61),L61,""),"")</f>
        <v/>
      </c>
    </row>
    <row r="62" spans="1:13" ht="19.5" customHeight="1" x14ac:dyDescent="0.35">
      <c r="A62" s="78" t="s">
        <v>223</v>
      </c>
      <c r="B62" s="79" t="str">
        <f>IF('Novice 15M - Scoring'!B12&lt;&gt;"",IF('Novice 15M - Scoring'!L12&lt;&gt;"",'Novice 15M - Scoring'!L12,""),"")</f>
        <v/>
      </c>
      <c r="C62" s="79" t="str">
        <f>IF('Novice 15M - Scoring'!B12&lt;&gt;"",IF('Novice 15M - Scoring'!M12&lt;&gt;"",'Novice 15M - Scoring'!M12,""),"")</f>
        <v/>
      </c>
      <c r="D62" s="79" t="str">
        <f>IF('Novice 15M - Scoring'!B12&lt;&gt;"",IF('Novice 15M - Scoring'!N12&lt;&gt;"",'Novice 15M - Scoring'!N12,""),"")</f>
        <v/>
      </c>
      <c r="E62" s="80" t="str">
        <f>IF('Novice 15M - Scoring'!B12&lt;&gt;"",'Novice 15M - Scoring'!AQ12,"")</f>
        <v/>
      </c>
      <c r="F62" s="81" t="str">
        <f>IF(E61&lt;&gt;"",IFERROR(IF(ISNUMBER(E61),E61,0),0)+IFERROR(IF(ISNUMBER(E62),E62,0),0),"")</f>
        <v/>
      </c>
      <c r="H62" s="78" t="s">
        <v>223</v>
      </c>
      <c r="I62" s="79" t="str">
        <f>IF('Novice 15M - Scoring'!B13&lt;&gt;"",IF('Novice 15M - Scoring'!L13&lt;&gt;"",'Novice 15M - Scoring'!L13,""),"")</f>
        <v/>
      </c>
      <c r="J62" s="79" t="str">
        <f>IF('Novice 15M - Scoring'!B13&lt;&gt;"",IF('Novice 15M - Scoring'!M13&lt;&gt;"",'Novice 15M - Scoring'!M13,""),"")</f>
        <v/>
      </c>
      <c r="K62" s="79" t="str">
        <f>IF('Novice 15M - Scoring'!B13&lt;&gt;"",IF('Novice 15M - Scoring'!N13&lt;&gt;"",'Novice 15M - Scoring'!N13,""),"")</f>
        <v/>
      </c>
      <c r="L62" s="80" t="str">
        <f>IF('Novice 15M - Scoring'!B13&lt;&gt;"",'Novice 15M - Scoring'!AQ13,"")</f>
        <v/>
      </c>
      <c r="M62" s="81" t="str">
        <f>IF(L61&lt;&gt;"",IFERROR(IF(ISNUMBER(L61),L61,0),0)+IFERROR(IF(ISNUMBER(L62),L62,0),0),"")</f>
        <v/>
      </c>
    </row>
    <row r="63" spans="1:13" ht="19.5" customHeight="1" x14ac:dyDescent="0.35">
      <c r="A63" s="78" t="s">
        <v>224</v>
      </c>
      <c r="B63" s="79" t="str">
        <f>IF('Novice 15M - Scoring'!B12&lt;&gt;"",IF('Novice 15M - Scoring'!R12&lt;&gt;"",'Novice 15M - Scoring'!R12,""),"")</f>
        <v/>
      </c>
      <c r="C63" s="79" t="str">
        <f>IF('Novice 15M - Scoring'!B12&lt;&gt;"",IF('Novice 15M - Scoring'!S12&lt;&gt;"",'Novice 15M - Scoring'!S12,""),"")</f>
        <v/>
      </c>
      <c r="D63" s="79" t="str">
        <f>IF('Novice 15M - Scoring'!B12&lt;&gt;"",IF('Novice 15M - Scoring'!T12&lt;&gt;"",'Novice 15M - Scoring'!T12,""),"")</f>
        <v/>
      </c>
      <c r="E63" s="80" t="str">
        <f>IF('Novice 15M - Scoring'!B12&lt;&gt;"",'Novice 15M - Scoring'!AR12,"")</f>
        <v/>
      </c>
      <c r="F63" s="81" t="str">
        <f>IF(E61&lt;&gt;"",IFERROR(IF(ISNUMBER(E61),E61,0),0)+IFERROR(IF(ISNUMBER(E62),E62,0),0)+IFERROR(IF(ISNUMBER(E63),E63,0),0),"")</f>
        <v/>
      </c>
      <c r="H63" s="78" t="s">
        <v>224</v>
      </c>
      <c r="I63" s="79" t="str">
        <f>IF('Novice 15M - Scoring'!B13&lt;&gt;"",IF('Novice 15M - Scoring'!R13&lt;&gt;"",'Novice 15M - Scoring'!R13,""),"")</f>
        <v/>
      </c>
      <c r="J63" s="79" t="str">
        <f>IF('Novice 15M - Scoring'!B13&lt;&gt;"",IF('Novice 15M - Scoring'!S13&lt;&gt;"",'Novice 15M - Scoring'!S13,""),"")</f>
        <v/>
      </c>
      <c r="K63" s="79" t="str">
        <f>IF('Novice 15M - Scoring'!B13&lt;&gt;"",IF('Novice 15M - Scoring'!T13&lt;&gt;"",'Novice 15M - Scoring'!T13,""),"")</f>
        <v/>
      </c>
      <c r="L63" s="80" t="str">
        <f>IF('Novice 15M - Scoring'!B13&lt;&gt;"",'Novice 15M - Scoring'!AR13,"")</f>
        <v/>
      </c>
      <c r="M63" s="81" t="str">
        <f>IF(L61&lt;&gt;"",IFERROR(IF(ISNUMBER(L61),L61,0),0)+IFERROR(IF(ISNUMBER(L62),L62,0),0)+IFERROR(IF(ISNUMBER(L63),L63,0),0),"")</f>
        <v/>
      </c>
    </row>
    <row r="64" spans="1:13" ht="19.5" customHeight="1" x14ac:dyDescent="0.35">
      <c r="A64" s="78" t="s">
        <v>227</v>
      </c>
      <c r="B64" s="79" t="str">
        <f>IF('Novice 15M - Scoring'!B12&lt;&gt;"",IF('Novice 15M - Scoring'!X12&lt;&gt;"",'Novice 15M - Scoring'!X12,""),"")</f>
        <v/>
      </c>
      <c r="C64" s="79" t="str">
        <f>IF('Novice 15M - Scoring'!B12&lt;&gt;"",IF('Novice 15M - Scoring'!Y12&lt;&gt;"",'Novice 15M - Scoring'!Y12,""),"")</f>
        <v/>
      </c>
      <c r="D64" s="79" t="str">
        <f>IF('Novice 15M - Scoring'!B12&lt;&gt;"",IF('Novice 15M - Scoring'!Z12&lt;&gt;"",'Novice 15M - Scoring'!Z12,""),"")</f>
        <v/>
      </c>
      <c r="E64" s="80" t="str">
        <f>IF('Novice 15M - Scoring'!B12&lt;&gt;"",'Novice 15M - Scoring'!AS12,"")</f>
        <v/>
      </c>
      <c r="F64" s="81" t="str">
        <f>IF(E61&lt;&gt;"",IFERROR(IF(ISNUMBER(E61),E61,0),0)+IFERROR(IF(ISNUMBER(E62),E62,0),0)+IFERROR(IF(ISNUMBER(E63),E63,0),0)+IFERROR(IF(ISNUMBER(E64),E64,0),0),"")</f>
        <v/>
      </c>
      <c r="H64" s="78" t="s">
        <v>227</v>
      </c>
      <c r="I64" s="79" t="str">
        <f>IF('Novice 15M - Scoring'!B13&lt;&gt;"",IF('Novice 15M - Scoring'!X13&lt;&gt;"",'Novice 15M - Scoring'!X13,""),"")</f>
        <v/>
      </c>
      <c r="J64" s="79" t="str">
        <f>IF('Novice 15M - Scoring'!B13&lt;&gt;"",IF('Novice 15M - Scoring'!Y13&lt;&gt;"",'Novice 15M - Scoring'!Y13,""),"")</f>
        <v/>
      </c>
      <c r="K64" s="79" t="str">
        <f>IF('Novice 15M - Scoring'!B13&lt;&gt;"",IF('Novice 15M - Scoring'!Z13&lt;&gt;"",'Novice 15M - Scoring'!Z13,""),"")</f>
        <v/>
      </c>
      <c r="L64" s="80" t="str">
        <f>IF('Novice 15M - Scoring'!B13&lt;&gt;"",'Novice 15M - Scoring'!AS13,"")</f>
        <v/>
      </c>
      <c r="M64" s="81" t="str">
        <f>IF(L61&lt;&gt;"",IFERROR(IF(ISNUMBER(L61),L61,0),0)+IFERROR(IF(ISNUMBER(L62),L62,0),0)+IFERROR(IF(ISNUMBER(L63),L63,0),0)+IFERROR(IF(ISNUMBER(L64),L64,0),0),"")</f>
        <v/>
      </c>
    </row>
    <row r="65" spans="1:13" ht="19.5" customHeight="1" x14ac:dyDescent="0.35">
      <c r="A65" s="78" t="s">
        <v>228</v>
      </c>
      <c r="B65" s="79" t="str">
        <f>IF('Novice 15M - Scoring'!B12&lt;&gt;"",IF('Novice 15M - Scoring'!AD12&lt;&gt;"",'Novice 15M - Scoring'!AD12,""),"")</f>
        <v/>
      </c>
      <c r="C65" s="79" t="str">
        <f>IF('Novice 15M - Scoring'!B12&lt;&gt;"",IF('Novice 15M - Scoring'!AE12&lt;&gt;"",'Novice 15M - Scoring'!AE12,""),"")</f>
        <v/>
      </c>
      <c r="D65" s="79" t="str">
        <f>IF('Novice 15M - Scoring'!B12&lt;&gt;"",IF('Novice 15M - Scoring'!AF12&lt;&gt;"",'Novice 15M - Scoring'!AF12,""),"")</f>
        <v/>
      </c>
      <c r="E65" s="80" t="str">
        <f>IF('Novice 15M - Scoring'!B12&lt;&gt;"",'Novice 15M - Scoring'!AT12,"")</f>
        <v/>
      </c>
      <c r="F65" s="81" t="str">
        <f>IF(E61&lt;&gt;"",IFERROR(IF(ISNUMBER(E61),E61,0),0)+IFERROR(IF(ISNUMBER(E62),E62,0),0)+IFERROR(IF(ISNUMBER(E63),E63,0),0)+IFERROR(IF(ISNUMBER(E64),E64,0),0)+IFERROR(IF(ISNUMBER(E65),E65,0),0),"")</f>
        <v/>
      </c>
      <c r="H65" s="78" t="s">
        <v>228</v>
      </c>
      <c r="I65" s="79" t="str">
        <f>IF('Novice 15M - Scoring'!B13&lt;&gt;"",IF('Novice 15M - Scoring'!AD13&lt;&gt;"",'Novice 15M - Scoring'!AD13,""),"")</f>
        <v/>
      </c>
      <c r="J65" s="79" t="str">
        <f>IF('Novice 15M - Scoring'!B13&lt;&gt;"",IF('Novice 15M - Scoring'!AE13&lt;&gt;"",'Novice 15M - Scoring'!AE13,""),"")</f>
        <v/>
      </c>
      <c r="K65" s="79" t="str">
        <f>IF('Novice 15M - Scoring'!B13&lt;&gt;"",IF('Novice 15M - Scoring'!AF13&lt;&gt;"",'Novice 15M - Scoring'!AF13,""),"")</f>
        <v/>
      </c>
      <c r="L65" s="80" t="str">
        <f>IF('Novice 15M - Scoring'!B13&lt;&gt;"",'Novice 15M - Scoring'!AT13,"")</f>
        <v/>
      </c>
      <c r="M65" s="81" t="str">
        <f>IF(L61&lt;&gt;"",IFERROR(IF(ISNUMBER(L61),L61,0),0)+IFERROR(IF(ISNUMBER(L62),L62,0),0)+IFERROR(IF(ISNUMBER(L63),L63,0),0)+IFERROR(IF(ISNUMBER(L64),L64,0),0)+IFERROR(IF(ISNUMBER(L65),L65,0),0),"")</f>
        <v/>
      </c>
    </row>
    <row r="66" spans="1:13" ht="19.5" customHeight="1" x14ac:dyDescent="0.35">
      <c r="A66" s="78" t="s">
        <v>229</v>
      </c>
      <c r="B66" s="79" t="str">
        <f>IF('Novice 15M - Scoring'!B12&lt;&gt;"",IF('Novice 15M - Scoring'!AJ12&lt;&gt;"",'Novice 15M - Scoring'!AJ12,""),"")</f>
        <v/>
      </c>
      <c r="C66" s="79" t="str">
        <f>IF('Novice 15M - Scoring'!B12&lt;&gt;"",IF('Novice 15M - Scoring'!AK12&lt;&gt;"",'Novice 15M - Scoring'!AK12,""),"")</f>
        <v/>
      </c>
      <c r="D66" s="79" t="str">
        <f>IF('Novice 15M - Scoring'!B12&lt;&gt;"",IF('Novice 15M - Scoring'!AL12&lt;&gt;"",'Novice 15M - Scoring'!AL12,""),"")</f>
        <v/>
      </c>
      <c r="E66" s="80" t="str">
        <f>IF('Novice 15M - Scoring'!B12&lt;&gt;"",'Novice 15M - Scoring'!AU12,"")</f>
        <v/>
      </c>
      <c r="F66" s="81" t="str">
        <f>IF(E61&lt;&gt;"",IFERROR(IF(ISNUMBER(E61),E61,0),0)+IFERROR(IF(ISNUMBER(E62),E62,0),0)+IFERROR(IF(ISNUMBER(E63),E63,0),0)+IFERROR(IF(ISNUMBER(E64),E64,0),0)+IFERROR(IF(ISNUMBER(E65),E65,0),0)+IFERROR(IF(ISNUMBER(E66),E66,0),0),"")</f>
        <v/>
      </c>
      <c r="H66" s="78" t="s">
        <v>229</v>
      </c>
      <c r="I66" s="79" t="str">
        <f>IF('Novice 15M - Scoring'!B13&lt;&gt;"",IF('Novice 15M - Scoring'!AJ13&lt;&gt;"",'Novice 15M - Scoring'!AJ13,""),"")</f>
        <v/>
      </c>
      <c r="J66" s="79" t="str">
        <f>IF('Novice 15M - Scoring'!B13&lt;&gt;"",IF('Novice 15M - Scoring'!AK13&lt;&gt;"",'Novice 15M - Scoring'!AK13,""),"")</f>
        <v/>
      </c>
      <c r="K66" s="79" t="str">
        <f>IF('Novice 15M - Scoring'!B13&lt;&gt;"",IF('Novice 15M - Scoring'!AL13&lt;&gt;"",'Novice 15M - Scoring'!AL13,""),"")</f>
        <v/>
      </c>
      <c r="L66" s="80" t="str">
        <f>IF('Novice 15M - Scoring'!B13&lt;&gt;"",'Novice 15M - Scoring'!AU13,"")</f>
        <v/>
      </c>
      <c r="M66" s="81" t="str">
        <f>IF(L61&lt;&gt;"",IFERROR(IF(ISNUMBER(L61),L61,0),0)+IFERROR(IF(ISNUMBER(L62),L62,0),0)+IFERROR(IF(ISNUMBER(L63),L63,0),0)+IFERROR(IF(ISNUMBER(L64),L64,0),0)+IFERROR(IF(ISNUMBER(L65),L65,0),0)+IFERROR(IF(ISNUMBER(L66),L66,0),0),"")</f>
        <v/>
      </c>
    </row>
    <row r="67" spans="1:13" ht="3.75" customHeight="1" x14ac:dyDescent="0.35"/>
    <row r="68" spans="1:13" ht="24" customHeight="1" x14ac:dyDescent="0.35">
      <c r="A68" s="124" t="s">
        <v>230</v>
      </c>
      <c r="B68" s="124"/>
      <c r="C68" s="124"/>
      <c r="D68" s="124"/>
      <c r="E68" s="125" t="str">
        <f>IF('Novice 15M - Scoring'!B12&lt;&gt;"",'Novice 15M - Scoring'!AV12,"")</f>
        <v/>
      </c>
      <c r="F68" s="125"/>
      <c r="H68" s="124" t="s">
        <v>230</v>
      </c>
      <c r="I68" s="124"/>
      <c r="J68" s="124"/>
      <c r="K68" s="124"/>
      <c r="L68" s="125" t="str">
        <f>IF('Novice 15M - Scoring'!B13&lt;&gt;"",'Novice 15M - Scoring'!AV13,"")</f>
        <v/>
      </c>
      <c r="M68" s="125"/>
    </row>
    <row r="69" spans="1:13" ht="19.5" customHeight="1" x14ac:dyDescent="0.35">
      <c r="E69" s="125"/>
      <c r="F69" s="125"/>
      <c r="L69" s="125"/>
      <c r="M69" s="125"/>
    </row>
    <row r="70" spans="1:13" ht="3.75" customHeight="1" x14ac:dyDescent="0.35"/>
    <row r="71" spans="1:13" ht="18" customHeight="1" x14ac:dyDescent="0.35">
      <c r="A71" s="73" t="s">
        <v>126</v>
      </c>
      <c r="B71" s="82" t="str">
        <f>IF('Novice 15M - Scoring'!B12&lt;&gt;"",'Novice 15M - Scoring'!AW12,"")</f>
        <v/>
      </c>
      <c r="C71" s="73" t="s">
        <v>127</v>
      </c>
      <c r="D71" s="83" t="str">
        <f>IF('Novice 15M - Scoring'!B12&lt;&gt;"",'Novice 15M - Scoring'!AX12,"")</f>
        <v/>
      </c>
      <c r="E71" s="73" t="s">
        <v>128</v>
      </c>
      <c r="F71" s="83" t="str">
        <f>IF('Novice 15M - Scoring'!B12&lt;&gt;"",'Novice 15M - Scoring'!AY12,"")</f>
        <v/>
      </c>
      <c r="H71" s="73" t="s">
        <v>126</v>
      </c>
      <c r="I71" s="82" t="str">
        <f>IF('Novice 15M - Scoring'!B13&lt;&gt;"",'Novice 15M - Scoring'!AW13,"")</f>
        <v/>
      </c>
      <c r="J71" s="73" t="s">
        <v>127</v>
      </c>
      <c r="K71" s="83" t="str">
        <f>IF('Novice 15M - Scoring'!B13&lt;&gt;"",'Novice 15M - Scoring'!AX13,"")</f>
        <v/>
      </c>
      <c r="L71" s="73" t="s">
        <v>128</v>
      </c>
      <c r="M71" s="83" t="str">
        <f>IF('Novice 15M - Scoring'!B13&lt;&gt;"",'Novice 15M - Scoring'!AY13,"")</f>
        <v/>
      </c>
    </row>
    <row r="72" spans="1:13" ht="3.75" customHeight="1" x14ac:dyDescent="0.35"/>
    <row r="73" spans="1:13" ht="7.5" customHeight="1" x14ac:dyDescent="0.35">
      <c r="A73" s="126"/>
      <c r="B73" s="126"/>
      <c r="C73" s="126"/>
      <c r="D73" s="126"/>
      <c r="E73" s="126"/>
      <c r="F73" s="126"/>
      <c r="G73" s="126"/>
      <c r="H73" s="126"/>
      <c r="I73" s="126"/>
      <c r="J73" s="126"/>
      <c r="K73" s="126"/>
      <c r="L73" s="126"/>
      <c r="M73" s="126"/>
    </row>
    <row r="74" spans="1:13" ht="15.75" customHeight="1" x14ac:dyDescent="0.35">
      <c r="A74" s="73" t="s">
        <v>218</v>
      </c>
      <c r="B74" s="122" t="str">
        <f>IF('Novice 15M - Scoring'!B14&lt;&gt;"",'Novice 15M - Scoring'!B14,"")</f>
        <v/>
      </c>
      <c r="C74" s="122"/>
      <c r="D74" s="122"/>
      <c r="E74" s="73" t="s">
        <v>219</v>
      </c>
      <c r="F74" s="74" t="str">
        <f>IF('Novice 15M - Scoring'!B14&lt;&gt;"",'Novice 15M - Scoring'!BB14,"")</f>
        <v/>
      </c>
      <c r="H74" s="73" t="s">
        <v>218</v>
      </c>
      <c r="I74" s="122" t="str">
        <f>IF('Novice 15M - Scoring'!B15&lt;&gt;"",'Novice 15M - Scoring'!B15,"")</f>
        <v/>
      </c>
      <c r="J74" s="122"/>
      <c r="K74" s="122"/>
      <c r="L74" s="73" t="s">
        <v>219</v>
      </c>
      <c r="M74" s="74" t="str">
        <f>IF('Novice 15M - Scoring'!B15&lt;&gt;"",'Novice 15M - Scoring'!BB15,"")</f>
        <v/>
      </c>
    </row>
    <row r="75" spans="1:13" ht="15.75" customHeight="1" x14ac:dyDescent="0.35">
      <c r="A75" s="73" t="s">
        <v>220</v>
      </c>
      <c r="B75" s="123" t="str">
        <f>IF('Novice 15M - Scoring'!B14&lt;&gt;"",'Novice 15M - Scoring'!D14,"")</f>
        <v/>
      </c>
      <c r="C75" s="123"/>
      <c r="D75" s="123"/>
      <c r="E75" s="73" t="s">
        <v>8</v>
      </c>
      <c r="F75" s="75" t="str">
        <f>IF('Novice 15M - Scoring'!B14&lt;&gt;"",'Novice 15M - Scoring'!E14,"")</f>
        <v/>
      </c>
      <c r="H75" s="73" t="s">
        <v>220</v>
      </c>
      <c r="I75" s="123" t="str">
        <f>IF('Novice 15M - Scoring'!B15&lt;&gt;"",'Novice 15M - Scoring'!D15,"")</f>
        <v/>
      </c>
      <c r="J75" s="123"/>
      <c r="K75" s="123"/>
      <c r="L75" s="73" t="s">
        <v>8</v>
      </c>
      <c r="M75" s="75" t="str">
        <f>IF('Novice 15M - Scoring'!B15&lt;&gt;"",'Novice 15M - Scoring'!E15,"")</f>
        <v/>
      </c>
    </row>
    <row r="76" spans="1:13" ht="3.75" customHeight="1" x14ac:dyDescent="0.35"/>
    <row r="77" spans="1:13" ht="25.5" customHeight="1" x14ac:dyDescent="0.35">
      <c r="A77" s="76" t="s">
        <v>221</v>
      </c>
      <c r="B77" s="77" t="s">
        <v>222</v>
      </c>
      <c r="C77" s="77" t="s">
        <v>223</v>
      </c>
      <c r="D77" s="77" t="s">
        <v>224</v>
      </c>
      <c r="E77" s="76" t="s">
        <v>225</v>
      </c>
      <c r="F77" s="76" t="s">
        <v>226</v>
      </c>
      <c r="H77" s="76" t="s">
        <v>221</v>
      </c>
      <c r="I77" s="77" t="s">
        <v>222</v>
      </c>
      <c r="J77" s="77" t="s">
        <v>223</v>
      </c>
      <c r="K77" s="77" t="s">
        <v>224</v>
      </c>
      <c r="L77" s="76" t="s">
        <v>225</v>
      </c>
      <c r="M77" s="76" t="s">
        <v>226</v>
      </c>
    </row>
    <row r="78" spans="1:13" ht="19.5" customHeight="1" x14ac:dyDescent="0.35">
      <c r="A78" s="78" t="s">
        <v>222</v>
      </c>
      <c r="B78" s="79" t="str">
        <f>IF('Novice 15M - Scoring'!B14&lt;&gt;"",IF('Novice 15M - Scoring'!F14&lt;&gt;"",'Novice 15M - Scoring'!F14,""),"")</f>
        <v/>
      </c>
      <c r="C78" s="79" t="str">
        <f>IF('Novice 15M - Scoring'!B14&lt;&gt;"",IF('Novice 15M - Scoring'!G14&lt;&gt;"",'Novice 15M - Scoring'!G14,""),"")</f>
        <v/>
      </c>
      <c r="D78" s="79" t="str">
        <f>IF('Novice 15M - Scoring'!B14&lt;&gt;"",IF('Novice 15M - Scoring'!H14&lt;&gt;"",'Novice 15M - Scoring'!H14,""),"")</f>
        <v/>
      </c>
      <c r="E78" s="80" t="str">
        <f>IF('Novice 15M - Scoring'!B14&lt;&gt;"",'Novice 15M - Scoring'!AP14,"")</f>
        <v/>
      </c>
      <c r="F78" s="81" t="str">
        <f>IFERROR(IF(ISNUMBER(E78),E78,""),"")</f>
        <v/>
      </c>
      <c r="H78" s="78" t="s">
        <v>222</v>
      </c>
      <c r="I78" s="79" t="str">
        <f>IF('Novice 15M - Scoring'!B15&lt;&gt;"",IF('Novice 15M - Scoring'!F15&lt;&gt;"",'Novice 15M - Scoring'!F15,""),"")</f>
        <v/>
      </c>
      <c r="J78" s="79" t="str">
        <f>IF('Novice 15M - Scoring'!B15&lt;&gt;"",IF('Novice 15M - Scoring'!G15&lt;&gt;"",'Novice 15M - Scoring'!G15,""),"")</f>
        <v/>
      </c>
      <c r="K78" s="79" t="str">
        <f>IF('Novice 15M - Scoring'!B15&lt;&gt;"",IF('Novice 15M - Scoring'!H15&lt;&gt;"",'Novice 15M - Scoring'!H15,""),"")</f>
        <v/>
      </c>
      <c r="L78" s="80" t="str">
        <f>IF('Novice 15M - Scoring'!B15&lt;&gt;"",'Novice 15M - Scoring'!AP15,"")</f>
        <v/>
      </c>
      <c r="M78" s="81" t="str">
        <f>IFERROR(IF(ISNUMBER(L78),L78,""),"")</f>
        <v/>
      </c>
    </row>
    <row r="79" spans="1:13" ht="19.5" customHeight="1" x14ac:dyDescent="0.35">
      <c r="A79" s="78" t="s">
        <v>223</v>
      </c>
      <c r="B79" s="79" t="str">
        <f>IF('Novice 15M - Scoring'!B14&lt;&gt;"",IF('Novice 15M - Scoring'!L14&lt;&gt;"",'Novice 15M - Scoring'!L14,""),"")</f>
        <v/>
      </c>
      <c r="C79" s="79" t="str">
        <f>IF('Novice 15M - Scoring'!B14&lt;&gt;"",IF('Novice 15M - Scoring'!M14&lt;&gt;"",'Novice 15M - Scoring'!M14,""),"")</f>
        <v/>
      </c>
      <c r="D79" s="79" t="str">
        <f>IF('Novice 15M - Scoring'!B14&lt;&gt;"",IF('Novice 15M - Scoring'!N14&lt;&gt;"",'Novice 15M - Scoring'!N14,""),"")</f>
        <v/>
      </c>
      <c r="E79" s="80" t="str">
        <f>IF('Novice 15M - Scoring'!B14&lt;&gt;"",'Novice 15M - Scoring'!AQ14,"")</f>
        <v/>
      </c>
      <c r="F79" s="81" t="str">
        <f>IF(E78&lt;&gt;"",IFERROR(IF(ISNUMBER(E78),E78,0),0)+IFERROR(IF(ISNUMBER(E79),E79,0),0),"")</f>
        <v/>
      </c>
      <c r="H79" s="78" t="s">
        <v>223</v>
      </c>
      <c r="I79" s="79" t="str">
        <f>IF('Novice 15M - Scoring'!B15&lt;&gt;"",IF('Novice 15M - Scoring'!L15&lt;&gt;"",'Novice 15M - Scoring'!L15,""),"")</f>
        <v/>
      </c>
      <c r="J79" s="79" t="str">
        <f>IF('Novice 15M - Scoring'!B15&lt;&gt;"",IF('Novice 15M - Scoring'!M15&lt;&gt;"",'Novice 15M - Scoring'!M15,""),"")</f>
        <v/>
      </c>
      <c r="K79" s="79" t="str">
        <f>IF('Novice 15M - Scoring'!B15&lt;&gt;"",IF('Novice 15M - Scoring'!N15&lt;&gt;"",'Novice 15M - Scoring'!N15,""),"")</f>
        <v/>
      </c>
      <c r="L79" s="80" t="str">
        <f>IF('Novice 15M - Scoring'!B15&lt;&gt;"",'Novice 15M - Scoring'!AQ15,"")</f>
        <v/>
      </c>
      <c r="M79" s="81" t="str">
        <f>IF(L78&lt;&gt;"",IFERROR(IF(ISNUMBER(L78),L78,0),0)+IFERROR(IF(ISNUMBER(L79),L79,0),0),"")</f>
        <v/>
      </c>
    </row>
    <row r="80" spans="1:13" ht="19.5" customHeight="1" x14ac:dyDescent="0.35">
      <c r="A80" s="78" t="s">
        <v>224</v>
      </c>
      <c r="B80" s="79" t="str">
        <f>IF('Novice 15M - Scoring'!B14&lt;&gt;"",IF('Novice 15M - Scoring'!R14&lt;&gt;"",'Novice 15M - Scoring'!R14,""),"")</f>
        <v/>
      </c>
      <c r="C80" s="79" t="str">
        <f>IF('Novice 15M - Scoring'!B14&lt;&gt;"",IF('Novice 15M - Scoring'!S14&lt;&gt;"",'Novice 15M - Scoring'!S14,""),"")</f>
        <v/>
      </c>
      <c r="D80" s="79" t="str">
        <f>IF('Novice 15M - Scoring'!B14&lt;&gt;"",IF('Novice 15M - Scoring'!T14&lt;&gt;"",'Novice 15M - Scoring'!T14,""),"")</f>
        <v/>
      </c>
      <c r="E80" s="80" t="str">
        <f>IF('Novice 15M - Scoring'!B14&lt;&gt;"",'Novice 15M - Scoring'!AR14,"")</f>
        <v/>
      </c>
      <c r="F80" s="81" t="str">
        <f>IF(E78&lt;&gt;"",IFERROR(IF(ISNUMBER(E78),E78,0),0)+IFERROR(IF(ISNUMBER(E79),E79,0),0)+IFERROR(IF(ISNUMBER(E80),E80,0),0),"")</f>
        <v/>
      </c>
      <c r="H80" s="78" t="s">
        <v>224</v>
      </c>
      <c r="I80" s="79" t="str">
        <f>IF('Novice 15M - Scoring'!B15&lt;&gt;"",IF('Novice 15M - Scoring'!R15&lt;&gt;"",'Novice 15M - Scoring'!R15,""),"")</f>
        <v/>
      </c>
      <c r="J80" s="79" t="str">
        <f>IF('Novice 15M - Scoring'!B15&lt;&gt;"",IF('Novice 15M - Scoring'!S15&lt;&gt;"",'Novice 15M - Scoring'!S15,""),"")</f>
        <v/>
      </c>
      <c r="K80" s="79" t="str">
        <f>IF('Novice 15M - Scoring'!B15&lt;&gt;"",IF('Novice 15M - Scoring'!T15&lt;&gt;"",'Novice 15M - Scoring'!T15,""),"")</f>
        <v/>
      </c>
      <c r="L80" s="80" t="str">
        <f>IF('Novice 15M - Scoring'!B15&lt;&gt;"",'Novice 15M - Scoring'!AR15,"")</f>
        <v/>
      </c>
      <c r="M80" s="81" t="str">
        <f>IF(L78&lt;&gt;"",IFERROR(IF(ISNUMBER(L78),L78,0),0)+IFERROR(IF(ISNUMBER(L79),L79,0),0)+IFERROR(IF(ISNUMBER(L80),L80,0),0),"")</f>
        <v/>
      </c>
    </row>
    <row r="81" spans="1:13" ht="19.5" customHeight="1" x14ac:dyDescent="0.35">
      <c r="A81" s="78" t="s">
        <v>227</v>
      </c>
      <c r="B81" s="79" t="str">
        <f>IF('Novice 15M - Scoring'!B14&lt;&gt;"",IF('Novice 15M - Scoring'!X14&lt;&gt;"",'Novice 15M - Scoring'!X14,""),"")</f>
        <v/>
      </c>
      <c r="C81" s="79" t="str">
        <f>IF('Novice 15M - Scoring'!B14&lt;&gt;"",IF('Novice 15M - Scoring'!Y14&lt;&gt;"",'Novice 15M - Scoring'!Y14,""),"")</f>
        <v/>
      </c>
      <c r="D81" s="79" t="str">
        <f>IF('Novice 15M - Scoring'!B14&lt;&gt;"",IF('Novice 15M - Scoring'!Z14&lt;&gt;"",'Novice 15M - Scoring'!Z14,""),"")</f>
        <v/>
      </c>
      <c r="E81" s="80" t="str">
        <f>IF('Novice 15M - Scoring'!B14&lt;&gt;"",'Novice 15M - Scoring'!AS14,"")</f>
        <v/>
      </c>
      <c r="F81" s="81" t="str">
        <f>IF(E78&lt;&gt;"",IFERROR(IF(ISNUMBER(E78),E78,0),0)+IFERROR(IF(ISNUMBER(E79),E79,0),0)+IFERROR(IF(ISNUMBER(E80),E80,0),0)+IFERROR(IF(ISNUMBER(E81),E81,0),0),"")</f>
        <v/>
      </c>
      <c r="H81" s="78" t="s">
        <v>227</v>
      </c>
      <c r="I81" s="79" t="str">
        <f>IF('Novice 15M - Scoring'!B15&lt;&gt;"",IF('Novice 15M - Scoring'!X15&lt;&gt;"",'Novice 15M - Scoring'!X15,""),"")</f>
        <v/>
      </c>
      <c r="J81" s="79" t="str">
        <f>IF('Novice 15M - Scoring'!B15&lt;&gt;"",IF('Novice 15M - Scoring'!Y15&lt;&gt;"",'Novice 15M - Scoring'!Y15,""),"")</f>
        <v/>
      </c>
      <c r="K81" s="79" t="str">
        <f>IF('Novice 15M - Scoring'!B15&lt;&gt;"",IF('Novice 15M - Scoring'!Z15&lt;&gt;"",'Novice 15M - Scoring'!Z15,""),"")</f>
        <v/>
      </c>
      <c r="L81" s="80" t="str">
        <f>IF('Novice 15M - Scoring'!B15&lt;&gt;"",'Novice 15M - Scoring'!AS15,"")</f>
        <v/>
      </c>
      <c r="M81" s="81" t="str">
        <f>IF(L78&lt;&gt;"",IFERROR(IF(ISNUMBER(L78),L78,0),0)+IFERROR(IF(ISNUMBER(L79),L79,0),0)+IFERROR(IF(ISNUMBER(L80),L80,0),0)+IFERROR(IF(ISNUMBER(L81),L81,0),0),"")</f>
        <v/>
      </c>
    </row>
    <row r="82" spans="1:13" ht="19.5" customHeight="1" x14ac:dyDescent="0.35">
      <c r="A82" s="78" t="s">
        <v>228</v>
      </c>
      <c r="B82" s="79" t="str">
        <f>IF('Novice 15M - Scoring'!B14&lt;&gt;"",IF('Novice 15M - Scoring'!AD14&lt;&gt;"",'Novice 15M - Scoring'!AD14,""),"")</f>
        <v/>
      </c>
      <c r="C82" s="79" t="str">
        <f>IF('Novice 15M - Scoring'!B14&lt;&gt;"",IF('Novice 15M - Scoring'!AE14&lt;&gt;"",'Novice 15M - Scoring'!AE14,""),"")</f>
        <v/>
      </c>
      <c r="D82" s="79" t="str">
        <f>IF('Novice 15M - Scoring'!B14&lt;&gt;"",IF('Novice 15M - Scoring'!AF14&lt;&gt;"",'Novice 15M - Scoring'!AF14,""),"")</f>
        <v/>
      </c>
      <c r="E82" s="80" t="str">
        <f>IF('Novice 15M - Scoring'!B14&lt;&gt;"",'Novice 15M - Scoring'!AT14,"")</f>
        <v/>
      </c>
      <c r="F82" s="81" t="str">
        <f>IF(E78&lt;&gt;"",IFERROR(IF(ISNUMBER(E78),E78,0),0)+IFERROR(IF(ISNUMBER(E79),E79,0),0)+IFERROR(IF(ISNUMBER(E80),E80,0),0)+IFERROR(IF(ISNUMBER(E81),E81,0),0)+IFERROR(IF(ISNUMBER(E82),E82,0),0),"")</f>
        <v/>
      </c>
      <c r="H82" s="78" t="s">
        <v>228</v>
      </c>
      <c r="I82" s="79" t="str">
        <f>IF('Novice 15M - Scoring'!B15&lt;&gt;"",IF('Novice 15M - Scoring'!AD15&lt;&gt;"",'Novice 15M - Scoring'!AD15,""),"")</f>
        <v/>
      </c>
      <c r="J82" s="79" t="str">
        <f>IF('Novice 15M - Scoring'!B15&lt;&gt;"",IF('Novice 15M - Scoring'!AE15&lt;&gt;"",'Novice 15M - Scoring'!AE15,""),"")</f>
        <v/>
      </c>
      <c r="K82" s="79" t="str">
        <f>IF('Novice 15M - Scoring'!B15&lt;&gt;"",IF('Novice 15M - Scoring'!AF15&lt;&gt;"",'Novice 15M - Scoring'!AF15,""),"")</f>
        <v/>
      </c>
      <c r="L82" s="80" t="str">
        <f>IF('Novice 15M - Scoring'!B15&lt;&gt;"",'Novice 15M - Scoring'!AT15,"")</f>
        <v/>
      </c>
      <c r="M82" s="81" t="str">
        <f>IF(L78&lt;&gt;"",IFERROR(IF(ISNUMBER(L78),L78,0),0)+IFERROR(IF(ISNUMBER(L79),L79,0),0)+IFERROR(IF(ISNUMBER(L80),L80,0),0)+IFERROR(IF(ISNUMBER(L81),L81,0),0)+IFERROR(IF(ISNUMBER(L82),L82,0),0),"")</f>
        <v/>
      </c>
    </row>
    <row r="83" spans="1:13" ht="19.5" customHeight="1" x14ac:dyDescent="0.35">
      <c r="A83" s="78" t="s">
        <v>229</v>
      </c>
      <c r="B83" s="79" t="str">
        <f>IF('Novice 15M - Scoring'!B14&lt;&gt;"",IF('Novice 15M - Scoring'!AJ14&lt;&gt;"",'Novice 15M - Scoring'!AJ14,""),"")</f>
        <v/>
      </c>
      <c r="C83" s="79" t="str">
        <f>IF('Novice 15M - Scoring'!B14&lt;&gt;"",IF('Novice 15M - Scoring'!AK14&lt;&gt;"",'Novice 15M - Scoring'!AK14,""),"")</f>
        <v/>
      </c>
      <c r="D83" s="79" t="str">
        <f>IF('Novice 15M - Scoring'!B14&lt;&gt;"",IF('Novice 15M - Scoring'!AL14&lt;&gt;"",'Novice 15M - Scoring'!AL14,""),"")</f>
        <v/>
      </c>
      <c r="E83" s="80" t="str">
        <f>IF('Novice 15M - Scoring'!B14&lt;&gt;"",'Novice 15M - Scoring'!AU14,"")</f>
        <v/>
      </c>
      <c r="F83" s="81" t="str">
        <f>IF(E78&lt;&gt;"",IFERROR(IF(ISNUMBER(E78),E78,0),0)+IFERROR(IF(ISNUMBER(E79),E79,0),0)+IFERROR(IF(ISNUMBER(E80),E80,0),0)+IFERROR(IF(ISNUMBER(E81),E81,0),0)+IFERROR(IF(ISNUMBER(E82),E82,0),0)+IFERROR(IF(ISNUMBER(E83),E83,0),0),"")</f>
        <v/>
      </c>
      <c r="H83" s="78" t="s">
        <v>229</v>
      </c>
      <c r="I83" s="79" t="str">
        <f>IF('Novice 15M - Scoring'!B15&lt;&gt;"",IF('Novice 15M - Scoring'!AJ15&lt;&gt;"",'Novice 15M - Scoring'!AJ15,""),"")</f>
        <v/>
      </c>
      <c r="J83" s="79" t="str">
        <f>IF('Novice 15M - Scoring'!B15&lt;&gt;"",IF('Novice 15M - Scoring'!AK15&lt;&gt;"",'Novice 15M - Scoring'!AK15,""),"")</f>
        <v/>
      </c>
      <c r="K83" s="79" t="str">
        <f>IF('Novice 15M - Scoring'!B15&lt;&gt;"",IF('Novice 15M - Scoring'!AL15&lt;&gt;"",'Novice 15M - Scoring'!AL15,""),"")</f>
        <v/>
      </c>
      <c r="L83" s="80" t="str">
        <f>IF('Novice 15M - Scoring'!B15&lt;&gt;"",'Novice 15M - Scoring'!AU15,"")</f>
        <v/>
      </c>
      <c r="M83" s="81" t="str">
        <f>IF(L78&lt;&gt;"",IFERROR(IF(ISNUMBER(L78),L78,0),0)+IFERROR(IF(ISNUMBER(L79),L79,0),0)+IFERROR(IF(ISNUMBER(L80),L80,0),0)+IFERROR(IF(ISNUMBER(L81),L81,0),0)+IFERROR(IF(ISNUMBER(L82),L82,0),0)+IFERROR(IF(ISNUMBER(L83),L83,0),0),"")</f>
        <v/>
      </c>
    </row>
    <row r="84" spans="1:13" ht="3.75" customHeight="1" x14ac:dyDescent="0.35"/>
    <row r="85" spans="1:13" ht="24" customHeight="1" x14ac:dyDescent="0.35">
      <c r="A85" s="124" t="s">
        <v>230</v>
      </c>
      <c r="B85" s="124"/>
      <c r="C85" s="124"/>
      <c r="D85" s="124"/>
      <c r="E85" s="125" t="str">
        <f>IF('Novice 15M - Scoring'!B14&lt;&gt;"",'Novice 15M - Scoring'!AV14,"")</f>
        <v/>
      </c>
      <c r="F85" s="125"/>
      <c r="H85" s="124" t="s">
        <v>230</v>
      </c>
      <c r="I85" s="124"/>
      <c r="J85" s="124"/>
      <c r="K85" s="124"/>
      <c r="L85" s="125" t="str">
        <f>IF('Novice 15M - Scoring'!B15&lt;&gt;"",'Novice 15M - Scoring'!AV15,"")</f>
        <v/>
      </c>
      <c r="M85" s="125"/>
    </row>
    <row r="86" spans="1:13" ht="19.5" customHeight="1" x14ac:dyDescent="0.35">
      <c r="E86" s="125"/>
      <c r="F86" s="125"/>
      <c r="L86" s="125"/>
      <c r="M86" s="125"/>
    </row>
    <row r="87" spans="1:13" ht="3.75" customHeight="1" x14ac:dyDescent="0.35"/>
    <row r="88" spans="1:13" ht="18" customHeight="1" x14ac:dyDescent="0.35">
      <c r="A88" s="73" t="s">
        <v>126</v>
      </c>
      <c r="B88" s="82" t="str">
        <f>IF('Novice 15M - Scoring'!B14&lt;&gt;"",'Novice 15M - Scoring'!AW14,"")</f>
        <v/>
      </c>
      <c r="C88" s="73" t="s">
        <v>127</v>
      </c>
      <c r="D88" s="83" t="str">
        <f>IF('Novice 15M - Scoring'!B14&lt;&gt;"",'Novice 15M - Scoring'!AX14,"")</f>
        <v/>
      </c>
      <c r="E88" s="73" t="s">
        <v>128</v>
      </c>
      <c r="F88" s="83" t="str">
        <f>IF('Novice 15M - Scoring'!B14&lt;&gt;"",'Novice 15M - Scoring'!AY14,"")</f>
        <v/>
      </c>
      <c r="H88" s="73" t="s">
        <v>126</v>
      </c>
      <c r="I88" s="82" t="str">
        <f>IF('Novice 15M - Scoring'!B15&lt;&gt;"",'Novice 15M - Scoring'!AW15,"")</f>
        <v/>
      </c>
      <c r="J88" s="73" t="s">
        <v>127</v>
      </c>
      <c r="K88" s="83" t="str">
        <f>IF('Novice 15M - Scoring'!B15&lt;&gt;"",'Novice 15M - Scoring'!AX15,"")</f>
        <v/>
      </c>
      <c r="L88" s="73" t="s">
        <v>128</v>
      </c>
      <c r="M88" s="83" t="str">
        <f>IF('Novice 15M - Scoring'!B15&lt;&gt;"",'Novice 15M - Scoring'!AY15,"")</f>
        <v/>
      </c>
    </row>
    <row r="89" spans="1:13" ht="3.75" customHeight="1" x14ac:dyDescent="0.35"/>
    <row r="90" spans="1:13" ht="7.5" customHeight="1" x14ac:dyDescent="0.35">
      <c r="A90" s="126"/>
      <c r="B90" s="126"/>
      <c r="C90" s="126"/>
      <c r="D90" s="126"/>
      <c r="E90" s="126"/>
      <c r="F90" s="126"/>
      <c r="G90" s="126"/>
      <c r="H90" s="126"/>
      <c r="I90" s="126"/>
      <c r="J90" s="126"/>
      <c r="K90" s="126"/>
      <c r="L90" s="126"/>
      <c r="M90" s="126"/>
    </row>
    <row r="91" spans="1:13" ht="15.75" customHeight="1" x14ac:dyDescent="0.35">
      <c r="A91" s="73" t="s">
        <v>218</v>
      </c>
      <c r="B91" s="122" t="str">
        <f>IF('Novice 15M - Scoring'!B16&lt;&gt;"",'Novice 15M - Scoring'!B16,"")</f>
        <v/>
      </c>
      <c r="C91" s="122"/>
      <c r="D91" s="122"/>
      <c r="E91" s="73" t="s">
        <v>219</v>
      </c>
      <c r="F91" s="74" t="str">
        <f>IF('Novice 15M - Scoring'!B16&lt;&gt;"",'Novice 15M - Scoring'!BB16,"")</f>
        <v/>
      </c>
      <c r="H91" s="73" t="s">
        <v>218</v>
      </c>
      <c r="I91" s="122" t="str">
        <f>IF('Novice 15M - Scoring'!B17&lt;&gt;"",'Novice 15M - Scoring'!B17,"")</f>
        <v/>
      </c>
      <c r="J91" s="122"/>
      <c r="K91" s="122"/>
      <c r="L91" s="73" t="s">
        <v>219</v>
      </c>
      <c r="M91" s="74" t="str">
        <f>IF('Novice 15M - Scoring'!B17&lt;&gt;"",'Novice 15M - Scoring'!BB17,"")</f>
        <v/>
      </c>
    </row>
    <row r="92" spans="1:13" ht="15.75" customHeight="1" x14ac:dyDescent="0.35">
      <c r="A92" s="73" t="s">
        <v>220</v>
      </c>
      <c r="B92" s="123" t="str">
        <f>IF('Novice 15M - Scoring'!B16&lt;&gt;"",'Novice 15M - Scoring'!D16,"")</f>
        <v/>
      </c>
      <c r="C92" s="123"/>
      <c r="D92" s="123"/>
      <c r="E92" s="73" t="s">
        <v>8</v>
      </c>
      <c r="F92" s="75" t="str">
        <f>IF('Novice 15M - Scoring'!B16&lt;&gt;"",'Novice 15M - Scoring'!E16,"")</f>
        <v/>
      </c>
      <c r="H92" s="73" t="s">
        <v>220</v>
      </c>
      <c r="I92" s="123" t="str">
        <f>IF('Novice 15M - Scoring'!B17&lt;&gt;"",'Novice 15M - Scoring'!D17,"")</f>
        <v/>
      </c>
      <c r="J92" s="123"/>
      <c r="K92" s="123"/>
      <c r="L92" s="73" t="s">
        <v>8</v>
      </c>
      <c r="M92" s="75" t="str">
        <f>IF('Novice 15M - Scoring'!B17&lt;&gt;"",'Novice 15M - Scoring'!E17,"")</f>
        <v/>
      </c>
    </row>
    <row r="93" spans="1:13" ht="3.75" customHeight="1" x14ac:dyDescent="0.35"/>
    <row r="94" spans="1:13" ht="25.5" customHeight="1" x14ac:dyDescent="0.35">
      <c r="A94" s="76" t="s">
        <v>221</v>
      </c>
      <c r="B94" s="77" t="s">
        <v>222</v>
      </c>
      <c r="C94" s="77" t="s">
        <v>223</v>
      </c>
      <c r="D94" s="77" t="s">
        <v>224</v>
      </c>
      <c r="E94" s="76" t="s">
        <v>225</v>
      </c>
      <c r="F94" s="76" t="s">
        <v>226</v>
      </c>
      <c r="H94" s="76" t="s">
        <v>221</v>
      </c>
      <c r="I94" s="77" t="s">
        <v>222</v>
      </c>
      <c r="J94" s="77" t="s">
        <v>223</v>
      </c>
      <c r="K94" s="77" t="s">
        <v>224</v>
      </c>
      <c r="L94" s="76" t="s">
        <v>225</v>
      </c>
      <c r="M94" s="76" t="s">
        <v>226</v>
      </c>
    </row>
    <row r="95" spans="1:13" ht="19.5" customHeight="1" x14ac:dyDescent="0.35">
      <c r="A95" s="78" t="s">
        <v>222</v>
      </c>
      <c r="B95" s="79" t="str">
        <f>IF('Novice 15M - Scoring'!B16&lt;&gt;"",IF('Novice 15M - Scoring'!F16&lt;&gt;"",'Novice 15M - Scoring'!F16,""),"")</f>
        <v/>
      </c>
      <c r="C95" s="79" t="str">
        <f>IF('Novice 15M - Scoring'!B16&lt;&gt;"",IF('Novice 15M - Scoring'!G16&lt;&gt;"",'Novice 15M - Scoring'!G16,""),"")</f>
        <v/>
      </c>
      <c r="D95" s="79" t="str">
        <f>IF('Novice 15M - Scoring'!B16&lt;&gt;"",IF('Novice 15M - Scoring'!H16&lt;&gt;"",'Novice 15M - Scoring'!H16,""),"")</f>
        <v/>
      </c>
      <c r="E95" s="80" t="str">
        <f>IF('Novice 15M - Scoring'!B16&lt;&gt;"",'Novice 15M - Scoring'!AP16,"")</f>
        <v/>
      </c>
      <c r="F95" s="81" t="str">
        <f>IFERROR(IF(ISNUMBER(E95),E95,""),"")</f>
        <v/>
      </c>
      <c r="H95" s="78" t="s">
        <v>222</v>
      </c>
      <c r="I95" s="79" t="str">
        <f>IF('Novice 15M - Scoring'!B17&lt;&gt;"",IF('Novice 15M - Scoring'!F17&lt;&gt;"",'Novice 15M - Scoring'!F17,""),"")</f>
        <v/>
      </c>
      <c r="J95" s="79" t="str">
        <f>IF('Novice 15M - Scoring'!B17&lt;&gt;"",IF('Novice 15M - Scoring'!G17&lt;&gt;"",'Novice 15M - Scoring'!G17,""),"")</f>
        <v/>
      </c>
      <c r="K95" s="79" t="str">
        <f>IF('Novice 15M - Scoring'!B17&lt;&gt;"",IF('Novice 15M - Scoring'!H17&lt;&gt;"",'Novice 15M - Scoring'!H17,""),"")</f>
        <v/>
      </c>
      <c r="L95" s="80" t="str">
        <f>IF('Novice 15M - Scoring'!B17&lt;&gt;"",'Novice 15M - Scoring'!AP17,"")</f>
        <v/>
      </c>
      <c r="M95" s="81" t="str">
        <f>IFERROR(IF(ISNUMBER(L95),L95,""),"")</f>
        <v/>
      </c>
    </row>
    <row r="96" spans="1:13" ht="19.5" customHeight="1" x14ac:dyDescent="0.35">
      <c r="A96" s="78" t="s">
        <v>223</v>
      </c>
      <c r="B96" s="79" t="str">
        <f>IF('Novice 15M - Scoring'!B16&lt;&gt;"",IF('Novice 15M - Scoring'!L16&lt;&gt;"",'Novice 15M - Scoring'!L16,""),"")</f>
        <v/>
      </c>
      <c r="C96" s="79" t="str">
        <f>IF('Novice 15M - Scoring'!B16&lt;&gt;"",IF('Novice 15M - Scoring'!M16&lt;&gt;"",'Novice 15M - Scoring'!M16,""),"")</f>
        <v/>
      </c>
      <c r="D96" s="79" t="str">
        <f>IF('Novice 15M - Scoring'!B16&lt;&gt;"",IF('Novice 15M - Scoring'!N16&lt;&gt;"",'Novice 15M - Scoring'!N16,""),"")</f>
        <v/>
      </c>
      <c r="E96" s="80" t="str">
        <f>IF('Novice 15M - Scoring'!B16&lt;&gt;"",'Novice 15M - Scoring'!AQ16,"")</f>
        <v/>
      </c>
      <c r="F96" s="81" t="str">
        <f>IF(E95&lt;&gt;"",IFERROR(IF(ISNUMBER(E95),E95,0),0)+IFERROR(IF(ISNUMBER(E96),E96,0),0),"")</f>
        <v/>
      </c>
      <c r="H96" s="78" t="s">
        <v>223</v>
      </c>
      <c r="I96" s="79" t="str">
        <f>IF('Novice 15M - Scoring'!B17&lt;&gt;"",IF('Novice 15M - Scoring'!L17&lt;&gt;"",'Novice 15M - Scoring'!L17,""),"")</f>
        <v/>
      </c>
      <c r="J96" s="79" t="str">
        <f>IF('Novice 15M - Scoring'!B17&lt;&gt;"",IF('Novice 15M - Scoring'!M17&lt;&gt;"",'Novice 15M - Scoring'!M17,""),"")</f>
        <v/>
      </c>
      <c r="K96" s="79" t="str">
        <f>IF('Novice 15M - Scoring'!B17&lt;&gt;"",IF('Novice 15M - Scoring'!N17&lt;&gt;"",'Novice 15M - Scoring'!N17,""),"")</f>
        <v/>
      </c>
      <c r="L96" s="80" t="str">
        <f>IF('Novice 15M - Scoring'!B17&lt;&gt;"",'Novice 15M - Scoring'!AQ17,"")</f>
        <v/>
      </c>
      <c r="M96" s="81" t="str">
        <f>IF(L95&lt;&gt;"",IFERROR(IF(ISNUMBER(L95),L95,0),0)+IFERROR(IF(ISNUMBER(L96),L96,0),0),"")</f>
        <v/>
      </c>
    </row>
    <row r="97" spans="1:13" ht="19.5" customHeight="1" x14ac:dyDescent="0.35">
      <c r="A97" s="78" t="s">
        <v>224</v>
      </c>
      <c r="B97" s="79" t="str">
        <f>IF('Novice 15M - Scoring'!B16&lt;&gt;"",IF('Novice 15M - Scoring'!R16&lt;&gt;"",'Novice 15M - Scoring'!R16,""),"")</f>
        <v/>
      </c>
      <c r="C97" s="79" t="str">
        <f>IF('Novice 15M - Scoring'!B16&lt;&gt;"",IF('Novice 15M - Scoring'!S16&lt;&gt;"",'Novice 15M - Scoring'!S16,""),"")</f>
        <v/>
      </c>
      <c r="D97" s="79" t="str">
        <f>IF('Novice 15M - Scoring'!B16&lt;&gt;"",IF('Novice 15M - Scoring'!T16&lt;&gt;"",'Novice 15M - Scoring'!T16,""),"")</f>
        <v/>
      </c>
      <c r="E97" s="80" t="str">
        <f>IF('Novice 15M - Scoring'!B16&lt;&gt;"",'Novice 15M - Scoring'!AR16,"")</f>
        <v/>
      </c>
      <c r="F97" s="81" t="str">
        <f>IF(E95&lt;&gt;"",IFERROR(IF(ISNUMBER(E95),E95,0),0)+IFERROR(IF(ISNUMBER(E96),E96,0),0)+IFERROR(IF(ISNUMBER(E97),E97,0),0),"")</f>
        <v/>
      </c>
      <c r="H97" s="78" t="s">
        <v>224</v>
      </c>
      <c r="I97" s="79" t="str">
        <f>IF('Novice 15M - Scoring'!B17&lt;&gt;"",IF('Novice 15M - Scoring'!R17&lt;&gt;"",'Novice 15M - Scoring'!R17,""),"")</f>
        <v/>
      </c>
      <c r="J97" s="79" t="str">
        <f>IF('Novice 15M - Scoring'!B17&lt;&gt;"",IF('Novice 15M - Scoring'!S17&lt;&gt;"",'Novice 15M - Scoring'!S17,""),"")</f>
        <v/>
      </c>
      <c r="K97" s="79" t="str">
        <f>IF('Novice 15M - Scoring'!B17&lt;&gt;"",IF('Novice 15M - Scoring'!T17&lt;&gt;"",'Novice 15M - Scoring'!T17,""),"")</f>
        <v/>
      </c>
      <c r="L97" s="80" t="str">
        <f>IF('Novice 15M - Scoring'!B17&lt;&gt;"",'Novice 15M - Scoring'!AR17,"")</f>
        <v/>
      </c>
      <c r="M97" s="81" t="str">
        <f>IF(L95&lt;&gt;"",IFERROR(IF(ISNUMBER(L95),L95,0),0)+IFERROR(IF(ISNUMBER(L96),L96,0),0)+IFERROR(IF(ISNUMBER(L97),L97,0),0),"")</f>
        <v/>
      </c>
    </row>
    <row r="98" spans="1:13" ht="19.5" customHeight="1" x14ac:dyDescent="0.35">
      <c r="A98" s="78" t="s">
        <v>227</v>
      </c>
      <c r="B98" s="79" t="str">
        <f>IF('Novice 15M - Scoring'!B16&lt;&gt;"",IF('Novice 15M - Scoring'!X16&lt;&gt;"",'Novice 15M - Scoring'!X16,""),"")</f>
        <v/>
      </c>
      <c r="C98" s="79" t="str">
        <f>IF('Novice 15M - Scoring'!B16&lt;&gt;"",IF('Novice 15M - Scoring'!Y16&lt;&gt;"",'Novice 15M - Scoring'!Y16,""),"")</f>
        <v/>
      </c>
      <c r="D98" s="79" t="str">
        <f>IF('Novice 15M - Scoring'!B16&lt;&gt;"",IF('Novice 15M - Scoring'!Z16&lt;&gt;"",'Novice 15M - Scoring'!Z16,""),"")</f>
        <v/>
      </c>
      <c r="E98" s="80" t="str">
        <f>IF('Novice 15M - Scoring'!B16&lt;&gt;"",'Novice 15M - Scoring'!AS16,"")</f>
        <v/>
      </c>
      <c r="F98" s="81" t="str">
        <f>IF(E95&lt;&gt;"",IFERROR(IF(ISNUMBER(E95),E95,0),0)+IFERROR(IF(ISNUMBER(E96),E96,0),0)+IFERROR(IF(ISNUMBER(E97),E97,0),0)+IFERROR(IF(ISNUMBER(E98),E98,0),0),"")</f>
        <v/>
      </c>
      <c r="H98" s="78" t="s">
        <v>227</v>
      </c>
      <c r="I98" s="79" t="str">
        <f>IF('Novice 15M - Scoring'!B17&lt;&gt;"",IF('Novice 15M - Scoring'!X17&lt;&gt;"",'Novice 15M - Scoring'!X17,""),"")</f>
        <v/>
      </c>
      <c r="J98" s="79" t="str">
        <f>IF('Novice 15M - Scoring'!B17&lt;&gt;"",IF('Novice 15M - Scoring'!Y17&lt;&gt;"",'Novice 15M - Scoring'!Y17,""),"")</f>
        <v/>
      </c>
      <c r="K98" s="79" t="str">
        <f>IF('Novice 15M - Scoring'!B17&lt;&gt;"",IF('Novice 15M - Scoring'!Z17&lt;&gt;"",'Novice 15M - Scoring'!Z17,""),"")</f>
        <v/>
      </c>
      <c r="L98" s="80" t="str">
        <f>IF('Novice 15M - Scoring'!B17&lt;&gt;"",'Novice 15M - Scoring'!AS17,"")</f>
        <v/>
      </c>
      <c r="M98" s="81" t="str">
        <f>IF(L95&lt;&gt;"",IFERROR(IF(ISNUMBER(L95),L95,0),0)+IFERROR(IF(ISNUMBER(L96),L96,0),0)+IFERROR(IF(ISNUMBER(L97),L97,0),0)+IFERROR(IF(ISNUMBER(L98),L98,0),0),"")</f>
        <v/>
      </c>
    </row>
    <row r="99" spans="1:13" ht="19.5" customHeight="1" x14ac:dyDescent="0.35">
      <c r="A99" s="78" t="s">
        <v>228</v>
      </c>
      <c r="B99" s="79" t="str">
        <f>IF('Novice 15M - Scoring'!B16&lt;&gt;"",IF('Novice 15M - Scoring'!AD16&lt;&gt;"",'Novice 15M - Scoring'!AD16,""),"")</f>
        <v/>
      </c>
      <c r="C99" s="79" t="str">
        <f>IF('Novice 15M - Scoring'!B16&lt;&gt;"",IF('Novice 15M - Scoring'!AE16&lt;&gt;"",'Novice 15M - Scoring'!AE16,""),"")</f>
        <v/>
      </c>
      <c r="D99" s="79" t="str">
        <f>IF('Novice 15M - Scoring'!B16&lt;&gt;"",IF('Novice 15M - Scoring'!AF16&lt;&gt;"",'Novice 15M - Scoring'!AF16,""),"")</f>
        <v/>
      </c>
      <c r="E99" s="80" t="str">
        <f>IF('Novice 15M - Scoring'!B16&lt;&gt;"",'Novice 15M - Scoring'!AT16,"")</f>
        <v/>
      </c>
      <c r="F99" s="81" t="str">
        <f>IF(E95&lt;&gt;"",IFERROR(IF(ISNUMBER(E95),E95,0),0)+IFERROR(IF(ISNUMBER(E96),E96,0),0)+IFERROR(IF(ISNUMBER(E97),E97,0),0)+IFERROR(IF(ISNUMBER(E98),E98,0),0)+IFERROR(IF(ISNUMBER(E99),E99,0),0),"")</f>
        <v/>
      </c>
      <c r="H99" s="78" t="s">
        <v>228</v>
      </c>
      <c r="I99" s="79" t="str">
        <f>IF('Novice 15M - Scoring'!B17&lt;&gt;"",IF('Novice 15M - Scoring'!AD17&lt;&gt;"",'Novice 15M - Scoring'!AD17,""),"")</f>
        <v/>
      </c>
      <c r="J99" s="79" t="str">
        <f>IF('Novice 15M - Scoring'!B17&lt;&gt;"",IF('Novice 15M - Scoring'!AE17&lt;&gt;"",'Novice 15M - Scoring'!AE17,""),"")</f>
        <v/>
      </c>
      <c r="K99" s="79" t="str">
        <f>IF('Novice 15M - Scoring'!B17&lt;&gt;"",IF('Novice 15M - Scoring'!AF17&lt;&gt;"",'Novice 15M - Scoring'!AF17,""),"")</f>
        <v/>
      </c>
      <c r="L99" s="80" t="str">
        <f>IF('Novice 15M - Scoring'!B17&lt;&gt;"",'Novice 15M - Scoring'!AT17,"")</f>
        <v/>
      </c>
      <c r="M99" s="81" t="str">
        <f>IF(L95&lt;&gt;"",IFERROR(IF(ISNUMBER(L95),L95,0),0)+IFERROR(IF(ISNUMBER(L96),L96,0),0)+IFERROR(IF(ISNUMBER(L97),L97,0),0)+IFERROR(IF(ISNUMBER(L98),L98,0),0)+IFERROR(IF(ISNUMBER(L99),L99,0),0),"")</f>
        <v/>
      </c>
    </row>
    <row r="100" spans="1:13" ht="19.5" customHeight="1" x14ac:dyDescent="0.35">
      <c r="A100" s="78" t="s">
        <v>229</v>
      </c>
      <c r="B100" s="79" t="str">
        <f>IF('Novice 15M - Scoring'!B16&lt;&gt;"",IF('Novice 15M - Scoring'!AJ16&lt;&gt;"",'Novice 15M - Scoring'!AJ16,""),"")</f>
        <v/>
      </c>
      <c r="C100" s="79" t="str">
        <f>IF('Novice 15M - Scoring'!B16&lt;&gt;"",IF('Novice 15M - Scoring'!AK16&lt;&gt;"",'Novice 15M - Scoring'!AK16,""),"")</f>
        <v/>
      </c>
      <c r="D100" s="79" t="str">
        <f>IF('Novice 15M - Scoring'!B16&lt;&gt;"",IF('Novice 15M - Scoring'!AL16&lt;&gt;"",'Novice 15M - Scoring'!AL16,""),"")</f>
        <v/>
      </c>
      <c r="E100" s="80" t="str">
        <f>IF('Novice 15M - Scoring'!B16&lt;&gt;"",'Novice 15M - Scoring'!AU16,"")</f>
        <v/>
      </c>
      <c r="F100" s="81" t="str">
        <f>IF(E95&lt;&gt;"",IFERROR(IF(ISNUMBER(E95),E95,0),0)+IFERROR(IF(ISNUMBER(E96),E96,0),0)+IFERROR(IF(ISNUMBER(E97),E97,0),0)+IFERROR(IF(ISNUMBER(E98),E98,0),0)+IFERROR(IF(ISNUMBER(E99),E99,0),0)+IFERROR(IF(ISNUMBER(E100),E100,0),0),"")</f>
        <v/>
      </c>
      <c r="H100" s="78" t="s">
        <v>229</v>
      </c>
      <c r="I100" s="79" t="str">
        <f>IF('Novice 15M - Scoring'!B17&lt;&gt;"",IF('Novice 15M - Scoring'!AJ17&lt;&gt;"",'Novice 15M - Scoring'!AJ17,""),"")</f>
        <v/>
      </c>
      <c r="J100" s="79" t="str">
        <f>IF('Novice 15M - Scoring'!B17&lt;&gt;"",IF('Novice 15M - Scoring'!AK17&lt;&gt;"",'Novice 15M - Scoring'!AK17,""),"")</f>
        <v/>
      </c>
      <c r="K100" s="79" t="str">
        <f>IF('Novice 15M - Scoring'!B17&lt;&gt;"",IF('Novice 15M - Scoring'!AL17&lt;&gt;"",'Novice 15M - Scoring'!AL17,""),"")</f>
        <v/>
      </c>
      <c r="L100" s="80" t="str">
        <f>IF('Novice 15M - Scoring'!B17&lt;&gt;"",'Novice 15M - Scoring'!AU17,"")</f>
        <v/>
      </c>
      <c r="M100" s="81" t="str">
        <f>IF(L95&lt;&gt;"",IFERROR(IF(ISNUMBER(L95),L95,0),0)+IFERROR(IF(ISNUMBER(L96),L96,0),0)+IFERROR(IF(ISNUMBER(L97),L97,0),0)+IFERROR(IF(ISNUMBER(L98),L98,0),0)+IFERROR(IF(ISNUMBER(L99),L99,0),0)+IFERROR(IF(ISNUMBER(L100),L100,0),0),"")</f>
        <v/>
      </c>
    </row>
    <row r="101" spans="1:13" ht="3.75" customHeight="1" x14ac:dyDescent="0.35"/>
    <row r="102" spans="1:13" ht="24" customHeight="1" x14ac:dyDescent="0.35">
      <c r="A102" s="124" t="s">
        <v>230</v>
      </c>
      <c r="B102" s="124"/>
      <c r="C102" s="124"/>
      <c r="D102" s="124"/>
      <c r="E102" s="125" t="str">
        <f>IF('Novice 15M - Scoring'!B16&lt;&gt;"",'Novice 15M - Scoring'!AV16,"")</f>
        <v/>
      </c>
      <c r="F102" s="125"/>
      <c r="H102" s="124" t="s">
        <v>230</v>
      </c>
      <c r="I102" s="124"/>
      <c r="J102" s="124"/>
      <c r="K102" s="124"/>
      <c r="L102" s="125" t="str">
        <f>IF('Novice 15M - Scoring'!B17&lt;&gt;"",'Novice 15M - Scoring'!AV17,"")</f>
        <v/>
      </c>
      <c r="M102" s="125"/>
    </row>
    <row r="103" spans="1:13" ht="19.5" customHeight="1" x14ac:dyDescent="0.35">
      <c r="E103" s="125"/>
      <c r="F103" s="125"/>
      <c r="L103" s="125"/>
      <c r="M103" s="125"/>
    </row>
    <row r="104" spans="1:13" ht="3.75" customHeight="1" x14ac:dyDescent="0.35"/>
    <row r="105" spans="1:13" ht="18" customHeight="1" x14ac:dyDescent="0.35">
      <c r="A105" s="73" t="s">
        <v>126</v>
      </c>
      <c r="B105" s="82" t="str">
        <f>IF('Novice 15M - Scoring'!B16&lt;&gt;"",'Novice 15M - Scoring'!AW16,"")</f>
        <v/>
      </c>
      <c r="C105" s="73" t="s">
        <v>127</v>
      </c>
      <c r="D105" s="83" t="str">
        <f>IF('Novice 15M - Scoring'!B16&lt;&gt;"",'Novice 15M - Scoring'!AX16,"")</f>
        <v/>
      </c>
      <c r="E105" s="73" t="s">
        <v>128</v>
      </c>
      <c r="F105" s="83" t="str">
        <f>IF('Novice 15M - Scoring'!B16&lt;&gt;"",'Novice 15M - Scoring'!AY16,"")</f>
        <v/>
      </c>
      <c r="H105" s="73" t="s">
        <v>126</v>
      </c>
      <c r="I105" s="82" t="str">
        <f>IF('Novice 15M - Scoring'!B17&lt;&gt;"",'Novice 15M - Scoring'!AW17,"")</f>
        <v/>
      </c>
      <c r="J105" s="73" t="s">
        <v>127</v>
      </c>
      <c r="K105" s="83" t="str">
        <f>IF('Novice 15M - Scoring'!B17&lt;&gt;"",'Novice 15M - Scoring'!AX17,"")</f>
        <v/>
      </c>
      <c r="L105" s="73" t="s">
        <v>128</v>
      </c>
      <c r="M105" s="83" t="str">
        <f>IF('Novice 15M - Scoring'!B17&lt;&gt;"",'Novice 15M - Scoring'!AY17,"")</f>
        <v/>
      </c>
    </row>
    <row r="106" spans="1:13" ht="3.75" customHeight="1" x14ac:dyDescent="0.35"/>
    <row r="107" spans="1:13" ht="7.5" customHeight="1" x14ac:dyDescent="0.35">
      <c r="A107" s="126"/>
      <c r="B107" s="126"/>
      <c r="C107" s="126"/>
      <c r="D107" s="126"/>
      <c r="E107" s="126"/>
      <c r="F107" s="126"/>
      <c r="G107" s="126"/>
      <c r="H107" s="126"/>
      <c r="I107" s="126"/>
      <c r="J107" s="126"/>
      <c r="K107" s="126"/>
      <c r="L107" s="126"/>
      <c r="M107" s="126"/>
    </row>
    <row r="108" spans="1:13" ht="15.75" customHeight="1" x14ac:dyDescent="0.35">
      <c r="A108" s="73" t="s">
        <v>218</v>
      </c>
      <c r="B108" s="122" t="str">
        <f>IF('Novice 15M - Scoring'!B18&lt;&gt;"",'Novice 15M - Scoring'!B18,"")</f>
        <v/>
      </c>
      <c r="C108" s="122"/>
      <c r="D108" s="122"/>
      <c r="E108" s="73" t="s">
        <v>219</v>
      </c>
      <c r="F108" s="74" t="str">
        <f>IF('Novice 15M - Scoring'!B18&lt;&gt;"",'Novice 15M - Scoring'!BB18,"")</f>
        <v/>
      </c>
      <c r="H108" s="73" t="s">
        <v>218</v>
      </c>
      <c r="I108" s="122" t="str">
        <f>IF('Novice 15M - Scoring'!B19&lt;&gt;"",'Novice 15M - Scoring'!B19,"")</f>
        <v/>
      </c>
      <c r="J108" s="122"/>
      <c r="K108" s="122"/>
      <c r="L108" s="73" t="s">
        <v>219</v>
      </c>
      <c r="M108" s="74" t="str">
        <f>IF('Novice 15M - Scoring'!B19&lt;&gt;"",'Novice 15M - Scoring'!BB19,"")</f>
        <v/>
      </c>
    </row>
    <row r="109" spans="1:13" ht="15.75" customHeight="1" x14ac:dyDescent="0.35">
      <c r="A109" s="73" t="s">
        <v>220</v>
      </c>
      <c r="B109" s="123" t="str">
        <f>IF('Novice 15M - Scoring'!B18&lt;&gt;"",'Novice 15M - Scoring'!D18,"")</f>
        <v/>
      </c>
      <c r="C109" s="123"/>
      <c r="D109" s="123"/>
      <c r="E109" s="73" t="s">
        <v>8</v>
      </c>
      <c r="F109" s="75" t="str">
        <f>IF('Novice 15M - Scoring'!B18&lt;&gt;"",'Novice 15M - Scoring'!E18,"")</f>
        <v/>
      </c>
      <c r="H109" s="73" t="s">
        <v>220</v>
      </c>
      <c r="I109" s="123" t="str">
        <f>IF('Novice 15M - Scoring'!B19&lt;&gt;"",'Novice 15M - Scoring'!D19,"")</f>
        <v/>
      </c>
      <c r="J109" s="123"/>
      <c r="K109" s="123"/>
      <c r="L109" s="73" t="s">
        <v>8</v>
      </c>
      <c r="M109" s="75" t="str">
        <f>IF('Novice 15M - Scoring'!B19&lt;&gt;"",'Novice 15M - Scoring'!E19,"")</f>
        <v/>
      </c>
    </row>
    <row r="110" spans="1:13" ht="3.75" customHeight="1" x14ac:dyDescent="0.35"/>
    <row r="111" spans="1:13" ht="25.5" customHeight="1" x14ac:dyDescent="0.35">
      <c r="A111" s="76" t="s">
        <v>221</v>
      </c>
      <c r="B111" s="77" t="s">
        <v>222</v>
      </c>
      <c r="C111" s="77" t="s">
        <v>223</v>
      </c>
      <c r="D111" s="77" t="s">
        <v>224</v>
      </c>
      <c r="E111" s="76" t="s">
        <v>225</v>
      </c>
      <c r="F111" s="76" t="s">
        <v>226</v>
      </c>
      <c r="H111" s="76" t="s">
        <v>221</v>
      </c>
      <c r="I111" s="77" t="s">
        <v>222</v>
      </c>
      <c r="J111" s="77" t="s">
        <v>223</v>
      </c>
      <c r="K111" s="77" t="s">
        <v>224</v>
      </c>
      <c r="L111" s="76" t="s">
        <v>225</v>
      </c>
      <c r="M111" s="76" t="s">
        <v>226</v>
      </c>
    </row>
    <row r="112" spans="1:13" ht="19.5" customHeight="1" x14ac:dyDescent="0.35">
      <c r="A112" s="78" t="s">
        <v>222</v>
      </c>
      <c r="B112" s="79" t="str">
        <f>IF('Novice 15M - Scoring'!B18&lt;&gt;"",IF('Novice 15M - Scoring'!F18&lt;&gt;"",'Novice 15M - Scoring'!F18,""),"")</f>
        <v/>
      </c>
      <c r="C112" s="79" t="str">
        <f>IF('Novice 15M - Scoring'!B18&lt;&gt;"",IF('Novice 15M - Scoring'!G18&lt;&gt;"",'Novice 15M - Scoring'!G18,""),"")</f>
        <v/>
      </c>
      <c r="D112" s="79" t="str">
        <f>IF('Novice 15M - Scoring'!B18&lt;&gt;"",IF('Novice 15M - Scoring'!H18&lt;&gt;"",'Novice 15M - Scoring'!H18,""),"")</f>
        <v/>
      </c>
      <c r="E112" s="80" t="str">
        <f>IF('Novice 15M - Scoring'!B18&lt;&gt;"",'Novice 15M - Scoring'!AP18,"")</f>
        <v/>
      </c>
      <c r="F112" s="81" t="str">
        <f>IFERROR(IF(ISNUMBER(E112),E112,""),"")</f>
        <v/>
      </c>
      <c r="H112" s="78" t="s">
        <v>222</v>
      </c>
      <c r="I112" s="79" t="str">
        <f>IF('Novice 15M - Scoring'!B19&lt;&gt;"",IF('Novice 15M - Scoring'!F19&lt;&gt;"",'Novice 15M - Scoring'!F19,""),"")</f>
        <v/>
      </c>
      <c r="J112" s="79" t="str">
        <f>IF('Novice 15M - Scoring'!B19&lt;&gt;"",IF('Novice 15M - Scoring'!G19&lt;&gt;"",'Novice 15M - Scoring'!G19,""),"")</f>
        <v/>
      </c>
      <c r="K112" s="79" t="str">
        <f>IF('Novice 15M - Scoring'!B19&lt;&gt;"",IF('Novice 15M - Scoring'!H19&lt;&gt;"",'Novice 15M - Scoring'!H19,""),"")</f>
        <v/>
      </c>
      <c r="L112" s="80" t="str">
        <f>IF('Novice 15M - Scoring'!B19&lt;&gt;"",'Novice 15M - Scoring'!AP19,"")</f>
        <v/>
      </c>
      <c r="M112" s="81" t="str">
        <f>IFERROR(IF(ISNUMBER(L112),L112,""),"")</f>
        <v/>
      </c>
    </row>
    <row r="113" spans="1:13" ht="19.5" customHeight="1" x14ac:dyDescent="0.35">
      <c r="A113" s="78" t="s">
        <v>223</v>
      </c>
      <c r="B113" s="79" t="str">
        <f>IF('Novice 15M - Scoring'!B18&lt;&gt;"",IF('Novice 15M - Scoring'!L18&lt;&gt;"",'Novice 15M - Scoring'!L18,""),"")</f>
        <v/>
      </c>
      <c r="C113" s="79" t="str">
        <f>IF('Novice 15M - Scoring'!B18&lt;&gt;"",IF('Novice 15M - Scoring'!M18&lt;&gt;"",'Novice 15M - Scoring'!M18,""),"")</f>
        <v/>
      </c>
      <c r="D113" s="79" t="str">
        <f>IF('Novice 15M - Scoring'!B18&lt;&gt;"",IF('Novice 15M - Scoring'!N18&lt;&gt;"",'Novice 15M - Scoring'!N18,""),"")</f>
        <v/>
      </c>
      <c r="E113" s="80" t="str">
        <f>IF('Novice 15M - Scoring'!B18&lt;&gt;"",'Novice 15M - Scoring'!AQ18,"")</f>
        <v/>
      </c>
      <c r="F113" s="81" t="str">
        <f>IF(E112&lt;&gt;"",IFERROR(IF(ISNUMBER(E112),E112,0),0)+IFERROR(IF(ISNUMBER(E113),E113,0),0),"")</f>
        <v/>
      </c>
      <c r="H113" s="78" t="s">
        <v>223</v>
      </c>
      <c r="I113" s="79" t="str">
        <f>IF('Novice 15M - Scoring'!B19&lt;&gt;"",IF('Novice 15M - Scoring'!L19&lt;&gt;"",'Novice 15M - Scoring'!L19,""),"")</f>
        <v/>
      </c>
      <c r="J113" s="79" t="str">
        <f>IF('Novice 15M - Scoring'!B19&lt;&gt;"",IF('Novice 15M - Scoring'!M19&lt;&gt;"",'Novice 15M - Scoring'!M19,""),"")</f>
        <v/>
      </c>
      <c r="K113" s="79" t="str">
        <f>IF('Novice 15M - Scoring'!B19&lt;&gt;"",IF('Novice 15M - Scoring'!N19&lt;&gt;"",'Novice 15M - Scoring'!N19,""),"")</f>
        <v/>
      </c>
      <c r="L113" s="80" t="str">
        <f>IF('Novice 15M - Scoring'!B19&lt;&gt;"",'Novice 15M - Scoring'!AQ19,"")</f>
        <v/>
      </c>
      <c r="M113" s="81" t="str">
        <f>IF(L112&lt;&gt;"",IFERROR(IF(ISNUMBER(L112),L112,0),0)+IFERROR(IF(ISNUMBER(L113),L113,0),0),"")</f>
        <v/>
      </c>
    </row>
    <row r="114" spans="1:13" ht="19.5" customHeight="1" x14ac:dyDescent="0.35">
      <c r="A114" s="78" t="s">
        <v>224</v>
      </c>
      <c r="B114" s="79" t="str">
        <f>IF('Novice 15M - Scoring'!B18&lt;&gt;"",IF('Novice 15M - Scoring'!R18&lt;&gt;"",'Novice 15M - Scoring'!R18,""),"")</f>
        <v/>
      </c>
      <c r="C114" s="79" t="str">
        <f>IF('Novice 15M - Scoring'!B18&lt;&gt;"",IF('Novice 15M - Scoring'!S18&lt;&gt;"",'Novice 15M - Scoring'!S18,""),"")</f>
        <v/>
      </c>
      <c r="D114" s="79" t="str">
        <f>IF('Novice 15M - Scoring'!B18&lt;&gt;"",IF('Novice 15M - Scoring'!T18&lt;&gt;"",'Novice 15M - Scoring'!T18,""),"")</f>
        <v/>
      </c>
      <c r="E114" s="80" t="str">
        <f>IF('Novice 15M - Scoring'!B18&lt;&gt;"",'Novice 15M - Scoring'!AR18,"")</f>
        <v/>
      </c>
      <c r="F114" s="81" t="str">
        <f>IF(E112&lt;&gt;"",IFERROR(IF(ISNUMBER(E112),E112,0),0)+IFERROR(IF(ISNUMBER(E113),E113,0),0)+IFERROR(IF(ISNUMBER(E114),E114,0),0),"")</f>
        <v/>
      </c>
      <c r="H114" s="78" t="s">
        <v>224</v>
      </c>
      <c r="I114" s="79" t="str">
        <f>IF('Novice 15M - Scoring'!B19&lt;&gt;"",IF('Novice 15M - Scoring'!R19&lt;&gt;"",'Novice 15M - Scoring'!R19,""),"")</f>
        <v/>
      </c>
      <c r="J114" s="79" t="str">
        <f>IF('Novice 15M - Scoring'!B19&lt;&gt;"",IF('Novice 15M - Scoring'!S19&lt;&gt;"",'Novice 15M - Scoring'!S19,""),"")</f>
        <v/>
      </c>
      <c r="K114" s="79" t="str">
        <f>IF('Novice 15M - Scoring'!B19&lt;&gt;"",IF('Novice 15M - Scoring'!T19&lt;&gt;"",'Novice 15M - Scoring'!T19,""),"")</f>
        <v/>
      </c>
      <c r="L114" s="80" t="str">
        <f>IF('Novice 15M - Scoring'!B19&lt;&gt;"",'Novice 15M - Scoring'!AR19,"")</f>
        <v/>
      </c>
      <c r="M114" s="81" t="str">
        <f>IF(L112&lt;&gt;"",IFERROR(IF(ISNUMBER(L112),L112,0),0)+IFERROR(IF(ISNUMBER(L113),L113,0),0)+IFERROR(IF(ISNUMBER(L114),L114,0),0),"")</f>
        <v/>
      </c>
    </row>
    <row r="115" spans="1:13" ht="19.5" customHeight="1" x14ac:dyDescent="0.35">
      <c r="A115" s="78" t="s">
        <v>227</v>
      </c>
      <c r="B115" s="79" t="str">
        <f>IF('Novice 15M - Scoring'!B18&lt;&gt;"",IF('Novice 15M - Scoring'!X18&lt;&gt;"",'Novice 15M - Scoring'!X18,""),"")</f>
        <v/>
      </c>
      <c r="C115" s="79" t="str">
        <f>IF('Novice 15M - Scoring'!B18&lt;&gt;"",IF('Novice 15M - Scoring'!Y18&lt;&gt;"",'Novice 15M - Scoring'!Y18,""),"")</f>
        <v/>
      </c>
      <c r="D115" s="79" t="str">
        <f>IF('Novice 15M - Scoring'!B18&lt;&gt;"",IF('Novice 15M - Scoring'!Z18&lt;&gt;"",'Novice 15M - Scoring'!Z18,""),"")</f>
        <v/>
      </c>
      <c r="E115" s="80" t="str">
        <f>IF('Novice 15M - Scoring'!B18&lt;&gt;"",'Novice 15M - Scoring'!AS18,"")</f>
        <v/>
      </c>
      <c r="F115" s="81" t="str">
        <f>IF(E112&lt;&gt;"",IFERROR(IF(ISNUMBER(E112),E112,0),0)+IFERROR(IF(ISNUMBER(E113),E113,0),0)+IFERROR(IF(ISNUMBER(E114),E114,0),0)+IFERROR(IF(ISNUMBER(E115),E115,0),0),"")</f>
        <v/>
      </c>
      <c r="H115" s="78" t="s">
        <v>227</v>
      </c>
      <c r="I115" s="79" t="str">
        <f>IF('Novice 15M - Scoring'!B19&lt;&gt;"",IF('Novice 15M - Scoring'!X19&lt;&gt;"",'Novice 15M - Scoring'!X19,""),"")</f>
        <v/>
      </c>
      <c r="J115" s="79" t="str">
        <f>IF('Novice 15M - Scoring'!B19&lt;&gt;"",IF('Novice 15M - Scoring'!Y19&lt;&gt;"",'Novice 15M - Scoring'!Y19,""),"")</f>
        <v/>
      </c>
      <c r="K115" s="79" t="str">
        <f>IF('Novice 15M - Scoring'!B19&lt;&gt;"",IF('Novice 15M - Scoring'!Z19&lt;&gt;"",'Novice 15M - Scoring'!Z19,""),"")</f>
        <v/>
      </c>
      <c r="L115" s="80" t="str">
        <f>IF('Novice 15M - Scoring'!B19&lt;&gt;"",'Novice 15M - Scoring'!AS19,"")</f>
        <v/>
      </c>
      <c r="M115" s="81" t="str">
        <f>IF(L112&lt;&gt;"",IFERROR(IF(ISNUMBER(L112),L112,0),0)+IFERROR(IF(ISNUMBER(L113),L113,0),0)+IFERROR(IF(ISNUMBER(L114),L114,0),0)+IFERROR(IF(ISNUMBER(L115),L115,0),0),"")</f>
        <v/>
      </c>
    </row>
    <row r="116" spans="1:13" ht="19.5" customHeight="1" x14ac:dyDescent="0.35">
      <c r="A116" s="78" t="s">
        <v>228</v>
      </c>
      <c r="B116" s="79" t="str">
        <f>IF('Novice 15M - Scoring'!B18&lt;&gt;"",IF('Novice 15M - Scoring'!AD18&lt;&gt;"",'Novice 15M - Scoring'!AD18,""),"")</f>
        <v/>
      </c>
      <c r="C116" s="79" t="str">
        <f>IF('Novice 15M - Scoring'!B18&lt;&gt;"",IF('Novice 15M - Scoring'!AE18&lt;&gt;"",'Novice 15M - Scoring'!AE18,""),"")</f>
        <v/>
      </c>
      <c r="D116" s="79" t="str">
        <f>IF('Novice 15M - Scoring'!B18&lt;&gt;"",IF('Novice 15M - Scoring'!AF18&lt;&gt;"",'Novice 15M - Scoring'!AF18,""),"")</f>
        <v/>
      </c>
      <c r="E116" s="80" t="str">
        <f>IF('Novice 15M - Scoring'!B18&lt;&gt;"",'Novice 15M - Scoring'!AT18,"")</f>
        <v/>
      </c>
      <c r="F116" s="81" t="str">
        <f>IF(E112&lt;&gt;"",IFERROR(IF(ISNUMBER(E112),E112,0),0)+IFERROR(IF(ISNUMBER(E113),E113,0),0)+IFERROR(IF(ISNUMBER(E114),E114,0),0)+IFERROR(IF(ISNUMBER(E115),E115,0),0)+IFERROR(IF(ISNUMBER(E116),E116,0),0),"")</f>
        <v/>
      </c>
      <c r="H116" s="78" t="s">
        <v>228</v>
      </c>
      <c r="I116" s="79" t="str">
        <f>IF('Novice 15M - Scoring'!B19&lt;&gt;"",IF('Novice 15M - Scoring'!AD19&lt;&gt;"",'Novice 15M - Scoring'!AD19,""),"")</f>
        <v/>
      </c>
      <c r="J116" s="79" t="str">
        <f>IF('Novice 15M - Scoring'!B19&lt;&gt;"",IF('Novice 15M - Scoring'!AE19&lt;&gt;"",'Novice 15M - Scoring'!AE19,""),"")</f>
        <v/>
      </c>
      <c r="K116" s="79" t="str">
        <f>IF('Novice 15M - Scoring'!B19&lt;&gt;"",IF('Novice 15M - Scoring'!AF19&lt;&gt;"",'Novice 15M - Scoring'!AF19,""),"")</f>
        <v/>
      </c>
      <c r="L116" s="80" t="str">
        <f>IF('Novice 15M - Scoring'!B19&lt;&gt;"",'Novice 15M - Scoring'!AT19,"")</f>
        <v/>
      </c>
      <c r="M116" s="81" t="str">
        <f>IF(L112&lt;&gt;"",IFERROR(IF(ISNUMBER(L112),L112,0),0)+IFERROR(IF(ISNUMBER(L113),L113,0),0)+IFERROR(IF(ISNUMBER(L114),L114,0),0)+IFERROR(IF(ISNUMBER(L115),L115,0),0)+IFERROR(IF(ISNUMBER(L116),L116,0),0),"")</f>
        <v/>
      </c>
    </row>
    <row r="117" spans="1:13" ht="19.5" customHeight="1" x14ac:dyDescent="0.35">
      <c r="A117" s="78" t="s">
        <v>229</v>
      </c>
      <c r="B117" s="79" t="str">
        <f>IF('Novice 15M - Scoring'!B18&lt;&gt;"",IF('Novice 15M - Scoring'!AJ18&lt;&gt;"",'Novice 15M - Scoring'!AJ18,""),"")</f>
        <v/>
      </c>
      <c r="C117" s="79" t="str">
        <f>IF('Novice 15M - Scoring'!B18&lt;&gt;"",IF('Novice 15M - Scoring'!AK18&lt;&gt;"",'Novice 15M - Scoring'!AK18,""),"")</f>
        <v/>
      </c>
      <c r="D117" s="79" t="str">
        <f>IF('Novice 15M - Scoring'!B18&lt;&gt;"",IF('Novice 15M - Scoring'!AL18&lt;&gt;"",'Novice 15M - Scoring'!AL18,""),"")</f>
        <v/>
      </c>
      <c r="E117" s="80" t="str">
        <f>IF('Novice 15M - Scoring'!B18&lt;&gt;"",'Novice 15M - Scoring'!AU18,"")</f>
        <v/>
      </c>
      <c r="F117" s="81" t="str">
        <f>IF(E112&lt;&gt;"",IFERROR(IF(ISNUMBER(E112),E112,0),0)+IFERROR(IF(ISNUMBER(E113),E113,0),0)+IFERROR(IF(ISNUMBER(E114),E114,0),0)+IFERROR(IF(ISNUMBER(E115),E115,0),0)+IFERROR(IF(ISNUMBER(E116),E116,0),0)+IFERROR(IF(ISNUMBER(E117),E117,0),0),"")</f>
        <v/>
      </c>
      <c r="H117" s="78" t="s">
        <v>229</v>
      </c>
      <c r="I117" s="79" t="str">
        <f>IF('Novice 15M - Scoring'!B19&lt;&gt;"",IF('Novice 15M - Scoring'!AJ19&lt;&gt;"",'Novice 15M - Scoring'!AJ19,""),"")</f>
        <v/>
      </c>
      <c r="J117" s="79" t="str">
        <f>IF('Novice 15M - Scoring'!B19&lt;&gt;"",IF('Novice 15M - Scoring'!AK19&lt;&gt;"",'Novice 15M - Scoring'!AK19,""),"")</f>
        <v/>
      </c>
      <c r="K117" s="79" t="str">
        <f>IF('Novice 15M - Scoring'!B19&lt;&gt;"",IF('Novice 15M - Scoring'!AL19&lt;&gt;"",'Novice 15M - Scoring'!AL19,""),"")</f>
        <v/>
      </c>
      <c r="L117" s="80" t="str">
        <f>IF('Novice 15M - Scoring'!B19&lt;&gt;"",'Novice 15M - Scoring'!AU19,"")</f>
        <v/>
      </c>
      <c r="M117" s="81" t="str">
        <f>IF(L112&lt;&gt;"",IFERROR(IF(ISNUMBER(L112),L112,0),0)+IFERROR(IF(ISNUMBER(L113),L113,0),0)+IFERROR(IF(ISNUMBER(L114),L114,0),0)+IFERROR(IF(ISNUMBER(L115),L115,0),0)+IFERROR(IF(ISNUMBER(L116),L116,0),0)+IFERROR(IF(ISNUMBER(L117),L117,0),0),"")</f>
        <v/>
      </c>
    </row>
    <row r="118" spans="1:13" ht="3.75" customHeight="1" x14ac:dyDescent="0.35"/>
    <row r="119" spans="1:13" ht="24" customHeight="1" x14ac:dyDescent="0.35">
      <c r="A119" s="124" t="s">
        <v>230</v>
      </c>
      <c r="B119" s="124"/>
      <c r="C119" s="124"/>
      <c r="D119" s="124"/>
      <c r="E119" s="125" t="str">
        <f>IF('Novice 15M - Scoring'!B18&lt;&gt;"",'Novice 15M - Scoring'!AV18,"")</f>
        <v/>
      </c>
      <c r="F119" s="125"/>
      <c r="H119" s="124" t="s">
        <v>230</v>
      </c>
      <c r="I119" s="124"/>
      <c r="J119" s="124"/>
      <c r="K119" s="124"/>
      <c r="L119" s="125" t="str">
        <f>IF('Novice 15M - Scoring'!B19&lt;&gt;"",'Novice 15M - Scoring'!AV19,"")</f>
        <v/>
      </c>
      <c r="M119" s="125"/>
    </row>
    <row r="120" spans="1:13" ht="19.5" customHeight="1" x14ac:dyDescent="0.35">
      <c r="E120" s="125"/>
      <c r="F120" s="125"/>
      <c r="L120" s="125"/>
      <c r="M120" s="125"/>
    </row>
    <row r="121" spans="1:13" ht="3.75" customHeight="1" x14ac:dyDescent="0.35"/>
    <row r="122" spans="1:13" ht="18" customHeight="1" x14ac:dyDescent="0.35">
      <c r="A122" s="73" t="s">
        <v>126</v>
      </c>
      <c r="B122" s="82" t="str">
        <f>IF('Novice 15M - Scoring'!B18&lt;&gt;"",'Novice 15M - Scoring'!AW18,"")</f>
        <v/>
      </c>
      <c r="C122" s="73" t="s">
        <v>127</v>
      </c>
      <c r="D122" s="83" t="str">
        <f>IF('Novice 15M - Scoring'!B18&lt;&gt;"",'Novice 15M - Scoring'!AX18,"")</f>
        <v/>
      </c>
      <c r="E122" s="73" t="s">
        <v>128</v>
      </c>
      <c r="F122" s="83" t="str">
        <f>IF('Novice 15M - Scoring'!B18&lt;&gt;"",'Novice 15M - Scoring'!AY18,"")</f>
        <v/>
      </c>
      <c r="H122" s="73" t="s">
        <v>126</v>
      </c>
      <c r="I122" s="82" t="str">
        <f>IF('Novice 15M - Scoring'!B19&lt;&gt;"",'Novice 15M - Scoring'!AW19,"")</f>
        <v/>
      </c>
      <c r="J122" s="73" t="s">
        <v>127</v>
      </c>
      <c r="K122" s="83" t="str">
        <f>IF('Novice 15M - Scoring'!B19&lt;&gt;"",'Novice 15M - Scoring'!AX19,"")</f>
        <v/>
      </c>
      <c r="L122" s="73" t="s">
        <v>128</v>
      </c>
      <c r="M122" s="83" t="str">
        <f>IF('Novice 15M - Scoring'!B19&lt;&gt;"",'Novice 15M - Scoring'!AY19,"")</f>
        <v/>
      </c>
    </row>
    <row r="123" spans="1:13" ht="3.75" customHeight="1" x14ac:dyDescent="0.35"/>
    <row r="124" spans="1:13" ht="7.5" customHeight="1" x14ac:dyDescent="0.35">
      <c r="A124" s="126"/>
      <c r="B124" s="126"/>
      <c r="C124" s="126"/>
      <c r="D124" s="126"/>
      <c r="E124" s="126"/>
      <c r="F124" s="126"/>
      <c r="G124" s="126"/>
      <c r="H124" s="126"/>
      <c r="I124" s="126"/>
      <c r="J124" s="126"/>
      <c r="K124" s="126"/>
      <c r="L124" s="126"/>
      <c r="M124" s="126"/>
    </row>
    <row r="125" spans="1:13" ht="15.75" customHeight="1" x14ac:dyDescent="0.35">
      <c r="A125" s="73" t="s">
        <v>218</v>
      </c>
      <c r="B125" s="122" t="str">
        <f>IF('Novice 15M - Scoring'!B20&lt;&gt;"",'Novice 15M - Scoring'!B20,"")</f>
        <v/>
      </c>
      <c r="C125" s="122"/>
      <c r="D125" s="122"/>
      <c r="E125" s="73" t="s">
        <v>219</v>
      </c>
      <c r="F125" s="74" t="str">
        <f>IF('Novice 15M - Scoring'!B20&lt;&gt;"",'Novice 15M - Scoring'!BB20,"")</f>
        <v/>
      </c>
      <c r="H125" s="73" t="s">
        <v>218</v>
      </c>
      <c r="I125" s="122" t="str">
        <f>IF('Novice 15M - Scoring'!B21&lt;&gt;"",'Novice 15M - Scoring'!B21,"")</f>
        <v/>
      </c>
      <c r="J125" s="122"/>
      <c r="K125" s="122"/>
      <c r="L125" s="73" t="s">
        <v>219</v>
      </c>
      <c r="M125" s="74" t="str">
        <f>IF('Novice 15M - Scoring'!B21&lt;&gt;"",'Novice 15M - Scoring'!BB21,"")</f>
        <v/>
      </c>
    </row>
    <row r="126" spans="1:13" ht="15.75" customHeight="1" x14ac:dyDescent="0.35">
      <c r="A126" s="73" t="s">
        <v>220</v>
      </c>
      <c r="B126" s="123" t="str">
        <f>IF('Novice 15M - Scoring'!B20&lt;&gt;"",'Novice 15M - Scoring'!D20,"")</f>
        <v/>
      </c>
      <c r="C126" s="123"/>
      <c r="D126" s="123"/>
      <c r="E126" s="73" t="s">
        <v>8</v>
      </c>
      <c r="F126" s="75" t="str">
        <f>IF('Novice 15M - Scoring'!B20&lt;&gt;"",'Novice 15M - Scoring'!E20,"")</f>
        <v/>
      </c>
      <c r="H126" s="73" t="s">
        <v>220</v>
      </c>
      <c r="I126" s="123" t="str">
        <f>IF('Novice 15M - Scoring'!B21&lt;&gt;"",'Novice 15M - Scoring'!D21,"")</f>
        <v/>
      </c>
      <c r="J126" s="123"/>
      <c r="K126" s="123"/>
      <c r="L126" s="73" t="s">
        <v>8</v>
      </c>
      <c r="M126" s="75" t="str">
        <f>IF('Novice 15M - Scoring'!B21&lt;&gt;"",'Novice 15M - Scoring'!E21,"")</f>
        <v/>
      </c>
    </row>
    <row r="127" spans="1:13" ht="3.75" customHeight="1" x14ac:dyDescent="0.35"/>
    <row r="128" spans="1:13" ht="25.5" customHeight="1" x14ac:dyDescent="0.35">
      <c r="A128" s="76" t="s">
        <v>221</v>
      </c>
      <c r="B128" s="77" t="s">
        <v>222</v>
      </c>
      <c r="C128" s="77" t="s">
        <v>223</v>
      </c>
      <c r="D128" s="77" t="s">
        <v>224</v>
      </c>
      <c r="E128" s="76" t="s">
        <v>225</v>
      </c>
      <c r="F128" s="76" t="s">
        <v>226</v>
      </c>
      <c r="H128" s="76" t="s">
        <v>221</v>
      </c>
      <c r="I128" s="77" t="s">
        <v>222</v>
      </c>
      <c r="J128" s="77" t="s">
        <v>223</v>
      </c>
      <c r="K128" s="77" t="s">
        <v>224</v>
      </c>
      <c r="L128" s="76" t="s">
        <v>225</v>
      </c>
      <c r="M128" s="76" t="s">
        <v>226</v>
      </c>
    </row>
    <row r="129" spans="1:13" ht="19.5" customHeight="1" x14ac:dyDescent="0.35">
      <c r="A129" s="78" t="s">
        <v>222</v>
      </c>
      <c r="B129" s="79" t="str">
        <f>IF('Novice 15M - Scoring'!B20&lt;&gt;"",IF('Novice 15M - Scoring'!F20&lt;&gt;"",'Novice 15M - Scoring'!F20,""),"")</f>
        <v/>
      </c>
      <c r="C129" s="79" t="str">
        <f>IF('Novice 15M - Scoring'!B20&lt;&gt;"",IF('Novice 15M - Scoring'!G20&lt;&gt;"",'Novice 15M - Scoring'!G20,""),"")</f>
        <v/>
      </c>
      <c r="D129" s="79" t="str">
        <f>IF('Novice 15M - Scoring'!B20&lt;&gt;"",IF('Novice 15M - Scoring'!H20&lt;&gt;"",'Novice 15M - Scoring'!H20,""),"")</f>
        <v/>
      </c>
      <c r="E129" s="80" t="str">
        <f>IF('Novice 15M - Scoring'!B20&lt;&gt;"",'Novice 15M - Scoring'!AP20,"")</f>
        <v/>
      </c>
      <c r="F129" s="81" t="str">
        <f>IFERROR(IF(ISNUMBER(E129),E129,""),"")</f>
        <v/>
      </c>
      <c r="H129" s="78" t="s">
        <v>222</v>
      </c>
      <c r="I129" s="79" t="str">
        <f>IF('Novice 15M - Scoring'!B21&lt;&gt;"",IF('Novice 15M - Scoring'!F21&lt;&gt;"",'Novice 15M - Scoring'!F21,""),"")</f>
        <v/>
      </c>
      <c r="J129" s="79" t="str">
        <f>IF('Novice 15M - Scoring'!B21&lt;&gt;"",IF('Novice 15M - Scoring'!G21&lt;&gt;"",'Novice 15M - Scoring'!G21,""),"")</f>
        <v/>
      </c>
      <c r="K129" s="79" t="str">
        <f>IF('Novice 15M - Scoring'!B21&lt;&gt;"",IF('Novice 15M - Scoring'!H21&lt;&gt;"",'Novice 15M - Scoring'!H21,""),"")</f>
        <v/>
      </c>
      <c r="L129" s="80" t="str">
        <f>IF('Novice 15M - Scoring'!B21&lt;&gt;"",'Novice 15M - Scoring'!AP21,"")</f>
        <v/>
      </c>
      <c r="M129" s="81" t="str">
        <f>IFERROR(IF(ISNUMBER(L129),L129,""),"")</f>
        <v/>
      </c>
    </row>
    <row r="130" spans="1:13" ht="19.5" customHeight="1" x14ac:dyDescent="0.35">
      <c r="A130" s="78" t="s">
        <v>223</v>
      </c>
      <c r="B130" s="79" t="str">
        <f>IF('Novice 15M - Scoring'!B20&lt;&gt;"",IF('Novice 15M - Scoring'!L20&lt;&gt;"",'Novice 15M - Scoring'!L20,""),"")</f>
        <v/>
      </c>
      <c r="C130" s="79" t="str">
        <f>IF('Novice 15M - Scoring'!B20&lt;&gt;"",IF('Novice 15M - Scoring'!M20&lt;&gt;"",'Novice 15M - Scoring'!M20,""),"")</f>
        <v/>
      </c>
      <c r="D130" s="79" t="str">
        <f>IF('Novice 15M - Scoring'!B20&lt;&gt;"",IF('Novice 15M - Scoring'!N20&lt;&gt;"",'Novice 15M - Scoring'!N20,""),"")</f>
        <v/>
      </c>
      <c r="E130" s="80" t="str">
        <f>IF('Novice 15M - Scoring'!B20&lt;&gt;"",'Novice 15M - Scoring'!AQ20,"")</f>
        <v/>
      </c>
      <c r="F130" s="81" t="str">
        <f>IF(E129&lt;&gt;"",IFERROR(IF(ISNUMBER(E129),E129,0),0)+IFERROR(IF(ISNUMBER(E130),E130,0),0),"")</f>
        <v/>
      </c>
      <c r="H130" s="78" t="s">
        <v>223</v>
      </c>
      <c r="I130" s="79" t="str">
        <f>IF('Novice 15M - Scoring'!B21&lt;&gt;"",IF('Novice 15M - Scoring'!L21&lt;&gt;"",'Novice 15M - Scoring'!L21,""),"")</f>
        <v/>
      </c>
      <c r="J130" s="79" t="str">
        <f>IF('Novice 15M - Scoring'!B21&lt;&gt;"",IF('Novice 15M - Scoring'!M21&lt;&gt;"",'Novice 15M - Scoring'!M21,""),"")</f>
        <v/>
      </c>
      <c r="K130" s="79" t="str">
        <f>IF('Novice 15M - Scoring'!B21&lt;&gt;"",IF('Novice 15M - Scoring'!N21&lt;&gt;"",'Novice 15M - Scoring'!N21,""),"")</f>
        <v/>
      </c>
      <c r="L130" s="80" t="str">
        <f>IF('Novice 15M - Scoring'!B21&lt;&gt;"",'Novice 15M - Scoring'!AQ21,"")</f>
        <v/>
      </c>
      <c r="M130" s="81" t="str">
        <f>IF(L129&lt;&gt;"",IFERROR(IF(ISNUMBER(L129),L129,0),0)+IFERROR(IF(ISNUMBER(L130),L130,0),0),"")</f>
        <v/>
      </c>
    </row>
    <row r="131" spans="1:13" ht="19.5" customHeight="1" x14ac:dyDescent="0.35">
      <c r="A131" s="78" t="s">
        <v>224</v>
      </c>
      <c r="B131" s="79" t="str">
        <f>IF('Novice 15M - Scoring'!B20&lt;&gt;"",IF('Novice 15M - Scoring'!R20&lt;&gt;"",'Novice 15M - Scoring'!R20,""),"")</f>
        <v/>
      </c>
      <c r="C131" s="79" t="str">
        <f>IF('Novice 15M - Scoring'!B20&lt;&gt;"",IF('Novice 15M - Scoring'!S20&lt;&gt;"",'Novice 15M - Scoring'!S20,""),"")</f>
        <v/>
      </c>
      <c r="D131" s="79" t="str">
        <f>IF('Novice 15M - Scoring'!B20&lt;&gt;"",IF('Novice 15M - Scoring'!T20&lt;&gt;"",'Novice 15M - Scoring'!T20,""),"")</f>
        <v/>
      </c>
      <c r="E131" s="80" t="str">
        <f>IF('Novice 15M - Scoring'!B20&lt;&gt;"",'Novice 15M - Scoring'!AR20,"")</f>
        <v/>
      </c>
      <c r="F131" s="81" t="str">
        <f>IF(E129&lt;&gt;"",IFERROR(IF(ISNUMBER(E129),E129,0),0)+IFERROR(IF(ISNUMBER(E130),E130,0),0)+IFERROR(IF(ISNUMBER(E131),E131,0),0),"")</f>
        <v/>
      </c>
      <c r="H131" s="78" t="s">
        <v>224</v>
      </c>
      <c r="I131" s="79" t="str">
        <f>IF('Novice 15M - Scoring'!B21&lt;&gt;"",IF('Novice 15M - Scoring'!R21&lt;&gt;"",'Novice 15M - Scoring'!R21,""),"")</f>
        <v/>
      </c>
      <c r="J131" s="79" t="str">
        <f>IF('Novice 15M - Scoring'!B21&lt;&gt;"",IF('Novice 15M - Scoring'!S21&lt;&gt;"",'Novice 15M - Scoring'!S21,""),"")</f>
        <v/>
      </c>
      <c r="K131" s="79" t="str">
        <f>IF('Novice 15M - Scoring'!B21&lt;&gt;"",IF('Novice 15M - Scoring'!T21&lt;&gt;"",'Novice 15M - Scoring'!T21,""),"")</f>
        <v/>
      </c>
      <c r="L131" s="80" t="str">
        <f>IF('Novice 15M - Scoring'!B21&lt;&gt;"",'Novice 15M - Scoring'!AR21,"")</f>
        <v/>
      </c>
      <c r="M131" s="81" t="str">
        <f>IF(L129&lt;&gt;"",IFERROR(IF(ISNUMBER(L129),L129,0),0)+IFERROR(IF(ISNUMBER(L130),L130,0),0)+IFERROR(IF(ISNUMBER(L131),L131,0),0),"")</f>
        <v/>
      </c>
    </row>
    <row r="132" spans="1:13" ht="19.5" customHeight="1" x14ac:dyDescent="0.35">
      <c r="A132" s="78" t="s">
        <v>227</v>
      </c>
      <c r="B132" s="79" t="str">
        <f>IF('Novice 15M - Scoring'!B20&lt;&gt;"",IF('Novice 15M - Scoring'!X20&lt;&gt;"",'Novice 15M - Scoring'!X20,""),"")</f>
        <v/>
      </c>
      <c r="C132" s="79" t="str">
        <f>IF('Novice 15M - Scoring'!B20&lt;&gt;"",IF('Novice 15M - Scoring'!Y20&lt;&gt;"",'Novice 15M - Scoring'!Y20,""),"")</f>
        <v/>
      </c>
      <c r="D132" s="79" t="str">
        <f>IF('Novice 15M - Scoring'!B20&lt;&gt;"",IF('Novice 15M - Scoring'!Z20&lt;&gt;"",'Novice 15M - Scoring'!Z20,""),"")</f>
        <v/>
      </c>
      <c r="E132" s="80" t="str">
        <f>IF('Novice 15M - Scoring'!B20&lt;&gt;"",'Novice 15M - Scoring'!AS20,"")</f>
        <v/>
      </c>
      <c r="F132" s="81" t="str">
        <f>IF(E129&lt;&gt;"",IFERROR(IF(ISNUMBER(E129),E129,0),0)+IFERROR(IF(ISNUMBER(E130),E130,0),0)+IFERROR(IF(ISNUMBER(E131),E131,0),0)+IFERROR(IF(ISNUMBER(E132),E132,0),0),"")</f>
        <v/>
      </c>
      <c r="H132" s="78" t="s">
        <v>227</v>
      </c>
      <c r="I132" s="79" t="str">
        <f>IF('Novice 15M - Scoring'!B21&lt;&gt;"",IF('Novice 15M - Scoring'!X21&lt;&gt;"",'Novice 15M - Scoring'!X21,""),"")</f>
        <v/>
      </c>
      <c r="J132" s="79" t="str">
        <f>IF('Novice 15M - Scoring'!B21&lt;&gt;"",IF('Novice 15M - Scoring'!Y21&lt;&gt;"",'Novice 15M - Scoring'!Y21,""),"")</f>
        <v/>
      </c>
      <c r="K132" s="79" t="str">
        <f>IF('Novice 15M - Scoring'!B21&lt;&gt;"",IF('Novice 15M - Scoring'!Z21&lt;&gt;"",'Novice 15M - Scoring'!Z21,""),"")</f>
        <v/>
      </c>
      <c r="L132" s="80" t="str">
        <f>IF('Novice 15M - Scoring'!B21&lt;&gt;"",'Novice 15M - Scoring'!AS21,"")</f>
        <v/>
      </c>
      <c r="M132" s="81" t="str">
        <f>IF(L129&lt;&gt;"",IFERROR(IF(ISNUMBER(L129),L129,0),0)+IFERROR(IF(ISNUMBER(L130),L130,0),0)+IFERROR(IF(ISNUMBER(L131),L131,0),0)+IFERROR(IF(ISNUMBER(L132),L132,0),0),"")</f>
        <v/>
      </c>
    </row>
    <row r="133" spans="1:13" ht="19.5" customHeight="1" x14ac:dyDescent="0.35">
      <c r="A133" s="78" t="s">
        <v>228</v>
      </c>
      <c r="B133" s="79" t="str">
        <f>IF('Novice 15M - Scoring'!B20&lt;&gt;"",IF('Novice 15M - Scoring'!AD20&lt;&gt;"",'Novice 15M - Scoring'!AD20,""),"")</f>
        <v/>
      </c>
      <c r="C133" s="79" t="str">
        <f>IF('Novice 15M - Scoring'!B20&lt;&gt;"",IF('Novice 15M - Scoring'!AE20&lt;&gt;"",'Novice 15M - Scoring'!AE20,""),"")</f>
        <v/>
      </c>
      <c r="D133" s="79" t="str">
        <f>IF('Novice 15M - Scoring'!B20&lt;&gt;"",IF('Novice 15M - Scoring'!AF20&lt;&gt;"",'Novice 15M - Scoring'!AF20,""),"")</f>
        <v/>
      </c>
      <c r="E133" s="80" t="str">
        <f>IF('Novice 15M - Scoring'!B20&lt;&gt;"",'Novice 15M - Scoring'!AT20,"")</f>
        <v/>
      </c>
      <c r="F133" s="81" t="str">
        <f>IF(E129&lt;&gt;"",IFERROR(IF(ISNUMBER(E129),E129,0),0)+IFERROR(IF(ISNUMBER(E130),E130,0),0)+IFERROR(IF(ISNUMBER(E131),E131,0),0)+IFERROR(IF(ISNUMBER(E132),E132,0),0)+IFERROR(IF(ISNUMBER(E133),E133,0),0),"")</f>
        <v/>
      </c>
      <c r="H133" s="78" t="s">
        <v>228</v>
      </c>
      <c r="I133" s="79" t="str">
        <f>IF('Novice 15M - Scoring'!B21&lt;&gt;"",IF('Novice 15M - Scoring'!AD21&lt;&gt;"",'Novice 15M - Scoring'!AD21,""),"")</f>
        <v/>
      </c>
      <c r="J133" s="79" t="str">
        <f>IF('Novice 15M - Scoring'!B21&lt;&gt;"",IF('Novice 15M - Scoring'!AE21&lt;&gt;"",'Novice 15M - Scoring'!AE21,""),"")</f>
        <v/>
      </c>
      <c r="K133" s="79" t="str">
        <f>IF('Novice 15M - Scoring'!B21&lt;&gt;"",IF('Novice 15M - Scoring'!AF21&lt;&gt;"",'Novice 15M - Scoring'!AF21,""),"")</f>
        <v/>
      </c>
      <c r="L133" s="80" t="str">
        <f>IF('Novice 15M - Scoring'!B21&lt;&gt;"",'Novice 15M - Scoring'!AT21,"")</f>
        <v/>
      </c>
      <c r="M133" s="81" t="str">
        <f>IF(L129&lt;&gt;"",IFERROR(IF(ISNUMBER(L129),L129,0),0)+IFERROR(IF(ISNUMBER(L130),L130,0),0)+IFERROR(IF(ISNUMBER(L131),L131,0),0)+IFERROR(IF(ISNUMBER(L132),L132,0),0)+IFERROR(IF(ISNUMBER(L133),L133,0),0),"")</f>
        <v/>
      </c>
    </row>
    <row r="134" spans="1:13" ht="19.5" customHeight="1" x14ac:dyDescent="0.35">
      <c r="A134" s="78" t="s">
        <v>229</v>
      </c>
      <c r="B134" s="79" t="str">
        <f>IF('Novice 15M - Scoring'!B20&lt;&gt;"",IF('Novice 15M - Scoring'!AJ20&lt;&gt;"",'Novice 15M - Scoring'!AJ20,""),"")</f>
        <v/>
      </c>
      <c r="C134" s="79" t="str">
        <f>IF('Novice 15M - Scoring'!B20&lt;&gt;"",IF('Novice 15M - Scoring'!AK20&lt;&gt;"",'Novice 15M - Scoring'!AK20,""),"")</f>
        <v/>
      </c>
      <c r="D134" s="79" t="str">
        <f>IF('Novice 15M - Scoring'!B20&lt;&gt;"",IF('Novice 15M - Scoring'!AL20&lt;&gt;"",'Novice 15M - Scoring'!AL20,""),"")</f>
        <v/>
      </c>
      <c r="E134" s="80" t="str">
        <f>IF('Novice 15M - Scoring'!B20&lt;&gt;"",'Novice 15M - Scoring'!AU20,"")</f>
        <v/>
      </c>
      <c r="F134" s="81" t="str">
        <f>IF(E129&lt;&gt;"",IFERROR(IF(ISNUMBER(E129),E129,0),0)+IFERROR(IF(ISNUMBER(E130),E130,0),0)+IFERROR(IF(ISNUMBER(E131),E131,0),0)+IFERROR(IF(ISNUMBER(E132),E132,0),0)+IFERROR(IF(ISNUMBER(E133),E133,0),0)+IFERROR(IF(ISNUMBER(E134),E134,0),0),"")</f>
        <v/>
      </c>
      <c r="H134" s="78" t="s">
        <v>229</v>
      </c>
      <c r="I134" s="79" t="str">
        <f>IF('Novice 15M - Scoring'!B21&lt;&gt;"",IF('Novice 15M - Scoring'!AJ21&lt;&gt;"",'Novice 15M - Scoring'!AJ21,""),"")</f>
        <v/>
      </c>
      <c r="J134" s="79" t="str">
        <f>IF('Novice 15M - Scoring'!B21&lt;&gt;"",IF('Novice 15M - Scoring'!AK21&lt;&gt;"",'Novice 15M - Scoring'!AK21,""),"")</f>
        <v/>
      </c>
      <c r="K134" s="79" t="str">
        <f>IF('Novice 15M - Scoring'!B21&lt;&gt;"",IF('Novice 15M - Scoring'!AL21&lt;&gt;"",'Novice 15M - Scoring'!AL21,""),"")</f>
        <v/>
      </c>
      <c r="L134" s="80" t="str">
        <f>IF('Novice 15M - Scoring'!B21&lt;&gt;"",'Novice 15M - Scoring'!AU21,"")</f>
        <v/>
      </c>
      <c r="M134" s="81" t="str">
        <f>IF(L129&lt;&gt;"",IFERROR(IF(ISNUMBER(L129),L129,0),0)+IFERROR(IF(ISNUMBER(L130),L130,0),0)+IFERROR(IF(ISNUMBER(L131),L131,0),0)+IFERROR(IF(ISNUMBER(L132),L132,0),0)+IFERROR(IF(ISNUMBER(L133),L133,0),0)+IFERROR(IF(ISNUMBER(L134),L134,0),0),"")</f>
        <v/>
      </c>
    </row>
    <row r="135" spans="1:13" ht="3.75" customHeight="1" x14ac:dyDescent="0.35"/>
    <row r="136" spans="1:13" ht="24" customHeight="1" x14ac:dyDescent="0.35">
      <c r="A136" s="124" t="s">
        <v>230</v>
      </c>
      <c r="B136" s="124"/>
      <c r="C136" s="124"/>
      <c r="D136" s="124"/>
      <c r="E136" s="125" t="str">
        <f>IF('Novice 15M - Scoring'!B20&lt;&gt;"",'Novice 15M - Scoring'!AV20,"")</f>
        <v/>
      </c>
      <c r="F136" s="125"/>
      <c r="H136" s="124" t="s">
        <v>230</v>
      </c>
      <c r="I136" s="124"/>
      <c r="J136" s="124"/>
      <c r="K136" s="124"/>
      <c r="L136" s="125" t="str">
        <f>IF('Novice 15M - Scoring'!B21&lt;&gt;"",'Novice 15M - Scoring'!AV21,"")</f>
        <v/>
      </c>
      <c r="M136" s="125"/>
    </row>
    <row r="137" spans="1:13" ht="19.5" customHeight="1" x14ac:dyDescent="0.35">
      <c r="E137" s="125"/>
      <c r="F137" s="125"/>
      <c r="L137" s="125"/>
      <c r="M137" s="125"/>
    </row>
    <row r="138" spans="1:13" ht="3.75" customHeight="1" x14ac:dyDescent="0.35"/>
    <row r="139" spans="1:13" ht="18" customHeight="1" x14ac:dyDescent="0.35">
      <c r="A139" s="73" t="s">
        <v>126</v>
      </c>
      <c r="B139" s="82" t="str">
        <f>IF('Novice 15M - Scoring'!B20&lt;&gt;"",'Novice 15M - Scoring'!AW20,"")</f>
        <v/>
      </c>
      <c r="C139" s="73" t="s">
        <v>127</v>
      </c>
      <c r="D139" s="83" t="str">
        <f>IF('Novice 15M - Scoring'!B20&lt;&gt;"",'Novice 15M - Scoring'!AX20,"")</f>
        <v/>
      </c>
      <c r="E139" s="73" t="s">
        <v>128</v>
      </c>
      <c r="F139" s="83" t="str">
        <f>IF('Novice 15M - Scoring'!B20&lt;&gt;"",'Novice 15M - Scoring'!AY20,"")</f>
        <v/>
      </c>
      <c r="H139" s="73" t="s">
        <v>126</v>
      </c>
      <c r="I139" s="82" t="str">
        <f>IF('Novice 15M - Scoring'!B21&lt;&gt;"",'Novice 15M - Scoring'!AW21,"")</f>
        <v/>
      </c>
      <c r="J139" s="73" t="s">
        <v>127</v>
      </c>
      <c r="K139" s="83" t="str">
        <f>IF('Novice 15M - Scoring'!B21&lt;&gt;"",'Novice 15M - Scoring'!AX21,"")</f>
        <v/>
      </c>
      <c r="L139" s="73" t="s">
        <v>128</v>
      </c>
      <c r="M139" s="83" t="str">
        <f>IF('Novice 15M - Scoring'!B21&lt;&gt;"",'Novice 15M - Scoring'!AY21,"")</f>
        <v/>
      </c>
    </row>
    <row r="140" spans="1:13" ht="3.75" customHeight="1" x14ac:dyDescent="0.35"/>
    <row r="141" spans="1:13" ht="7.5" customHeight="1" x14ac:dyDescent="0.35">
      <c r="A141" s="126"/>
      <c r="B141" s="126"/>
      <c r="C141" s="126"/>
      <c r="D141" s="126"/>
      <c r="E141" s="126"/>
      <c r="F141" s="126"/>
      <c r="G141" s="126"/>
      <c r="H141" s="126"/>
      <c r="I141" s="126"/>
      <c r="J141" s="126"/>
      <c r="K141" s="126"/>
      <c r="L141" s="126"/>
      <c r="M141" s="126"/>
    </row>
    <row r="142" spans="1:13" ht="15.75" customHeight="1" x14ac:dyDescent="0.35">
      <c r="A142" s="73" t="s">
        <v>218</v>
      </c>
      <c r="B142" s="122" t="str">
        <f>IF('Novice 15M - Scoring'!B22&lt;&gt;"",'Novice 15M - Scoring'!B22,"")</f>
        <v/>
      </c>
      <c r="C142" s="122"/>
      <c r="D142" s="122"/>
      <c r="E142" s="73" t="s">
        <v>219</v>
      </c>
      <c r="F142" s="74" t="str">
        <f>IF('Novice 15M - Scoring'!B22&lt;&gt;"",'Novice 15M - Scoring'!BB22,"")</f>
        <v/>
      </c>
      <c r="H142" s="73" t="s">
        <v>218</v>
      </c>
      <c r="I142" s="122" t="str">
        <f>IF('Novice 15M - Scoring'!B23&lt;&gt;"",'Novice 15M - Scoring'!B23,"")</f>
        <v/>
      </c>
      <c r="J142" s="122"/>
      <c r="K142" s="122"/>
      <c r="L142" s="73" t="s">
        <v>219</v>
      </c>
      <c r="M142" s="74" t="str">
        <f>IF('Novice 15M - Scoring'!B23&lt;&gt;"",'Novice 15M - Scoring'!BB23,"")</f>
        <v/>
      </c>
    </row>
    <row r="143" spans="1:13" ht="15.75" customHeight="1" x14ac:dyDescent="0.35">
      <c r="A143" s="73" t="s">
        <v>220</v>
      </c>
      <c r="B143" s="123" t="str">
        <f>IF('Novice 15M - Scoring'!B22&lt;&gt;"",'Novice 15M - Scoring'!D22,"")</f>
        <v/>
      </c>
      <c r="C143" s="123"/>
      <c r="D143" s="123"/>
      <c r="E143" s="73" t="s">
        <v>8</v>
      </c>
      <c r="F143" s="75" t="str">
        <f>IF('Novice 15M - Scoring'!B22&lt;&gt;"",'Novice 15M - Scoring'!E22,"")</f>
        <v/>
      </c>
      <c r="H143" s="73" t="s">
        <v>220</v>
      </c>
      <c r="I143" s="123" t="str">
        <f>IF('Novice 15M - Scoring'!B23&lt;&gt;"",'Novice 15M - Scoring'!D23,"")</f>
        <v/>
      </c>
      <c r="J143" s="123"/>
      <c r="K143" s="123"/>
      <c r="L143" s="73" t="s">
        <v>8</v>
      </c>
      <c r="M143" s="75" t="str">
        <f>IF('Novice 15M - Scoring'!B23&lt;&gt;"",'Novice 15M - Scoring'!E23,"")</f>
        <v/>
      </c>
    </row>
    <row r="144" spans="1:13" ht="3.75" customHeight="1" x14ac:dyDescent="0.35"/>
    <row r="145" spans="1:13" ht="25.5" customHeight="1" x14ac:dyDescent="0.35">
      <c r="A145" s="76" t="s">
        <v>221</v>
      </c>
      <c r="B145" s="77" t="s">
        <v>222</v>
      </c>
      <c r="C145" s="77" t="s">
        <v>223</v>
      </c>
      <c r="D145" s="77" t="s">
        <v>224</v>
      </c>
      <c r="E145" s="76" t="s">
        <v>225</v>
      </c>
      <c r="F145" s="76" t="s">
        <v>226</v>
      </c>
      <c r="H145" s="76" t="s">
        <v>221</v>
      </c>
      <c r="I145" s="77" t="s">
        <v>222</v>
      </c>
      <c r="J145" s="77" t="s">
        <v>223</v>
      </c>
      <c r="K145" s="77" t="s">
        <v>224</v>
      </c>
      <c r="L145" s="76" t="s">
        <v>225</v>
      </c>
      <c r="M145" s="76" t="s">
        <v>226</v>
      </c>
    </row>
    <row r="146" spans="1:13" ht="19.5" customHeight="1" x14ac:dyDescent="0.35">
      <c r="A146" s="78" t="s">
        <v>222</v>
      </c>
      <c r="B146" s="79" t="str">
        <f>IF('Novice 15M - Scoring'!B22&lt;&gt;"",IF('Novice 15M - Scoring'!F22&lt;&gt;"",'Novice 15M - Scoring'!F22,""),"")</f>
        <v/>
      </c>
      <c r="C146" s="79" t="str">
        <f>IF('Novice 15M - Scoring'!B22&lt;&gt;"",IF('Novice 15M - Scoring'!G22&lt;&gt;"",'Novice 15M - Scoring'!G22,""),"")</f>
        <v/>
      </c>
      <c r="D146" s="79" t="str">
        <f>IF('Novice 15M - Scoring'!B22&lt;&gt;"",IF('Novice 15M - Scoring'!H22&lt;&gt;"",'Novice 15M - Scoring'!H22,""),"")</f>
        <v/>
      </c>
      <c r="E146" s="80" t="str">
        <f>IF('Novice 15M - Scoring'!B22&lt;&gt;"",'Novice 15M - Scoring'!AP22,"")</f>
        <v/>
      </c>
      <c r="F146" s="81" t="str">
        <f>IFERROR(IF(ISNUMBER(E146),E146,""),"")</f>
        <v/>
      </c>
      <c r="H146" s="78" t="s">
        <v>222</v>
      </c>
      <c r="I146" s="79" t="str">
        <f>IF('Novice 15M - Scoring'!B23&lt;&gt;"",IF('Novice 15M - Scoring'!F23&lt;&gt;"",'Novice 15M - Scoring'!F23,""),"")</f>
        <v/>
      </c>
      <c r="J146" s="79" t="str">
        <f>IF('Novice 15M - Scoring'!B23&lt;&gt;"",IF('Novice 15M - Scoring'!G23&lt;&gt;"",'Novice 15M - Scoring'!G23,""),"")</f>
        <v/>
      </c>
      <c r="K146" s="79" t="str">
        <f>IF('Novice 15M - Scoring'!B23&lt;&gt;"",IF('Novice 15M - Scoring'!H23&lt;&gt;"",'Novice 15M - Scoring'!H23,""),"")</f>
        <v/>
      </c>
      <c r="L146" s="80" t="str">
        <f>IF('Novice 15M - Scoring'!B23&lt;&gt;"",'Novice 15M - Scoring'!AP23,"")</f>
        <v/>
      </c>
      <c r="M146" s="81" t="str">
        <f>IFERROR(IF(ISNUMBER(L146),L146,""),"")</f>
        <v/>
      </c>
    </row>
    <row r="147" spans="1:13" ht="19.5" customHeight="1" x14ac:dyDescent="0.35">
      <c r="A147" s="78" t="s">
        <v>223</v>
      </c>
      <c r="B147" s="79" t="str">
        <f>IF('Novice 15M - Scoring'!B22&lt;&gt;"",IF('Novice 15M - Scoring'!L22&lt;&gt;"",'Novice 15M - Scoring'!L22,""),"")</f>
        <v/>
      </c>
      <c r="C147" s="79" t="str">
        <f>IF('Novice 15M - Scoring'!B22&lt;&gt;"",IF('Novice 15M - Scoring'!M22&lt;&gt;"",'Novice 15M - Scoring'!M22,""),"")</f>
        <v/>
      </c>
      <c r="D147" s="79" t="str">
        <f>IF('Novice 15M - Scoring'!B22&lt;&gt;"",IF('Novice 15M - Scoring'!N22&lt;&gt;"",'Novice 15M - Scoring'!N22,""),"")</f>
        <v/>
      </c>
      <c r="E147" s="80" t="str">
        <f>IF('Novice 15M - Scoring'!B22&lt;&gt;"",'Novice 15M - Scoring'!AQ22,"")</f>
        <v/>
      </c>
      <c r="F147" s="81" t="str">
        <f>IF(E146&lt;&gt;"",IFERROR(IF(ISNUMBER(E146),E146,0),0)+IFERROR(IF(ISNUMBER(E147),E147,0),0),"")</f>
        <v/>
      </c>
      <c r="H147" s="78" t="s">
        <v>223</v>
      </c>
      <c r="I147" s="79" t="str">
        <f>IF('Novice 15M - Scoring'!B23&lt;&gt;"",IF('Novice 15M - Scoring'!L23&lt;&gt;"",'Novice 15M - Scoring'!L23,""),"")</f>
        <v/>
      </c>
      <c r="J147" s="79" t="str">
        <f>IF('Novice 15M - Scoring'!B23&lt;&gt;"",IF('Novice 15M - Scoring'!M23&lt;&gt;"",'Novice 15M - Scoring'!M23,""),"")</f>
        <v/>
      </c>
      <c r="K147" s="79" t="str">
        <f>IF('Novice 15M - Scoring'!B23&lt;&gt;"",IF('Novice 15M - Scoring'!N23&lt;&gt;"",'Novice 15M - Scoring'!N23,""),"")</f>
        <v/>
      </c>
      <c r="L147" s="80" t="str">
        <f>IF('Novice 15M - Scoring'!B23&lt;&gt;"",'Novice 15M - Scoring'!AQ23,"")</f>
        <v/>
      </c>
      <c r="M147" s="81" t="str">
        <f>IF(L146&lt;&gt;"",IFERROR(IF(ISNUMBER(L146),L146,0),0)+IFERROR(IF(ISNUMBER(L147),L147,0),0),"")</f>
        <v/>
      </c>
    </row>
    <row r="148" spans="1:13" ht="19.5" customHeight="1" x14ac:dyDescent="0.35">
      <c r="A148" s="78" t="s">
        <v>224</v>
      </c>
      <c r="B148" s="79" t="str">
        <f>IF('Novice 15M - Scoring'!B22&lt;&gt;"",IF('Novice 15M - Scoring'!R22&lt;&gt;"",'Novice 15M - Scoring'!R22,""),"")</f>
        <v/>
      </c>
      <c r="C148" s="79" t="str">
        <f>IF('Novice 15M - Scoring'!B22&lt;&gt;"",IF('Novice 15M - Scoring'!S22&lt;&gt;"",'Novice 15M - Scoring'!S22,""),"")</f>
        <v/>
      </c>
      <c r="D148" s="79" t="str">
        <f>IF('Novice 15M - Scoring'!B22&lt;&gt;"",IF('Novice 15M - Scoring'!T22&lt;&gt;"",'Novice 15M - Scoring'!T22,""),"")</f>
        <v/>
      </c>
      <c r="E148" s="80" t="str">
        <f>IF('Novice 15M - Scoring'!B22&lt;&gt;"",'Novice 15M - Scoring'!AR22,"")</f>
        <v/>
      </c>
      <c r="F148" s="81" t="str">
        <f>IF(E146&lt;&gt;"",IFERROR(IF(ISNUMBER(E146),E146,0),0)+IFERROR(IF(ISNUMBER(E147),E147,0),0)+IFERROR(IF(ISNUMBER(E148),E148,0),0),"")</f>
        <v/>
      </c>
      <c r="H148" s="78" t="s">
        <v>224</v>
      </c>
      <c r="I148" s="79" t="str">
        <f>IF('Novice 15M - Scoring'!B23&lt;&gt;"",IF('Novice 15M - Scoring'!R23&lt;&gt;"",'Novice 15M - Scoring'!R23,""),"")</f>
        <v/>
      </c>
      <c r="J148" s="79" t="str">
        <f>IF('Novice 15M - Scoring'!B23&lt;&gt;"",IF('Novice 15M - Scoring'!S23&lt;&gt;"",'Novice 15M - Scoring'!S23,""),"")</f>
        <v/>
      </c>
      <c r="K148" s="79" t="str">
        <f>IF('Novice 15M - Scoring'!B23&lt;&gt;"",IF('Novice 15M - Scoring'!T23&lt;&gt;"",'Novice 15M - Scoring'!T23,""),"")</f>
        <v/>
      </c>
      <c r="L148" s="80" t="str">
        <f>IF('Novice 15M - Scoring'!B23&lt;&gt;"",'Novice 15M - Scoring'!AR23,"")</f>
        <v/>
      </c>
      <c r="M148" s="81" t="str">
        <f>IF(L146&lt;&gt;"",IFERROR(IF(ISNUMBER(L146),L146,0),0)+IFERROR(IF(ISNUMBER(L147),L147,0),0)+IFERROR(IF(ISNUMBER(L148),L148,0),0),"")</f>
        <v/>
      </c>
    </row>
    <row r="149" spans="1:13" ht="19.5" customHeight="1" x14ac:dyDescent="0.35">
      <c r="A149" s="78" t="s">
        <v>227</v>
      </c>
      <c r="B149" s="79" t="str">
        <f>IF('Novice 15M - Scoring'!B22&lt;&gt;"",IF('Novice 15M - Scoring'!X22&lt;&gt;"",'Novice 15M - Scoring'!X22,""),"")</f>
        <v/>
      </c>
      <c r="C149" s="79" t="str">
        <f>IF('Novice 15M - Scoring'!B22&lt;&gt;"",IF('Novice 15M - Scoring'!Y22&lt;&gt;"",'Novice 15M - Scoring'!Y22,""),"")</f>
        <v/>
      </c>
      <c r="D149" s="79" t="str">
        <f>IF('Novice 15M - Scoring'!B22&lt;&gt;"",IF('Novice 15M - Scoring'!Z22&lt;&gt;"",'Novice 15M - Scoring'!Z22,""),"")</f>
        <v/>
      </c>
      <c r="E149" s="80" t="str">
        <f>IF('Novice 15M - Scoring'!B22&lt;&gt;"",'Novice 15M - Scoring'!AS22,"")</f>
        <v/>
      </c>
      <c r="F149" s="81" t="str">
        <f>IF(E146&lt;&gt;"",IFERROR(IF(ISNUMBER(E146),E146,0),0)+IFERROR(IF(ISNUMBER(E147),E147,0),0)+IFERROR(IF(ISNUMBER(E148),E148,0),0)+IFERROR(IF(ISNUMBER(E149),E149,0),0),"")</f>
        <v/>
      </c>
      <c r="H149" s="78" t="s">
        <v>227</v>
      </c>
      <c r="I149" s="79" t="str">
        <f>IF('Novice 15M - Scoring'!B23&lt;&gt;"",IF('Novice 15M - Scoring'!X23&lt;&gt;"",'Novice 15M - Scoring'!X23,""),"")</f>
        <v/>
      </c>
      <c r="J149" s="79" t="str">
        <f>IF('Novice 15M - Scoring'!B23&lt;&gt;"",IF('Novice 15M - Scoring'!Y23&lt;&gt;"",'Novice 15M - Scoring'!Y23,""),"")</f>
        <v/>
      </c>
      <c r="K149" s="79" t="str">
        <f>IF('Novice 15M - Scoring'!B23&lt;&gt;"",IF('Novice 15M - Scoring'!Z23&lt;&gt;"",'Novice 15M - Scoring'!Z23,""),"")</f>
        <v/>
      </c>
      <c r="L149" s="80" t="str">
        <f>IF('Novice 15M - Scoring'!B23&lt;&gt;"",'Novice 15M - Scoring'!AS23,"")</f>
        <v/>
      </c>
      <c r="M149" s="81" t="str">
        <f>IF(L146&lt;&gt;"",IFERROR(IF(ISNUMBER(L146),L146,0),0)+IFERROR(IF(ISNUMBER(L147),L147,0),0)+IFERROR(IF(ISNUMBER(L148),L148,0),0)+IFERROR(IF(ISNUMBER(L149),L149,0),0),"")</f>
        <v/>
      </c>
    </row>
    <row r="150" spans="1:13" ht="19.5" customHeight="1" x14ac:dyDescent="0.35">
      <c r="A150" s="78" t="s">
        <v>228</v>
      </c>
      <c r="B150" s="79" t="str">
        <f>IF('Novice 15M - Scoring'!B22&lt;&gt;"",IF('Novice 15M - Scoring'!AD22&lt;&gt;"",'Novice 15M - Scoring'!AD22,""),"")</f>
        <v/>
      </c>
      <c r="C150" s="79" t="str">
        <f>IF('Novice 15M - Scoring'!B22&lt;&gt;"",IF('Novice 15M - Scoring'!AE22&lt;&gt;"",'Novice 15M - Scoring'!AE22,""),"")</f>
        <v/>
      </c>
      <c r="D150" s="79" t="str">
        <f>IF('Novice 15M - Scoring'!B22&lt;&gt;"",IF('Novice 15M - Scoring'!AF22&lt;&gt;"",'Novice 15M - Scoring'!AF22,""),"")</f>
        <v/>
      </c>
      <c r="E150" s="80" t="str">
        <f>IF('Novice 15M - Scoring'!B22&lt;&gt;"",'Novice 15M - Scoring'!AT22,"")</f>
        <v/>
      </c>
      <c r="F150" s="81" t="str">
        <f>IF(E146&lt;&gt;"",IFERROR(IF(ISNUMBER(E146),E146,0),0)+IFERROR(IF(ISNUMBER(E147),E147,0),0)+IFERROR(IF(ISNUMBER(E148),E148,0),0)+IFERROR(IF(ISNUMBER(E149),E149,0),0)+IFERROR(IF(ISNUMBER(E150),E150,0),0),"")</f>
        <v/>
      </c>
      <c r="H150" s="78" t="s">
        <v>228</v>
      </c>
      <c r="I150" s="79" t="str">
        <f>IF('Novice 15M - Scoring'!B23&lt;&gt;"",IF('Novice 15M - Scoring'!AD23&lt;&gt;"",'Novice 15M - Scoring'!AD23,""),"")</f>
        <v/>
      </c>
      <c r="J150" s="79" t="str">
        <f>IF('Novice 15M - Scoring'!B23&lt;&gt;"",IF('Novice 15M - Scoring'!AE23&lt;&gt;"",'Novice 15M - Scoring'!AE23,""),"")</f>
        <v/>
      </c>
      <c r="K150" s="79" t="str">
        <f>IF('Novice 15M - Scoring'!B23&lt;&gt;"",IF('Novice 15M - Scoring'!AF23&lt;&gt;"",'Novice 15M - Scoring'!AF23,""),"")</f>
        <v/>
      </c>
      <c r="L150" s="80" t="str">
        <f>IF('Novice 15M - Scoring'!B23&lt;&gt;"",'Novice 15M - Scoring'!AT23,"")</f>
        <v/>
      </c>
      <c r="M150" s="81" t="str">
        <f>IF(L146&lt;&gt;"",IFERROR(IF(ISNUMBER(L146),L146,0),0)+IFERROR(IF(ISNUMBER(L147),L147,0),0)+IFERROR(IF(ISNUMBER(L148),L148,0),0)+IFERROR(IF(ISNUMBER(L149),L149,0),0)+IFERROR(IF(ISNUMBER(L150),L150,0),0),"")</f>
        <v/>
      </c>
    </row>
    <row r="151" spans="1:13" ht="19.5" customHeight="1" x14ac:dyDescent="0.35">
      <c r="A151" s="78" t="s">
        <v>229</v>
      </c>
      <c r="B151" s="79" t="str">
        <f>IF('Novice 15M - Scoring'!B22&lt;&gt;"",IF('Novice 15M - Scoring'!AJ22&lt;&gt;"",'Novice 15M - Scoring'!AJ22,""),"")</f>
        <v/>
      </c>
      <c r="C151" s="79" t="str">
        <f>IF('Novice 15M - Scoring'!B22&lt;&gt;"",IF('Novice 15M - Scoring'!AK22&lt;&gt;"",'Novice 15M - Scoring'!AK22,""),"")</f>
        <v/>
      </c>
      <c r="D151" s="79" t="str">
        <f>IF('Novice 15M - Scoring'!B22&lt;&gt;"",IF('Novice 15M - Scoring'!AL22&lt;&gt;"",'Novice 15M - Scoring'!AL22,""),"")</f>
        <v/>
      </c>
      <c r="E151" s="80" t="str">
        <f>IF('Novice 15M - Scoring'!B22&lt;&gt;"",'Novice 15M - Scoring'!AU22,"")</f>
        <v/>
      </c>
      <c r="F151" s="81" t="str">
        <f>IF(E146&lt;&gt;"",IFERROR(IF(ISNUMBER(E146),E146,0),0)+IFERROR(IF(ISNUMBER(E147),E147,0),0)+IFERROR(IF(ISNUMBER(E148),E148,0),0)+IFERROR(IF(ISNUMBER(E149),E149,0),0)+IFERROR(IF(ISNUMBER(E150),E150,0),0)+IFERROR(IF(ISNUMBER(E151),E151,0),0),"")</f>
        <v/>
      </c>
      <c r="H151" s="78" t="s">
        <v>229</v>
      </c>
      <c r="I151" s="79" t="str">
        <f>IF('Novice 15M - Scoring'!B23&lt;&gt;"",IF('Novice 15M - Scoring'!AJ23&lt;&gt;"",'Novice 15M - Scoring'!AJ23,""),"")</f>
        <v/>
      </c>
      <c r="J151" s="79" t="str">
        <f>IF('Novice 15M - Scoring'!B23&lt;&gt;"",IF('Novice 15M - Scoring'!AK23&lt;&gt;"",'Novice 15M - Scoring'!AK23,""),"")</f>
        <v/>
      </c>
      <c r="K151" s="79" t="str">
        <f>IF('Novice 15M - Scoring'!B23&lt;&gt;"",IF('Novice 15M - Scoring'!AL23&lt;&gt;"",'Novice 15M - Scoring'!AL23,""),"")</f>
        <v/>
      </c>
      <c r="L151" s="80" t="str">
        <f>IF('Novice 15M - Scoring'!B23&lt;&gt;"",'Novice 15M - Scoring'!AU23,"")</f>
        <v/>
      </c>
      <c r="M151" s="81" t="str">
        <f>IF(L146&lt;&gt;"",IFERROR(IF(ISNUMBER(L146),L146,0),0)+IFERROR(IF(ISNUMBER(L147),L147,0),0)+IFERROR(IF(ISNUMBER(L148),L148,0),0)+IFERROR(IF(ISNUMBER(L149),L149,0),0)+IFERROR(IF(ISNUMBER(L150),L150,0),0)+IFERROR(IF(ISNUMBER(L151),L151,0),0),"")</f>
        <v/>
      </c>
    </row>
    <row r="152" spans="1:13" ht="3.75" customHeight="1" x14ac:dyDescent="0.35"/>
    <row r="153" spans="1:13" ht="24" customHeight="1" x14ac:dyDescent="0.35">
      <c r="A153" s="124" t="s">
        <v>230</v>
      </c>
      <c r="B153" s="124"/>
      <c r="C153" s="124"/>
      <c r="D153" s="124"/>
      <c r="E153" s="125" t="str">
        <f>IF('Novice 15M - Scoring'!B22&lt;&gt;"",'Novice 15M - Scoring'!AV22,"")</f>
        <v/>
      </c>
      <c r="F153" s="125"/>
      <c r="H153" s="124" t="s">
        <v>230</v>
      </c>
      <c r="I153" s="124"/>
      <c r="J153" s="124"/>
      <c r="K153" s="124"/>
      <c r="L153" s="125" t="str">
        <f>IF('Novice 15M - Scoring'!B23&lt;&gt;"",'Novice 15M - Scoring'!AV23,"")</f>
        <v/>
      </c>
      <c r="M153" s="125"/>
    </row>
    <row r="154" spans="1:13" ht="19.5" customHeight="1" x14ac:dyDescent="0.35">
      <c r="E154" s="125"/>
      <c r="F154" s="125"/>
      <c r="L154" s="125"/>
      <c r="M154" s="125"/>
    </row>
    <row r="155" spans="1:13" ht="3.75" customHeight="1" x14ac:dyDescent="0.35"/>
    <row r="156" spans="1:13" ht="18" customHeight="1" x14ac:dyDescent="0.35">
      <c r="A156" s="73" t="s">
        <v>126</v>
      </c>
      <c r="B156" s="82" t="str">
        <f>IF('Novice 15M - Scoring'!B22&lt;&gt;"",'Novice 15M - Scoring'!AW22,"")</f>
        <v/>
      </c>
      <c r="C156" s="73" t="s">
        <v>127</v>
      </c>
      <c r="D156" s="83" t="str">
        <f>IF('Novice 15M - Scoring'!B22&lt;&gt;"",'Novice 15M - Scoring'!AX22,"")</f>
        <v/>
      </c>
      <c r="E156" s="73" t="s">
        <v>128</v>
      </c>
      <c r="F156" s="83" t="str">
        <f>IF('Novice 15M - Scoring'!B22&lt;&gt;"",'Novice 15M - Scoring'!AY22,"")</f>
        <v/>
      </c>
      <c r="H156" s="73" t="s">
        <v>126</v>
      </c>
      <c r="I156" s="82" t="str">
        <f>IF('Novice 15M - Scoring'!B23&lt;&gt;"",'Novice 15M - Scoring'!AW23,"")</f>
        <v/>
      </c>
      <c r="J156" s="73" t="s">
        <v>127</v>
      </c>
      <c r="K156" s="83" t="str">
        <f>IF('Novice 15M - Scoring'!B23&lt;&gt;"",'Novice 15M - Scoring'!AX23,"")</f>
        <v/>
      </c>
      <c r="L156" s="73" t="s">
        <v>128</v>
      </c>
      <c r="M156" s="83" t="str">
        <f>IF('Novice 15M - Scoring'!B23&lt;&gt;"",'Novice 15M - Scoring'!AY23,"")</f>
        <v/>
      </c>
    </row>
    <row r="157" spans="1:13" ht="3.75" customHeight="1" x14ac:dyDescent="0.35"/>
    <row r="158" spans="1:13" ht="7.5" customHeight="1" x14ac:dyDescent="0.35">
      <c r="A158" s="126"/>
      <c r="B158" s="126"/>
      <c r="C158" s="126"/>
      <c r="D158" s="126"/>
      <c r="E158" s="126"/>
      <c r="F158" s="126"/>
      <c r="G158" s="126"/>
      <c r="H158" s="126"/>
      <c r="I158" s="126"/>
      <c r="J158" s="126"/>
      <c r="K158" s="126"/>
      <c r="L158" s="126"/>
      <c r="M158" s="126"/>
    </row>
    <row r="159" spans="1:13" ht="15.75" customHeight="1" x14ac:dyDescent="0.35">
      <c r="A159" s="73" t="s">
        <v>218</v>
      </c>
      <c r="B159" s="122" t="str">
        <f>IF('Novice 15M - Scoring'!B24&lt;&gt;"",'Novice 15M - Scoring'!B24,"")</f>
        <v/>
      </c>
      <c r="C159" s="122"/>
      <c r="D159" s="122"/>
      <c r="E159" s="73" t="s">
        <v>219</v>
      </c>
      <c r="F159" s="74" t="str">
        <f>IF('Novice 15M - Scoring'!B24&lt;&gt;"",'Novice 15M - Scoring'!BB24,"")</f>
        <v/>
      </c>
      <c r="H159" s="73" t="s">
        <v>218</v>
      </c>
      <c r="I159" s="122" t="str">
        <f>IF('Novice 15M - Scoring'!B25&lt;&gt;"",'Novice 15M - Scoring'!B25,"")</f>
        <v/>
      </c>
      <c r="J159" s="122"/>
      <c r="K159" s="122"/>
      <c r="L159" s="73" t="s">
        <v>219</v>
      </c>
      <c r="M159" s="74" t="str">
        <f>IF('Novice 15M - Scoring'!B25&lt;&gt;"",'Novice 15M - Scoring'!BB25,"")</f>
        <v/>
      </c>
    </row>
    <row r="160" spans="1:13" ht="15.75" customHeight="1" x14ac:dyDescent="0.35">
      <c r="A160" s="73" t="s">
        <v>220</v>
      </c>
      <c r="B160" s="123" t="str">
        <f>IF('Novice 15M - Scoring'!B24&lt;&gt;"",'Novice 15M - Scoring'!D24,"")</f>
        <v/>
      </c>
      <c r="C160" s="123"/>
      <c r="D160" s="123"/>
      <c r="E160" s="73" t="s">
        <v>8</v>
      </c>
      <c r="F160" s="75" t="str">
        <f>IF('Novice 15M - Scoring'!B24&lt;&gt;"",'Novice 15M - Scoring'!E24,"")</f>
        <v/>
      </c>
      <c r="H160" s="73" t="s">
        <v>220</v>
      </c>
      <c r="I160" s="123" t="str">
        <f>IF('Novice 15M - Scoring'!B25&lt;&gt;"",'Novice 15M - Scoring'!D25,"")</f>
        <v/>
      </c>
      <c r="J160" s="123"/>
      <c r="K160" s="123"/>
      <c r="L160" s="73" t="s">
        <v>8</v>
      </c>
      <c r="M160" s="75" t="str">
        <f>IF('Novice 15M - Scoring'!B25&lt;&gt;"",'Novice 15M - Scoring'!E25,"")</f>
        <v/>
      </c>
    </row>
    <row r="161" spans="1:13" ht="3.75" customHeight="1" x14ac:dyDescent="0.35"/>
    <row r="162" spans="1:13" ht="25.5" customHeight="1" x14ac:dyDescent="0.35">
      <c r="A162" s="76" t="s">
        <v>221</v>
      </c>
      <c r="B162" s="77" t="s">
        <v>222</v>
      </c>
      <c r="C162" s="77" t="s">
        <v>223</v>
      </c>
      <c r="D162" s="77" t="s">
        <v>224</v>
      </c>
      <c r="E162" s="76" t="s">
        <v>225</v>
      </c>
      <c r="F162" s="76" t="s">
        <v>226</v>
      </c>
      <c r="H162" s="76" t="s">
        <v>221</v>
      </c>
      <c r="I162" s="77" t="s">
        <v>222</v>
      </c>
      <c r="J162" s="77" t="s">
        <v>223</v>
      </c>
      <c r="K162" s="77" t="s">
        <v>224</v>
      </c>
      <c r="L162" s="76" t="s">
        <v>225</v>
      </c>
      <c r="M162" s="76" t="s">
        <v>226</v>
      </c>
    </row>
    <row r="163" spans="1:13" ht="19.5" customHeight="1" x14ac:dyDescent="0.35">
      <c r="A163" s="78" t="s">
        <v>222</v>
      </c>
      <c r="B163" s="79" t="str">
        <f>IF('Novice 15M - Scoring'!B24&lt;&gt;"",IF('Novice 15M - Scoring'!F24&lt;&gt;"",'Novice 15M - Scoring'!F24,""),"")</f>
        <v/>
      </c>
      <c r="C163" s="79" t="str">
        <f>IF('Novice 15M - Scoring'!B24&lt;&gt;"",IF('Novice 15M - Scoring'!G24&lt;&gt;"",'Novice 15M - Scoring'!G24,""),"")</f>
        <v/>
      </c>
      <c r="D163" s="79" t="str">
        <f>IF('Novice 15M - Scoring'!B24&lt;&gt;"",IF('Novice 15M - Scoring'!H24&lt;&gt;"",'Novice 15M - Scoring'!H24,""),"")</f>
        <v/>
      </c>
      <c r="E163" s="80" t="str">
        <f>IF('Novice 15M - Scoring'!B24&lt;&gt;"",'Novice 15M - Scoring'!AP24,"")</f>
        <v/>
      </c>
      <c r="F163" s="81" t="str">
        <f>IFERROR(IF(ISNUMBER(E163),E163,""),"")</f>
        <v/>
      </c>
      <c r="H163" s="78" t="s">
        <v>222</v>
      </c>
      <c r="I163" s="79" t="str">
        <f>IF('Novice 15M - Scoring'!B25&lt;&gt;"",IF('Novice 15M - Scoring'!F25&lt;&gt;"",'Novice 15M - Scoring'!F25,""),"")</f>
        <v/>
      </c>
      <c r="J163" s="79" t="str">
        <f>IF('Novice 15M - Scoring'!B25&lt;&gt;"",IF('Novice 15M - Scoring'!G25&lt;&gt;"",'Novice 15M - Scoring'!G25,""),"")</f>
        <v/>
      </c>
      <c r="K163" s="79" t="str">
        <f>IF('Novice 15M - Scoring'!B25&lt;&gt;"",IF('Novice 15M - Scoring'!H25&lt;&gt;"",'Novice 15M - Scoring'!H25,""),"")</f>
        <v/>
      </c>
      <c r="L163" s="80" t="str">
        <f>IF('Novice 15M - Scoring'!B25&lt;&gt;"",'Novice 15M - Scoring'!AP25,"")</f>
        <v/>
      </c>
      <c r="M163" s="81" t="str">
        <f>IFERROR(IF(ISNUMBER(L163),L163,""),"")</f>
        <v/>
      </c>
    </row>
    <row r="164" spans="1:13" ht="19.5" customHeight="1" x14ac:dyDescent="0.35">
      <c r="A164" s="78" t="s">
        <v>223</v>
      </c>
      <c r="B164" s="79" t="str">
        <f>IF('Novice 15M - Scoring'!B24&lt;&gt;"",IF('Novice 15M - Scoring'!L24&lt;&gt;"",'Novice 15M - Scoring'!L24,""),"")</f>
        <v/>
      </c>
      <c r="C164" s="79" t="str">
        <f>IF('Novice 15M - Scoring'!B24&lt;&gt;"",IF('Novice 15M - Scoring'!M24&lt;&gt;"",'Novice 15M - Scoring'!M24,""),"")</f>
        <v/>
      </c>
      <c r="D164" s="79" t="str">
        <f>IF('Novice 15M - Scoring'!B24&lt;&gt;"",IF('Novice 15M - Scoring'!N24&lt;&gt;"",'Novice 15M - Scoring'!N24,""),"")</f>
        <v/>
      </c>
      <c r="E164" s="80" t="str">
        <f>IF('Novice 15M - Scoring'!B24&lt;&gt;"",'Novice 15M - Scoring'!AQ24,"")</f>
        <v/>
      </c>
      <c r="F164" s="81" t="str">
        <f>IF(E163&lt;&gt;"",IFERROR(IF(ISNUMBER(E163),E163,0),0)+IFERROR(IF(ISNUMBER(E164),E164,0),0),"")</f>
        <v/>
      </c>
      <c r="H164" s="78" t="s">
        <v>223</v>
      </c>
      <c r="I164" s="79" t="str">
        <f>IF('Novice 15M - Scoring'!B25&lt;&gt;"",IF('Novice 15M - Scoring'!L25&lt;&gt;"",'Novice 15M - Scoring'!L25,""),"")</f>
        <v/>
      </c>
      <c r="J164" s="79" t="str">
        <f>IF('Novice 15M - Scoring'!B25&lt;&gt;"",IF('Novice 15M - Scoring'!M25&lt;&gt;"",'Novice 15M - Scoring'!M25,""),"")</f>
        <v/>
      </c>
      <c r="K164" s="79" t="str">
        <f>IF('Novice 15M - Scoring'!B25&lt;&gt;"",IF('Novice 15M - Scoring'!N25&lt;&gt;"",'Novice 15M - Scoring'!N25,""),"")</f>
        <v/>
      </c>
      <c r="L164" s="80" t="str">
        <f>IF('Novice 15M - Scoring'!B25&lt;&gt;"",'Novice 15M - Scoring'!AQ25,"")</f>
        <v/>
      </c>
      <c r="M164" s="81" t="str">
        <f>IF(L163&lt;&gt;"",IFERROR(IF(ISNUMBER(L163),L163,0),0)+IFERROR(IF(ISNUMBER(L164),L164,0),0),"")</f>
        <v/>
      </c>
    </row>
    <row r="165" spans="1:13" ht="19.5" customHeight="1" x14ac:dyDescent="0.35">
      <c r="A165" s="78" t="s">
        <v>224</v>
      </c>
      <c r="B165" s="79" t="str">
        <f>IF('Novice 15M - Scoring'!B24&lt;&gt;"",IF('Novice 15M - Scoring'!R24&lt;&gt;"",'Novice 15M - Scoring'!R24,""),"")</f>
        <v/>
      </c>
      <c r="C165" s="79" t="str">
        <f>IF('Novice 15M - Scoring'!B24&lt;&gt;"",IF('Novice 15M - Scoring'!S24&lt;&gt;"",'Novice 15M - Scoring'!S24,""),"")</f>
        <v/>
      </c>
      <c r="D165" s="79" t="str">
        <f>IF('Novice 15M - Scoring'!B24&lt;&gt;"",IF('Novice 15M - Scoring'!T24&lt;&gt;"",'Novice 15M - Scoring'!T24,""),"")</f>
        <v/>
      </c>
      <c r="E165" s="80" t="str">
        <f>IF('Novice 15M - Scoring'!B24&lt;&gt;"",'Novice 15M - Scoring'!AR24,"")</f>
        <v/>
      </c>
      <c r="F165" s="81" t="str">
        <f>IF(E163&lt;&gt;"",IFERROR(IF(ISNUMBER(E163),E163,0),0)+IFERROR(IF(ISNUMBER(E164),E164,0),0)+IFERROR(IF(ISNUMBER(E165),E165,0),0),"")</f>
        <v/>
      </c>
      <c r="H165" s="78" t="s">
        <v>224</v>
      </c>
      <c r="I165" s="79" t="str">
        <f>IF('Novice 15M - Scoring'!B25&lt;&gt;"",IF('Novice 15M - Scoring'!R25&lt;&gt;"",'Novice 15M - Scoring'!R25,""),"")</f>
        <v/>
      </c>
      <c r="J165" s="79" t="str">
        <f>IF('Novice 15M - Scoring'!B25&lt;&gt;"",IF('Novice 15M - Scoring'!S25&lt;&gt;"",'Novice 15M - Scoring'!S25,""),"")</f>
        <v/>
      </c>
      <c r="K165" s="79" t="str">
        <f>IF('Novice 15M - Scoring'!B25&lt;&gt;"",IF('Novice 15M - Scoring'!T25&lt;&gt;"",'Novice 15M - Scoring'!T25,""),"")</f>
        <v/>
      </c>
      <c r="L165" s="80" t="str">
        <f>IF('Novice 15M - Scoring'!B25&lt;&gt;"",'Novice 15M - Scoring'!AR25,"")</f>
        <v/>
      </c>
      <c r="M165" s="81" t="str">
        <f>IF(L163&lt;&gt;"",IFERROR(IF(ISNUMBER(L163),L163,0),0)+IFERROR(IF(ISNUMBER(L164),L164,0),0)+IFERROR(IF(ISNUMBER(L165),L165,0),0),"")</f>
        <v/>
      </c>
    </row>
    <row r="166" spans="1:13" ht="19.5" customHeight="1" x14ac:dyDescent="0.35">
      <c r="A166" s="78" t="s">
        <v>227</v>
      </c>
      <c r="B166" s="79" t="str">
        <f>IF('Novice 15M - Scoring'!B24&lt;&gt;"",IF('Novice 15M - Scoring'!X24&lt;&gt;"",'Novice 15M - Scoring'!X24,""),"")</f>
        <v/>
      </c>
      <c r="C166" s="79" t="str">
        <f>IF('Novice 15M - Scoring'!B24&lt;&gt;"",IF('Novice 15M - Scoring'!Y24&lt;&gt;"",'Novice 15M - Scoring'!Y24,""),"")</f>
        <v/>
      </c>
      <c r="D166" s="79" t="str">
        <f>IF('Novice 15M - Scoring'!B24&lt;&gt;"",IF('Novice 15M - Scoring'!Z24&lt;&gt;"",'Novice 15M - Scoring'!Z24,""),"")</f>
        <v/>
      </c>
      <c r="E166" s="80" t="str">
        <f>IF('Novice 15M - Scoring'!B24&lt;&gt;"",'Novice 15M - Scoring'!AS24,"")</f>
        <v/>
      </c>
      <c r="F166" s="81" t="str">
        <f>IF(E163&lt;&gt;"",IFERROR(IF(ISNUMBER(E163),E163,0),0)+IFERROR(IF(ISNUMBER(E164),E164,0),0)+IFERROR(IF(ISNUMBER(E165),E165,0),0)+IFERROR(IF(ISNUMBER(E166),E166,0),0),"")</f>
        <v/>
      </c>
      <c r="H166" s="78" t="s">
        <v>227</v>
      </c>
      <c r="I166" s="79" t="str">
        <f>IF('Novice 15M - Scoring'!B25&lt;&gt;"",IF('Novice 15M - Scoring'!X25&lt;&gt;"",'Novice 15M - Scoring'!X25,""),"")</f>
        <v/>
      </c>
      <c r="J166" s="79" t="str">
        <f>IF('Novice 15M - Scoring'!B25&lt;&gt;"",IF('Novice 15M - Scoring'!Y25&lt;&gt;"",'Novice 15M - Scoring'!Y25,""),"")</f>
        <v/>
      </c>
      <c r="K166" s="79" t="str">
        <f>IF('Novice 15M - Scoring'!B25&lt;&gt;"",IF('Novice 15M - Scoring'!Z25&lt;&gt;"",'Novice 15M - Scoring'!Z25,""),"")</f>
        <v/>
      </c>
      <c r="L166" s="80" t="str">
        <f>IF('Novice 15M - Scoring'!B25&lt;&gt;"",'Novice 15M - Scoring'!AS25,"")</f>
        <v/>
      </c>
      <c r="M166" s="81" t="str">
        <f>IF(L163&lt;&gt;"",IFERROR(IF(ISNUMBER(L163),L163,0),0)+IFERROR(IF(ISNUMBER(L164),L164,0),0)+IFERROR(IF(ISNUMBER(L165),L165,0),0)+IFERROR(IF(ISNUMBER(L166),L166,0),0),"")</f>
        <v/>
      </c>
    </row>
    <row r="167" spans="1:13" ht="19.5" customHeight="1" x14ac:dyDescent="0.35">
      <c r="A167" s="78" t="s">
        <v>228</v>
      </c>
      <c r="B167" s="79" t="str">
        <f>IF('Novice 15M - Scoring'!B24&lt;&gt;"",IF('Novice 15M - Scoring'!AD24&lt;&gt;"",'Novice 15M - Scoring'!AD24,""),"")</f>
        <v/>
      </c>
      <c r="C167" s="79" t="str">
        <f>IF('Novice 15M - Scoring'!B24&lt;&gt;"",IF('Novice 15M - Scoring'!AE24&lt;&gt;"",'Novice 15M - Scoring'!AE24,""),"")</f>
        <v/>
      </c>
      <c r="D167" s="79" t="str">
        <f>IF('Novice 15M - Scoring'!B24&lt;&gt;"",IF('Novice 15M - Scoring'!AF24&lt;&gt;"",'Novice 15M - Scoring'!AF24,""),"")</f>
        <v/>
      </c>
      <c r="E167" s="80" t="str">
        <f>IF('Novice 15M - Scoring'!B24&lt;&gt;"",'Novice 15M - Scoring'!AT24,"")</f>
        <v/>
      </c>
      <c r="F167" s="81" t="str">
        <f>IF(E163&lt;&gt;"",IFERROR(IF(ISNUMBER(E163),E163,0),0)+IFERROR(IF(ISNUMBER(E164),E164,0),0)+IFERROR(IF(ISNUMBER(E165),E165,0),0)+IFERROR(IF(ISNUMBER(E166),E166,0),0)+IFERROR(IF(ISNUMBER(E167),E167,0),0),"")</f>
        <v/>
      </c>
      <c r="H167" s="78" t="s">
        <v>228</v>
      </c>
      <c r="I167" s="79" t="str">
        <f>IF('Novice 15M - Scoring'!B25&lt;&gt;"",IF('Novice 15M - Scoring'!AD25&lt;&gt;"",'Novice 15M - Scoring'!AD25,""),"")</f>
        <v/>
      </c>
      <c r="J167" s="79" t="str">
        <f>IF('Novice 15M - Scoring'!B25&lt;&gt;"",IF('Novice 15M - Scoring'!AE25&lt;&gt;"",'Novice 15M - Scoring'!AE25,""),"")</f>
        <v/>
      </c>
      <c r="K167" s="79" t="str">
        <f>IF('Novice 15M - Scoring'!B25&lt;&gt;"",IF('Novice 15M - Scoring'!AF25&lt;&gt;"",'Novice 15M - Scoring'!AF25,""),"")</f>
        <v/>
      </c>
      <c r="L167" s="80" t="str">
        <f>IF('Novice 15M - Scoring'!B25&lt;&gt;"",'Novice 15M - Scoring'!AT25,"")</f>
        <v/>
      </c>
      <c r="M167" s="81" t="str">
        <f>IF(L163&lt;&gt;"",IFERROR(IF(ISNUMBER(L163),L163,0),0)+IFERROR(IF(ISNUMBER(L164),L164,0),0)+IFERROR(IF(ISNUMBER(L165),L165,0),0)+IFERROR(IF(ISNUMBER(L166),L166,0),0)+IFERROR(IF(ISNUMBER(L167),L167,0),0),"")</f>
        <v/>
      </c>
    </row>
    <row r="168" spans="1:13" ht="19.5" customHeight="1" x14ac:dyDescent="0.35">
      <c r="A168" s="78" t="s">
        <v>229</v>
      </c>
      <c r="B168" s="79" t="str">
        <f>IF('Novice 15M - Scoring'!B24&lt;&gt;"",IF('Novice 15M - Scoring'!AJ24&lt;&gt;"",'Novice 15M - Scoring'!AJ24,""),"")</f>
        <v/>
      </c>
      <c r="C168" s="79" t="str">
        <f>IF('Novice 15M - Scoring'!B24&lt;&gt;"",IF('Novice 15M - Scoring'!AK24&lt;&gt;"",'Novice 15M - Scoring'!AK24,""),"")</f>
        <v/>
      </c>
      <c r="D168" s="79" t="str">
        <f>IF('Novice 15M - Scoring'!B24&lt;&gt;"",IF('Novice 15M - Scoring'!AL24&lt;&gt;"",'Novice 15M - Scoring'!AL24,""),"")</f>
        <v/>
      </c>
      <c r="E168" s="80" t="str">
        <f>IF('Novice 15M - Scoring'!B24&lt;&gt;"",'Novice 15M - Scoring'!AU24,"")</f>
        <v/>
      </c>
      <c r="F168" s="81" t="str">
        <f>IF(E163&lt;&gt;"",IFERROR(IF(ISNUMBER(E163),E163,0),0)+IFERROR(IF(ISNUMBER(E164),E164,0),0)+IFERROR(IF(ISNUMBER(E165),E165,0),0)+IFERROR(IF(ISNUMBER(E166),E166,0),0)+IFERROR(IF(ISNUMBER(E167),E167,0),0)+IFERROR(IF(ISNUMBER(E168),E168,0),0),"")</f>
        <v/>
      </c>
      <c r="H168" s="78" t="s">
        <v>229</v>
      </c>
      <c r="I168" s="79" t="str">
        <f>IF('Novice 15M - Scoring'!B25&lt;&gt;"",IF('Novice 15M - Scoring'!AJ25&lt;&gt;"",'Novice 15M - Scoring'!AJ25,""),"")</f>
        <v/>
      </c>
      <c r="J168" s="79" t="str">
        <f>IF('Novice 15M - Scoring'!B25&lt;&gt;"",IF('Novice 15M - Scoring'!AK25&lt;&gt;"",'Novice 15M - Scoring'!AK25,""),"")</f>
        <v/>
      </c>
      <c r="K168" s="79" t="str">
        <f>IF('Novice 15M - Scoring'!B25&lt;&gt;"",IF('Novice 15M - Scoring'!AL25&lt;&gt;"",'Novice 15M - Scoring'!AL25,""),"")</f>
        <v/>
      </c>
      <c r="L168" s="80" t="str">
        <f>IF('Novice 15M - Scoring'!B25&lt;&gt;"",'Novice 15M - Scoring'!AU25,"")</f>
        <v/>
      </c>
      <c r="M168" s="81" t="str">
        <f>IF(L163&lt;&gt;"",IFERROR(IF(ISNUMBER(L163),L163,0),0)+IFERROR(IF(ISNUMBER(L164),L164,0),0)+IFERROR(IF(ISNUMBER(L165),L165,0),0)+IFERROR(IF(ISNUMBER(L166),L166,0),0)+IFERROR(IF(ISNUMBER(L167),L167,0),0)+IFERROR(IF(ISNUMBER(L168),L168,0),0),"")</f>
        <v/>
      </c>
    </row>
    <row r="169" spans="1:13" ht="3.75" customHeight="1" x14ac:dyDescent="0.35"/>
    <row r="170" spans="1:13" ht="24" customHeight="1" x14ac:dyDescent="0.35">
      <c r="A170" s="124" t="s">
        <v>230</v>
      </c>
      <c r="B170" s="124"/>
      <c r="C170" s="124"/>
      <c r="D170" s="124"/>
      <c r="E170" s="125" t="str">
        <f>IF('Novice 15M - Scoring'!B24&lt;&gt;"",'Novice 15M - Scoring'!AV24,"")</f>
        <v/>
      </c>
      <c r="F170" s="125"/>
      <c r="H170" s="124" t="s">
        <v>230</v>
      </c>
      <c r="I170" s="124"/>
      <c r="J170" s="124"/>
      <c r="K170" s="124"/>
      <c r="L170" s="125" t="str">
        <f>IF('Novice 15M - Scoring'!B25&lt;&gt;"",'Novice 15M - Scoring'!AV25,"")</f>
        <v/>
      </c>
      <c r="M170" s="125"/>
    </row>
    <row r="171" spans="1:13" ht="19.5" customHeight="1" x14ac:dyDescent="0.35">
      <c r="E171" s="125"/>
      <c r="F171" s="125"/>
      <c r="L171" s="125"/>
      <c r="M171" s="125"/>
    </row>
    <row r="172" spans="1:13" ht="3.75" customHeight="1" x14ac:dyDescent="0.35"/>
    <row r="173" spans="1:13" ht="18" customHeight="1" x14ac:dyDescent="0.35">
      <c r="A173" s="73" t="s">
        <v>126</v>
      </c>
      <c r="B173" s="82" t="str">
        <f>IF('Novice 15M - Scoring'!B24&lt;&gt;"",'Novice 15M - Scoring'!AW24,"")</f>
        <v/>
      </c>
      <c r="C173" s="73" t="s">
        <v>127</v>
      </c>
      <c r="D173" s="83" t="str">
        <f>IF('Novice 15M - Scoring'!B24&lt;&gt;"",'Novice 15M - Scoring'!AX24,"")</f>
        <v/>
      </c>
      <c r="E173" s="73" t="s">
        <v>128</v>
      </c>
      <c r="F173" s="83" t="str">
        <f>IF('Novice 15M - Scoring'!B24&lt;&gt;"",'Novice 15M - Scoring'!AY24,"")</f>
        <v/>
      </c>
      <c r="H173" s="73" t="s">
        <v>126</v>
      </c>
      <c r="I173" s="82" t="str">
        <f>IF('Novice 15M - Scoring'!B25&lt;&gt;"",'Novice 15M - Scoring'!AW25,"")</f>
        <v/>
      </c>
      <c r="J173" s="73" t="s">
        <v>127</v>
      </c>
      <c r="K173" s="83" t="str">
        <f>IF('Novice 15M - Scoring'!B25&lt;&gt;"",'Novice 15M - Scoring'!AX25,"")</f>
        <v/>
      </c>
      <c r="L173" s="73" t="s">
        <v>128</v>
      </c>
      <c r="M173" s="83" t="str">
        <f>IF('Novice 15M - Scoring'!B25&lt;&gt;"",'Novice 15M - Scoring'!AY25,"")</f>
        <v/>
      </c>
    </row>
    <row r="174" spans="1:13" ht="3.75" customHeight="1" x14ac:dyDescent="0.35"/>
    <row r="175" spans="1:13" ht="7.5" customHeight="1" x14ac:dyDescent="0.35">
      <c r="A175" s="126"/>
      <c r="B175" s="126"/>
      <c r="C175" s="126"/>
      <c r="D175" s="126"/>
      <c r="E175" s="126"/>
      <c r="F175" s="126"/>
      <c r="G175" s="126"/>
      <c r="H175" s="126"/>
      <c r="I175" s="126"/>
      <c r="J175" s="126"/>
      <c r="K175" s="126"/>
      <c r="L175" s="126"/>
      <c r="M175" s="126"/>
    </row>
    <row r="176" spans="1:13" ht="15.75" customHeight="1" x14ac:dyDescent="0.35">
      <c r="A176" s="73" t="s">
        <v>218</v>
      </c>
      <c r="B176" s="122" t="str">
        <f>IF('Novice 15M - Scoring'!B26&lt;&gt;"",'Novice 15M - Scoring'!B26,"")</f>
        <v/>
      </c>
      <c r="C176" s="122"/>
      <c r="D176" s="122"/>
      <c r="E176" s="73" t="s">
        <v>219</v>
      </c>
      <c r="F176" s="74" t="str">
        <f>IF('Novice 15M - Scoring'!B26&lt;&gt;"",'Novice 15M - Scoring'!BB26,"")</f>
        <v/>
      </c>
      <c r="H176" s="73" t="s">
        <v>218</v>
      </c>
      <c r="I176" s="122" t="str">
        <f>IF('Novice 15M - Scoring'!B27&lt;&gt;"",'Novice 15M - Scoring'!B27,"")</f>
        <v/>
      </c>
      <c r="J176" s="122"/>
      <c r="K176" s="122"/>
      <c r="L176" s="73" t="s">
        <v>219</v>
      </c>
      <c r="M176" s="74" t="str">
        <f>IF('Novice 15M - Scoring'!B27&lt;&gt;"",'Novice 15M - Scoring'!BB27,"")</f>
        <v/>
      </c>
    </row>
    <row r="177" spans="1:13" ht="15.75" customHeight="1" x14ac:dyDescent="0.35">
      <c r="A177" s="73" t="s">
        <v>220</v>
      </c>
      <c r="B177" s="123" t="str">
        <f>IF('Novice 15M - Scoring'!B26&lt;&gt;"",'Novice 15M - Scoring'!D26,"")</f>
        <v/>
      </c>
      <c r="C177" s="123"/>
      <c r="D177" s="123"/>
      <c r="E177" s="73" t="s">
        <v>8</v>
      </c>
      <c r="F177" s="75" t="str">
        <f>IF('Novice 15M - Scoring'!B26&lt;&gt;"",'Novice 15M - Scoring'!E26,"")</f>
        <v/>
      </c>
      <c r="H177" s="73" t="s">
        <v>220</v>
      </c>
      <c r="I177" s="123" t="str">
        <f>IF('Novice 15M - Scoring'!B27&lt;&gt;"",'Novice 15M - Scoring'!D27,"")</f>
        <v/>
      </c>
      <c r="J177" s="123"/>
      <c r="K177" s="123"/>
      <c r="L177" s="73" t="s">
        <v>8</v>
      </c>
      <c r="M177" s="75" t="str">
        <f>IF('Novice 15M - Scoring'!B27&lt;&gt;"",'Novice 15M - Scoring'!E27,"")</f>
        <v/>
      </c>
    </row>
    <row r="178" spans="1:13" ht="3.75" customHeight="1" x14ac:dyDescent="0.35"/>
    <row r="179" spans="1:13" ht="25.5" customHeight="1" x14ac:dyDescent="0.35">
      <c r="A179" s="76" t="s">
        <v>221</v>
      </c>
      <c r="B179" s="77" t="s">
        <v>222</v>
      </c>
      <c r="C179" s="77" t="s">
        <v>223</v>
      </c>
      <c r="D179" s="77" t="s">
        <v>224</v>
      </c>
      <c r="E179" s="76" t="s">
        <v>225</v>
      </c>
      <c r="F179" s="76" t="s">
        <v>226</v>
      </c>
      <c r="H179" s="76" t="s">
        <v>221</v>
      </c>
      <c r="I179" s="77" t="s">
        <v>222</v>
      </c>
      <c r="J179" s="77" t="s">
        <v>223</v>
      </c>
      <c r="K179" s="77" t="s">
        <v>224</v>
      </c>
      <c r="L179" s="76" t="s">
        <v>225</v>
      </c>
      <c r="M179" s="76" t="s">
        <v>226</v>
      </c>
    </row>
    <row r="180" spans="1:13" ht="19.5" customHeight="1" x14ac:dyDescent="0.35">
      <c r="A180" s="78" t="s">
        <v>222</v>
      </c>
      <c r="B180" s="79" t="str">
        <f>IF('Novice 15M - Scoring'!B26&lt;&gt;"",IF('Novice 15M - Scoring'!F26&lt;&gt;"",'Novice 15M - Scoring'!F26,""),"")</f>
        <v/>
      </c>
      <c r="C180" s="79" t="str">
        <f>IF('Novice 15M - Scoring'!B26&lt;&gt;"",IF('Novice 15M - Scoring'!G26&lt;&gt;"",'Novice 15M - Scoring'!G26,""),"")</f>
        <v/>
      </c>
      <c r="D180" s="79" t="str">
        <f>IF('Novice 15M - Scoring'!B26&lt;&gt;"",IF('Novice 15M - Scoring'!H26&lt;&gt;"",'Novice 15M - Scoring'!H26,""),"")</f>
        <v/>
      </c>
      <c r="E180" s="80" t="str">
        <f>IF('Novice 15M - Scoring'!B26&lt;&gt;"",'Novice 15M - Scoring'!AP26,"")</f>
        <v/>
      </c>
      <c r="F180" s="81" t="str">
        <f>IFERROR(IF(ISNUMBER(E180),E180,""),"")</f>
        <v/>
      </c>
      <c r="H180" s="78" t="s">
        <v>222</v>
      </c>
      <c r="I180" s="79" t="str">
        <f>IF('Novice 15M - Scoring'!B27&lt;&gt;"",IF('Novice 15M - Scoring'!F27&lt;&gt;"",'Novice 15M - Scoring'!F27,""),"")</f>
        <v/>
      </c>
      <c r="J180" s="79" t="str">
        <f>IF('Novice 15M - Scoring'!B27&lt;&gt;"",IF('Novice 15M - Scoring'!G27&lt;&gt;"",'Novice 15M - Scoring'!G27,""),"")</f>
        <v/>
      </c>
      <c r="K180" s="79" t="str">
        <f>IF('Novice 15M - Scoring'!B27&lt;&gt;"",IF('Novice 15M - Scoring'!H27&lt;&gt;"",'Novice 15M - Scoring'!H27,""),"")</f>
        <v/>
      </c>
      <c r="L180" s="80" t="str">
        <f>IF('Novice 15M - Scoring'!B27&lt;&gt;"",'Novice 15M - Scoring'!AP27,"")</f>
        <v/>
      </c>
      <c r="M180" s="81" t="str">
        <f>IFERROR(IF(ISNUMBER(L180),L180,""),"")</f>
        <v/>
      </c>
    </row>
    <row r="181" spans="1:13" ht="19.5" customHeight="1" x14ac:dyDescent="0.35">
      <c r="A181" s="78" t="s">
        <v>223</v>
      </c>
      <c r="B181" s="79" t="str">
        <f>IF('Novice 15M - Scoring'!B26&lt;&gt;"",IF('Novice 15M - Scoring'!L26&lt;&gt;"",'Novice 15M - Scoring'!L26,""),"")</f>
        <v/>
      </c>
      <c r="C181" s="79" t="str">
        <f>IF('Novice 15M - Scoring'!B26&lt;&gt;"",IF('Novice 15M - Scoring'!M26&lt;&gt;"",'Novice 15M - Scoring'!M26,""),"")</f>
        <v/>
      </c>
      <c r="D181" s="79" t="str">
        <f>IF('Novice 15M - Scoring'!B26&lt;&gt;"",IF('Novice 15M - Scoring'!N26&lt;&gt;"",'Novice 15M - Scoring'!N26,""),"")</f>
        <v/>
      </c>
      <c r="E181" s="80" t="str">
        <f>IF('Novice 15M - Scoring'!B26&lt;&gt;"",'Novice 15M - Scoring'!AQ26,"")</f>
        <v/>
      </c>
      <c r="F181" s="81" t="str">
        <f>IF(E180&lt;&gt;"",IFERROR(IF(ISNUMBER(E180),E180,0),0)+IFERROR(IF(ISNUMBER(E181),E181,0),0),"")</f>
        <v/>
      </c>
      <c r="H181" s="78" t="s">
        <v>223</v>
      </c>
      <c r="I181" s="79" t="str">
        <f>IF('Novice 15M - Scoring'!B27&lt;&gt;"",IF('Novice 15M - Scoring'!L27&lt;&gt;"",'Novice 15M - Scoring'!L27,""),"")</f>
        <v/>
      </c>
      <c r="J181" s="79" t="str">
        <f>IF('Novice 15M - Scoring'!B27&lt;&gt;"",IF('Novice 15M - Scoring'!M27&lt;&gt;"",'Novice 15M - Scoring'!M27,""),"")</f>
        <v/>
      </c>
      <c r="K181" s="79" t="str">
        <f>IF('Novice 15M - Scoring'!B27&lt;&gt;"",IF('Novice 15M - Scoring'!N27&lt;&gt;"",'Novice 15M - Scoring'!N27,""),"")</f>
        <v/>
      </c>
      <c r="L181" s="80" t="str">
        <f>IF('Novice 15M - Scoring'!B27&lt;&gt;"",'Novice 15M - Scoring'!AQ27,"")</f>
        <v/>
      </c>
      <c r="M181" s="81" t="str">
        <f>IF(L180&lt;&gt;"",IFERROR(IF(ISNUMBER(L180),L180,0),0)+IFERROR(IF(ISNUMBER(L181),L181,0),0),"")</f>
        <v/>
      </c>
    </row>
    <row r="182" spans="1:13" ht="19.5" customHeight="1" x14ac:dyDescent="0.35">
      <c r="A182" s="78" t="s">
        <v>224</v>
      </c>
      <c r="B182" s="79" t="str">
        <f>IF('Novice 15M - Scoring'!B26&lt;&gt;"",IF('Novice 15M - Scoring'!R26&lt;&gt;"",'Novice 15M - Scoring'!R26,""),"")</f>
        <v/>
      </c>
      <c r="C182" s="79" t="str">
        <f>IF('Novice 15M - Scoring'!B26&lt;&gt;"",IF('Novice 15M - Scoring'!S26&lt;&gt;"",'Novice 15M - Scoring'!S26,""),"")</f>
        <v/>
      </c>
      <c r="D182" s="79" t="str">
        <f>IF('Novice 15M - Scoring'!B26&lt;&gt;"",IF('Novice 15M - Scoring'!T26&lt;&gt;"",'Novice 15M - Scoring'!T26,""),"")</f>
        <v/>
      </c>
      <c r="E182" s="80" t="str">
        <f>IF('Novice 15M - Scoring'!B26&lt;&gt;"",'Novice 15M - Scoring'!AR26,"")</f>
        <v/>
      </c>
      <c r="F182" s="81" t="str">
        <f>IF(E180&lt;&gt;"",IFERROR(IF(ISNUMBER(E180),E180,0),0)+IFERROR(IF(ISNUMBER(E181),E181,0),0)+IFERROR(IF(ISNUMBER(E182),E182,0),0),"")</f>
        <v/>
      </c>
      <c r="H182" s="78" t="s">
        <v>224</v>
      </c>
      <c r="I182" s="79" t="str">
        <f>IF('Novice 15M - Scoring'!B27&lt;&gt;"",IF('Novice 15M - Scoring'!R27&lt;&gt;"",'Novice 15M - Scoring'!R27,""),"")</f>
        <v/>
      </c>
      <c r="J182" s="79" t="str">
        <f>IF('Novice 15M - Scoring'!B27&lt;&gt;"",IF('Novice 15M - Scoring'!S27&lt;&gt;"",'Novice 15M - Scoring'!S27,""),"")</f>
        <v/>
      </c>
      <c r="K182" s="79" t="str">
        <f>IF('Novice 15M - Scoring'!B27&lt;&gt;"",IF('Novice 15M - Scoring'!T27&lt;&gt;"",'Novice 15M - Scoring'!T27,""),"")</f>
        <v/>
      </c>
      <c r="L182" s="80" t="str">
        <f>IF('Novice 15M - Scoring'!B27&lt;&gt;"",'Novice 15M - Scoring'!AR27,"")</f>
        <v/>
      </c>
      <c r="M182" s="81" t="str">
        <f>IF(L180&lt;&gt;"",IFERROR(IF(ISNUMBER(L180),L180,0),0)+IFERROR(IF(ISNUMBER(L181),L181,0),0)+IFERROR(IF(ISNUMBER(L182),L182,0),0),"")</f>
        <v/>
      </c>
    </row>
    <row r="183" spans="1:13" ht="19.5" customHeight="1" x14ac:dyDescent="0.35">
      <c r="A183" s="78" t="s">
        <v>227</v>
      </c>
      <c r="B183" s="79" t="str">
        <f>IF('Novice 15M - Scoring'!B26&lt;&gt;"",IF('Novice 15M - Scoring'!X26&lt;&gt;"",'Novice 15M - Scoring'!X26,""),"")</f>
        <v/>
      </c>
      <c r="C183" s="79" t="str">
        <f>IF('Novice 15M - Scoring'!B26&lt;&gt;"",IF('Novice 15M - Scoring'!Y26&lt;&gt;"",'Novice 15M - Scoring'!Y26,""),"")</f>
        <v/>
      </c>
      <c r="D183" s="79" t="str">
        <f>IF('Novice 15M - Scoring'!B26&lt;&gt;"",IF('Novice 15M - Scoring'!Z26&lt;&gt;"",'Novice 15M - Scoring'!Z26,""),"")</f>
        <v/>
      </c>
      <c r="E183" s="80" t="str">
        <f>IF('Novice 15M - Scoring'!B26&lt;&gt;"",'Novice 15M - Scoring'!AS26,"")</f>
        <v/>
      </c>
      <c r="F183" s="81" t="str">
        <f>IF(E180&lt;&gt;"",IFERROR(IF(ISNUMBER(E180),E180,0),0)+IFERROR(IF(ISNUMBER(E181),E181,0),0)+IFERROR(IF(ISNUMBER(E182),E182,0),0)+IFERROR(IF(ISNUMBER(E183),E183,0),0),"")</f>
        <v/>
      </c>
      <c r="H183" s="78" t="s">
        <v>227</v>
      </c>
      <c r="I183" s="79" t="str">
        <f>IF('Novice 15M - Scoring'!B27&lt;&gt;"",IF('Novice 15M - Scoring'!X27&lt;&gt;"",'Novice 15M - Scoring'!X27,""),"")</f>
        <v/>
      </c>
      <c r="J183" s="79" t="str">
        <f>IF('Novice 15M - Scoring'!B27&lt;&gt;"",IF('Novice 15M - Scoring'!Y27&lt;&gt;"",'Novice 15M - Scoring'!Y27,""),"")</f>
        <v/>
      </c>
      <c r="K183" s="79" t="str">
        <f>IF('Novice 15M - Scoring'!B27&lt;&gt;"",IF('Novice 15M - Scoring'!Z27&lt;&gt;"",'Novice 15M - Scoring'!Z27,""),"")</f>
        <v/>
      </c>
      <c r="L183" s="80" t="str">
        <f>IF('Novice 15M - Scoring'!B27&lt;&gt;"",'Novice 15M - Scoring'!AS27,"")</f>
        <v/>
      </c>
      <c r="M183" s="81" t="str">
        <f>IF(L180&lt;&gt;"",IFERROR(IF(ISNUMBER(L180),L180,0),0)+IFERROR(IF(ISNUMBER(L181),L181,0),0)+IFERROR(IF(ISNUMBER(L182),L182,0),0)+IFERROR(IF(ISNUMBER(L183),L183,0),0),"")</f>
        <v/>
      </c>
    </row>
    <row r="184" spans="1:13" ht="19.5" customHeight="1" x14ac:dyDescent="0.35">
      <c r="A184" s="78" t="s">
        <v>228</v>
      </c>
      <c r="B184" s="79" t="str">
        <f>IF('Novice 15M - Scoring'!B26&lt;&gt;"",IF('Novice 15M - Scoring'!AD26&lt;&gt;"",'Novice 15M - Scoring'!AD26,""),"")</f>
        <v/>
      </c>
      <c r="C184" s="79" t="str">
        <f>IF('Novice 15M - Scoring'!B26&lt;&gt;"",IF('Novice 15M - Scoring'!AE26&lt;&gt;"",'Novice 15M - Scoring'!AE26,""),"")</f>
        <v/>
      </c>
      <c r="D184" s="79" t="str">
        <f>IF('Novice 15M - Scoring'!B26&lt;&gt;"",IF('Novice 15M - Scoring'!AF26&lt;&gt;"",'Novice 15M - Scoring'!AF26,""),"")</f>
        <v/>
      </c>
      <c r="E184" s="80" t="str">
        <f>IF('Novice 15M - Scoring'!B26&lt;&gt;"",'Novice 15M - Scoring'!AT26,"")</f>
        <v/>
      </c>
      <c r="F184" s="81" t="str">
        <f>IF(E180&lt;&gt;"",IFERROR(IF(ISNUMBER(E180),E180,0),0)+IFERROR(IF(ISNUMBER(E181),E181,0),0)+IFERROR(IF(ISNUMBER(E182),E182,0),0)+IFERROR(IF(ISNUMBER(E183),E183,0),0)+IFERROR(IF(ISNUMBER(E184),E184,0),0),"")</f>
        <v/>
      </c>
      <c r="H184" s="78" t="s">
        <v>228</v>
      </c>
      <c r="I184" s="79" t="str">
        <f>IF('Novice 15M - Scoring'!B27&lt;&gt;"",IF('Novice 15M - Scoring'!AD27&lt;&gt;"",'Novice 15M - Scoring'!AD27,""),"")</f>
        <v/>
      </c>
      <c r="J184" s="79" t="str">
        <f>IF('Novice 15M - Scoring'!B27&lt;&gt;"",IF('Novice 15M - Scoring'!AE27&lt;&gt;"",'Novice 15M - Scoring'!AE27,""),"")</f>
        <v/>
      </c>
      <c r="K184" s="79" t="str">
        <f>IF('Novice 15M - Scoring'!B27&lt;&gt;"",IF('Novice 15M - Scoring'!AF27&lt;&gt;"",'Novice 15M - Scoring'!AF27,""),"")</f>
        <v/>
      </c>
      <c r="L184" s="80" t="str">
        <f>IF('Novice 15M - Scoring'!B27&lt;&gt;"",'Novice 15M - Scoring'!AT27,"")</f>
        <v/>
      </c>
      <c r="M184" s="81" t="str">
        <f>IF(L180&lt;&gt;"",IFERROR(IF(ISNUMBER(L180),L180,0),0)+IFERROR(IF(ISNUMBER(L181),L181,0),0)+IFERROR(IF(ISNUMBER(L182),L182,0),0)+IFERROR(IF(ISNUMBER(L183),L183,0),0)+IFERROR(IF(ISNUMBER(L184),L184,0),0),"")</f>
        <v/>
      </c>
    </row>
    <row r="185" spans="1:13" ht="19.5" customHeight="1" x14ac:dyDescent="0.35">
      <c r="A185" s="78" t="s">
        <v>229</v>
      </c>
      <c r="B185" s="79" t="str">
        <f>IF('Novice 15M - Scoring'!B26&lt;&gt;"",IF('Novice 15M - Scoring'!AJ26&lt;&gt;"",'Novice 15M - Scoring'!AJ26,""),"")</f>
        <v/>
      </c>
      <c r="C185" s="79" t="str">
        <f>IF('Novice 15M - Scoring'!B26&lt;&gt;"",IF('Novice 15M - Scoring'!AK26&lt;&gt;"",'Novice 15M - Scoring'!AK26,""),"")</f>
        <v/>
      </c>
      <c r="D185" s="79" t="str">
        <f>IF('Novice 15M - Scoring'!B26&lt;&gt;"",IF('Novice 15M - Scoring'!AL26&lt;&gt;"",'Novice 15M - Scoring'!AL26,""),"")</f>
        <v/>
      </c>
      <c r="E185" s="80" t="str">
        <f>IF('Novice 15M - Scoring'!B26&lt;&gt;"",'Novice 15M - Scoring'!AU26,"")</f>
        <v/>
      </c>
      <c r="F185" s="81" t="str">
        <f>IF(E180&lt;&gt;"",IFERROR(IF(ISNUMBER(E180),E180,0),0)+IFERROR(IF(ISNUMBER(E181),E181,0),0)+IFERROR(IF(ISNUMBER(E182),E182,0),0)+IFERROR(IF(ISNUMBER(E183),E183,0),0)+IFERROR(IF(ISNUMBER(E184),E184,0),0)+IFERROR(IF(ISNUMBER(E185),E185,0),0),"")</f>
        <v/>
      </c>
      <c r="H185" s="78" t="s">
        <v>229</v>
      </c>
      <c r="I185" s="79" t="str">
        <f>IF('Novice 15M - Scoring'!B27&lt;&gt;"",IF('Novice 15M - Scoring'!AJ27&lt;&gt;"",'Novice 15M - Scoring'!AJ27,""),"")</f>
        <v/>
      </c>
      <c r="J185" s="79" t="str">
        <f>IF('Novice 15M - Scoring'!B27&lt;&gt;"",IF('Novice 15M - Scoring'!AK27&lt;&gt;"",'Novice 15M - Scoring'!AK27,""),"")</f>
        <v/>
      </c>
      <c r="K185" s="79" t="str">
        <f>IF('Novice 15M - Scoring'!B27&lt;&gt;"",IF('Novice 15M - Scoring'!AL27&lt;&gt;"",'Novice 15M - Scoring'!AL27,""),"")</f>
        <v/>
      </c>
      <c r="L185" s="80" t="str">
        <f>IF('Novice 15M - Scoring'!B27&lt;&gt;"",'Novice 15M - Scoring'!AU27,"")</f>
        <v/>
      </c>
      <c r="M185" s="81" t="str">
        <f>IF(L180&lt;&gt;"",IFERROR(IF(ISNUMBER(L180),L180,0),0)+IFERROR(IF(ISNUMBER(L181),L181,0),0)+IFERROR(IF(ISNUMBER(L182),L182,0),0)+IFERROR(IF(ISNUMBER(L183),L183,0),0)+IFERROR(IF(ISNUMBER(L184),L184,0),0)+IFERROR(IF(ISNUMBER(L185),L185,0),0),"")</f>
        <v/>
      </c>
    </row>
    <row r="186" spans="1:13" ht="3.75" customHeight="1" x14ac:dyDescent="0.35"/>
    <row r="187" spans="1:13" ht="24" customHeight="1" x14ac:dyDescent="0.35">
      <c r="A187" s="124" t="s">
        <v>230</v>
      </c>
      <c r="B187" s="124"/>
      <c r="C187" s="124"/>
      <c r="D187" s="124"/>
      <c r="E187" s="125" t="str">
        <f>IF('Novice 15M - Scoring'!B26&lt;&gt;"",'Novice 15M - Scoring'!AV26,"")</f>
        <v/>
      </c>
      <c r="F187" s="125"/>
      <c r="H187" s="124" t="s">
        <v>230</v>
      </c>
      <c r="I187" s="124"/>
      <c r="J187" s="124"/>
      <c r="K187" s="124"/>
      <c r="L187" s="125" t="str">
        <f>IF('Novice 15M - Scoring'!B27&lt;&gt;"",'Novice 15M - Scoring'!AV27,"")</f>
        <v/>
      </c>
      <c r="M187" s="125"/>
    </row>
    <row r="188" spans="1:13" ht="19.5" customHeight="1" x14ac:dyDescent="0.35">
      <c r="E188" s="125"/>
      <c r="F188" s="125"/>
      <c r="L188" s="125"/>
      <c r="M188" s="125"/>
    </row>
    <row r="189" spans="1:13" ht="3.75" customHeight="1" x14ac:dyDescent="0.35"/>
    <row r="190" spans="1:13" ht="18" customHeight="1" x14ac:dyDescent="0.35">
      <c r="A190" s="73" t="s">
        <v>126</v>
      </c>
      <c r="B190" s="82" t="str">
        <f>IF('Novice 15M - Scoring'!B26&lt;&gt;"",'Novice 15M - Scoring'!AW26,"")</f>
        <v/>
      </c>
      <c r="C190" s="73" t="s">
        <v>127</v>
      </c>
      <c r="D190" s="83" t="str">
        <f>IF('Novice 15M - Scoring'!B26&lt;&gt;"",'Novice 15M - Scoring'!AX26,"")</f>
        <v/>
      </c>
      <c r="E190" s="73" t="s">
        <v>128</v>
      </c>
      <c r="F190" s="83" t="str">
        <f>IF('Novice 15M - Scoring'!B26&lt;&gt;"",'Novice 15M - Scoring'!AY26,"")</f>
        <v/>
      </c>
      <c r="H190" s="73" t="s">
        <v>126</v>
      </c>
      <c r="I190" s="82" t="str">
        <f>IF('Novice 15M - Scoring'!B27&lt;&gt;"",'Novice 15M - Scoring'!AW27,"")</f>
        <v/>
      </c>
      <c r="J190" s="73" t="s">
        <v>127</v>
      </c>
      <c r="K190" s="83" t="str">
        <f>IF('Novice 15M - Scoring'!B27&lt;&gt;"",'Novice 15M - Scoring'!AX27,"")</f>
        <v/>
      </c>
      <c r="L190" s="73" t="s">
        <v>128</v>
      </c>
      <c r="M190" s="83" t="str">
        <f>IF('Novice 15M - Scoring'!B27&lt;&gt;"",'Novice 15M - Scoring'!AY27,"")</f>
        <v/>
      </c>
    </row>
    <row r="191" spans="1:13" ht="3.75" customHeight="1" x14ac:dyDescent="0.35"/>
    <row r="192" spans="1:13" ht="7.5" customHeight="1" x14ac:dyDescent="0.35">
      <c r="A192" s="126"/>
      <c r="B192" s="126"/>
      <c r="C192" s="126"/>
      <c r="D192" s="126"/>
      <c r="E192" s="126"/>
      <c r="F192" s="126"/>
      <c r="G192" s="126"/>
      <c r="H192" s="126"/>
      <c r="I192" s="126"/>
      <c r="J192" s="126"/>
      <c r="K192" s="126"/>
      <c r="L192" s="126"/>
      <c r="M192" s="126"/>
    </row>
    <row r="193" spans="1:13" ht="15.75" customHeight="1" x14ac:dyDescent="0.35">
      <c r="A193" s="73" t="s">
        <v>218</v>
      </c>
      <c r="B193" s="122" t="str">
        <f>IF('Novice 15M - Scoring'!B28&lt;&gt;"",'Novice 15M - Scoring'!B28,"")</f>
        <v/>
      </c>
      <c r="C193" s="122"/>
      <c r="D193" s="122"/>
      <c r="E193" s="73" t="s">
        <v>219</v>
      </c>
      <c r="F193" s="74" t="str">
        <f>IF('Novice 15M - Scoring'!B28&lt;&gt;"",'Novice 15M - Scoring'!BB28,"")</f>
        <v/>
      </c>
      <c r="H193" s="73" t="s">
        <v>218</v>
      </c>
      <c r="I193" s="122" t="str">
        <f>IF('Novice 15M - Scoring'!B29&lt;&gt;"",'Novice 15M - Scoring'!B29,"")</f>
        <v/>
      </c>
      <c r="J193" s="122"/>
      <c r="K193" s="122"/>
      <c r="L193" s="73" t="s">
        <v>219</v>
      </c>
      <c r="M193" s="74" t="str">
        <f>IF('Novice 15M - Scoring'!B29&lt;&gt;"",'Novice 15M - Scoring'!BB29,"")</f>
        <v/>
      </c>
    </row>
    <row r="194" spans="1:13" ht="15.75" customHeight="1" x14ac:dyDescent="0.35">
      <c r="A194" s="73" t="s">
        <v>220</v>
      </c>
      <c r="B194" s="123" t="str">
        <f>IF('Novice 15M - Scoring'!B28&lt;&gt;"",'Novice 15M - Scoring'!D28,"")</f>
        <v/>
      </c>
      <c r="C194" s="123"/>
      <c r="D194" s="123"/>
      <c r="E194" s="73" t="s">
        <v>8</v>
      </c>
      <c r="F194" s="75" t="str">
        <f>IF('Novice 15M - Scoring'!B28&lt;&gt;"",'Novice 15M - Scoring'!E28,"")</f>
        <v/>
      </c>
      <c r="H194" s="73" t="s">
        <v>220</v>
      </c>
      <c r="I194" s="123" t="str">
        <f>IF('Novice 15M - Scoring'!B29&lt;&gt;"",'Novice 15M - Scoring'!D29,"")</f>
        <v/>
      </c>
      <c r="J194" s="123"/>
      <c r="K194" s="123"/>
      <c r="L194" s="73" t="s">
        <v>8</v>
      </c>
      <c r="M194" s="75" t="str">
        <f>IF('Novice 15M - Scoring'!B29&lt;&gt;"",'Novice 15M - Scoring'!E29,"")</f>
        <v/>
      </c>
    </row>
    <row r="195" spans="1:13" ht="3.75" customHeight="1" x14ac:dyDescent="0.35"/>
    <row r="196" spans="1:13" ht="25.5" customHeight="1" x14ac:dyDescent="0.35">
      <c r="A196" s="76" t="s">
        <v>221</v>
      </c>
      <c r="B196" s="77" t="s">
        <v>222</v>
      </c>
      <c r="C196" s="77" t="s">
        <v>223</v>
      </c>
      <c r="D196" s="77" t="s">
        <v>224</v>
      </c>
      <c r="E196" s="76" t="s">
        <v>225</v>
      </c>
      <c r="F196" s="76" t="s">
        <v>226</v>
      </c>
      <c r="H196" s="76" t="s">
        <v>221</v>
      </c>
      <c r="I196" s="77" t="s">
        <v>222</v>
      </c>
      <c r="J196" s="77" t="s">
        <v>223</v>
      </c>
      <c r="K196" s="77" t="s">
        <v>224</v>
      </c>
      <c r="L196" s="76" t="s">
        <v>225</v>
      </c>
      <c r="M196" s="76" t="s">
        <v>226</v>
      </c>
    </row>
    <row r="197" spans="1:13" ht="19.5" customHeight="1" x14ac:dyDescent="0.35">
      <c r="A197" s="78" t="s">
        <v>222</v>
      </c>
      <c r="B197" s="79" t="str">
        <f>IF('Novice 15M - Scoring'!B28&lt;&gt;"",IF('Novice 15M - Scoring'!F28&lt;&gt;"",'Novice 15M - Scoring'!F28,""),"")</f>
        <v/>
      </c>
      <c r="C197" s="79" t="str">
        <f>IF('Novice 15M - Scoring'!B28&lt;&gt;"",IF('Novice 15M - Scoring'!G28&lt;&gt;"",'Novice 15M - Scoring'!G28,""),"")</f>
        <v/>
      </c>
      <c r="D197" s="79" t="str">
        <f>IF('Novice 15M - Scoring'!B28&lt;&gt;"",IF('Novice 15M - Scoring'!H28&lt;&gt;"",'Novice 15M - Scoring'!H28,""),"")</f>
        <v/>
      </c>
      <c r="E197" s="80" t="str">
        <f>IF('Novice 15M - Scoring'!B28&lt;&gt;"",'Novice 15M - Scoring'!AP28,"")</f>
        <v/>
      </c>
      <c r="F197" s="81" t="str">
        <f>IFERROR(IF(ISNUMBER(E197),E197,""),"")</f>
        <v/>
      </c>
      <c r="H197" s="78" t="s">
        <v>222</v>
      </c>
      <c r="I197" s="79" t="str">
        <f>IF('Novice 15M - Scoring'!B29&lt;&gt;"",IF('Novice 15M - Scoring'!F29&lt;&gt;"",'Novice 15M - Scoring'!F29,""),"")</f>
        <v/>
      </c>
      <c r="J197" s="79" t="str">
        <f>IF('Novice 15M - Scoring'!B29&lt;&gt;"",IF('Novice 15M - Scoring'!G29&lt;&gt;"",'Novice 15M - Scoring'!G29,""),"")</f>
        <v/>
      </c>
      <c r="K197" s="79" t="str">
        <f>IF('Novice 15M - Scoring'!B29&lt;&gt;"",IF('Novice 15M - Scoring'!H29&lt;&gt;"",'Novice 15M - Scoring'!H29,""),"")</f>
        <v/>
      </c>
      <c r="L197" s="80" t="str">
        <f>IF('Novice 15M - Scoring'!B29&lt;&gt;"",'Novice 15M - Scoring'!AP29,"")</f>
        <v/>
      </c>
      <c r="M197" s="81" t="str">
        <f>IFERROR(IF(ISNUMBER(L197),L197,""),"")</f>
        <v/>
      </c>
    </row>
    <row r="198" spans="1:13" ht="19.5" customHeight="1" x14ac:dyDescent="0.35">
      <c r="A198" s="78" t="s">
        <v>223</v>
      </c>
      <c r="B198" s="79" t="str">
        <f>IF('Novice 15M - Scoring'!B28&lt;&gt;"",IF('Novice 15M - Scoring'!L28&lt;&gt;"",'Novice 15M - Scoring'!L28,""),"")</f>
        <v/>
      </c>
      <c r="C198" s="79" t="str">
        <f>IF('Novice 15M - Scoring'!B28&lt;&gt;"",IF('Novice 15M - Scoring'!M28&lt;&gt;"",'Novice 15M - Scoring'!M28,""),"")</f>
        <v/>
      </c>
      <c r="D198" s="79" t="str">
        <f>IF('Novice 15M - Scoring'!B28&lt;&gt;"",IF('Novice 15M - Scoring'!N28&lt;&gt;"",'Novice 15M - Scoring'!N28,""),"")</f>
        <v/>
      </c>
      <c r="E198" s="80" t="str">
        <f>IF('Novice 15M - Scoring'!B28&lt;&gt;"",'Novice 15M - Scoring'!AQ28,"")</f>
        <v/>
      </c>
      <c r="F198" s="81" t="str">
        <f>IF(E197&lt;&gt;"",IFERROR(IF(ISNUMBER(E197),E197,0),0)+IFERROR(IF(ISNUMBER(E198),E198,0),0),"")</f>
        <v/>
      </c>
      <c r="H198" s="78" t="s">
        <v>223</v>
      </c>
      <c r="I198" s="79" t="str">
        <f>IF('Novice 15M - Scoring'!B29&lt;&gt;"",IF('Novice 15M - Scoring'!L29&lt;&gt;"",'Novice 15M - Scoring'!L29,""),"")</f>
        <v/>
      </c>
      <c r="J198" s="79" t="str">
        <f>IF('Novice 15M - Scoring'!B29&lt;&gt;"",IF('Novice 15M - Scoring'!M29&lt;&gt;"",'Novice 15M - Scoring'!M29,""),"")</f>
        <v/>
      </c>
      <c r="K198" s="79" t="str">
        <f>IF('Novice 15M - Scoring'!B29&lt;&gt;"",IF('Novice 15M - Scoring'!N29&lt;&gt;"",'Novice 15M - Scoring'!N29,""),"")</f>
        <v/>
      </c>
      <c r="L198" s="80" t="str">
        <f>IF('Novice 15M - Scoring'!B29&lt;&gt;"",'Novice 15M - Scoring'!AQ29,"")</f>
        <v/>
      </c>
      <c r="M198" s="81" t="str">
        <f>IF(L197&lt;&gt;"",IFERROR(IF(ISNUMBER(L197),L197,0),0)+IFERROR(IF(ISNUMBER(L198),L198,0),0),"")</f>
        <v/>
      </c>
    </row>
    <row r="199" spans="1:13" ht="19.5" customHeight="1" x14ac:dyDescent="0.35">
      <c r="A199" s="78" t="s">
        <v>224</v>
      </c>
      <c r="B199" s="79" t="str">
        <f>IF('Novice 15M - Scoring'!B28&lt;&gt;"",IF('Novice 15M - Scoring'!R28&lt;&gt;"",'Novice 15M - Scoring'!R28,""),"")</f>
        <v/>
      </c>
      <c r="C199" s="79" t="str">
        <f>IF('Novice 15M - Scoring'!B28&lt;&gt;"",IF('Novice 15M - Scoring'!S28&lt;&gt;"",'Novice 15M - Scoring'!S28,""),"")</f>
        <v/>
      </c>
      <c r="D199" s="79" t="str">
        <f>IF('Novice 15M - Scoring'!B28&lt;&gt;"",IF('Novice 15M - Scoring'!T28&lt;&gt;"",'Novice 15M - Scoring'!T28,""),"")</f>
        <v/>
      </c>
      <c r="E199" s="80" t="str">
        <f>IF('Novice 15M - Scoring'!B28&lt;&gt;"",'Novice 15M - Scoring'!AR28,"")</f>
        <v/>
      </c>
      <c r="F199" s="81" t="str">
        <f>IF(E197&lt;&gt;"",IFERROR(IF(ISNUMBER(E197),E197,0),0)+IFERROR(IF(ISNUMBER(E198),E198,0),0)+IFERROR(IF(ISNUMBER(E199),E199,0),0),"")</f>
        <v/>
      </c>
      <c r="H199" s="78" t="s">
        <v>224</v>
      </c>
      <c r="I199" s="79" t="str">
        <f>IF('Novice 15M - Scoring'!B29&lt;&gt;"",IF('Novice 15M - Scoring'!R29&lt;&gt;"",'Novice 15M - Scoring'!R29,""),"")</f>
        <v/>
      </c>
      <c r="J199" s="79" t="str">
        <f>IF('Novice 15M - Scoring'!B29&lt;&gt;"",IF('Novice 15M - Scoring'!S29&lt;&gt;"",'Novice 15M - Scoring'!S29,""),"")</f>
        <v/>
      </c>
      <c r="K199" s="79" t="str">
        <f>IF('Novice 15M - Scoring'!B29&lt;&gt;"",IF('Novice 15M - Scoring'!T29&lt;&gt;"",'Novice 15M - Scoring'!T29,""),"")</f>
        <v/>
      </c>
      <c r="L199" s="80" t="str">
        <f>IF('Novice 15M - Scoring'!B29&lt;&gt;"",'Novice 15M - Scoring'!AR29,"")</f>
        <v/>
      </c>
      <c r="M199" s="81" t="str">
        <f>IF(L197&lt;&gt;"",IFERROR(IF(ISNUMBER(L197),L197,0),0)+IFERROR(IF(ISNUMBER(L198),L198,0),0)+IFERROR(IF(ISNUMBER(L199),L199,0),0),"")</f>
        <v/>
      </c>
    </row>
    <row r="200" spans="1:13" ht="19.5" customHeight="1" x14ac:dyDescent="0.35">
      <c r="A200" s="78" t="s">
        <v>227</v>
      </c>
      <c r="B200" s="79" t="str">
        <f>IF('Novice 15M - Scoring'!B28&lt;&gt;"",IF('Novice 15M - Scoring'!X28&lt;&gt;"",'Novice 15M - Scoring'!X28,""),"")</f>
        <v/>
      </c>
      <c r="C200" s="79" t="str">
        <f>IF('Novice 15M - Scoring'!B28&lt;&gt;"",IF('Novice 15M - Scoring'!Y28&lt;&gt;"",'Novice 15M - Scoring'!Y28,""),"")</f>
        <v/>
      </c>
      <c r="D200" s="79" t="str">
        <f>IF('Novice 15M - Scoring'!B28&lt;&gt;"",IF('Novice 15M - Scoring'!Z28&lt;&gt;"",'Novice 15M - Scoring'!Z28,""),"")</f>
        <v/>
      </c>
      <c r="E200" s="80" t="str">
        <f>IF('Novice 15M - Scoring'!B28&lt;&gt;"",'Novice 15M - Scoring'!AS28,"")</f>
        <v/>
      </c>
      <c r="F200" s="81" t="str">
        <f>IF(E197&lt;&gt;"",IFERROR(IF(ISNUMBER(E197),E197,0),0)+IFERROR(IF(ISNUMBER(E198),E198,0),0)+IFERROR(IF(ISNUMBER(E199),E199,0),0)+IFERROR(IF(ISNUMBER(E200),E200,0),0),"")</f>
        <v/>
      </c>
      <c r="H200" s="78" t="s">
        <v>227</v>
      </c>
      <c r="I200" s="79" t="str">
        <f>IF('Novice 15M - Scoring'!B29&lt;&gt;"",IF('Novice 15M - Scoring'!X29&lt;&gt;"",'Novice 15M - Scoring'!X29,""),"")</f>
        <v/>
      </c>
      <c r="J200" s="79" t="str">
        <f>IF('Novice 15M - Scoring'!B29&lt;&gt;"",IF('Novice 15M - Scoring'!Y29&lt;&gt;"",'Novice 15M - Scoring'!Y29,""),"")</f>
        <v/>
      </c>
      <c r="K200" s="79" t="str">
        <f>IF('Novice 15M - Scoring'!B29&lt;&gt;"",IF('Novice 15M - Scoring'!Z29&lt;&gt;"",'Novice 15M - Scoring'!Z29,""),"")</f>
        <v/>
      </c>
      <c r="L200" s="80" t="str">
        <f>IF('Novice 15M - Scoring'!B29&lt;&gt;"",'Novice 15M - Scoring'!AS29,"")</f>
        <v/>
      </c>
      <c r="M200" s="81" t="str">
        <f>IF(L197&lt;&gt;"",IFERROR(IF(ISNUMBER(L197),L197,0),0)+IFERROR(IF(ISNUMBER(L198),L198,0),0)+IFERROR(IF(ISNUMBER(L199),L199,0),0)+IFERROR(IF(ISNUMBER(L200),L200,0),0),"")</f>
        <v/>
      </c>
    </row>
    <row r="201" spans="1:13" ht="19.5" customHeight="1" x14ac:dyDescent="0.35">
      <c r="A201" s="78" t="s">
        <v>228</v>
      </c>
      <c r="B201" s="79" t="str">
        <f>IF('Novice 15M - Scoring'!B28&lt;&gt;"",IF('Novice 15M - Scoring'!AD28&lt;&gt;"",'Novice 15M - Scoring'!AD28,""),"")</f>
        <v/>
      </c>
      <c r="C201" s="79" t="str">
        <f>IF('Novice 15M - Scoring'!B28&lt;&gt;"",IF('Novice 15M - Scoring'!AE28&lt;&gt;"",'Novice 15M - Scoring'!AE28,""),"")</f>
        <v/>
      </c>
      <c r="D201" s="79" t="str">
        <f>IF('Novice 15M - Scoring'!B28&lt;&gt;"",IF('Novice 15M - Scoring'!AF28&lt;&gt;"",'Novice 15M - Scoring'!AF28,""),"")</f>
        <v/>
      </c>
      <c r="E201" s="80" t="str">
        <f>IF('Novice 15M - Scoring'!B28&lt;&gt;"",'Novice 15M - Scoring'!AT28,"")</f>
        <v/>
      </c>
      <c r="F201" s="81" t="str">
        <f>IF(E197&lt;&gt;"",IFERROR(IF(ISNUMBER(E197),E197,0),0)+IFERROR(IF(ISNUMBER(E198),E198,0),0)+IFERROR(IF(ISNUMBER(E199),E199,0),0)+IFERROR(IF(ISNUMBER(E200),E200,0),0)+IFERROR(IF(ISNUMBER(E201),E201,0),0),"")</f>
        <v/>
      </c>
      <c r="H201" s="78" t="s">
        <v>228</v>
      </c>
      <c r="I201" s="79" t="str">
        <f>IF('Novice 15M - Scoring'!B29&lt;&gt;"",IF('Novice 15M - Scoring'!AD29&lt;&gt;"",'Novice 15M - Scoring'!AD29,""),"")</f>
        <v/>
      </c>
      <c r="J201" s="79" t="str">
        <f>IF('Novice 15M - Scoring'!B29&lt;&gt;"",IF('Novice 15M - Scoring'!AE29&lt;&gt;"",'Novice 15M - Scoring'!AE29,""),"")</f>
        <v/>
      </c>
      <c r="K201" s="79" t="str">
        <f>IF('Novice 15M - Scoring'!B29&lt;&gt;"",IF('Novice 15M - Scoring'!AF29&lt;&gt;"",'Novice 15M - Scoring'!AF29,""),"")</f>
        <v/>
      </c>
      <c r="L201" s="80" t="str">
        <f>IF('Novice 15M - Scoring'!B29&lt;&gt;"",'Novice 15M - Scoring'!AT29,"")</f>
        <v/>
      </c>
      <c r="M201" s="81" t="str">
        <f>IF(L197&lt;&gt;"",IFERROR(IF(ISNUMBER(L197),L197,0),0)+IFERROR(IF(ISNUMBER(L198),L198,0),0)+IFERROR(IF(ISNUMBER(L199),L199,0),0)+IFERROR(IF(ISNUMBER(L200),L200,0),0)+IFERROR(IF(ISNUMBER(L201),L201,0),0),"")</f>
        <v/>
      </c>
    </row>
    <row r="202" spans="1:13" ht="19.5" customHeight="1" x14ac:dyDescent="0.35">
      <c r="A202" s="78" t="s">
        <v>229</v>
      </c>
      <c r="B202" s="79" t="str">
        <f>IF('Novice 15M - Scoring'!B28&lt;&gt;"",IF('Novice 15M - Scoring'!AJ28&lt;&gt;"",'Novice 15M - Scoring'!AJ28,""),"")</f>
        <v/>
      </c>
      <c r="C202" s="79" t="str">
        <f>IF('Novice 15M - Scoring'!B28&lt;&gt;"",IF('Novice 15M - Scoring'!AK28&lt;&gt;"",'Novice 15M - Scoring'!AK28,""),"")</f>
        <v/>
      </c>
      <c r="D202" s="79" t="str">
        <f>IF('Novice 15M - Scoring'!B28&lt;&gt;"",IF('Novice 15M - Scoring'!AL28&lt;&gt;"",'Novice 15M - Scoring'!AL28,""),"")</f>
        <v/>
      </c>
      <c r="E202" s="80" t="str">
        <f>IF('Novice 15M - Scoring'!B28&lt;&gt;"",'Novice 15M - Scoring'!AU28,"")</f>
        <v/>
      </c>
      <c r="F202" s="81" t="str">
        <f>IF(E197&lt;&gt;"",IFERROR(IF(ISNUMBER(E197),E197,0),0)+IFERROR(IF(ISNUMBER(E198),E198,0),0)+IFERROR(IF(ISNUMBER(E199),E199,0),0)+IFERROR(IF(ISNUMBER(E200),E200,0),0)+IFERROR(IF(ISNUMBER(E201),E201,0),0)+IFERROR(IF(ISNUMBER(E202),E202,0),0),"")</f>
        <v/>
      </c>
      <c r="H202" s="78" t="s">
        <v>229</v>
      </c>
      <c r="I202" s="79" t="str">
        <f>IF('Novice 15M - Scoring'!B29&lt;&gt;"",IF('Novice 15M - Scoring'!AJ29&lt;&gt;"",'Novice 15M - Scoring'!AJ29,""),"")</f>
        <v/>
      </c>
      <c r="J202" s="79" t="str">
        <f>IF('Novice 15M - Scoring'!B29&lt;&gt;"",IF('Novice 15M - Scoring'!AK29&lt;&gt;"",'Novice 15M - Scoring'!AK29,""),"")</f>
        <v/>
      </c>
      <c r="K202" s="79" t="str">
        <f>IF('Novice 15M - Scoring'!B29&lt;&gt;"",IF('Novice 15M - Scoring'!AL29&lt;&gt;"",'Novice 15M - Scoring'!AL29,""),"")</f>
        <v/>
      </c>
      <c r="L202" s="80" t="str">
        <f>IF('Novice 15M - Scoring'!B29&lt;&gt;"",'Novice 15M - Scoring'!AU29,"")</f>
        <v/>
      </c>
      <c r="M202" s="81" t="str">
        <f>IF(L197&lt;&gt;"",IFERROR(IF(ISNUMBER(L197),L197,0),0)+IFERROR(IF(ISNUMBER(L198),L198,0),0)+IFERROR(IF(ISNUMBER(L199),L199,0),0)+IFERROR(IF(ISNUMBER(L200),L200,0),0)+IFERROR(IF(ISNUMBER(L201),L201,0),0)+IFERROR(IF(ISNUMBER(L202),L202,0),0),"")</f>
        <v/>
      </c>
    </row>
    <row r="203" spans="1:13" ht="3.75" customHeight="1" x14ac:dyDescent="0.35"/>
    <row r="204" spans="1:13" ht="24" customHeight="1" x14ac:dyDescent="0.35">
      <c r="A204" s="124" t="s">
        <v>230</v>
      </c>
      <c r="B204" s="124"/>
      <c r="C204" s="124"/>
      <c r="D204" s="124"/>
      <c r="E204" s="125" t="str">
        <f>IF('Novice 15M - Scoring'!B28&lt;&gt;"",'Novice 15M - Scoring'!AV28,"")</f>
        <v/>
      </c>
      <c r="F204" s="125"/>
      <c r="H204" s="124" t="s">
        <v>230</v>
      </c>
      <c r="I204" s="124"/>
      <c r="J204" s="124"/>
      <c r="K204" s="124"/>
      <c r="L204" s="125" t="str">
        <f>IF('Novice 15M - Scoring'!B29&lt;&gt;"",'Novice 15M - Scoring'!AV29,"")</f>
        <v/>
      </c>
      <c r="M204" s="125"/>
    </row>
    <row r="205" spans="1:13" ht="19.5" customHeight="1" x14ac:dyDescent="0.35">
      <c r="E205" s="125"/>
      <c r="F205" s="125"/>
      <c r="L205" s="125"/>
      <c r="M205" s="125"/>
    </row>
    <row r="206" spans="1:13" ht="3.75" customHeight="1" x14ac:dyDescent="0.35"/>
    <row r="207" spans="1:13" ht="18" customHeight="1" x14ac:dyDescent="0.35">
      <c r="A207" s="73" t="s">
        <v>126</v>
      </c>
      <c r="B207" s="82" t="str">
        <f>IF('Novice 15M - Scoring'!B28&lt;&gt;"",'Novice 15M - Scoring'!AW28,"")</f>
        <v/>
      </c>
      <c r="C207" s="73" t="s">
        <v>127</v>
      </c>
      <c r="D207" s="83" t="str">
        <f>IF('Novice 15M - Scoring'!B28&lt;&gt;"",'Novice 15M - Scoring'!AX28,"")</f>
        <v/>
      </c>
      <c r="E207" s="73" t="s">
        <v>128</v>
      </c>
      <c r="F207" s="83" t="str">
        <f>IF('Novice 15M - Scoring'!B28&lt;&gt;"",'Novice 15M - Scoring'!AY28,"")</f>
        <v/>
      </c>
      <c r="H207" s="73" t="s">
        <v>126</v>
      </c>
      <c r="I207" s="82" t="str">
        <f>IF('Novice 15M - Scoring'!B29&lt;&gt;"",'Novice 15M - Scoring'!AW29,"")</f>
        <v/>
      </c>
      <c r="J207" s="73" t="s">
        <v>127</v>
      </c>
      <c r="K207" s="83" t="str">
        <f>IF('Novice 15M - Scoring'!B29&lt;&gt;"",'Novice 15M - Scoring'!AX29,"")</f>
        <v/>
      </c>
      <c r="L207" s="73" t="s">
        <v>128</v>
      </c>
      <c r="M207" s="83" t="str">
        <f>IF('Novice 15M - Scoring'!B29&lt;&gt;"",'Novice 15M - Scoring'!AY29,"")</f>
        <v/>
      </c>
    </row>
    <row r="208" spans="1:13" ht="3.75" customHeight="1" x14ac:dyDescent="0.35"/>
    <row r="209" spans="1:13" ht="7.5" customHeight="1" x14ac:dyDescent="0.35">
      <c r="A209" s="126"/>
      <c r="B209" s="126"/>
      <c r="C209" s="126"/>
      <c r="D209" s="126"/>
      <c r="E209" s="126"/>
      <c r="F209" s="126"/>
      <c r="G209" s="126"/>
      <c r="H209" s="126"/>
      <c r="I209" s="126"/>
      <c r="J209" s="126"/>
      <c r="K209" s="126"/>
      <c r="L209" s="126"/>
      <c r="M209" s="126"/>
    </row>
    <row r="210" spans="1:13" ht="15.75" customHeight="1" x14ac:dyDescent="0.35">
      <c r="A210" s="73" t="s">
        <v>218</v>
      </c>
      <c r="B210" s="122" t="str">
        <f>IF('Novice 15M - Scoring'!B30&lt;&gt;"",'Novice 15M - Scoring'!B30,"")</f>
        <v/>
      </c>
      <c r="C210" s="122"/>
      <c r="D210" s="122"/>
      <c r="E210" s="73" t="s">
        <v>219</v>
      </c>
      <c r="F210" s="74" t="str">
        <f>IF('Novice 15M - Scoring'!B30&lt;&gt;"",'Novice 15M - Scoring'!BB30,"")</f>
        <v/>
      </c>
      <c r="H210" s="73" t="s">
        <v>218</v>
      </c>
      <c r="I210" s="122" t="str">
        <f>IF('Novice 15M - Scoring'!B31&lt;&gt;"",'Novice 15M - Scoring'!B31,"")</f>
        <v/>
      </c>
      <c r="J210" s="122"/>
      <c r="K210" s="122"/>
      <c r="L210" s="73" t="s">
        <v>219</v>
      </c>
      <c r="M210" s="74" t="str">
        <f>IF('Novice 15M - Scoring'!B31&lt;&gt;"",'Novice 15M - Scoring'!BB31,"")</f>
        <v/>
      </c>
    </row>
    <row r="211" spans="1:13" ht="15.75" customHeight="1" x14ac:dyDescent="0.35">
      <c r="A211" s="73" t="s">
        <v>220</v>
      </c>
      <c r="B211" s="123" t="str">
        <f>IF('Novice 15M - Scoring'!B30&lt;&gt;"",'Novice 15M - Scoring'!D30,"")</f>
        <v/>
      </c>
      <c r="C211" s="123"/>
      <c r="D211" s="123"/>
      <c r="E211" s="73" t="s">
        <v>8</v>
      </c>
      <c r="F211" s="75" t="str">
        <f>IF('Novice 15M - Scoring'!B30&lt;&gt;"",'Novice 15M - Scoring'!E30,"")</f>
        <v/>
      </c>
      <c r="H211" s="73" t="s">
        <v>220</v>
      </c>
      <c r="I211" s="123" t="str">
        <f>IF('Novice 15M - Scoring'!B31&lt;&gt;"",'Novice 15M - Scoring'!D31,"")</f>
        <v/>
      </c>
      <c r="J211" s="123"/>
      <c r="K211" s="123"/>
      <c r="L211" s="73" t="s">
        <v>8</v>
      </c>
      <c r="M211" s="75" t="str">
        <f>IF('Novice 15M - Scoring'!B31&lt;&gt;"",'Novice 15M - Scoring'!E31,"")</f>
        <v/>
      </c>
    </row>
    <row r="212" spans="1:13" ht="3.75" customHeight="1" x14ac:dyDescent="0.35"/>
    <row r="213" spans="1:13" ht="25.5" customHeight="1" x14ac:dyDescent="0.35">
      <c r="A213" s="76" t="s">
        <v>221</v>
      </c>
      <c r="B213" s="77" t="s">
        <v>222</v>
      </c>
      <c r="C213" s="77" t="s">
        <v>223</v>
      </c>
      <c r="D213" s="77" t="s">
        <v>224</v>
      </c>
      <c r="E213" s="76" t="s">
        <v>225</v>
      </c>
      <c r="F213" s="76" t="s">
        <v>226</v>
      </c>
      <c r="H213" s="76" t="s">
        <v>221</v>
      </c>
      <c r="I213" s="77" t="s">
        <v>222</v>
      </c>
      <c r="J213" s="77" t="s">
        <v>223</v>
      </c>
      <c r="K213" s="77" t="s">
        <v>224</v>
      </c>
      <c r="L213" s="76" t="s">
        <v>225</v>
      </c>
      <c r="M213" s="76" t="s">
        <v>226</v>
      </c>
    </row>
    <row r="214" spans="1:13" ht="19.5" customHeight="1" x14ac:dyDescent="0.35">
      <c r="A214" s="78" t="s">
        <v>222</v>
      </c>
      <c r="B214" s="79" t="str">
        <f>IF('Novice 15M - Scoring'!B30&lt;&gt;"",IF('Novice 15M - Scoring'!F30&lt;&gt;"",'Novice 15M - Scoring'!F30,""),"")</f>
        <v/>
      </c>
      <c r="C214" s="79" t="str">
        <f>IF('Novice 15M - Scoring'!B30&lt;&gt;"",IF('Novice 15M - Scoring'!G30&lt;&gt;"",'Novice 15M - Scoring'!G30,""),"")</f>
        <v/>
      </c>
      <c r="D214" s="79" t="str">
        <f>IF('Novice 15M - Scoring'!B30&lt;&gt;"",IF('Novice 15M - Scoring'!H30&lt;&gt;"",'Novice 15M - Scoring'!H30,""),"")</f>
        <v/>
      </c>
      <c r="E214" s="80" t="str">
        <f>IF('Novice 15M - Scoring'!B30&lt;&gt;"",'Novice 15M - Scoring'!AP30,"")</f>
        <v/>
      </c>
      <c r="F214" s="81" t="str">
        <f>IFERROR(IF(ISNUMBER(E214),E214,""),"")</f>
        <v/>
      </c>
      <c r="H214" s="78" t="s">
        <v>222</v>
      </c>
      <c r="I214" s="79" t="str">
        <f>IF('Novice 15M - Scoring'!B31&lt;&gt;"",IF('Novice 15M - Scoring'!F31&lt;&gt;"",'Novice 15M - Scoring'!F31,""),"")</f>
        <v/>
      </c>
      <c r="J214" s="79" t="str">
        <f>IF('Novice 15M - Scoring'!B31&lt;&gt;"",IF('Novice 15M - Scoring'!G31&lt;&gt;"",'Novice 15M - Scoring'!G31,""),"")</f>
        <v/>
      </c>
      <c r="K214" s="79" t="str">
        <f>IF('Novice 15M - Scoring'!B31&lt;&gt;"",IF('Novice 15M - Scoring'!H31&lt;&gt;"",'Novice 15M - Scoring'!H31,""),"")</f>
        <v/>
      </c>
      <c r="L214" s="80" t="str">
        <f>IF('Novice 15M - Scoring'!B31&lt;&gt;"",'Novice 15M - Scoring'!AP31,"")</f>
        <v/>
      </c>
      <c r="M214" s="81" t="str">
        <f>IFERROR(IF(ISNUMBER(L214),L214,""),"")</f>
        <v/>
      </c>
    </row>
    <row r="215" spans="1:13" ht="19.5" customHeight="1" x14ac:dyDescent="0.35">
      <c r="A215" s="78" t="s">
        <v>223</v>
      </c>
      <c r="B215" s="79" t="str">
        <f>IF('Novice 15M - Scoring'!B30&lt;&gt;"",IF('Novice 15M - Scoring'!L30&lt;&gt;"",'Novice 15M - Scoring'!L30,""),"")</f>
        <v/>
      </c>
      <c r="C215" s="79" t="str">
        <f>IF('Novice 15M - Scoring'!B30&lt;&gt;"",IF('Novice 15M - Scoring'!M30&lt;&gt;"",'Novice 15M - Scoring'!M30,""),"")</f>
        <v/>
      </c>
      <c r="D215" s="79" t="str">
        <f>IF('Novice 15M - Scoring'!B30&lt;&gt;"",IF('Novice 15M - Scoring'!N30&lt;&gt;"",'Novice 15M - Scoring'!N30,""),"")</f>
        <v/>
      </c>
      <c r="E215" s="80" t="str">
        <f>IF('Novice 15M - Scoring'!B30&lt;&gt;"",'Novice 15M - Scoring'!AQ30,"")</f>
        <v/>
      </c>
      <c r="F215" s="81" t="str">
        <f>IF(E214&lt;&gt;"",IFERROR(IF(ISNUMBER(E214),E214,0),0)+IFERROR(IF(ISNUMBER(E215),E215,0),0),"")</f>
        <v/>
      </c>
      <c r="H215" s="78" t="s">
        <v>223</v>
      </c>
      <c r="I215" s="79" t="str">
        <f>IF('Novice 15M - Scoring'!B31&lt;&gt;"",IF('Novice 15M - Scoring'!L31&lt;&gt;"",'Novice 15M - Scoring'!L31,""),"")</f>
        <v/>
      </c>
      <c r="J215" s="79" t="str">
        <f>IF('Novice 15M - Scoring'!B31&lt;&gt;"",IF('Novice 15M - Scoring'!M31&lt;&gt;"",'Novice 15M - Scoring'!M31,""),"")</f>
        <v/>
      </c>
      <c r="K215" s="79" t="str">
        <f>IF('Novice 15M - Scoring'!B31&lt;&gt;"",IF('Novice 15M - Scoring'!N31&lt;&gt;"",'Novice 15M - Scoring'!N31,""),"")</f>
        <v/>
      </c>
      <c r="L215" s="80" t="str">
        <f>IF('Novice 15M - Scoring'!B31&lt;&gt;"",'Novice 15M - Scoring'!AQ31,"")</f>
        <v/>
      </c>
      <c r="M215" s="81" t="str">
        <f>IF(L214&lt;&gt;"",IFERROR(IF(ISNUMBER(L214),L214,0),0)+IFERROR(IF(ISNUMBER(L215),L215,0),0),"")</f>
        <v/>
      </c>
    </row>
    <row r="216" spans="1:13" ht="19.5" customHeight="1" x14ac:dyDescent="0.35">
      <c r="A216" s="78" t="s">
        <v>224</v>
      </c>
      <c r="B216" s="79" t="str">
        <f>IF('Novice 15M - Scoring'!B30&lt;&gt;"",IF('Novice 15M - Scoring'!R30&lt;&gt;"",'Novice 15M - Scoring'!R30,""),"")</f>
        <v/>
      </c>
      <c r="C216" s="79" t="str">
        <f>IF('Novice 15M - Scoring'!B30&lt;&gt;"",IF('Novice 15M - Scoring'!S30&lt;&gt;"",'Novice 15M - Scoring'!S30,""),"")</f>
        <v/>
      </c>
      <c r="D216" s="79" t="str">
        <f>IF('Novice 15M - Scoring'!B30&lt;&gt;"",IF('Novice 15M - Scoring'!T30&lt;&gt;"",'Novice 15M - Scoring'!T30,""),"")</f>
        <v/>
      </c>
      <c r="E216" s="80" t="str">
        <f>IF('Novice 15M - Scoring'!B30&lt;&gt;"",'Novice 15M - Scoring'!AR30,"")</f>
        <v/>
      </c>
      <c r="F216" s="81" t="str">
        <f>IF(E214&lt;&gt;"",IFERROR(IF(ISNUMBER(E214),E214,0),0)+IFERROR(IF(ISNUMBER(E215),E215,0),0)+IFERROR(IF(ISNUMBER(E216),E216,0),0),"")</f>
        <v/>
      </c>
      <c r="H216" s="78" t="s">
        <v>224</v>
      </c>
      <c r="I216" s="79" t="str">
        <f>IF('Novice 15M - Scoring'!B31&lt;&gt;"",IF('Novice 15M - Scoring'!R31&lt;&gt;"",'Novice 15M - Scoring'!R31,""),"")</f>
        <v/>
      </c>
      <c r="J216" s="79" t="str">
        <f>IF('Novice 15M - Scoring'!B31&lt;&gt;"",IF('Novice 15M - Scoring'!S31&lt;&gt;"",'Novice 15M - Scoring'!S31,""),"")</f>
        <v/>
      </c>
      <c r="K216" s="79" t="str">
        <f>IF('Novice 15M - Scoring'!B31&lt;&gt;"",IF('Novice 15M - Scoring'!T31&lt;&gt;"",'Novice 15M - Scoring'!T31,""),"")</f>
        <v/>
      </c>
      <c r="L216" s="80" t="str">
        <f>IF('Novice 15M - Scoring'!B31&lt;&gt;"",'Novice 15M - Scoring'!AR31,"")</f>
        <v/>
      </c>
      <c r="M216" s="81" t="str">
        <f>IF(L214&lt;&gt;"",IFERROR(IF(ISNUMBER(L214),L214,0),0)+IFERROR(IF(ISNUMBER(L215),L215,0),0)+IFERROR(IF(ISNUMBER(L216),L216,0),0),"")</f>
        <v/>
      </c>
    </row>
    <row r="217" spans="1:13" ht="19.5" customHeight="1" x14ac:dyDescent="0.35">
      <c r="A217" s="78" t="s">
        <v>227</v>
      </c>
      <c r="B217" s="79" t="str">
        <f>IF('Novice 15M - Scoring'!B30&lt;&gt;"",IF('Novice 15M - Scoring'!X30&lt;&gt;"",'Novice 15M - Scoring'!X30,""),"")</f>
        <v/>
      </c>
      <c r="C217" s="79" t="str">
        <f>IF('Novice 15M - Scoring'!B30&lt;&gt;"",IF('Novice 15M - Scoring'!Y30&lt;&gt;"",'Novice 15M - Scoring'!Y30,""),"")</f>
        <v/>
      </c>
      <c r="D217" s="79" t="str">
        <f>IF('Novice 15M - Scoring'!B30&lt;&gt;"",IF('Novice 15M - Scoring'!Z30&lt;&gt;"",'Novice 15M - Scoring'!Z30,""),"")</f>
        <v/>
      </c>
      <c r="E217" s="80" t="str">
        <f>IF('Novice 15M - Scoring'!B30&lt;&gt;"",'Novice 15M - Scoring'!AS30,"")</f>
        <v/>
      </c>
      <c r="F217" s="81" t="str">
        <f>IF(E214&lt;&gt;"",IFERROR(IF(ISNUMBER(E214),E214,0),0)+IFERROR(IF(ISNUMBER(E215),E215,0),0)+IFERROR(IF(ISNUMBER(E216),E216,0),0)+IFERROR(IF(ISNUMBER(E217),E217,0),0),"")</f>
        <v/>
      </c>
      <c r="H217" s="78" t="s">
        <v>227</v>
      </c>
      <c r="I217" s="79" t="str">
        <f>IF('Novice 15M - Scoring'!B31&lt;&gt;"",IF('Novice 15M - Scoring'!X31&lt;&gt;"",'Novice 15M - Scoring'!X31,""),"")</f>
        <v/>
      </c>
      <c r="J217" s="79" t="str">
        <f>IF('Novice 15M - Scoring'!B31&lt;&gt;"",IF('Novice 15M - Scoring'!Y31&lt;&gt;"",'Novice 15M - Scoring'!Y31,""),"")</f>
        <v/>
      </c>
      <c r="K217" s="79" t="str">
        <f>IF('Novice 15M - Scoring'!B31&lt;&gt;"",IF('Novice 15M - Scoring'!Z31&lt;&gt;"",'Novice 15M - Scoring'!Z31,""),"")</f>
        <v/>
      </c>
      <c r="L217" s="80" t="str">
        <f>IF('Novice 15M - Scoring'!B31&lt;&gt;"",'Novice 15M - Scoring'!AS31,"")</f>
        <v/>
      </c>
      <c r="M217" s="81" t="str">
        <f>IF(L214&lt;&gt;"",IFERROR(IF(ISNUMBER(L214),L214,0),0)+IFERROR(IF(ISNUMBER(L215),L215,0),0)+IFERROR(IF(ISNUMBER(L216),L216,0),0)+IFERROR(IF(ISNUMBER(L217),L217,0),0),"")</f>
        <v/>
      </c>
    </row>
    <row r="218" spans="1:13" ht="19.5" customHeight="1" x14ac:dyDescent="0.35">
      <c r="A218" s="78" t="s">
        <v>228</v>
      </c>
      <c r="B218" s="79" t="str">
        <f>IF('Novice 15M - Scoring'!B30&lt;&gt;"",IF('Novice 15M - Scoring'!AD30&lt;&gt;"",'Novice 15M - Scoring'!AD30,""),"")</f>
        <v/>
      </c>
      <c r="C218" s="79" t="str">
        <f>IF('Novice 15M - Scoring'!B30&lt;&gt;"",IF('Novice 15M - Scoring'!AE30&lt;&gt;"",'Novice 15M - Scoring'!AE30,""),"")</f>
        <v/>
      </c>
      <c r="D218" s="79" t="str">
        <f>IF('Novice 15M - Scoring'!B30&lt;&gt;"",IF('Novice 15M - Scoring'!AF30&lt;&gt;"",'Novice 15M - Scoring'!AF30,""),"")</f>
        <v/>
      </c>
      <c r="E218" s="80" t="str">
        <f>IF('Novice 15M - Scoring'!B30&lt;&gt;"",'Novice 15M - Scoring'!AT30,"")</f>
        <v/>
      </c>
      <c r="F218" s="81" t="str">
        <f>IF(E214&lt;&gt;"",IFERROR(IF(ISNUMBER(E214),E214,0),0)+IFERROR(IF(ISNUMBER(E215),E215,0),0)+IFERROR(IF(ISNUMBER(E216),E216,0),0)+IFERROR(IF(ISNUMBER(E217),E217,0),0)+IFERROR(IF(ISNUMBER(E218),E218,0),0),"")</f>
        <v/>
      </c>
      <c r="H218" s="78" t="s">
        <v>228</v>
      </c>
      <c r="I218" s="79" t="str">
        <f>IF('Novice 15M - Scoring'!B31&lt;&gt;"",IF('Novice 15M - Scoring'!AD31&lt;&gt;"",'Novice 15M - Scoring'!AD31,""),"")</f>
        <v/>
      </c>
      <c r="J218" s="79" t="str">
        <f>IF('Novice 15M - Scoring'!B31&lt;&gt;"",IF('Novice 15M - Scoring'!AE31&lt;&gt;"",'Novice 15M - Scoring'!AE31,""),"")</f>
        <v/>
      </c>
      <c r="K218" s="79" t="str">
        <f>IF('Novice 15M - Scoring'!B31&lt;&gt;"",IF('Novice 15M - Scoring'!AF31&lt;&gt;"",'Novice 15M - Scoring'!AF31,""),"")</f>
        <v/>
      </c>
      <c r="L218" s="80" t="str">
        <f>IF('Novice 15M - Scoring'!B31&lt;&gt;"",'Novice 15M - Scoring'!AT31,"")</f>
        <v/>
      </c>
      <c r="M218" s="81" t="str">
        <f>IF(L214&lt;&gt;"",IFERROR(IF(ISNUMBER(L214),L214,0),0)+IFERROR(IF(ISNUMBER(L215),L215,0),0)+IFERROR(IF(ISNUMBER(L216),L216,0),0)+IFERROR(IF(ISNUMBER(L217),L217,0),0)+IFERROR(IF(ISNUMBER(L218),L218,0),0),"")</f>
        <v/>
      </c>
    </row>
    <row r="219" spans="1:13" ht="19.5" customHeight="1" x14ac:dyDescent="0.35">
      <c r="A219" s="78" t="s">
        <v>229</v>
      </c>
      <c r="B219" s="79" t="str">
        <f>IF('Novice 15M - Scoring'!B30&lt;&gt;"",IF('Novice 15M - Scoring'!AJ30&lt;&gt;"",'Novice 15M - Scoring'!AJ30,""),"")</f>
        <v/>
      </c>
      <c r="C219" s="79" t="str">
        <f>IF('Novice 15M - Scoring'!B30&lt;&gt;"",IF('Novice 15M - Scoring'!AK30&lt;&gt;"",'Novice 15M - Scoring'!AK30,""),"")</f>
        <v/>
      </c>
      <c r="D219" s="79" t="str">
        <f>IF('Novice 15M - Scoring'!B30&lt;&gt;"",IF('Novice 15M - Scoring'!AL30&lt;&gt;"",'Novice 15M - Scoring'!AL30,""),"")</f>
        <v/>
      </c>
      <c r="E219" s="80" t="str">
        <f>IF('Novice 15M - Scoring'!B30&lt;&gt;"",'Novice 15M - Scoring'!AU30,"")</f>
        <v/>
      </c>
      <c r="F219" s="81" t="str">
        <f>IF(E214&lt;&gt;"",IFERROR(IF(ISNUMBER(E214),E214,0),0)+IFERROR(IF(ISNUMBER(E215),E215,0),0)+IFERROR(IF(ISNUMBER(E216),E216,0),0)+IFERROR(IF(ISNUMBER(E217),E217,0),0)+IFERROR(IF(ISNUMBER(E218),E218,0),0)+IFERROR(IF(ISNUMBER(E219),E219,0),0),"")</f>
        <v/>
      </c>
      <c r="H219" s="78" t="s">
        <v>229</v>
      </c>
      <c r="I219" s="79" t="str">
        <f>IF('Novice 15M - Scoring'!B31&lt;&gt;"",IF('Novice 15M - Scoring'!AJ31&lt;&gt;"",'Novice 15M - Scoring'!AJ31,""),"")</f>
        <v/>
      </c>
      <c r="J219" s="79" t="str">
        <f>IF('Novice 15M - Scoring'!B31&lt;&gt;"",IF('Novice 15M - Scoring'!AK31&lt;&gt;"",'Novice 15M - Scoring'!AK31,""),"")</f>
        <v/>
      </c>
      <c r="K219" s="79" t="str">
        <f>IF('Novice 15M - Scoring'!B31&lt;&gt;"",IF('Novice 15M - Scoring'!AL31&lt;&gt;"",'Novice 15M - Scoring'!AL31,""),"")</f>
        <v/>
      </c>
      <c r="L219" s="80" t="str">
        <f>IF('Novice 15M - Scoring'!B31&lt;&gt;"",'Novice 15M - Scoring'!AU31,"")</f>
        <v/>
      </c>
      <c r="M219" s="81" t="str">
        <f>IF(L214&lt;&gt;"",IFERROR(IF(ISNUMBER(L214),L214,0),0)+IFERROR(IF(ISNUMBER(L215),L215,0),0)+IFERROR(IF(ISNUMBER(L216),L216,0),0)+IFERROR(IF(ISNUMBER(L217),L217,0),0)+IFERROR(IF(ISNUMBER(L218),L218,0),0)+IFERROR(IF(ISNUMBER(L219),L219,0),0),"")</f>
        <v/>
      </c>
    </row>
    <row r="220" spans="1:13" ht="3.75" customHeight="1" x14ac:dyDescent="0.35"/>
    <row r="221" spans="1:13" ht="24" customHeight="1" x14ac:dyDescent="0.35">
      <c r="A221" s="124" t="s">
        <v>230</v>
      </c>
      <c r="B221" s="124"/>
      <c r="C221" s="124"/>
      <c r="D221" s="124"/>
      <c r="E221" s="125" t="str">
        <f>IF('Novice 15M - Scoring'!B30&lt;&gt;"",'Novice 15M - Scoring'!AV30,"")</f>
        <v/>
      </c>
      <c r="F221" s="125"/>
      <c r="H221" s="124" t="s">
        <v>230</v>
      </c>
      <c r="I221" s="124"/>
      <c r="J221" s="124"/>
      <c r="K221" s="124"/>
      <c r="L221" s="125" t="str">
        <f>IF('Novice 15M - Scoring'!B31&lt;&gt;"",'Novice 15M - Scoring'!AV31,"")</f>
        <v/>
      </c>
      <c r="M221" s="125"/>
    </row>
    <row r="222" spans="1:13" ht="19.5" customHeight="1" x14ac:dyDescent="0.35">
      <c r="E222" s="125"/>
      <c r="F222" s="125"/>
      <c r="L222" s="125"/>
      <c r="M222" s="125"/>
    </row>
    <row r="223" spans="1:13" ht="3.75" customHeight="1" x14ac:dyDescent="0.35"/>
    <row r="224" spans="1:13" ht="18" customHeight="1" x14ac:dyDescent="0.35">
      <c r="A224" s="73" t="s">
        <v>126</v>
      </c>
      <c r="B224" s="82" t="str">
        <f>IF('Novice 15M - Scoring'!B30&lt;&gt;"",'Novice 15M - Scoring'!AW30,"")</f>
        <v/>
      </c>
      <c r="C224" s="73" t="s">
        <v>127</v>
      </c>
      <c r="D224" s="83" t="str">
        <f>IF('Novice 15M - Scoring'!B30&lt;&gt;"",'Novice 15M - Scoring'!AX30,"")</f>
        <v/>
      </c>
      <c r="E224" s="73" t="s">
        <v>128</v>
      </c>
      <c r="F224" s="83" t="str">
        <f>IF('Novice 15M - Scoring'!B30&lt;&gt;"",'Novice 15M - Scoring'!AY30,"")</f>
        <v/>
      </c>
      <c r="H224" s="73" t="s">
        <v>126</v>
      </c>
      <c r="I224" s="82" t="str">
        <f>IF('Novice 15M - Scoring'!B31&lt;&gt;"",'Novice 15M - Scoring'!AW31,"")</f>
        <v/>
      </c>
      <c r="J224" s="73" t="s">
        <v>127</v>
      </c>
      <c r="K224" s="83" t="str">
        <f>IF('Novice 15M - Scoring'!B31&lt;&gt;"",'Novice 15M - Scoring'!AX31,"")</f>
        <v/>
      </c>
      <c r="L224" s="73" t="s">
        <v>128</v>
      </c>
      <c r="M224" s="83" t="str">
        <f>IF('Novice 15M - Scoring'!B31&lt;&gt;"",'Novice 15M - Scoring'!AY31,"")</f>
        <v/>
      </c>
    </row>
    <row r="225" spans="1:13" ht="3.75" customHeight="1" x14ac:dyDescent="0.35"/>
    <row r="226" spans="1:13" ht="7.5" customHeight="1" x14ac:dyDescent="0.35">
      <c r="A226" s="126"/>
      <c r="B226" s="126"/>
      <c r="C226" s="126"/>
      <c r="D226" s="126"/>
      <c r="E226" s="126"/>
      <c r="F226" s="126"/>
      <c r="G226" s="126"/>
      <c r="H226" s="126"/>
      <c r="I226" s="126"/>
      <c r="J226" s="126"/>
      <c r="K226" s="126"/>
      <c r="L226" s="126"/>
      <c r="M226" s="126"/>
    </row>
    <row r="227" spans="1:13" ht="15.75" customHeight="1" x14ac:dyDescent="0.35">
      <c r="A227" s="73" t="s">
        <v>218</v>
      </c>
      <c r="B227" s="122" t="str">
        <f>IF('Novice 15M - Scoring'!B32&lt;&gt;"",'Novice 15M - Scoring'!B32,"")</f>
        <v/>
      </c>
      <c r="C227" s="122"/>
      <c r="D227" s="122"/>
      <c r="E227" s="73" t="s">
        <v>219</v>
      </c>
      <c r="F227" s="74" t="str">
        <f>IF('Novice 15M - Scoring'!B32&lt;&gt;"",'Novice 15M - Scoring'!BB32,"")</f>
        <v/>
      </c>
      <c r="H227" s="73" t="s">
        <v>218</v>
      </c>
      <c r="I227" s="122" t="str">
        <f>IF('Novice 15M - Scoring'!B33&lt;&gt;"",'Novice 15M - Scoring'!B33,"")</f>
        <v/>
      </c>
      <c r="J227" s="122"/>
      <c r="K227" s="122"/>
      <c r="L227" s="73" t="s">
        <v>219</v>
      </c>
      <c r="M227" s="74" t="str">
        <f>IF('Novice 15M - Scoring'!B33&lt;&gt;"",'Novice 15M - Scoring'!BB33,"")</f>
        <v/>
      </c>
    </row>
    <row r="228" spans="1:13" ht="15.75" customHeight="1" x14ac:dyDescent="0.35">
      <c r="A228" s="73" t="s">
        <v>220</v>
      </c>
      <c r="B228" s="123" t="str">
        <f>IF('Novice 15M - Scoring'!B32&lt;&gt;"",'Novice 15M - Scoring'!D32,"")</f>
        <v/>
      </c>
      <c r="C228" s="123"/>
      <c r="D228" s="123"/>
      <c r="E228" s="73" t="s">
        <v>8</v>
      </c>
      <c r="F228" s="75" t="str">
        <f>IF('Novice 15M - Scoring'!B32&lt;&gt;"",'Novice 15M - Scoring'!E32,"")</f>
        <v/>
      </c>
      <c r="H228" s="73" t="s">
        <v>220</v>
      </c>
      <c r="I228" s="123" t="str">
        <f>IF('Novice 15M - Scoring'!B33&lt;&gt;"",'Novice 15M - Scoring'!D33,"")</f>
        <v/>
      </c>
      <c r="J228" s="123"/>
      <c r="K228" s="123"/>
      <c r="L228" s="73" t="s">
        <v>8</v>
      </c>
      <c r="M228" s="75" t="str">
        <f>IF('Novice 15M - Scoring'!B33&lt;&gt;"",'Novice 15M - Scoring'!E33,"")</f>
        <v/>
      </c>
    </row>
    <row r="229" spans="1:13" ht="3.75" customHeight="1" x14ac:dyDescent="0.35"/>
    <row r="230" spans="1:13" ht="25.5" customHeight="1" x14ac:dyDescent="0.35">
      <c r="A230" s="76" t="s">
        <v>221</v>
      </c>
      <c r="B230" s="77" t="s">
        <v>222</v>
      </c>
      <c r="C230" s="77" t="s">
        <v>223</v>
      </c>
      <c r="D230" s="77" t="s">
        <v>224</v>
      </c>
      <c r="E230" s="76" t="s">
        <v>225</v>
      </c>
      <c r="F230" s="76" t="s">
        <v>226</v>
      </c>
      <c r="H230" s="76" t="s">
        <v>221</v>
      </c>
      <c r="I230" s="77" t="s">
        <v>222</v>
      </c>
      <c r="J230" s="77" t="s">
        <v>223</v>
      </c>
      <c r="K230" s="77" t="s">
        <v>224</v>
      </c>
      <c r="L230" s="76" t="s">
        <v>225</v>
      </c>
      <c r="M230" s="76" t="s">
        <v>226</v>
      </c>
    </row>
    <row r="231" spans="1:13" ht="19.5" customHeight="1" x14ac:dyDescent="0.35">
      <c r="A231" s="78" t="s">
        <v>222</v>
      </c>
      <c r="B231" s="79" t="str">
        <f>IF('Novice 15M - Scoring'!B32&lt;&gt;"",IF('Novice 15M - Scoring'!F32&lt;&gt;"",'Novice 15M - Scoring'!F32,""),"")</f>
        <v/>
      </c>
      <c r="C231" s="79" t="str">
        <f>IF('Novice 15M - Scoring'!B32&lt;&gt;"",IF('Novice 15M - Scoring'!G32&lt;&gt;"",'Novice 15M - Scoring'!G32,""),"")</f>
        <v/>
      </c>
      <c r="D231" s="79" t="str">
        <f>IF('Novice 15M - Scoring'!B32&lt;&gt;"",IF('Novice 15M - Scoring'!H32&lt;&gt;"",'Novice 15M - Scoring'!H32,""),"")</f>
        <v/>
      </c>
      <c r="E231" s="80" t="str">
        <f>IF('Novice 15M - Scoring'!B32&lt;&gt;"",'Novice 15M - Scoring'!AP32,"")</f>
        <v/>
      </c>
      <c r="F231" s="81" t="str">
        <f>IFERROR(IF(ISNUMBER(E231),E231,""),"")</f>
        <v/>
      </c>
      <c r="H231" s="78" t="s">
        <v>222</v>
      </c>
      <c r="I231" s="79" t="str">
        <f>IF('Novice 15M - Scoring'!B33&lt;&gt;"",IF('Novice 15M - Scoring'!F33&lt;&gt;"",'Novice 15M - Scoring'!F33,""),"")</f>
        <v/>
      </c>
      <c r="J231" s="79" t="str">
        <f>IF('Novice 15M - Scoring'!B33&lt;&gt;"",IF('Novice 15M - Scoring'!G33&lt;&gt;"",'Novice 15M - Scoring'!G33,""),"")</f>
        <v/>
      </c>
      <c r="K231" s="79" t="str">
        <f>IF('Novice 15M - Scoring'!B33&lt;&gt;"",IF('Novice 15M - Scoring'!H33&lt;&gt;"",'Novice 15M - Scoring'!H33,""),"")</f>
        <v/>
      </c>
      <c r="L231" s="80" t="str">
        <f>IF('Novice 15M - Scoring'!B33&lt;&gt;"",'Novice 15M - Scoring'!AP33,"")</f>
        <v/>
      </c>
      <c r="M231" s="81" t="str">
        <f>IFERROR(IF(ISNUMBER(L231),L231,""),"")</f>
        <v/>
      </c>
    </row>
    <row r="232" spans="1:13" ht="19.5" customHeight="1" x14ac:dyDescent="0.35">
      <c r="A232" s="78" t="s">
        <v>223</v>
      </c>
      <c r="B232" s="79" t="str">
        <f>IF('Novice 15M - Scoring'!B32&lt;&gt;"",IF('Novice 15M - Scoring'!L32&lt;&gt;"",'Novice 15M - Scoring'!L32,""),"")</f>
        <v/>
      </c>
      <c r="C232" s="79" t="str">
        <f>IF('Novice 15M - Scoring'!B32&lt;&gt;"",IF('Novice 15M - Scoring'!M32&lt;&gt;"",'Novice 15M - Scoring'!M32,""),"")</f>
        <v/>
      </c>
      <c r="D232" s="79" t="str">
        <f>IF('Novice 15M - Scoring'!B32&lt;&gt;"",IF('Novice 15M - Scoring'!N32&lt;&gt;"",'Novice 15M - Scoring'!N32,""),"")</f>
        <v/>
      </c>
      <c r="E232" s="80" t="str">
        <f>IF('Novice 15M - Scoring'!B32&lt;&gt;"",'Novice 15M - Scoring'!AQ32,"")</f>
        <v/>
      </c>
      <c r="F232" s="81" t="str">
        <f>IF(E231&lt;&gt;"",IFERROR(IF(ISNUMBER(E231),E231,0),0)+IFERROR(IF(ISNUMBER(E232),E232,0),0),"")</f>
        <v/>
      </c>
      <c r="H232" s="78" t="s">
        <v>223</v>
      </c>
      <c r="I232" s="79" t="str">
        <f>IF('Novice 15M - Scoring'!B33&lt;&gt;"",IF('Novice 15M - Scoring'!L33&lt;&gt;"",'Novice 15M - Scoring'!L33,""),"")</f>
        <v/>
      </c>
      <c r="J232" s="79" t="str">
        <f>IF('Novice 15M - Scoring'!B33&lt;&gt;"",IF('Novice 15M - Scoring'!M33&lt;&gt;"",'Novice 15M - Scoring'!M33,""),"")</f>
        <v/>
      </c>
      <c r="K232" s="79" t="str">
        <f>IF('Novice 15M - Scoring'!B33&lt;&gt;"",IF('Novice 15M - Scoring'!N33&lt;&gt;"",'Novice 15M - Scoring'!N33,""),"")</f>
        <v/>
      </c>
      <c r="L232" s="80" t="str">
        <f>IF('Novice 15M - Scoring'!B33&lt;&gt;"",'Novice 15M - Scoring'!AQ33,"")</f>
        <v/>
      </c>
      <c r="M232" s="81" t="str">
        <f>IF(L231&lt;&gt;"",IFERROR(IF(ISNUMBER(L231),L231,0),0)+IFERROR(IF(ISNUMBER(L232),L232,0),0),"")</f>
        <v/>
      </c>
    </row>
    <row r="233" spans="1:13" ht="19.5" customHeight="1" x14ac:dyDescent="0.35">
      <c r="A233" s="78" t="s">
        <v>224</v>
      </c>
      <c r="B233" s="79" t="str">
        <f>IF('Novice 15M - Scoring'!B32&lt;&gt;"",IF('Novice 15M - Scoring'!R32&lt;&gt;"",'Novice 15M - Scoring'!R32,""),"")</f>
        <v/>
      </c>
      <c r="C233" s="79" t="str">
        <f>IF('Novice 15M - Scoring'!B32&lt;&gt;"",IF('Novice 15M - Scoring'!S32&lt;&gt;"",'Novice 15M - Scoring'!S32,""),"")</f>
        <v/>
      </c>
      <c r="D233" s="79" t="str">
        <f>IF('Novice 15M - Scoring'!B32&lt;&gt;"",IF('Novice 15M - Scoring'!T32&lt;&gt;"",'Novice 15M - Scoring'!T32,""),"")</f>
        <v/>
      </c>
      <c r="E233" s="80" t="str">
        <f>IF('Novice 15M - Scoring'!B32&lt;&gt;"",'Novice 15M - Scoring'!AR32,"")</f>
        <v/>
      </c>
      <c r="F233" s="81" t="str">
        <f>IF(E231&lt;&gt;"",IFERROR(IF(ISNUMBER(E231),E231,0),0)+IFERROR(IF(ISNUMBER(E232),E232,0),0)+IFERROR(IF(ISNUMBER(E233),E233,0),0),"")</f>
        <v/>
      </c>
      <c r="H233" s="78" t="s">
        <v>224</v>
      </c>
      <c r="I233" s="79" t="str">
        <f>IF('Novice 15M - Scoring'!B33&lt;&gt;"",IF('Novice 15M - Scoring'!R33&lt;&gt;"",'Novice 15M - Scoring'!R33,""),"")</f>
        <v/>
      </c>
      <c r="J233" s="79" t="str">
        <f>IF('Novice 15M - Scoring'!B33&lt;&gt;"",IF('Novice 15M - Scoring'!S33&lt;&gt;"",'Novice 15M - Scoring'!S33,""),"")</f>
        <v/>
      </c>
      <c r="K233" s="79" t="str">
        <f>IF('Novice 15M - Scoring'!B33&lt;&gt;"",IF('Novice 15M - Scoring'!T33&lt;&gt;"",'Novice 15M - Scoring'!T33,""),"")</f>
        <v/>
      </c>
      <c r="L233" s="80" t="str">
        <f>IF('Novice 15M - Scoring'!B33&lt;&gt;"",'Novice 15M - Scoring'!AR33,"")</f>
        <v/>
      </c>
      <c r="M233" s="81" t="str">
        <f>IF(L231&lt;&gt;"",IFERROR(IF(ISNUMBER(L231),L231,0),0)+IFERROR(IF(ISNUMBER(L232),L232,0),0)+IFERROR(IF(ISNUMBER(L233),L233,0),0),"")</f>
        <v/>
      </c>
    </row>
    <row r="234" spans="1:13" ht="19.5" customHeight="1" x14ac:dyDescent="0.35">
      <c r="A234" s="78" t="s">
        <v>227</v>
      </c>
      <c r="B234" s="79" t="str">
        <f>IF('Novice 15M - Scoring'!B32&lt;&gt;"",IF('Novice 15M - Scoring'!X32&lt;&gt;"",'Novice 15M - Scoring'!X32,""),"")</f>
        <v/>
      </c>
      <c r="C234" s="79" t="str">
        <f>IF('Novice 15M - Scoring'!B32&lt;&gt;"",IF('Novice 15M - Scoring'!Y32&lt;&gt;"",'Novice 15M - Scoring'!Y32,""),"")</f>
        <v/>
      </c>
      <c r="D234" s="79" t="str">
        <f>IF('Novice 15M - Scoring'!B32&lt;&gt;"",IF('Novice 15M - Scoring'!Z32&lt;&gt;"",'Novice 15M - Scoring'!Z32,""),"")</f>
        <v/>
      </c>
      <c r="E234" s="80" t="str">
        <f>IF('Novice 15M - Scoring'!B32&lt;&gt;"",'Novice 15M - Scoring'!AS32,"")</f>
        <v/>
      </c>
      <c r="F234" s="81" t="str">
        <f>IF(E231&lt;&gt;"",IFERROR(IF(ISNUMBER(E231),E231,0),0)+IFERROR(IF(ISNUMBER(E232),E232,0),0)+IFERROR(IF(ISNUMBER(E233),E233,0),0)+IFERROR(IF(ISNUMBER(E234),E234,0),0),"")</f>
        <v/>
      </c>
      <c r="H234" s="78" t="s">
        <v>227</v>
      </c>
      <c r="I234" s="79" t="str">
        <f>IF('Novice 15M - Scoring'!B33&lt;&gt;"",IF('Novice 15M - Scoring'!X33&lt;&gt;"",'Novice 15M - Scoring'!X33,""),"")</f>
        <v/>
      </c>
      <c r="J234" s="79" t="str">
        <f>IF('Novice 15M - Scoring'!B33&lt;&gt;"",IF('Novice 15M - Scoring'!Y33&lt;&gt;"",'Novice 15M - Scoring'!Y33,""),"")</f>
        <v/>
      </c>
      <c r="K234" s="79" t="str">
        <f>IF('Novice 15M - Scoring'!B33&lt;&gt;"",IF('Novice 15M - Scoring'!Z33&lt;&gt;"",'Novice 15M - Scoring'!Z33,""),"")</f>
        <v/>
      </c>
      <c r="L234" s="80" t="str">
        <f>IF('Novice 15M - Scoring'!B33&lt;&gt;"",'Novice 15M - Scoring'!AS33,"")</f>
        <v/>
      </c>
      <c r="M234" s="81" t="str">
        <f>IF(L231&lt;&gt;"",IFERROR(IF(ISNUMBER(L231),L231,0),0)+IFERROR(IF(ISNUMBER(L232),L232,0),0)+IFERROR(IF(ISNUMBER(L233),L233,0),0)+IFERROR(IF(ISNUMBER(L234),L234,0),0),"")</f>
        <v/>
      </c>
    </row>
    <row r="235" spans="1:13" ht="19.5" customHeight="1" x14ac:dyDescent="0.35">
      <c r="A235" s="78" t="s">
        <v>228</v>
      </c>
      <c r="B235" s="79" t="str">
        <f>IF('Novice 15M - Scoring'!B32&lt;&gt;"",IF('Novice 15M - Scoring'!AD32&lt;&gt;"",'Novice 15M - Scoring'!AD32,""),"")</f>
        <v/>
      </c>
      <c r="C235" s="79" t="str">
        <f>IF('Novice 15M - Scoring'!B32&lt;&gt;"",IF('Novice 15M - Scoring'!AE32&lt;&gt;"",'Novice 15M - Scoring'!AE32,""),"")</f>
        <v/>
      </c>
      <c r="D235" s="79" t="str">
        <f>IF('Novice 15M - Scoring'!B32&lt;&gt;"",IF('Novice 15M - Scoring'!AF32&lt;&gt;"",'Novice 15M - Scoring'!AF32,""),"")</f>
        <v/>
      </c>
      <c r="E235" s="80" t="str">
        <f>IF('Novice 15M - Scoring'!B32&lt;&gt;"",'Novice 15M - Scoring'!AT32,"")</f>
        <v/>
      </c>
      <c r="F235" s="81" t="str">
        <f>IF(E231&lt;&gt;"",IFERROR(IF(ISNUMBER(E231),E231,0),0)+IFERROR(IF(ISNUMBER(E232),E232,0),0)+IFERROR(IF(ISNUMBER(E233),E233,0),0)+IFERROR(IF(ISNUMBER(E234),E234,0),0)+IFERROR(IF(ISNUMBER(E235),E235,0),0),"")</f>
        <v/>
      </c>
      <c r="H235" s="78" t="s">
        <v>228</v>
      </c>
      <c r="I235" s="79" t="str">
        <f>IF('Novice 15M - Scoring'!B33&lt;&gt;"",IF('Novice 15M - Scoring'!AD33&lt;&gt;"",'Novice 15M - Scoring'!AD33,""),"")</f>
        <v/>
      </c>
      <c r="J235" s="79" t="str">
        <f>IF('Novice 15M - Scoring'!B33&lt;&gt;"",IF('Novice 15M - Scoring'!AE33&lt;&gt;"",'Novice 15M - Scoring'!AE33,""),"")</f>
        <v/>
      </c>
      <c r="K235" s="79" t="str">
        <f>IF('Novice 15M - Scoring'!B33&lt;&gt;"",IF('Novice 15M - Scoring'!AF33&lt;&gt;"",'Novice 15M - Scoring'!AF33,""),"")</f>
        <v/>
      </c>
      <c r="L235" s="80" t="str">
        <f>IF('Novice 15M - Scoring'!B33&lt;&gt;"",'Novice 15M - Scoring'!AT33,"")</f>
        <v/>
      </c>
      <c r="M235" s="81" t="str">
        <f>IF(L231&lt;&gt;"",IFERROR(IF(ISNUMBER(L231),L231,0),0)+IFERROR(IF(ISNUMBER(L232),L232,0),0)+IFERROR(IF(ISNUMBER(L233),L233,0),0)+IFERROR(IF(ISNUMBER(L234),L234,0),0)+IFERROR(IF(ISNUMBER(L235),L235,0),0),"")</f>
        <v/>
      </c>
    </row>
    <row r="236" spans="1:13" ht="19.5" customHeight="1" x14ac:dyDescent="0.35">
      <c r="A236" s="78" t="s">
        <v>229</v>
      </c>
      <c r="B236" s="79" t="str">
        <f>IF('Novice 15M - Scoring'!B32&lt;&gt;"",IF('Novice 15M - Scoring'!AJ32&lt;&gt;"",'Novice 15M - Scoring'!AJ32,""),"")</f>
        <v/>
      </c>
      <c r="C236" s="79" t="str">
        <f>IF('Novice 15M - Scoring'!B32&lt;&gt;"",IF('Novice 15M - Scoring'!AK32&lt;&gt;"",'Novice 15M - Scoring'!AK32,""),"")</f>
        <v/>
      </c>
      <c r="D236" s="79" t="str">
        <f>IF('Novice 15M - Scoring'!B32&lt;&gt;"",IF('Novice 15M - Scoring'!AL32&lt;&gt;"",'Novice 15M - Scoring'!AL32,""),"")</f>
        <v/>
      </c>
      <c r="E236" s="80" t="str">
        <f>IF('Novice 15M - Scoring'!B32&lt;&gt;"",'Novice 15M - Scoring'!AU32,"")</f>
        <v/>
      </c>
      <c r="F236" s="81" t="str">
        <f>IF(E231&lt;&gt;"",IFERROR(IF(ISNUMBER(E231),E231,0),0)+IFERROR(IF(ISNUMBER(E232),E232,0),0)+IFERROR(IF(ISNUMBER(E233),E233,0),0)+IFERROR(IF(ISNUMBER(E234),E234,0),0)+IFERROR(IF(ISNUMBER(E235),E235,0),0)+IFERROR(IF(ISNUMBER(E236),E236,0),0),"")</f>
        <v/>
      </c>
      <c r="H236" s="78" t="s">
        <v>229</v>
      </c>
      <c r="I236" s="79" t="str">
        <f>IF('Novice 15M - Scoring'!B33&lt;&gt;"",IF('Novice 15M - Scoring'!AJ33&lt;&gt;"",'Novice 15M - Scoring'!AJ33,""),"")</f>
        <v/>
      </c>
      <c r="J236" s="79" t="str">
        <f>IF('Novice 15M - Scoring'!B33&lt;&gt;"",IF('Novice 15M - Scoring'!AK33&lt;&gt;"",'Novice 15M - Scoring'!AK33,""),"")</f>
        <v/>
      </c>
      <c r="K236" s="79" t="str">
        <f>IF('Novice 15M - Scoring'!B33&lt;&gt;"",IF('Novice 15M - Scoring'!AL33&lt;&gt;"",'Novice 15M - Scoring'!AL33,""),"")</f>
        <v/>
      </c>
      <c r="L236" s="80" t="str">
        <f>IF('Novice 15M - Scoring'!B33&lt;&gt;"",'Novice 15M - Scoring'!AU33,"")</f>
        <v/>
      </c>
      <c r="M236" s="81" t="str">
        <f>IF(L231&lt;&gt;"",IFERROR(IF(ISNUMBER(L231),L231,0),0)+IFERROR(IF(ISNUMBER(L232),L232,0),0)+IFERROR(IF(ISNUMBER(L233),L233,0),0)+IFERROR(IF(ISNUMBER(L234),L234,0),0)+IFERROR(IF(ISNUMBER(L235),L235,0),0)+IFERROR(IF(ISNUMBER(L236),L236,0),0),"")</f>
        <v/>
      </c>
    </row>
    <row r="237" spans="1:13" ht="3.75" customHeight="1" x14ac:dyDescent="0.35"/>
    <row r="238" spans="1:13" ht="24" customHeight="1" x14ac:dyDescent="0.35">
      <c r="A238" s="124" t="s">
        <v>230</v>
      </c>
      <c r="B238" s="124"/>
      <c r="C238" s="124"/>
      <c r="D238" s="124"/>
      <c r="E238" s="125" t="str">
        <f>IF('Novice 15M - Scoring'!B32&lt;&gt;"",'Novice 15M - Scoring'!AV32,"")</f>
        <v/>
      </c>
      <c r="F238" s="125"/>
      <c r="H238" s="124" t="s">
        <v>230</v>
      </c>
      <c r="I238" s="124"/>
      <c r="J238" s="124"/>
      <c r="K238" s="124"/>
      <c r="L238" s="125" t="str">
        <f>IF('Novice 15M - Scoring'!B33&lt;&gt;"",'Novice 15M - Scoring'!AV33,"")</f>
        <v/>
      </c>
      <c r="M238" s="125"/>
    </row>
    <row r="239" spans="1:13" ht="19.5" customHeight="1" x14ac:dyDescent="0.35">
      <c r="E239" s="125"/>
      <c r="F239" s="125"/>
      <c r="L239" s="125"/>
      <c r="M239" s="125"/>
    </row>
    <row r="240" spans="1:13" ht="3.75" customHeight="1" x14ac:dyDescent="0.35"/>
    <row r="241" spans="1:13" ht="18" customHeight="1" x14ac:dyDescent="0.35">
      <c r="A241" s="73" t="s">
        <v>126</v>
      </c>
      <c r="B241" s="82" t="str">
        <f>IF('Novice 15M - Scoring'!B32&lt;&gt;"",'Novice 15M - Scoring'!AW32,"")</f>
        <v/>
      </c>
      <c r="C241" s="73" t="s">
        <v>127</v>
      </c>
      <c r="D241" s="83" t="str">
        <f>IF('Novice 15M - Scoring'!B32&lt;&gt;"",'Novice 15M - Scoring'!AX32,"")</f>
        <v/>
      </c>
      <c r="E241" s="73" t="s">
        <v>128</v>
      </c>
      <c r="F241" s="83" t="str">
        <f>IF('Novice 15M - Scoring'!B32&lt;&gt;"",'Novice 15M - Scoring'!AY32,"")</f>
        <v/>
      </c>
      <c r="H241" s="73" t="s">
        <v>126</v>
      </c>
      <c r="I241" s="82" t="str">
        <f>IF('Novice 15M - Scoring'!B33&lt;&gt;"",'Novice 15M - Scoring'!AW33,"")</f>
        <v/>
      </c>
      <c r="J241" s="73" t="s">
        <v>127</v>
      </c>
      <c r="K241" s="83" t="str">
        <f>IF('Novice 15M - Scoring'!B33&lt;&gt;"",'Novice 15M - Scoring'!AX33,"")</f>
        <v/>
      </c>
      <c r="L241" s="73" t="s">
        <v>128</v>
      </c>
      <c r="M241" s="83" t="str">
        <f>IF('Novice 15M - Scoring'!B33&lt;&gt;"",'Novice 15M - Scoring'!AY33,"")</f>
        <v/>
      </c>
    </row>
    <row r="242" spans="1:13" ht="3.75" customHeight="1" x14ac:dyDescent="0.35"/>
    <row r="243" spans="1:13" ht="7.5" customHeight="1" x14ac:dyDescent="0.35">
      <c r="A243" s="126"/>
      <c r="B243" s="126"/>
      <c r="C243" s="126"/>
      <c r="D243" s="126"/>
      <c r="E243" s="126"/>
      <c r="F243" s="126"/>
      <c r="G243" s="126"/>
      <c r="H243" s="126"/>
      <c r="I243" s="126"/>
      <c r="J243" s="126"/>
      <c r="K243" s="126"/>
      <c r="L243" s="126"/>
      <c r="M243" s="126"/>
    </row>
    <row r="244" spans="1:13" ht="15.75" customHeight="1" x14ac:dyDescent="0.35">
      <c r="A244" s="73" t="s">
        <v>218</v>
      </c>
      <c r="B244" s="122" t="str">
        <f>IF('Novice 15M - Scoring'!B34&lt;&gt;"",'Novice 15M - Scoring'!B34,"")</f>
        <v/>
      </c>
      <c r="C244" s="122"/>
      <c r="D244" s="122"/>
      <c r="E244" s="73" t="s">
        <v>219</v>
      </c>
      <c r="F244" s="74" t="str">
        <f>IF('Novice 15M - Scoring'!B34&lt;&gt;"",'Novice 15M - Scoring'!BB34,"")</f>
        <v/>
      </c>
      <c r="H244" s="73" t="s">
        <v>218</v>
      </c>
      <c r="I244" s="122" t="str">
        <f>IF('Novice 15M - Scoring'!B35&lt;&gt;"",'Novice 15M - Scoring'!B35,"")</f>
        <v/>
      </c>
      <c r="J244" s="122"/>
      <c r="K244" s="122"/>
      <c r="L244" s="73" t="s">
        <v>219</v>
      </c>
      <c r="M244" s="74" t="str">
        <f>IF('Novice 15M - Scoring'!B35&lt;&gt;"",'Novice 15M - Scoring'!BB35,"")</f>
        <v/>
      </c>
    </row>
    <row r="245" spans="1:13" ht="15.75" customHeight="1" x14ac:dyDescent="0.35">
      <c r="A245" s="73" t="s">
        <v>220</v>
      </c>
      <c r="B245" s="123" t="str">
        <f>IF('Novice 15M - Scoring'!B34&lt;&gt;"",'Novice 15M - Scoring'!D34,"")</f>
        <v/>
      </c>
      <c r="C245" s="123"/>
      <c r="D245" s="123"/>
      <c r="E245" s="73" t="s">
        <v>8</v>
      </c>
      <c r="F245" s="75" t="str">
        <f>IF('Novice 15M - Scoring'!B34&lt;&gt;"",'Novice 15M - Scoring'!E34,"")</f>
        <v/>
      </c>
      <c r="H245" s="73" t="s">
        <v>220</v>
      </c>
      <c r="I245" s="123" t="str">
        <f>IF('Novice 15M - Scoring'!B35&lt;&gt;"",'Novice 15M - Scoring'!D35,"")</f>
        <v/>
      </c>
      <c r="J245" s="123"/>
      <c r="K245" s="123"/>
      <c r="L245" s="73" t="s">
        <v>8</v>
      </c>
      <c r="M245" s="75" t="str">
        <f>IF('Novice 15M - Scoring'!B35&lt;&gt;"",'Novice 15M - Scoring'!E35,"")</f>
        <v/>
      </c>
    </row>
    <row r="246" spans="1:13" ht="3.75" customHeight="1" x14ac:dyDescent="0.35"/>
    <row r="247" spans="1:13" ht="25.5" customHeight="1" x14ac:dyDescent="0.35">
      <c r="A247" s="76" t="s">
        <v>221</v>
      </c>
      <c r="B247" s="77" t="s">
        <v>222</v>
      </c>
      <c r="C247" s="77" t="s">
        <v>223</v>
      </c>
      <c r="D247" s="77" t="s">
        <v>224</v>
      </c>
      <c r="E247" s="76" t="s">
        <v>225</v>
      </c>
      <c r="F247" s="76" t="s">
        <v>226</v>
      </c>
      <c r="H247" s="76" t="s">
        <v>221</v>
      </c>
      <c r="I247" s="77" t="s">
        <v>222</v>
      </c>
      <c r="J247" s="77" t="s">
        <v>223</v>
      </c>
      <c r="K247" s="77" t="s">
        <v>224</v>
      </c>
      <c r="L247" s="76" t="s">
        <v>225</v>
      </c>
      <c r="M247" s="76" t="s">
        <v>226</v>
      </c>
    </row>
    <row r="248" spans="1:13" ht="19.5" customHeight="1" x14ac:dyDescent="0.35">
      <c r="A248" s="78" t="s">
        <v>222</v>
      </c>
      <c r="B248" s="79" t="str">
        <f>IF('Novice 15M - Scoring'!B34&lt;&gt;"",IF('Novice 15M - Scoring'!F34&lt;&gt;"",'Novice 15M - Scoring'!F34,""),"")</f>
        <v/>
      </c>
      <c r="C248" s="79" t="str">
        <f>IF('Novice 15M - Scoring'!B34&lt;&gt;"",IF('Novice 15M - Scoring'!G34&lt;&gt;"",'Novice 15M - Scoring'!G34,""),"")</f>
        <v/>
      </c>
      <c r="D248" s="79" t="str">
        <f>IF('Novice 15M - Scoring'!B34&lt;&gt;"",IF('Novice 15M - Scoring'!H34&lt;&gt;"",'Novice 15M - Scoring'!H34,""),"")</f>
        <v/>
      </c>
      <c r="E248" s="80" t="str">
        <f>IF('Novice 15M - Scoring'!B34&lt;&gt;"",'Novice 15M - Scoring'!AP34,"")</f>
        <v/>
      </c>
      <c r="F248" s="81" t="str">
        <f>IFERROR(IF(ISNUMBER(E248),E248,""),"")</f>
        <v/>
      </c>
      <c r="H248" s="78" t="s">
        <v>222</v>
      </c>
      <c r="I248" s="79" t="str">
        <f>IF('Novice 15M - Scoring'!B35&lt;&gt;"",IF('Novice 15M - Scoring'!F35&lt;&gt;"",'Novice 15M - Scoring'!F35,""),"")</f>
        <v/>
      </c>
      <c r="J248" s="79" t="str">
        <f>IF('Novice 15M - Scoring'!B35&lt;&gt;"",IF('Novice 15M - Scoring'!G35&lt;&gt;"",'Novice 15M - Scoring'!G35,""),"")</f>
        <v/>
      </c>
      <c r="K248" s="79" t="str">
        <f>IF('Novice 15M - Scoring'!B35&lt;&gt;"",IF('Novice 15M - Scoring'!H35&lt;&gt;"",'Novice 15M - Scoring'!H35,""),"")</f>
        <v/>
      </c>
      <c r="L248" s="80" t="str">
        <f>IF('Novice 15M - Scoring'!B35&lt;&gt;"",'Novice 15M - Scoring'!AP35,"")</f>
        <v/>
      </c>
      <c r="M248" s="81" t="str">
        <f>IFERROR(IF(ISNUMBER(L248),L248,""),"")</f>
        <v/>
      </c>
    </row>
    <row r="249" spans="1:13" ht="19.5" customHeight="1" x14ac:dyDescent="0.35">
      <c r="A249" s="78" t="s">
        <v>223</v>
      </c>
      <c r="B249" s="79" t="str">
        <f>IF('Novice 15M - Scoring'!B34&lt;&gt;"",IF('Novice 15M - Scoring'!L34&lt;&gt;"",'Novice 15M - Scoring'!L34,""),"")</f>
        <v/>
      </c>
      <c r="C249" s="79" t="str">
        <f>IF('Novice 15M - Scoring'!B34&lt;&gt;"",IF('Novice 15M - Scoring'!M34&lt;&gt;"",'Novice 15M - Scoring'!M34,""),"")</f>
        <v/>
      </c>
      <c r="D249" s="79" t="str">
        <f>IF('Novice 15M - Scoring'!B34&lt;&gt;"",IF('Novice 15M - Scoring'!N34&lt;&gt;"",'Novice 15M - Scoring'!N34,""),"")</f>
        <v/>
      </c>
      <c r="E249" s="80" t="str">
        <f>IF('Novice 15M - Scoring'!B34&lt;&gt;"",'Novice 15M - Scoring'!AQ34,"")</f>
        <v/>
      </c>
      <c r="F249" s="81" t="str">
        <f>IF(E248&lt;&gt;"",IFERROR(IF(ISNUMBER(E248),E248,0),0)+IFERROR(IF(ISNUMBER(E249),E249,0),0),"")</f>
        <v/>
      </c>
      <c r="H249" s="78" t="s">
        <v>223</v>
      </c>
      <c r="I249" s="79" t="str">
        <f>IF('Novice 15M - Scoring'!B35&lt;&gt;"",IF('Novice 15M - Scoring'!L35&lt;&gt;"",'Novice 15M - Scoring'!L35,""),"")</f>
        <v/>
      </c>
      <c r="J249" s="79" t="str">
        <f>IF('Novice 15M - Scoring'!B35&lt;&gt;"",IF('Novice 15M - Scoring'!M35&lt;&gt;"",'Novice 15M - Scoring'!M35,""),"")</f>
        <v/>
      </c>
      <c r="K249" s="79" t="str">
        <f>IF('Novice 15M - Scoring'!B35&lt;&gt;"",IF('Novice 15M - Scoring'!N35&lt;&gt;"",'Novice 15M - Scoring'!N35,""),"")</f>
        <v/>
      </c>
      <c r="L249" s="80" t="str">
        <f>IF('Novice 15M - Scoring'!B35&lt;&gt;"",'Novice 15M - Scoring'!AQ35,"")</f>
        <v/>
      </c>
      <c r="M249" s="81" t="str">
        <f>IF(L248&lt;&gt;"",IFERROR(IF(ISNUMBER(L248),L248,0),0)+IFERROR(IF(ISNUMBER(L249),L249,0),0),"")</f>
        <v/>
      </c>
    </row>
    <row r="250" spans="1:13" ht="19.5" customHeight="1" x14ac:dyDescent="0.35">
      <c r="A250" s="78" t="s">
        <v>224</v>
      </c>
      <c r="B250" s="79" t="str">
        <f>IF('Novice 15M - Scoring'!B34&lt;&gt;"",IF('Novice 15M - Scoring'!R34&lt;&gt;"",'Novice 15M - Scoring'!R34,""),"")</f>
        <v/>
      </c>
      <c r="C250" s="79" t="str">
        <f>IF('Novice 15M - Scoring'!B34&lt;&gt;"",IF('Novice 15M - Scoring'!S34&lt;&gt;"",'Novice 15M - Scoring'!S34,""),"")</f>
        <v/>
      </c>
      <c r="D250" s="79" t="str">
        <f>IF('Novice 15M - Scoring'!B34&lt;&gt;"",IF('Novice 15M - Scoring'!T34&lt;&gt;"",'Novice 15M - Scoring'!T34,""),"")</f>
        <v/>
      </c>
      <c r="E250" s="80" t="str">
        <f>IF('Novice 15M - Scoring'!B34&lt;&gt;"",'Novice 15M - Scoring'!AR34,"")</f>
        <v/>
      </c>
      <c r="F250" s="81" t="str">
        <f>IF(E248&lt;&gt;"",IFERROR(IF(ISNUMBER(E248),E248,0),0)+IFERROR(IF(ISNUMBER(E249),E249,0),0)+IFERROR(IF(ISNUMBER(E250),E250,0),0),"")</f>
        <v/>
      </c>
      <c r="H250" s="78" t="s">
        <v>224</v>
      </c>
      <c r="I250" s="79" t="str">
        <f>IF('Novice 15M - Scoring'!B35&lt;&gt;"",IF('Novice 15M - Scoring'!R35&lt;&gt;"",'Novice 15M - Scoring'!R35,""),"")</f>
        <v/>
      </c>
      <c r="J250" s="79" t="str">
        <f>IF('Novice 15M - Scoring'!B35&lt;&gt;"",IF('Novice 15M - Scoring'!S35&lt;&gt;"",'Novice 15M - Scoring'!S35,""),"")</f>
        <v/>
      </c>
      <c r="K250" s="79" t="str">
        <f>IF('Novice 15M - Scoring'!B35&lt;&gt;"",IF('Novice 15M - Scoring'!T35&lt;&gt;"",'Novice 15M - Scoring'!T35,""),"")</f>
        <v/>
      </c>
      <c r="L250" s="80" t="str">
        <f>IF('Novice 15M - Scoring'!B35&lt;&gt;"",'Novice 15M - Scoring'!AR35,"")</f>
        <v/>
      </c>
      <c r="M250" s="81" t="str">
        <f>IF(L248&lt;&gt;"",IFERROR(IF(ISNUMBER(L248),L248,0),0)+IFERROR(IF(ISNUMBER(L249),L249,0),0)+IFERROR(IF(ISNUMBER(L250),L250,0),0),"")</f>
        <v/>
      </c>
    </row>
    <row r="251" spans="1:13" ht="19.5" customHeight="1" x14ac:dyDescent="0.35">
      <c r="A251" s="78" t="s">
        <v>227</v>
      </c>
      <c r="B251" s="79" t="str">
        <f>IF('Novice 15M - Scoring'!B34&lt;&gt;"",IF('Novice 15M - Scoring'!X34&lt;&gt;"",'Novice 15M - Scoring'!X34,""),"")</f>
        <v/>
      </c>
      <c r="C251" s="79" t="str">
        <f>IF('Novice 15M - Scoring'!B34&lt;&gt;"",IF('Novice 15M - Scoring'!Y34&lt;&gt;"",'Novice 15M - Scoring'!Y34,""),"")</f>
        <v/>
      </c>
      <c r="D251" s="79" t="str">
        <f>IF('Novice 15M - Scoring'!B34&lt;&gt;"",IF('Novice 15M - Scoring'!Z34&lt;&gt;"",'Novice 15M - Scoring'!Z34,""),"")</f>
        <v/>
      </c>
      <c r="E251" s="80" t="str">
        <f>IF('Novice 15M - Scoring'!B34&lt;&gt;"",'Novice 15M - Scoring'!AS34,"")</f>
        <v/>
      </c>
      <c r="F251" s="81" t="str">
        <f>IF(E248&lt;&gt;"",IFERROR(IF(ISNUMBER(E248),E248,0),0)+IFERROR(IF(ISNUMBER(E249),E249,0),0)+IFERROR(IF(ISNUMBER(E250),E250,0),0)+IFERROR(IF(ISNUMBER(E251),E251,0),0),"")</f>
        <v/>
      </c>
      <c r="H251" s="78" t="s">
        <v>227</v>
      </c>
      <c r="I251" s="79" t="str">
        <f>IF('Novice 15M - Scoring'!B35&lt;&gt;"",IF('Novice 15M - Scoring'!X35&lt;&gt;"",'Novice 15M - Scoring'!X35,""),"")</f>
        <v/>
      </c>
      <c r="J251" s="79" t="str">
        <f>IF('Novice 15M - Scoring'!B35&lt;&gt;"",IF('Novice 15M - Scoring'!Y35&lt;&gt;"",'Novice 15M - Scoring'!Y35,""),"")</f>
        <v/>
      </c>
      <c r="K251" s="79" t="str">
        <f>IF('Novice 15M - Scoring'!B35&lt;&gt;"",IF('Novice 15M - Scoring'!Z35&lt;&gt;"",'Novice 15M - Scoring'!Z35,""),"")</f>
        <v/>
      </c>
      <c r="L251" s="80" t="str">
        <f>IF('Novice 15M - Scoring'!B35&lt;&gt;"",'Novice 15M - Scoring'!AS35,"")</f>
        <v/>
      </c>
      <c r="M251" s="81" t="str">
        <f>IF(L248&lt;&gt;"",IFERROR(IF(ISNUMBER(L248),L248,0),0)+IFERROR(IF(ISNUMBER(L249),L249,0),0)+IFERROR(IF(ISNUMBER(L250),L250,0),0)+IFERROR(IF(ISNUMBER(L251),L251,0),0),"")</f>
        <v/>
      </c>
    </row>
    <row r="252" spans="1:13" ht="19.5" customHeight="1" x14ac:dyDescent="0.35">
      <c r="A252" s="78" t="s">
        <v>228</v>
      </c>
      <c r="B252" s="79" t="str">
        <f>IF('Novice 15M - Scoring'!B34&lt;&gt;"",IF('Novice 15M - Scoring'!AD34&lt;&gt;"",'Novice 15M - Scoring'!AD34,""),"")</f>
        <v/>
      </c>
      <c r="C252" s="79" t="str">
        <f>IF('Novice 15M - Scoring'!B34&lt;&gt;"",IF('Novice 15M - Scoring'!AE34&lt;&gt;"",'Novice 15M - Scoring'!AE34,""),"")</f>
        <v/>
      </c>
      <c r="D252" s="79" t="str">
        <f>IF('Novice 15M - Scoring'!B34&lt;&gt;"",IF('Novice 15M - Scoring'!AF34&lt;&gt;"",'Novice 15M - Scoring'!AF34,""),"")</f>
        <v/>
      </c>
      <c r="E252" s="80" t="str">
        <f>IF('Novice 15M - Scoring'!B34&lt;&gt;"",'Novice 15M - Scoring'!AT34,"")</f>
        <v/>
      </c>
      <c r="F252" s="81" t="str">
        <f>IF(E248&lt;&gt;"",IFERROR(IF(ISNUMBER(E248),E248,0),0)+IFERROR(IF(ISNUMBER(E249),E249,0),0)+IFERROR(IF(ISNUMBER(E250),E250,0),0)+IFERROR(IF(ISNUMBER(E251),E251,0),0)+IFERROR(IF(ISNUMBER(E252),E252,0),0),"")</f>
        <v/>
      </c>
      <c r="H252" s="78" t="s">
        <v>228</v>
      </c>
      <c r="I252" s="79" t="str">
        <f>IF('Novice 15M - Scoring'!B35&lt;&gt;"",IF('Novice 15M - Scoring'!AD35&lt;&gt;"",'Novice 15M - Scoring'!AD35,""),"")</f>
        <v/>
      </c>
      <c r="J252" s="79" t="str">
        <f>IF('Novice 15M - Scoring'!B35&lt;&gt;"",IF('Novice 15M - Scoring'!AE35&lt;&gt;"",'Novice 15M - Scoring'!AE35,""),"")</f>
        <v/>
      </c>
      <c r="K252" s="79" t="str">
        <f>IF('Novice 15M - Scoring'!B35&lt;&gt;"",IF('Novice 15M - Scoring'!AF35&lt;&gt;"",'Novice 15M - Scoring'!AF35,""),"")</f>
        <v/>
      </c>
      <c r="L252" s="80" t="str">
        <f>IF('Novice 15M - Scoring'!B35&lt;&gt;"",'Novice 15M - Scoring'!AT35,"")</f>
        <v/>
      </c>
      <c r="M252" s="81" t="str">
        <f>IF(L248&lt;&gt;"",IFERROR(IF(ISNUMBER(L248),L248,0),0)+IFERROR(IF(ISNUMBER(L249),L249,0),0)+IFERROR(IF(ISNUMBER(L250),L250,0),0)+IFERROR(IF(ISNUMBER(L251),L251,0),0)+IFERROR(IF(ISNUMBER(L252),L252,0),0),"")</f>
        <v/>
      </c>
    </row>
    <row r="253" spans="1:13" ht="19.5" customHeight="1" x14ac:dyDescent="0.35">
      <c r="A253" s="78" t="s">
        <v>229</v>
      </c>
      <c r="B253" s="79" t="str">
        <f>IF('Novice 15M - Scoring'!B34&lt;&gt;"",IF('Novice 15M - Scoring'!AJ34&lt;&gt;"",'Novice 15M - Scoring'!AJ34,""),"")</f>
        <v/>
      </c>
      <c r="C253" s="79" t="str">
        <f>IF('Novice 15M - Scoring'!B34&lt;&gt;"",IF('Novice 15M - Scoring'!AK34&lt;&gt;"",'Novice 15M - Scoring'!AK34,""),"")</f>
        <v/>
      </c>
      <c r="D253" s="79" t="str">
        <f>IF('Novice 15M - Scoring'!B34&lt;&gt;"",IF('Novice 15M - Scoring'!AL34&lt;&gt;"",'Novice 15M - Scoring'!AL34,""),"")</f>
        <v/>
      </c>
      <c r="E253" s="80" t="str">
        <f>IF('Novice 15M - Scoring'!B34&lt;&gt;"",'Novice 15M - Scoring'!AU34,"")</f>
        <v/>
      </c>
      <c r="F253" s="81" t="str">
        <f>IF(E248&lt;&gt;"",IFERROR(IF(ISNUMBER(E248),E248,0),0)+IFERROR(IF(ISNUMBER(E249),E249,0),0)+IFERROR(IF(ISNUMBER(E250),E250,0),0)+IFERROR(IF(ISNUMBER(E251),E251,0),0)+IFERROR(IF(ISNUMBER(E252),E252,0),0)+IFERROR(IF(ISNUMBER(E253),E253,0),0),"")</f>
        <v/>
      </c>
      <c r="H253" s="78" t="s">
        <v>229</v>
      </c>
      <c r="I253" s="79" t="str">
        <f>IF('Novice 15M - Scoring'!B35&lt;&gt;"",IF('Novice 15M - Scoring'!AJ35&lt;&gt;"",'Novice 15M - Scoring'!AJ35,""),"")</f>
        <v/>
      </c>
      <c r="J253" s="79" t="str">
        <f>IF('Novice 15M - Scoring'!B35&lt;&gt;"",IF('Novice 15M - Scoring'!AK35&lt;&gt;"",'Novice 15M - Scoring'!AK35,""),"")</f>
        <v/>
      </c>
      <c r="K253" s="79" t="str">
        <f>IF('Novice 15M - Scoring'!B35&lt;&gt;"",IF('Novice 15M - Scoring'!AL35&lt;&gt;"",'Novice 15M - Scoring'!AL35,""),"")</f>
        <v/>
      </c>
      <c r="L253" s="80" t="str">
        <f>IF('Novice 15M - Scoring'!B35&lt;&gt;"",'Novice 15M - Scoring'!AU35,"")</f>
        <v/>
      </c>
      <c r="M253" s="81" t="str">
        <f>IF(L248&lt;&gt;"",IFERROR(IF(ISNUMBER(L248),L248,0),0)+IFERROR(IF(ISNUMBER(L249),L249,0),0)+IFERROR(IF(ISNUMBER(L250),L250,0),0)+IFERROR(IF(ISNUMBER(L251),L251,0),0)+IFERROR(IF(ISNUMBER(L252),L252,0),0)+IFERROR(IF(ISNUMBER(L253),L253,0),0),"")</f>
        <v/>
      </c>
    </row>
    <row r="254" spans="1:13" ht="3.75" customHeight="1" x14ac:dyDescent="0.35"/>
    <row r="255" spans="1:13" ht="24" customHeight="1" x14ac:dyDescent="0.35">
      <c r="A255" s="124" t="s">
        <v>230</v>
      </c>
      <c r="B255" s="124"/>
      <c r="C255" s="124"/>
      <c r="D255" s="124"/>
      <c r="E255" s="125" t="str">
        <f>IF('Novice 15M - Scoring'!B34&lt;&gt;"",'Novice 15M - Scoring'!AV34,"")</f>
        <v/>
      </c>
      <c r="F255" s="125"/>
      <c r="H255" s="124" t="s">
        <v>230</v>
      </c>
      <c r="I255" s="124"/>
      <c r="J255" s="124"/>
      <c r="K255" s="124"/>
      <c r="L255" s="125" t="str">
        <f>IF('Novice 15M - Scoring'!B35&lt;&gt;"",'Novice 15M - Scoring'!AV35,"")</f>
        <v/>
      </c>
      <c r="M255" s="125"/>
    </row>
    <row r="256" spans="1:13" ht="19.5" customHeight="1" x14ac:dyDescent="0.35">
      <c r="E256" s="125"/>
      <c r="F256" s="125"/>
      <c r="L256" s="125"/>
      <c r="M256" s="125"/>
    </row>
    <row r="257" spans="1:13" ht="3.75" customHeight="1" x14ac:dyDescent="0.35"/>
    <row r="258" spans="1:13" ht="18" customHeight="1" x14ac:dyDescent="0.35">
      <c r="A258" s="73" t="s">
        <v>126</v>
      </c>
      <c r="B258" s="82" t="str">
        <f>IF('Novice 15M - Scoring'!B34&lt;&gt;"",'Novice 15M - Scoring'!AW34,"")</f>
        <v/>
      </c>
      <c r="C258" s="73" t="s">
        <v>127</v>
      </c>
      <c r="D258" s="83" t="str">
        <f>IF('Novice 15M - Scoring'!B34&lt;&gt;"",'Novice 15M - Scoring'!AX34,"")</f>
        <v/>
      </c>
      <c r="E258" s="73" t="s">
        <v>128</v>
      </c>
      <c r="F258" s="83" t="str">
        <f>IF('Novice 15M - Scoring'!B34&lt;&gt;"",'Novice 15M - Scoring'!AY34,"")</f>
        <v/>
      </c>
      <c r="H258" s="73" t="s">
        <v>126</v>
      </c>
      <c r="I258" s="82" t="str">
        <f>IF('Novice 15M - Scoring'!B35&lt;&gt;"",'Novice 15M - Scoring'!AW35,"")</f>
        <v/>
      </c>
      <c r="J258" s="73" t="s">
        <v>127</v>
      </c>
      <c r="K258" s="83" t="str">
        <f>IF('Novice 15M - Scoring'!B35&lt;&gt;"",'Novice 15M - Scoring'!AX35,"")</f>
        <v/>
      </c>
      <c r="L258" s="73" t="s">
        <v>128</v>
      </c>
      <c r="M258" s="83" t="str">
        <f>IF('Novice 15M - Scoring'!B35&lt;&gt;"",'Novice 15M - Scoring'!AY35,"")</f>
        <v/>
      </c>
    </row>
    <row r="259" spans="1:13" ht="3.75" customHeight="1" x14ac:dyDescent="0.35"/>
    <row r="260" spans="1:13" ht="7.5" customHeight="1" x14ac:dyDescent="0.35">
      <c r="A260" s="126"/>
      <c r="B260" s="126"/>
      <c r="C260" s="126"/>
      <c r="D260" s="126"/>
      <c r="E260" s="126"/>
      <c r="F260" s="126"/>
      <c r="G260" s="126"/>
      <c r="H260" s="126"/>
      <c r="I260" s="126"/>
      <c r="J260" s="126"/>
      <c r="K260" s="126"/>
      <c r="L260" s="126"/>
      <c r="M260" s="126"/>
    </row>
    <row r="261" spans="1:13" ht="15.75" customHeight="1" x14ac:dyDescent="0.35">
      <c r="A261" s="73" t="s">
        <v>218</v>
      </c>
      <c r="B261" s="122" t="str">
        <f>IF('Novice 15M - Scoring'!B36&lt;&gt;"",'Novice 15M - Scoring'!B36,"")</f>
        <v/>
      </c>
      <c r="C261" s="122"/>
      <c r="D261" s="122"/>
      <c r="E261" s="73" t="s">
        <v>219</v>
      </c>
      <c r="F261" s="74" t="str">
        <f>IF('Novice 15M - Scoring'!B36&lt;&gt;"",'Novice 15M - Scoring'!BB36,"")</f>
        <v/>
      </c>
      <c r="H261" s="73" t="s">
        <v>218</v>
      </c>
      <c r="I261" s="122" t="str">
        <f>IF('Novice 15M - Scoring'!B37&lt;&gt;"",'Novice 15M - Scoring'!B37,"")</f>
        <v/>
      </c>
      <c r="J261" s="122"/>
      <c r="K261" s="122"/>
      <c r="L261" s="73" t="s">
        <v>219</v>
      </c>
      <c r="M261" s="74" t="str">
        <f>IF('Novice 15M - Scoring'!B37&lt;&gt;"",'Novice 15M - Scoring'!BB37,"")</f>
        <v/>
      </c>
    </row>
    <row r="262" spans="1:13" ht="15.75" customHeight="1" x14ac:dyDescent="0.35">
      <c r="A262" s="73" t="s">
        <v>220</v>
      </c>
      <c r="B262" s="123" t="str">
        <f>IF('Novice 15M - Scoring'!B36&lt;&gt;"",'Novice 15M - Scoring'!D36,"")</f>
        <v/>
      </c>
      <c r="C262" s="123"/>
      <c r="D262" s="123"/>
      <c r="E262" s="73" t="s">
        <v>8</v>
      </c>
      <c r="F262" s="75" t="str">
        <f>IF('Novice 15M - Scoring'!B36&lt;&gt;"",'Novice 15M - Scoring'!E36,"")</f>
        <v/>
      </c>
      <c r="H262" s="73" t="s">
        <v>220</v>
      </c>
      <c r="I262" s="123" t="str">
        <f>IF('Novice 15M - Scoring'!B37&lt;&gt;"",'Novice 15M - Scoring'!D37,"")</f>
        <v/>
      </c>
      <c r="J262" s="123"/>
      <c r="K262" s="123"/>
      <c r="L262" s="73" t="s">
        <v>8</v>
      </c>
      <c r="M262" s="75" t="str">
        <f>IF('Novice 15M - Scoring'!B37&lt;&gt;"",'Novice 15M - Scoring'!E37,"")</f>
        <v/>
      </c>
    </row>
    <row r="263" spans="1:13" ht="3.75" customHeight="1" x14ac:dyDescent="0.35"/>
    <row r="264" spans="1:13" ht="25.5" customHeight="1" x14ac:dyDescent="0.35">
      <c r="A264" s="76" t="s">
        <v>221</v>
      </c>
      <c r="B264" s="77" t="s">
        <v>222</v>
      </c>
      <c r="C264" s="77" t="s">
        <v>223</v>
      </c>
      <c r="D264" s="77" t="s">
        <v>224</v>
      </c>
      <c r="E264" s="76" t="s">
        <v>225</v>
      </c>
      <c r="F264" s="76" t="s">
        <v>226</v>
      </c>
      <c r="H264" s="76" t="s">
        <v>221</v>
      </c>
      <c r="I264" s="77" t="s">
        <v>222</v>
      </c>
      <c r="J264" s="77" t="s">
        <v>223</v>
      </c>
      <c r="K264" s="77" t="s">
        <v>224</v>
      </c>
      <c r="L264" s="76" t="s">
        <v>225</v>
      </c>
      <c r="M264" s="76" t="s">
        <v>226</v>
      </c>
    </row>
    <row r="265" spans="1:13" ht="19.5" customHeight="1" x14ac:dyDescent="0.35">
      <c r="A265" s="78" t="s">
        <v>222</v>
      </c>
      <c r="B265" s="79" t="str">
        <f>IF('Novice 15M - Scoring'!B36&lt;&gt;"",IF('Novice 15M - Scoring'!F36&lt;&gt;"",'Novice 15M - Scoring'!F36,""),"")</f>
        <v/>
      </c>
      <c r="C265" s="79" t="str">
        <f>IF('Novice 15M - Scoring'!B36&lt;&gt;"",IF('Novice 15M - Scoring'!G36&lt;&gt;"",'Novice 15M - Scoring'!G36,""),"")</f>
        <v/>
      </c>
      <c r="D265" s="79" t="str">
        <f>IF('Novice 15M - Scoring'!B36&lt;&gt;"",IF('Novice 15M - Scoring'!H36&lt;&gt;"",'Novice 15M - Scoring'!H36,""),"")</f>
        <v/>
      </c>
      <c r="E265" s="80" t="str">
        <f>IF('Novice 15M - Scoring'!B36&lt;&gt;"",'Novice 15M - Scoring'!AP36,"")</f>
        <v/>
      </c>
      <c r="F265" s="81" t="str">
        <f>IFERROR(IF(ISNUMBER(E265),E265,""),"")</f>
        <v/>
      </c>
      <c r="H265" s="78" t="s">
        <v>222</v>
      </c>
      <c r="I265" s="79" t="str">
        <f>IF('Novice 15M - Scoring'!B37&lt;&gt;"",IF('Novice 15M - Scoring'!F37&lt;&gt;"",'Novice 15M - Scoring'!F37,""),"")</f>
        <v/>
      </c>
      <c r="J265" s="79" t="str">
        <f>IF('Novice 15M - Scoring'!B37&lt;&gt;"",IF('Novice 15M - Scoring'!G37&lt;&gt;"",'Novice 15M - Scoring'!G37,""),"")</f>
        <v/>
      </c>
      <c r="K265" s="79" t="str">
        <f>IF('Novice 15M - Scoring'!B37&lt;&gt;"",IF('Novice 15M - Scoring'!H37&lt;&gt;"",'Novice 15M - Scoring'!H37,""),"")</f>
        <v/>
      </c>
      <c r="L265" s="80" t="str">
        <f>IF('Novice 15M - Scoring'!B37&lt;&gt;"",'Novice 15M - Scoring'!AP37,"")</f>
        <v/>
      </c>
      <c r="M265" s="81" t="str">
        <f>IFERROR(IF(ISNUMBER(L265),L265,""),"")</f>
        <v/>
      </c>
    </row>
    <row r="266" spans="1:13" ht="19.5" customHeight="1" x14ac:dyDescent="0.35">
      <c r="A266" s="78" t="s">
        <v>223</v>
      </c>
      <c r="B266" s="79" t="str">
        <f>IF('Novice 15M - Scoring'!B36&lt;&gt;"",IF('Novice 15M - Scoring'!L36&lt;&gt;"",'Novice 15M - Scoring'!L36,""),"")</f>
        <v/>
      </c>
      <c r="C266" s="79" t="str">
        <f>IF('Novice 15M - Scoring'!B36&lt;&gt;"",IF('Novice 15M - Scoring'!M36&lt;&gt;"",'Novice 15M - Scoring'!M36,""),"")</f>
        <v/>
      </c>
      <c r="D266" s="79" t="str">
        <f>IF('Novice 15M - Scoring'!B36&lt;&gt;"",IF('Novice 15M - Scoring'!N36&lt;&gt;"",'Novice 15M - Scoring'!N36,""),"")</f>
        <v/>
      </c>
      <c r="E266" s="80" t="str">
        <f>IF('Novice 15M - Scoring'!B36&lt;&gt;"",'Novice 15M - Scoring'!AQ36,"")</f>
        <v/>
      </c>
      <c r="F266" s="81" t="str">
        <f>IF(E265&lt;&gt;"",IFERROR(IF(ISNUMBER(E265),E265,0),0)+IFERROR(IF(ISNUMBER(E266),E266,0),0),"")</f>
        <v/>
      </c>
      <c r="H266" s="78" t="s">
        <v>223</v>
      </c>
      <c r="I266" s="79" t="str">
        <f>IF('Novice 15M - Scoring'!B37&lt;&gt;"",IF('Novice 15M - Scoring'!L37&lt;&gt;"",'Novice 15M - Scoring'!L37,""),"")</f>
        <v/>
      </c>
      <c r="J266" s="79" t="str">
        <f>IF('Novice 15M - Scoring'!B37&lt;&gt;"",IF('Novice 15M - Scoring'!M37&lt;&gt;"",'Novice 15M - Scoring'!M37,""),"")</f>
        <v/>
      </c>
      <c r="K266" s="79" t="str">
        <f>IF('Novice 15M - Scoring'!B37&lt;&gt;"",IF('Novice 15M - Scoring'!N37&lt;&gt;"",'Novice 15M - Scoring'!N37,""),"")</f>
        <v/>
      </c>
      <c r="L266" s="80" t="str">
        <f>IF('Novice 15M - Scoring'!B37&lt;&gt;"",'Novice 15M - Scoring'!AQ37,"")</f>
        <v/>
      </c>
      <c r="M266" s="81" t="str">
        <f>IF(L265&lt;&gt;"",IFERROR(IF(ISNUMBER(L265),L265,0),0)+IFERROR(IF(ISNUMBER(L266),L266,0),0),"")</f>
        <v/>
      </c>
    </row>
    <row r="267" spans="1:13" ht="19.5" customHeight="1" x14ac:dyDescent="0.35">
      <c r="A267" s="78" t="s">
        <v>224</v>
      </c>
      <c r="B267" s="79" t="str">
        <f>IF('Novice 15M - Scoring'!B36&lt;&gt;"",IF('Novice 15M - Scoring'!R36&lt;&gt;"",'Novice 15M - Scoring'!R36,""),"")</f>
        <v/>
      </c>
      <c r="C267" s="79" t="str">
        <f>IF('Novice 15M - Scoring'!B36&lt;&gt;"",IF('Novice 15M - Scoring'!S36&lt;&gt;"",'Novice 15M - Scoring'!S36,""),"")</f>
        <v/>
      </c>
      <c r="D267" s="79" t="str">
        <f>IF('Novice 15M - Scoring'!B36&lt;&gt;"",IF('Novice 15M - Scoring'!T36&lt;&gt;"",'Novice 15M - Scoring'!T36,""),"")</f>
        <v/>
      </c>
      <c r="E267" s="80" t="str">
        <f>IF('Novice 15M - Scoring'!B36&lt;&gt;"",'Novice 15M - Scoring'!AR36,"")</f>
        <v/>
      </c>
      <c r="F267" s="81" t="str">
        <f>IF(E265&lt;&gt;"",IFERROR(IF(ISNUMBER(E265),E265,0),0)+IFERROR(IF(ISNUMBER(E266),E266,0),0)+IFERROR(IF(ISNUMBER(E267),E267,0),0),"")</f>
        <v/>
      </c>
      <c r="H267" s="78" t="s">
        <v>224</v>
      </c>
      <c r="I267" s="79" t="str">
        <f>IF('Novice 15M - Scoring'!B37&lt;&gt;"",IF('Novice 15M - Scoring'!R37&lt;&gt;"",'Novice 15M - Scoring'!R37,""),"")</f>
        <v/>
      </c>
      <c r="J267" s="79" t="str">
        <f>IF('Novice 15M - Scoring'!B37&lt;&gt;"",IF('Novice 15M - Scoring'!S37&lt;&gt;"",'Novice 15M - Scoring'!S37,""),"")</f>
        <v/>
      </c>
      <c r="K267" s="79" t="str">
        <f>IF('Novice 15M - Scoring'!B37&lt;&gt;"",IF('Novice 15M - Scoring'!T37&lt;&gt;"",'Novice 15M - Scoring'!T37,""),"")</f>
        <v/>
      </c>
      <c r="L267" s="80" t="str">
        <f>IF('Novice 15M - Scoring'!B37&lt;&gt;"",'Novice 15M - Scoring'!AR37,"")</f>
        <v/>
      </c>
      <c r="M267" s="81" t="str">
        <f>IF(L265&lt;&gt;"",IFERROR(IF(ISNUMBER(L265),L265,0),0)+IFERROR(IF(ISNUMBER(L266),L266,0),0)+IFERROR(IF(ISNUMBER(L267),L267,0),0),"")</f>
        <v/>
      </c>
    </row>
    <row r="268" spans="1:13" ht="19.5" customHeight="1" x14ac:dyDescent="0.35">
      <c r="A268" s="78" t="s">
        <v>227</v>
      </c>
      <c r="B268" s="79" t="str">
        <f>IF('Novice 15M - Scoring'!B36&lt;&gt;"",IF('Novice 15M - Scoring'!X36&lt;&gt;"",'Novice 15M - Scoring'!X36,""),"")</f>
        <v/>
      </c>
      <c r="C268" s="79" t="str">
        <f>IF('Novice 15M - Scoring'!B36&lt;&gt;"",IF('Novice 15M - Scoring'!Y36&lt;&gt;"",'Novice 15M - Scoring'!Y36,""),"")</f>
        <v/>
      </c>
      <c r="D268" s="79" t="str">
        <f>IF('Novice 15M - Scoring'!B36&lt;&gt;"",IF('Novice 15M - Scoring'!Z36&lt;&gt;"",'Novice 15M - Scoring'!Z36,""),"")</f>
        <v/>
      </c>
      <c r="E268" s="80" t="str">
        <f>IF('Novice 15M - Scoring'!B36&lt;&gt;"",'Novice 15M - Scoring'!AS36,"")</f>
        <v/>
      </c>
      <c r="F268" s="81" t="str">
        <f>IF(E265&lt;&gt;"",IFERROR(IF(ISNUMBER(E265),E265,0),0)+IFERROR(IF(ISNUMBER(E266),E266,0),0)+IFERROR(IF(ISNUMBER(E267),E267,0),0)+IFERROR(IF(ISNUMBER(E268),E268,0),0),"")</f>
        <v/>
      </c>
      <c r="H268" s="78" t="s">
        <v>227</v>
      </c>
      <c r="I268" s="79" t="str">
        <f>IF('Novice 15M - Scoring'!B37&lt;&gt;"",IF('Novice 15M - Scoring'!X37&lt;&gt;"",'Novice 15M - Scoring'!X37,""),"")</f>
        <v/>
      </c>
      <c r="J268" s="79" t="str">
        <f>IF('Novice 15M - Scoring'!B37&lt;&gt;"",IF('Novice 15M - Scoring'!Y37&lt;&gt;"",'Novice 15M - Scoring'!Y37,""),"")</f>
        <v/>
      </c>
      <c r="K268" s="79" t="str">
        <f>IF('Novice 15M - Scoring'!B37&lt;&gt;"",IF('Novice 15M - Scoring'!Z37&lt;&gt;"",'Novice 15M - Scoring'!Z37,""),"")</f>
        <v/>
      </c>
      <c r="L268" s="80" t="str">
        <f>IF('Novice 15M - Scoring'!B37&lt;&gt;"",'Novice 15M - Scoring'!AS37,"")</f>
        <v/>
      </c>
      <c r="M268" s="81" t="str">
        <f>IF(L265&lt;&gt;"",IFERROR(IF(ISNUMBER(L265),L265,0),0)+IFERROR(IF(ISNUMBER(L266),L266,0),0)+IFERROR(IF(ISNUMBER(L267),L267,0),0)+IFERROR(IF(ISNUMBER(L268),L268,0),0),"")</f>
        <v/>
      </c>
    </row>
    <row r="269" spans="1:13" ht="19.5" customHeight="1" x14ac:dyDescent="0.35">
      <c r="A269" s="78" t="s">
        <v>228</v>
      </c>
      <c r="B269" s="79" t="str">
        <f>IF('Novice 15M - Scoring'!B36&lt;&gt;"",IF('Novice 15M - Scoring'!AD36&lt;&gt;"",'Novice 15M - Scoring'!AD36,""),"")</f>
        <v/>
      </c>
      <c r="C269" s="79" t="str">
        <f>IF('Novice 15M - Scoring'!B36&lt;&gt;"",IF('Novice 15M - Scoring'!AE36&lt;&gt;"",'Novice 15M - Scoring'!AE36,""),"")</f>
        <v/>
      </c>
      <c r="D269" s="79" t="str">
        <f>IF('Novice 15M - Scoring'!B36&lt;&gt;"",IF('Novice 15M - Scoring'!AF36&lt;&gt;"",'Novice 15M - Scoring'!AF36,""),"")</f>
        <v/>
      </c>
      <c r="E269" s="80" t="str">
        <f>IF('Novice 15M - Scoring'!B36&lt;&gt;"",'Novice 15M - Scoring'!AT36,"")</f>
        <v/>
      </c>
      <c r="F269" s="81" t="str">
        <f>IF(E265&lt;&gt;"",IFERROR(IF(ISNUMBER(E265),E265,0),0)+IFERROR(IF(ISNUMBER(E266),E266,0),0)+IFERROR(IF(ISNUMBER(E267),E267,0),0)+IFERROR(IF(ISNUMBER(E268),E268,0),0)+IFERROR(IF(ISNUMBER(E269),E269,0),0),"")</f>
        <v/>
      </c>
      <c r="H269" s="78" t="s">
        <v>228</v>
      </c>
      <c r="I269" s="79" t="str">
        <f>IF('Novice 15M - Scoring'!B37&lt;&gt;"",IF('Novice 15M - Scoring'!AD37&lt;&gt;"",'Novice 15M - Scoring'!AD37,""),"")</f>
        <v/>
      </c>
      <c r="J269" s="79" t="str">
        <f>IF('Novice 15M - Scoring'!B37&lt;&gt;"",IF('Novice 15M - Scoring'!AE37&lt;&gt;"",'Novice 15M - Scoring'!AE37,""),"")</f>
        <v/>
      </c>
      <c r="K269" s="79" t="str">
        <f>IF('Novice 15M - Scoring'!B37&lt;&gt;"",IF('Novice 15M - Scoring'!AF37&lt;&gt;"",'Novice 15M - Scoring'!AF37,""),"")</f>
        <v/>
      </c>
      <c r="L269" s="80" t="str">
        <f>IF('Novice 15M - Scoring'!B37&lt;&gt;"",'Novice 15M - Scoring'!AT37,"")</f>
        <v/>
      </c>
      <c r="M269" s="81" t="str">
        <f>IF(L265&lt;&gt;"",IFERROR(IF(ISNUMBER(L265),L265,0),0)+IFERROR(IF(ISNUMBER(L266),L266,0),0)+IFERROR(IF(ISNUMBER(L267),L267,0),0)+IFERROR(IF(ISNUMBER(L268),L268,0),0)+IFERROR(IF(ISNUMBER(L269),L269,0),0),"")</f>
        <v/>
      </c>
    </row>
    <row r="270" spans="1:13" ht="19.5" customHeight="1" x14ac:dyDescent="0.35">
      <c r="A270" s="78" t="s">
        <v>229</v>
      </c>
      <c r="B270" s="79" t="str">
        <f>IF('Novice 15M - Scoring'!B36&lt;&gt;"",IF('Novice 15M - Scoring'!AJ36&lt;&gt;"",'Novice 15M - Scoring'!AJ36,""),"")</f>
        <v/>
      </c>
      <c r="C270" s="79" t="str">
        <f>IF('Novice 15M - Scoring'!B36&lt;&gt;"",IF('Novice 15M - Scoring'!AK36&lt;&gt;"",'Novice 15M - Scoring'!AK36,""),"")</f>
        <v/>
      </c>
      <c r="D270" s="79" t="str">
        <f>IF('Novice 15M - Scoring'!B36&lt;&gt;"",IF('Novice 15M - Scoring'!AL36&lt;&gt;"",'Novice 15M - Scoring'!AL36,""),"")</f>
        <v/>
      </c>
      <c r="E270" s="80" t="str">
        <f>IF('Novice 15M - Scoring'!B36&lt;&gt;"",'Novice 15M - Scoring'!AU36,"")</f>
        <v/>
      </c>
      <c r="F270" s="81" t="str">
        <f>IF(E265&lt;&gt;"",IFERROR(IF(ISNUMBER(E265),E265,0),0)+IFERROR(IF(ISNUMBER(E266),E266,0),0)+IFERROR(IF(ISNUMBER(E267),E267,0),0)+IFERROR(IF(ISNUMBER(E268),E268,0),0)+IFERROR(IF(ISNUMBER(E269),E269,0),0)+IFERROR(IF(ISNUMBER(E270),E270,0),0),"")</f>
        <v/>
      </c>
      <c r="H270" s="78" t="s">
        <v>229</v>
      </c>
      <c r="I270" s="79" t="str">
        <f>IF('Novice 15M - Scoring'!B37&lt;&gt;"",IF('Novice 15M - Scoring'!AJ37&lt;&gt;"",'Novice 15M - Scoring'!AJ37,""),"")</f>
        <v/>
      </c>
      <c r="J270" s="79" t="str">
        <f>IF('Novice 15M - Scoring'!B37&lt;&gt;"",IF('Novice 15M - Scoring'!AK37&lt;&gt;"",'Novice 15M - Scoring'!AK37,""),"")</f>
        <v/>
      </c>
      <c r="K270" s="79" t="str">
        <f>IF('Novice 15M - Scoring'!B37&lt;&gt;"",IF('Novice 15M - Scoring'!AL37&lt;&gt;"",'Novice 15M - Scoring'!AL37,""),"")</f>
        <v/>
      </c>
      <c r="L270" s="80" t="str">
        <f>IF('Novice 15M - Scoring'!B37&lt;&gt;"",'Novice 15M - Scoring'!AU37,"")</f>
        <v/>
      </c>
      <c r="M270" s="81" t="str">
        <f>IF(L265&lt;&gt;"",IFERROR(IF(ISNUMBER(L265),L265,0),0)+IFERROR(IF(ISNUMBER(L266),L266,0),0)+IFERROR(IF(ISNUMBER(L267),L267,0),0)+IFERROR(IF(ISNUMBER(L268),L268,0),0)+IFERROR(IF(ISNUMBER(L269),L269,0),0)+IFERROR(IF(ISNUMBER(L270),L270,0),0),"")</f>
        <v/>
      </c>
    </row>
    <row r="271" spans="1:13" ht="3.75" customHeight="1" x14ac:dyDescent="0.35"/>
    <row r="272" spans="1:13" ht="24" customHeight="1" x14ac:dyDescent="0.35">
      <c r="A272" s="124" t="s">
        <v>230</v>
      </c>
      <c r="B272" s="124"/>
      <c r="C272" s="124"/>
      <c r="D272" s="124"/>
      <c r="E272" s="125" t="str">
        <f>IF('Novice 15M - Scoring'!B36&lt;&gt;"",'Novice 15M - Scoring'!AV36,"")</f>
        <v/>
      </c>
      <c r="F272" s="125"/>
      <c r="H272" s="124" t="s">
        <v>230</v>
      </c>
      <c r="I272" s="124"/>
      <c r="J272" s="124"/>
      <c r="K272" s="124"/>
      <c r="L272" s="125" t="str">
        <f>IF('Novice 15M - Scoring'!B37&lt;&gt;"",'Novice 15M - Scoring'!AV37,"")</f>
        <v/>
      </c>
      <c r="M272" s="125"/>
    </row>
    <row r="273" spans="1:13" ht="19.5" customHeight="1" x14ac:dyDescent="0.35">
      <c r="E273" s="125"/>
      <c r="F273" s="125"/>
      <c r="L273" s="125"/>
      <c r="M273" s="125"/>
    </row>
    <row r="274" spans="1:13" ht="3.75" customHeight="1" x14ac:dyDescent="0.35"/>
    <row r="275" spans="1:13" ht="18" customHeight="1" x14ac:dyDescent="0.35">
      <c r="A275" s="73" t="s">
        <v>126</v>
      </c>
      <c r="B275" s="82" t="str">
        <f>IF('Novice 15M - Scoring'!B36&lt;&gt;"",'Novice 15M - Scoring'!AW36,"")</f>
        <v/>
      </c>
      <c r="C275" s="73" t="s">
        <v>127</v>
      </c>
      <c r="D275" s="83" t="str">
        <f>IF('Novice 15M - Scoring'!B36&lt;&gt;"",'Novice 15M - Scoring'!AX36,"")</f>
        <v/>
      </c>
      <c r="E275" s="73" t="s">
        <v>128</v>
      </c>
      <c r="F275" s="83" t="str">
        <f>IF('Novice 15M - Scoring'!B36&lt;&gt;"",'Novice 15M - Scoring'!AY36,"")</f>
        <v/>
      </c>
      <c r="H275" s="73" t="s">
        <v>126</v>
      </c>
      <c r="I275" s="82" t="str">
        <f>IF('Novice 15M - Scoring'!B37&lt;&gt;"",'Novice 15M - Scoring'!AW37,"")</f>
        <v/>
      </c>
      <c r="J275" s="73" t="s">
        <v>127</v>
      </c>
      <c r="K275" s="83" t="str">
        <f>IF('Novice 15M - Scoring'!B37&lt;&gt;"",'Novice 15M - Scoring'!AX37,"")</f>
        <v/>
      </c>
      <c r="L275" s="73" t="s">
        <v>128</v>
      </c>
      <c r="M275" s="83" t="str">
        <f>IF('Novice 15M - Scoring'!B37&lt;&gt;"",'Novice 15M - Scoring'!AY37,"")</f>
        <v/>
      </c>
    </row>
    <row r="276" spans="1:13" ht="3.75" customHeight="1" x14ac:dyDescent="0.35"/>
    <row r="277" spans="1:13" ht="7.5" customHeight="1" x14ac:dyDescent="0.35">
      <c r="A277" s="126"/>
      <c r="B277" s="126"/>
      <c r="C277" s="126"/>
      <c r="D277" s="126"/>
      <c r="E277" s="126"/>
      <c r="F277" s="126"/>
      <c r="G277" s="126"/>
      <c r="H277" s="126"/>
      <c r="I277" s="126"/>
      <c r="J277" s="126"/>
      <c r="K277" s="126"/>
      <c r="L277" s="126"/>
      <c r="M277" s="126"/>
    </row>
    <row r="278" spans="1:13" ht="15.75" customHeight="1" x14ac:dyDescent="0.35">
      <c r="A278" s="73" t="s">
        <v>218</v>
      </c>
      <c r="B278" s="122" t="str">
        <f>IF('Novice 15M - Scoring'!B38&lt;&gt;"",'Novice 15M - Scoring'!B38,"")</f>
        <v/>
      </c>
      <c r="C278" s="122"/>
      <c r="D278" s="122"/>
      <c r="E278" s="73" t="s">
        <v>219</v>
      </c>
      <c r="F278" s="74" t="str">
        <f>IF('Novice 15M - Scoring'!B38&lt;&gt;"",'Novice 15M - Scoring'!BB38,"")</f>
        <v/>
      </c>
      <c r="H278" s="73" t="s">
        <v>218</v>
      </c>
      <c r="I278" s="122" t="str">
        <f>IF('Novice 15M - Scoring'!B39&lt;&gt;"",'Novice 15M - Scoring'!B39,"")</f>
        <v/>
      </c>
      <c r="J278" s="122"/>
      <c r="K278" s="122"/>
      <c r="L278" s="73" t="s">
        <v>219</v>
      </c>
      <c r="M278" s="74" t="str">
        <f>IF('Novice 15M - Scoring'!B39&lt;&gt;"",'Novice 15M - Scoring'!BB39,"")</f>
        <v/>
      </c>
    </row>
    <row r="279" spans="1:13" ht="15.75" customHeight="1" x14ac:dyDescent="0.35">
      <c r="A279" s="73" t="s">
        <v>220</v>
      </c>
      <c r="B279" s="123" t="str">
        <f>IF('Novice 15M - Scoring'!B38&lt;&gt;"",'Novice 15M - Scoring'!D38,"")</f>
        <v/>
      </c>
      <c r="C279" s="123"/>
      <c r="D279" s="123"/>
      <c r="E279" s="73" t="s">
        <v>8</v>
      </c>
      <c r="F279" s="75" t="str">
        <f>IF('Novice 15M - Scoring'!B38&lt;&gt;"",'Novice 15M - Scoring'!E38,"")</f>
        <v/>
      </c>
      <c r="H279" s="73" t="s">
        <v>220</v>
      </c>
      <c r="I279" s="123" t="str">
        <f>IF('Novice 15M - Scoring'!B39&lt;&gt;"",'Novice 15M - Scoring'!D39,"")</f>
        <v/>
      </c>
      <c r="J279" s="123"/>
      <c r="K279" s="123"/>
      <c r="L279" s="73" t="s">
        <v>8</v>
      </c>
      <c r="M279" s="75" t="str">
        <f>IF('Novice 15M - Scoring'!B39&lt;&gt;"",'Novice 15M - Scoring'!E39,"")</f>
        <v/>
      </c>
    </row>
    <row r="280" spans="1:13" ht="3.75" customHeight="1" x14ac:dyDescent="0.35"/>
    <row r="281" spans="1:13" ht="25.5" customHeight="1" x14ac:dyDescent="0.35">
      <c r="A281" s="76" t="s">
        <v>221</v>
      </c>
      <c r="B281" s="77" t="s">
        <v>222</v>
      </c>
      <c r="C281" s="77" t="s">
        <v>223</v>
      </c>
      <c r="D281" s="77" t="s">
        <v>224</v>
      </c>
      <c r="E281" s="76" t="s">
        <v>225</v>
      </c>
      <c r="F281" s="76" t="s">
        <v>226</v>
      </c>
      <c r="H281" s="76" t="s">
        <v>221</v>
      </c>
      <c r="I281" s="77" t="s">
        <v>222</v>
      </c>
      <c r="J281" s="77" t="s">
        <v>223</v>
      </c>
      <c r="K281" s="77" t="s">
        <v>224</v>
      </c>
      <c r="L281" s="76" t="s">
        <v>225</v>
      </c>
      <c r="M281" s="76" t="s">
        <v>226</v>
      </c>
    </row>
    <row r="282" spans="1:13" ht="19.5" customHeight="1" x14ac:dyDescent="0.35">
      <c r="A282" s="78" t="s">
        <v>222</v>
      </c>
      <c r="B282" s="79" t="str">
        <f>IF('Novice 15M - Scoring'!B38&lt;&gt;"",IF('Novice 15M - Scoring'!F38&lt;&gt;"",'Novice 15M - Scoring'!F38,""),"")</f>
        <v/>
      </c>
      <c r="C282" s="79" t="str">
        <f>IF('Novice 15M - Scoring'!B38&lt;&gt;"",IF('Novice 15M - Scoring'!G38&lt;&gt;"",'Novice 15M - Scoring'!G38,""),"")</f>
        <v/>
      </c>
      <c r="D282" s="79" t="str">
        <f>IF('Novice 15M - Scoring'!B38&lt;&gt;"",IF('Novice 15M - Scoring'!H38&lt;&gt;"",'Novice 15M - Scoring'!H38,""),"")</f>
        <v/>
      </c>
      <c r="E282" s="80" t="str">
        <f>IF('Novice 15M - Scoring'!B38&lt;&gt;"",'Novice 15M - Scoring'!AP38,"")</f>
        <v/>
      </c>
      <c r="F282" s="81" t="str">
        <f>IFERROR(IF(ISNUMBER(E282),E282,""),"")</f>
        <v/>
      </c>
      <c r="H282" s="78" t="s">
        <v>222</v>
      </c>
      <c r="I282" s="79" t="str">
        <f>IF('Novice 15M - Scoring'!B39&lt;&gt;"",IF('Novice 15M - Scoring'!F39&lt;&gt;"",'Novice 15M - Scoring'!F39,""),"")</f>
        <v/>
      </c>
      <c r="J282" s="79" t="str">
        <f>IF('Novice 15M - Scoring'!B39&lt;&gt;"",IF('Novice 15M - Scoring'!G39&lt;&gt;"",'Novice 15M - Scoring'!G39,""),"")</f>
        <v/>
      </c>
      <c r="K282" s="79" t="str">
        <f>IF('Novice 15M - Scoring'!B39&lt;&gt;"",IF('Novice 15M - Scoring'!H39&lt;&gt;"",'Novice 15M - Scoring'!H39,""),"")</f>
        <v/>
      </c>
      <c r="L282" s="80" t="str">
        <f>IF('Novice 15M - Scoring'!B39&lt;&gt;"",'Novice 15M - Scoring'!AP39,"")</f>
        <v/>
      </c>
      <c r="M282" s="81" t="str">
        <f>IFERROR(IF(ISNUMBER(L282),L282,""),"")</f>
        <v/>
      </c>
    </row>
    <row r="283" spans="1:13" ht="19.5" customHeight="1" x14ac:dyDescent="0.35">
      <c r="A283" s="78" t="s">
        <v>223</v>
      </c>
      <c r="B283" s="79" t="str">
        <f>IF('Novice 15M - Scoring'!B38&lt;&gt;"",IF('Novice 15M - Scoring'!L38&lt;&gt;"",'Novice 15M - Scoring'!L38,""),"")</f>
        <v/>
      </c>
      <c r="C283" s="79" t="str">
        <f>IF('Novice 15M - Scoring'!B38&lt;&gt;"",IF('Novice 15M - Scoring'!M38&lt;&gt;"",'Novice 15M - Scoring'!M38,""),"")</f>
        <v/>
      </c>
      <c r="D283" s="79" t="str">
        <f>IF('Novice 15M - Scoring'!B38&lt;&gt;"",IF('Novice 15M - Scoring'!N38&lt;&gt;"",'Novice 15M - Scoring'!N38,""),"")</f>
        <v/>
      </c>
      <c r="E283" s="80" t="str">
        <f>IF('Novice 15M - Scoring'!B38&lt;&gt;"",'Novice 15M - Scoring'!AQ38,"")</f>
        <v/>
      </c>
      <c r="F283" s="81" t="str">
        <f>IF(E282&lt;&gt;"",IFERROR(IF(ISNUMBER(E282),E282,0),0)+IFERROR(IF(ISNUMBER(E283),E283,0),0),"")</f>
        <v/>
      </c>
      <c r="H283" s="78" t="s">
        <v>223</v>
      </c>
      <c r="I283" s="79" t="str">
        <f>IF('Novice 15M - Scoring'!B39&lt;&gt;"",IF('Novice 15M - Scoring'!L39&lt;&gt;"",'Novice 15M - Scoring'!L39,""),"")</f>
        <v/>
      </c>
      <c r="J283" s="79" t="str">
        <f>IF('Novice 15M - Scoring'!B39&lt;&gt;"",IF('Novice 15M - Scoring'!M39&lt;&gt;"",'Novice 15M - Scoring'!M39,""),"")</f>
        <v/>
      </c>
      <c r="K283" s="79" t="str">
        <f>IF('Novice 15M - Scoring'!B39&lt;&gt;"",IF('Novice 15M - Scoring'!N39&lt;&gt;"",'Novice 15M - Scoring'!N39,""),"")</f>
        <v/>
      </c>
      <c r="L283" s="80" t="str">
        <f>IF('Novice 15M - Scoring'!B39&lt;&gt;"",'Novice 15M - Scoring'!AQ39,"")</f>
        <v/>
      </c>
      <c r="M283" s="81" t="str">
        <f>IF(L282&lt;&gt;"",IFERROR(IF(ISNUMBER(L282),L282,0),0)+IFERROR(IF(ISNUMBER(L283),L283,0),0),"")</f>
        <v/>
      </c>
    </row>
    <row r="284" spans="1:13" ht="19.5" customHeight="1" x14ac:dyDescent="0.35">
      <c r="A284" s="78" t="s">
        <v>224</v>
      </c>
      <c r="B284" s="79" t="str">
        <f>IF('Novice 15M - Scoring'!B38&lt;&gt;"",IF('Novice 15M - Scoring'!R38&lt;&gt;"",'Novice 15M - Scoring'!R38,""),"")</f>
        <v/>
      </c>
      <c r="C284" s="79" t="str">
        <f>IF('Novice 15M - Scoring'!B38&lt;&gt;"",IF('Novice 15M - Scoring'!S38&lt;&gt;"",'Novice 15M - Scoring'!S38,""),"")</f>
        <v/>
      </c>
      <c r="D284" s="79" t="str">
        <f>IF('Novice 15M - Scoring'!B38&lt;&gt;"",IF('Novice 15M - Scoring'!T38&lt;&gt;"",'Novice 15M - Scoring'!T38,""),"")</f>
        <v/>
      </c>
      <c r="E284" s="80" t="str">
        <f>IF('Novice 15M - Scoring'!B38&lt;&gt;"",'Novice 15M - Scoring'!AR38,"")</f>
        <v/>
      </c>
      <c r="F284" s="81" t="str">
        <f>IF(E282&lt;&gt;"",IFERROR(IF(ISNUMBER(E282),E282,0),0)+IFERROR(IF(ISNUMBER(E283),E283,0),0)+IFERROR(IF(ISNUMBER(E284),E284,0),0),"")</f>
        <v/>
      </c>
      <c r="H284" s="78" t="s">
        <v>224</v>
      </c>
      <c r="I284" s="79" t="str">
        <f>IF('Novice 15M - Scoring'!B39&lt;&gt;"",IF('Novice 15M - Scoring'!R39&lt;&gt;"",'Novice 15M - Scoring'!R39,""),"")</f>
        <v/>
      </c>
      <c r="J284" s="79" t="str">
        <f>IF('Novice 15M - Scoring'!B39&lt;&gt;"",IF('Novice 15M - Scoring'!S39&lt;&gt;"",'Novice 15M - Scoring'!S39,""),"")</f>
        <v/>
      </c>
      <c r="K284" s="79" t="str">
        <f>IF('Novice 15M - Scoring'!B39&lt;&gt;"",IF('Novice 15M - Scoring'!T39&lt;&gt;"",'Novice 15M - Scoring'!T39,""),"")</f>
        <v/>
      </c>
      <c r="L284" s="80" t="str">
        <f>IF('Novice 15M - Scoring'!B39&lt;&gt;"",'Novice 15M - Scoring'!AR39,"")</f>
        <v/>
      </c>
      <c r="M284" s="81" t="str">
        <f>IF(L282&lt;&gt;"",IFERROR(IF(ISNUMBER(L282),L282,0),0)+IFERROR(IF(ISNUMBER(L283),L283,0),0)+IFERROR(IF(ISNUMBER(L284),L284,0),0),"")</f>
        <v/>
      </c>
    </row>
    <row r="285" spans="1:13" ht="19.5" customHeight="1" x14ac:dyDescent="0.35">
      <c r="A285" s="78" t="s">
        <v>227</v>
      </c>
      <c r="B285" s="79" t="str">
        <f>IF('Novice 15M - Scoring'!B38&lt;&gt;"",IF('Novice 15M - Scoring'!X38&lt;&gt;"",'Novice 15M - Scoring'!X38,""),"")</f>
        <v/>
      </c>
      <c r="C285" s="79" t="str">
        <f>IF('Novice 15M - Scoring'!B38&lt;&gt;"",IF('Novice 15M - Scoring'!Y38&lt;&gt;"",'Novice 15M - Scoring'!Y38,""),"")</f>
        <v/>
      </c>
      <c r="D285" s="79" t="str">
        <f>IF('Novice 15M - Scoring'!B38&lt;&gt;"",IF('Novice 15M - Scoring'!Z38&lt;&gt;"",'Novice 15M - Scoring'!Z38,""),"")</f>
        <v/>
      </c>
      <c r="E285" s="80" t="str">
        <f>IF('Novice 15M - Scoring'!B38&lt;&gt;"",'Novice 15M - Scoring'!AS38,"")</f>
        <v/>
      </c>
      <c r="F285" s="81" t="str">
        <f>IF(E282&lt;&gt;"",IFERROR(IF(ISNUMBER(E282),E282,0),0)+IFERROR(IF(ISNUMBER(E283),E283,0),0)+IFERROR(IF(ISNUMBER(E284),E284,0),0)+IFERROR(IF(ISNUMBER(E285),E285,0),0),"")</f>
        <v/>
      </c>
      <c r="H285" s="78" t="s">
        <v>227</v>
      </c>
      <c r="I285" s="79" t="str">
        <f>IF('Novice 15M - Scoring'!B39&lt;&gt;"",IF('Novice 15M - Scoring'!X39&lt;&gt;"",'Novice 15M - Scoring'!X39,""),"")</f>
        <v/>
      </c>
      <c r="J285" s="79" t="str">
        <f>IF('Novice 15M - Scoring'!B39&lt;&gt;"",IF('Novice 15M - Scoring'!Y39&lt;&gt;"",'Novice 15M - Scoring'!Y39,""),"")</f>
        <v/>
      </c>
      <c r="K285" s="79" t="str">
        <f>IF('Novice 15M - Scoring'!B39&lt;&gt;"",IF('Novice 15M - Scoring'!Z39&lt;&gt;"",'Novice 15M - Scoring'!Z39,""),"")</f>
        <v/>
      </c>
      <c r="L285" s="80" t="str">
        <f>IF('Novice 15M - Scoring'!B39&lt;&gt;"",'Novice 15M - Scoring'!AS39,"")</f>
        <v/>
      </c>
      <c r="M285" s="81" t="str">
        <f>IF(L282&lt;&gt;"",IFERROR(IF(ISNUMBER(L282),L282,0),0)+IFERROR(IF(ISNUMBER(L283),L283,0),0)+IFERROR(IF(ISNUMBER(L284),L284,0),0)+IFERROR(IF(ISNUMBER(L285),L285,0),0),"")</f>
        <v/>
      </c>
    </row>
    <row r="286" spans="1:13" ht="19.5" customHeight="1" x14ac:dyDescent="0.35">
      <c r="A286" s="78" t="s">
        <v>228</v>
      </c>
      <c r="B286" s="79" t="str">
        <f>IF('Novice 15M - Scoring'!B38&lt;&gt;"",IF('Novice 15M - Scoring'!AD38&lt;&gt;"",'Novice 15M - Scoring'!AD38,""),"")</f>
        <v/>
      </c>
      <c r="C286" s="79" t="str">
        <f>IF('Novice 15M - Scoring'!B38&lt;&gt;"",IF('Novice 15M - Scoring'!AE38&lt;&gt;"",'Novice 15M - Scoring'!AE38,""),"")</f>
        <v/>
      </c>
      <c r="D286" s="79" t="str">
        <f>IF('Novice 15M - Scoring'!B38&lt;&gt;"",IF('Novice 15M - Scoring'!AF38&lt;&gt;"",'Novice 15M - Scoring'!AF38,""),"")</f>
        <v/>
      </c>
      <c r="E286" s="80" t="str">
        <f>IF('Novice 15M - Scoring'!B38&lt;&gt;"",'Novice 15M - Scoring'!AT38,"")</f>
        <v/>
      </c>
      <c r="F286" s="81" t="str">
        <f>IF(E282&lt;&gt;"",IFERROR(IF(ISNUMBER(E282),E282,0),0)+IFERROR(IF(ISNUMBER(E283),E283,0),0)+IFERROR(IF(ISNUMBER(E284),E284,0),0)+IFERROR(IF(ISNUMBER(E285),E285,0),0)+IFERROR(IF(ISNUMBER(E286),E286,0),0),"")</f>
        <v/>
      </c>
      <c r="H286" s="78" t="s">
        <v>228</v>
      </c>
      <c r="I286" s="79" t="str">
        <f>IF('Novice 15M - Scoring'!B39&lt;&gt;"",IF('Novice 15M - Scoring'!AD39&lt;&gt;"",'Novice 15M - Scoring'!AD39,""),"")</f>
        <v/>
      </c>
      <c r="J286" s="79" t="str">
        <f>IF('Novice 15M - Scoring'!B39&lt;&gt;"",IF('Novice 15M - Scoring'!AE39&lt;&gt;"",'Novice 15M - Scoring'!AE39,""),"")</f>
        <v/>
      </c>
      <c r="K286" s="79" t="str">
        <f>IF('Novice 15M - Scoring'!B39&lt;&gt;"",IF('Novice 15M - Scoring'!AF39&lt;&gt;"",'Novice 15M - Scoring'!AF39,""),"")</f>
        <v/>
      </c>
      <c r="L286" s="80" t="str">
        <f>IF('Novice 15M - Scoring'!B39&lt;&gt;"",'Novice 15M - Scoring'!AT39,"")</f>
        <v/>
      </c>
      <c r="M286" s="81" t="str">
        <f>IF(L282&lt;&gt;"",IFERROR(IF(ISNUMBER(L282),L282,0),0)+IFERROR(IF(ISNUMBER(L283),L283,0),0)+IFERROR(IF(ISNUMBER(L284),L284,0),0)+IFERROR(IF(ISNUMBER(L285),L285,0),0)+IFERROR(IF(ISNUMBER(L286),L286,0),0),"")</f>
        <v/>
      </c>
    </row>
    <row r="287" spans="1:13" ht="19.5" customHeight="1" x14ac:dyDescent="0.35">
      <c r="A287" s="78" t="s">
        <v>229</v>
      </c>
      <c r="B287" s="79" t="str">
        <f>IF('Novice 15M - Scoring'!B38&lt;&gt;"",IF('Novice 15M - Scoring'!AJ38&lt;&gt;"",'Novice 15M - Scoring'!AJ38,""),"")</f>
        <v/>
      </c>
      <c r="C287" s="79" t="str">
        <f>IF('Novice 15M - Scoring'!B38&lt;&gt;"",IF('Novice 15M - Scoring'!AK38&lt;&gt;"",'Novice 15M - Scoring'!AK38,""),"")</f>
        <v/>
      </c>
      <c r="D287" s="79" t="str">
        <f>IF('Novice 15M - Scoring'!B38&lt;&gt;"",IF('Novice 15M - Scoring'!AL38&lt;&gt;"",'Novice 15M - Scoring'!AL38,""),"")</f>
        <v/>
      </c>
      <c r="E287" s="80" t="str">
        <f>IF('Novice 15M - Scoring'!B38&lt;&gt;"",'Novice 15M - Scoring'!AU38,"")</f>
        <v/>
      </c>
      <c r="F287" s="81" t="str">
        <f>IF(E282&lt;&gt;"",IFERROR(IF(ISNUMBER(E282),E282,0),0)+IFERROR(IF(ISNUMBER(E283),E283,0),0)+IFERROR(IF(ISNUMBER(E284),E284,0),0)+IFERROR(IF(ISNUMBER(E285),E285,0),0)+IFERROR(IF(ISNUMBER(E286),E286,0),0)+IFERROR(IF(ISNUMBER(E287),E287,0),0),"")</f>
        <v/>
      </c>
      <c r="H287" s="78" t="s">
        <v>229</v>
      </c>
      <c r="I287" s="79" t="str">
        <f>IF('Novice 15M - Scoring'!B39&lt;&gt;"",IF('Novice 15M - Scoring'!AJ39&lt;&gt;"",'Novice 15M - Scoring'!AJ39,""),"")</f>
        <v/>
      </c>
      <c r="J287" s="79" t="str">
        <f>IF('Novice 15M - Scoring'!B39&lt;&gt;"",IF('Novice 15M - Scoring'!AK39&lt;&gt;"",'Novice 15M - Scoring'!AK39,""),"")</f>
        <v/>
      </c>
      <c r="K287" s="79" t="str">
        <f>IF('Novice 15M - Scoring'!B39&lt;&gt;"",IF('Novice 15M - Scoring'!AL39&lt;&gt;"",'Novice 15M - Scoring'!AL39,""),"")</f>
        <v/>
      </c>
      <c r="L287" s="80" t="str">
        <f>IF('Novice 15M - Scoring'!B39&lt;&gt;"",'Novice 15M - Scoring'!AU39,"")</f>
        <v/>
      </c>
      <c r="M287" s="81" t="str">
        <f>IF(L282&lt;&gt;"",IFERROR(IF(ISNUMBER(L282),L282,0),0)+IFERROR(IF(ISNUMBER(L283),L283,0),0)+IFERROR(IF(ISNUMBER(L284),L284,0),0)+IFERROR(IF(ISNUMBER(L285),L285,0),0)+IFERROR(IF(ISNUMBER(L286),L286,0),0)+IFERROR(IF(ISNUMBER(L287),L287,0),0),"")</f>
        <v/>
      </c>
    </row>
    <row r="288" spans="1:13" ht="3.75" customHeight="1" x14ac:dyDescent="0.35"/>
    <row r="289" spans="1:13" ht="24" customHeight="1" x14ac:dyDescent="0.35">
      <c r="A289" s="124" t="s">
        <v>230</v>
      </c>
      <c r="B289" s="124"/>
      <c r="C289" s="124"/>
      <c r="D289" s="124"/>
      <c r="E289" s="125" t="str">
        <f>IF('Novice 15M - Scoring'!B38&lt;&gt;"",'Novice 15M - Scoring'!AV38,"")</f>
        <v/>
      </c>
      <c r="F289" s="125"/>
      <c r="H289" s="124" t="s">
        <v>230</v>
      </c>
      <c r="I289" s="124"/>
      <c r="J289" s="124"/>
      <c r="K289" s="124"/>
      <c r="L289" s="125" t="str">
        <f>IF('Novice 15M - Scoring'!B39&lt;&gt;"",'Novice 15M - Scoring'!AV39,"")</f>
        <v/>
      </c>
      <c r="M289" s="125"/>
    </row>
    <row r="290" spans="1:13" ht="19.5" customHeight="1" x14ac:dyDescent="0.35">
      <c r="E290" s="125"/>
      <c r="F290" s="125"/>
      <c r="L290" s="125"/>
      <c r="M290" s="125"/>
    </row>
    <row r="291" spans="1:13" ht="3.75" customHeight="1" x14ac:dyDescent="0.35"/>
    <row r="292" spans="1:13" ht="18" customHeight="1" x14ac:dyDescent="0.35">
      <c r="A292" s="73" t="s">
        <v>126</v>
      </c>
      <c r="B292" s="82" t="str">
        <f>IF('Novice 15M - Scoring'!B38&lt;&gt;"",'Novice 15M - Scoring'!AW38,"")</f>
        <v/>
      </c>
      <c r="C292" s="73" t="s">
        <v>127</v>
      </c>
      <c r="D292" s="83" t="str">
        <f>IF('Novice 15M - Scoring'!B38&lt;&gt;"",'Novice 15M - Scoring'!AX38,"")</f>
        <v/>
      </c>
      <c r="E292" s="73" t="s">
        <v>128</v>
      </c>
      <c r="F292" s="83" t="str">
        <f>IF('Novice 15M - Scoring'!B38&lt;&gt;"",'Novice 15M - Scoring'!AY38,"")</f>
        <v/>
      </c>
      <c r="H292" s="73" t="s">
        <v>126</v>
      </c>
      <c r="I292" s="82" t="str">
        <f>IF('Novice 15M - Scoring'!B39&lt;&gt;"",'Novice 15M - Scoring'!AW39,"")</f>
        <v/>
      </c>
      <c r="J292" s="73" t="s">
        <v>127</v>
      </c>
      <c r="K292" s="83" t="str">
        <f>IF('Novice 15M - Scoring'!B39&lt;&gt;"",'Novice 15M - Scoring'!AX39,"")</f>
        <v/>
      </c>
      <c r="L292" s="73" t="s">
        <v>128</v>
      </c>
      <c r="M292" s="83" t="str">
        <f>IF('Novice 15M - Scoring'!B39&lt;&gt;"",'Novice 15M - Scoring'!AY39,"")</f>
        <v/>
      </c>
    </row>
    <row r="293" spans="1:13" ht="3.75" customHeight="1" x14ac:dyDescent="0.35"/>
    <row r="294" spans="1:13" ht="7.5" customHeight="1" x14ac:dyDescent="0.35">
      <c r="A294" s="126"/>
      <c r="B294" s="126"/>
      <c r="C294" s="126"/>
      <c r="D294" s="126"/>
      <c r="E294" s="126"/>
      <c r="F294" s="126"/>
      <c r="G294" s="126"/>
      <c r="H294" s="126"/>
      <c r="I294" s="126"/>
      <c r="J294" s="126"/>
      <c r="K294" s="126"/>
      <c r="L294" s="126"/>
      <c r="M294" s="126"/>
    </row>
    <row r="295" spans="1:13" ht="15.75" customHeight="1" x14ac:dyDescent="0.35">
      <c r="A295" s="73" t="s">
        <v>218</v>
      </c>
      <c r="B295" s="122" t="str">
        <f>IF('Novice 15M - Scoring'!B40&lt;&gt;"",'Novice 15M - Scoring'!B40,"")</f>
        <v/>
      </c>
      <c r="C295" s="122"/>
      <c r="D295" s="122"/>
      <c r="E295" s="73" t="s">
        <v>219</v>
      </c>
      <c r="F295" s="74" t="str">
        <f>IF('Novice 15M - Scoring'!B40&lt;&gt;"",'Novice 15M - Scoring'!BB40,"")</f>
        <v/>
      </c>
      <c r="H295" s="73" t="s">
        <v>218</v>
      </c>
      <c r="I295" s="122" t="str">
        <f>IF('Novice 15M - Scoring'!B41&lt;&gt;"",'Novice 15M - Scoring'!B41,"")</f>
        <v/>
      </c>
      <c r="J295" s="122"/>
      <c r="K295" s="122"/>
      <c r="L295" s="73" t="s">
        <v>219</v>
      </c>
      <c r="M295" s="74" t="str">
        <f>IF('Novice 15M - Scoring'!B41&lt;&gt;"",'Novice 15M - Scoring'!BB41,"")</f>
        <v/>
      </c>
    </row>
    <row r="296" spans="1:13" ht="15.75" customHeight="1" x14ac:dyDescent="0.35">
      <c r="A296" s="73" t="s">
        <v>220</v>
      </c>
      <c r="B296" s="123" t="str">
        <f>IF('Novice 15M - Scoring'!B40&lt;&gt;"",'Novice 15M - Scoring'!D40,"")</f>
        <v/>
      </c>
      <c r="C296" s="123"/>
      <c r="D296" s="123"/>
      <c r="E296" s="73" t="s">
        <v>8</v>
      </c>
      <c r="F296" s="75" t="str">
        <f>IF('Novice 15M - Scoring'!B40&lt;&gt;"",'Novice 15M - Scoring'!E40,"")</f>
        <v/>
      </c>
      <c r="H296" s="73" t="s">
        <v>220</v>
      </c>
      <c r="I296" s="123" t="str">
        <f>IF('Novice 15M - Scoring'!B41&lt;&gt;"",'Novice 15M - Scoring'!D41,"")</f>
        <v/>
      </c>
      <c r="J296" s="123"/>
      <c r="K296" s="123"/>
      <c r="L296" s="73" t="s">
        <v>8</v>
      </c>
      <c r="M296" s="75" t="str">
        <f>IF('Novice 15M - Scoring'!B41&lt;&gt;"",'Novice 15M - Scoring'!E41,"")</f>
        <v/>
      </c>
    </row>
    <row r="297" spans="1:13" ht="3.75" customHeight="1" x14ac:dyDescent="0.35"/>
    <row r="298" spans="1:13" ht="25.5" customHeight="1" x14ac:dyDescent="0.35">
      <c r="A298" s="76" t="s">
        <v>221</v>
      </c>
      <c r="B298" s="77" t="s">
        <v>222</v>
      </c>
      <c r="C298" s="77" t="s">
        <v>223</v>
      </c>
      <c r="D298" s="77" t="s">
        <v>224</v>
      </c>
      <c r="E298" s="76" t="s">
        <v>225</v>
      </c>
      <c r="F298" s="76" t="s">
        <v>226</v>
      </c>
      <c r="H298" s="76" t="s">
        <v>221</v>
      </c>
      <c r="I298" s="77" t="s">
        <v>222</v>
      </c>
      <c r="J298" s="77" t="s">
        <v>223</v>
      </c>
      <c r="K298" s="77" t="s">
        <v>224</v>
      </c>
      <c r="L298" s="76" t="s">
        <v>225</v>
      </c>
      <c r="M298" s="76" t="s">
        <v>226</v>
      </c>
    </row>
    <row r="299" spans="1:13" ht="19.5" customHeight="1" x14ac:dyDescent="0.35">
      <c r="A299" s="78" t="s">
        <v>222</v>
      </c>
      <c r="B299" s="79" t="str">
        <f>IF('Novice 15M - Scoring'!B40&lt;&gt;"",IF('Novice 15M - Scoring'!F40&lt;&gt;"",'Novice 15M - Scoring'!F40,""),"")</f>
        <v/>
      </c>
      <c r="C299" s="79" t="str">
        <f>IF('Novice 15M - Scoring'!B40&lt;&gt;"",IF('Novice 15M - Scoring'!G40&lt;&gt;"",'Novice 15M - Scoring'!G40,""),"")</f>
        <v/>
      </c>
      <c r="D299" s="79" t="str">
        <f>IF('Novice 15M - Scoring'!B40&lt;&gt;"",IF('Novice 15M - Scoring'!H40&lt;&gt;"",'Novice 15M - Scoring'!H40,""),"")</f>
        <v/>
      </c>
      <c r="E299" s="80" t="str">
        <f>IF('Novice 15M - Scoring'!B40&lt;&gt;"",'Novice 15M - Scoring'!AP40,"")</f>
        <v/>
      </c>
      <c r="F299" s="81" t="str">
        <f>IFERROR(IF(ISNUMBER(E299),E299,""),"")</f>
        <v/>
      </c>
      <c r="H299" s="78" t="s">
        <v>222</v>
      </c>
      <c r="I299" s="79" t="str">
        <f>IF('Novice 15M - Scoring'!B41&lt;&gt;"",IF('Novice 15M - Scoring'!F41&lt;&gt;"",'Novice 15M - Scoring'!F41,""),"")</f>
        <v/>
      </c>
      <c r="J299" s="79" t="str">
        <f>IF('Novice 15M - Scoring'!B41&lt;&gt;"",IF('Novice 15M - Scoring'!G41&lt;&gt;"",'Novice 15M - Scoring'!G41,""),"")</f>
        <v/>
      </c>
      <c r="K299" s="79" t="str">
        <f>IF('Novice 15M - Scoring'!B41&lt;&gt;"",IF('Novice 15M - Scoring'!H41&lt;&gt;"",'Novice 15M - Scoring'!H41,""),"")</f>
        <v/>
      </c>
      <c r="L299" s="80" t="str">
        <f>IF('Novice 15M - Scoring'!B41&lt;&gt;"",'Novice 15M - Scoring'!AP41,"")</f>
        <v/>
      </c>
      <c r="M299" s="81" t="str">
        <f>IFERROR(IF(ISNUMBER(L299),L299,""),"")</f>
        <v/>
      </c>
    </row>
    <row r="300" spans="1:13" ht="19.5" customHeight="1" x14ac:dyDescent="0.35">
      <c r="A300" s="78" t="s">
        <v>223</v>
      </c>
      <c r="B300" s="79" t="str">
        <f>IF('Novice 15M - Scoring'!B40&lt;&gt;"",IF('Novice 15M - Scoring'!L40&lt;&gt;"",'Novice 15M - Scoring'!L40,""),"")</f>
        <v/>
      </c>
      <c r="C300" s="79" t="str">
        <f>IF('Novice 15M - Scoring'!B40&lt;&gt;"",IF('Novice 15M - Scoring'!M40&lt;&gt;"",'Novice 15M - Scoring'!M40,""),"")</f>
        <v/>
      </c>
      <c r="D300" s="79" t="str">
        <f>IF('Novice 15M - Scoring'!B40&lt;&gt;"",IF('Novice 15M - Scoring'!N40&lt;&gt;"",'Novice 15M - Scoring'!N40,""),"")</f>
        <v/>
      </c>
      <c r="E300" s="80" t="str">
        <f>IF('Novice 15M - Scoring'!B40&lt;&gt;"",'Novice 15M - Scoring'!AQ40,"")</f>
        <v/>
      </c>
      <c r="F300" s="81" t="str">
        <f>IF(E299&lt;&gt;"",IFERROR(IF(ISNUMBER(E299),E299,0),0)+IFERROR(IF(ISNUMBER(E300),E300,0),0),"")</f>
        <v/>
      </c>
      <c r="H300" s="78" t="s">
        <v>223</v>
      </c>
      <c r="I300" s="79" t="str">
        <f>IF('Novice 15M - Scoring'!B41&lt;&gt;"",IF('Novice 15M - Scoring'!L41&lt;&gt;"",'Novice 15M - Scoring'!L41,""),"")</f>
        <v/>
      </c>
      <c r="J300" s="79" t="str">
        <f>IF('Novice 15M - Scoring'!B41&lt;&gt;"",IF('Novice 15M - Scoring'!M41&lt;&gt;"",'Novice 15M - Scoring'!M41,""),"")</f>
        <v/>
      </c>
      <c r="K300" s="79" t="str">
        <f>IF('Novice 15M - Scoring'!B41&lt;&gt;"",IF('Novice 15M - Scoring'!N41&lt;&gt;"",'Novice 15M - Scoring'!N41,""),"")</f>
        <v/>
      </c>
      <c r="L300" s="80" t="str">
        <f>IF('Novice 15M - Scoring'!B41&lt;&gt;"",'Novice 15M - Scoring'!AQ41,"")</f>
        <v/>
      </c>
      <c r="M300" s="81" t="str">
        <f>IF(L299&lt;&gt;"",IFERROR(IF(ISNUMBER(L299),L299,0),0)+IFERROR(IF(ISNUMBER(L300),L300,0),0),"")</f>
        <v/>
      </c>
    </row>
    <row r="301" spans="1:13" ht="19.5" customHeight="1" x14ac:dyDescent="0.35">
      <c r="A301" s="78" t="s">
        <v>224</v>
      </c>
      <c r="B301" s="79" t="str">
        <f>IF('Novice 15M - Scoring'!B40&lt;&gt;"",IF('Novice 15M - Scoring'!R40&lt;&gt;"",'Novice 15M - Scoring'!R40,""),"")</f>
        <v/>
      </c>
      <c r="C301" s="79" t="str">
        <f>IF('Novice 15M - Scoring'!B40&lt;&gt;"",IF('Novice 15M - Scoring'!S40&lt;&gt;"",'Novice 15M - Scoring'!S40,""),"")</f>
        <v/>
      </c>
      <c r="D301" s="79" t="str">
        <f>IF('Novice 15M - Scoring'!B40&lt;&gt;"",IF('Novice 15M - Scoring'!T40&lt;&gt;"",'Novice 15M - Scoring'!T40,""),"")</f>
        <v/>
      </c>
      <c r="E301" s="80" t="str">
        <f>IF('Novice 15M - Scoring'!B40&lt;&gt;"",'Novice 15M - Scoring'!AR40,"")</f>
        <v/>
      </c>
      <c r="F301" s="81" t="str">
        <f>IF(E299&lt;&gt;"",IFERROR(IF(ISNUMBER(E299),E299,0),0)+IFERROR(IF(ISNUMBER(E300),E300,0),0)+IFERROR(IF(ISNUMBER(E301),E301,0),0),"")</f>
        <v/>
      </c>
      <c r="H301" s="78" t="s">
        <v>224</v>
      </c>
      <c r="I301" s="79" t="str">
        <f>IF('Novice 15M - Scoring'!B41&lt;&gt;"",IF('Novice 15M - Scoring'!R41&lt;&gt;"",'Novice 15M - Scoring'!R41,""),"")</f>
        <v/>
      </c>
      <c r="J301" s="79" t="str">
        <f>IF('Novice 15M - Scoring'!B41&lt;&gt;"",IF('Novice 15M - Scoring'!S41&lt;&gt;"",'Novice 15M - Scoring'!S41,""),"")</f>
        <v/>
      </c>
      <c r="K301" s="79" t="str">
        <f>IF('Novice 15M - Scoring'!B41&lt;&gt;"",IF('Novice 15M - Scoring'!T41&lt;&gt;"",'Novice 15M - Scoring'!T41,""),"")</f>
        <v/>
      </c>
      <c r="L301" s="80" t="str">
        <f>IF('Novice 15M - Scoring'!B41&lt;&gt;"",'Novice 15M - Scoring'!AR41,"")</f>
        <v/>
      </c>
      <c r="M301" s="81" t="str">
        <f>IF(L299&lt;&gt;"",IFERROR(IF(ISNUMBER(L299),L299,0),0)+IFERROR(IF(ISNUMBER(L300),L300,0),0)+IFERROR(IF(ISNUMBER(L301),L301,0),0),"")</f>
        <v/>
      </c>
    </row>
    <row r="302" spans="1:13" ht="19.5" customHeight="1" x14ac:dyDescent="0.35">
      <c r="A302" s="78" t="s">
        <v>227</v>
      </c>
      <c r="B302" s="79" t="str">
        <f>IF('Novice 15M - Scoring'!B40&lt;&gt;"",IF('Novice 15M - Scoring'!X40&lt;&gt;"",'Novice 15M - Scoring'!X40,""),"")</f>
        <v/>
      </c>
      <c r="C302" s="79" t="str">
        <f>IF('Novice 15M - Scoring'!B40&lt;&gt;"",IF('Novice 15M - Scoring'!Y40&lt;&gt;"",'Novice 15M - Scoring'!Y40,""),"")</f>
        <v/>
      </c>
      <c r="D302" s="79" t="str">
        <f>IF('Novice 15M - Scoring'!B40&lt;&gt;"",IF('Novice 15M - Scoring'!Z40&lt;&gt;"",'Novice 15M - Scoring'!Z40,""),"")</f>
        <v/>
      </c>
      <c r="E302" s="80" t="str">
        <f>IF('Novice 15M - Scoring'!B40&lt;&gt;"",'Novice 15M - Scoring'!AS40,"")</f>
        <v/>
      </c>
      <c r="F302" s="81" t="str">
        <f>IF(E299&lt;&gt;"",IFERROR(IF(ISNUMBER(E299),E299,0),0)+IFERROR(IF(ISNUMBER(E300),E300,0),0)+IFERROR(IF(ISNUMBER(E301),E301,0),0)+IFERROR(IF(ISNUMBER(E302),E302,0),0),"")</f>
        <v/>
      </c>
      <c r="H302" s="78" t="s">
        <v>227</v>
      </c>
      <c r="I302" s="79" t="str">
        <f>IF('Novice 15M - Scoring'!B41&lt;&gt;"",IF('Novice 15M - Scoring'!X41&lt;&gt;"",'Novice 15M - Scoring'!X41,""),"")</f>
        <v/>
      </c>
      <c r="J302" s="79" t="str">
        <f>IF('Novice 15M - Scoring'!B41&lt;&gt;"",IF('Novice 15M - Scoring'!Y41&lt;&gt;"",'Novice 15M - Scoring'!Y41,""),"")</f>
        <v/>
      </c>
      <c r="K302" s="79" t="str">
        <f>IF('Novice 15M - Scoring'!B41&lt;&gt;"",IF('Novice 15M - Scoring'!Z41&lt;&gt;"",'Novice 15M - Scoring'!Z41,""),"")</f>
        <v/>
      </c>
      <c r="L302" s="80" t="str">
        <f>IF('Novice 15M - Scoring'!B41&lt;&gt;"",'Novice 15M - Scoring'!AS41,"")</f>
        <v/>
      </c>
      <c r="M302" s="81" t="str">
        <f>IF(L299&lt;&gt;"",IFERROR(IF(ISNUMBER(L299),L299,0),0)+IFERROR(IF(ISNUMBER(L300),L300,0),0)+IFERROR(IF(ISNUMBER(L301),L301,0),0)+IFERROR(IF(ISNUMBER(L302),L302,0),0),"")</f>
        <v/>
      </c>
    </row>
    <row r="303" spans="1:13" ht="19.5" customHeight="1" x14ac:dyDescent="0.35">
      <c r="A303" s="78" t="s">
        <v>228</v>
      </c>
      <c r="B303" s="79" t="str">
        <f>IF('Novice 15M - Scoring'!B40&lt;&gt;"",IF('Novice 15M - Scoring'!AD40&lt;&gt;"",'Novice 15M - Scoring'!AD40,""),"")</f>
        <v/>
      </c>
      <c r="C303" s="79" t="str">
        <f>IF('Novice 15M - Scoring'!B40&lt;&gt;"",IF('Novice 15M - Scoring'!AE40&lt;&gt;"",'Novice 15M - Scoring'!AE40,""),"")</f>
        <v/>
      </c>
      <c r="D303" s="79" t="str">
        <f>IF('Novice 15M - Scoring'!B40&lt;&gt;"",IF('Novice 15M - Scoring'!AF40&lt;&gt;"",'Novice 15M - Scoring'!AF40,""),"")</f>
        <v/>
      </c>
      <c r="E303" s="80" t="str">
        <f>IF('Novice 15M - Scoring'!B40&lt;&gt;"",'Novice 15M - Scoring'!AT40,"")</f>
        <v/>
      </c>
      <c r="F303" s="81" t="str">
        <f>IF(E299&lt;&gt;"",IFERROR(IF(ISNUMBER(E299),E299,0),0)+IFERROR(IF(ISNUMBER(E300),E300,0),0)+IFERROR(IF(ISNUMBER(E301),E301,0),0)+IFERROR(IF(ISNUMBER(E302),E302,0),0)+IFERROR(IF(ISNUMBER(E303),E303,0),0),"")</f>
        <v/>
      </c>
      <c r="H303" s="78" t="s">
        <v>228</v>
      </c>
      <c r="I303" s="79" t="str">
        <f>IF('Novice 15M - Scoring'!B41&lt;&gt;"",IF('Novice 15M - Scoring'!AD41&lt;&gt;"",'Novice 15M - Scoring'!AD41,""),"")</f>
        <v/>
      </c>
      <c r="J303" s="79" t="str">
        <f>IF('Novice 15M - Scoring'!B41&lt;&gt;"",IF('Novice 15M - Scoring'!AE41&lt;&gt;"",'Novice 15M - Scoring'!AE41,""),"")</f>
        <v/>
      </c>
      <c r="K303" s="79" t="str">
        <f>IF('Novice 15M - Scoring'!B41&lt;&gt;"",IF('Novice 15M - Scoring'!AF41&lt;&gt;"",'Novice 15M - Scoring'!AF41,""),"")</f>
        <v/>
      </c>
      <c r="L303" s="80" t="str">
        <f>IF('Novice 15M - Scoring'!B41&lt;&gt;"",'Novice 15M - Scoring'!AT41,"")</f>
        <v/>
      </c>
      <c r="M303" s="81" t="str">
        <f>IF(L299&lt;&gt;"",IFERROR(IF(ISNUMBER(L299),L299,0),0)+IFERROR(IF(ISNUMBER(L300),L300,0),0)+IFERROR(IF(ISNUMBER(L301),L301,0),0)+IFERROR(IF(ISNUMBER(L302),L302,0),0)+IFERROR(IF(ISNUMBER(L303),L303,0),0),"")</f>
        <v/>
      </c>
    </row>
    <row r="304" spans="1:13" ht="19.5" customHeight="1" x14ac:dyDescent="0.35">
      <c r="A304" s="78" t="s">
        <v>229</v>
      </c>
      <c r="B304" s="79" t="str">
        <f>IF('Novice 15M - Scoring'!B40&lt;&gt;"",IF('Novice 15M - Scoring'!AJ40&lt;&gt;"",'Novice 15M - Scoring'!AJ40,""),"")</f>
        <v/>
      </c>
      <c r="C304" s="79" t="str">
        <f>IF('Novice 15M - Scoring'!B40&lt;&gt;"",IF('Novice 15M - Scoring'!AK40&lt;&gt;"",'Novice 15M - Scoring'!AK40,""),"")</f>
        <v/>
      </c>
      <c r="D304" s="79" t="str">
        <f>IF('Novice 15M - Scoring'!B40&lt;&gt;"",IF('Novice 15M - Scoring'!AL40&lt;&gt;"",'Novice 15M - Scoring'!AL40,""),"")</f>
        <v/>
      </c>
      <c r="E304" s="80" t="str">
        <f>IF('Novice 15M - Scoring'!B40&lt;&gt;"",'Novice 15M - Scoring'!AU40,"")</f>
        <v/>
      </c>
      <c r="F304" s="81" t="str">
        <f>IF(E299&lt;&gt;"",IFERROR(IF(ISNUMBER(E299),E299,0),0)+IFERROR(IF(ISNUMBER(E300),E300,0),0)+IFERROR(IF(ISNUMBER(E301),E301,0),0)+IFERROR(IF(ISNUMBER(E302),E302,0),0)+IFERROR(IF(ISNUMBER(E303),E303,0),0)+IFERROR(IF(ISNUMBER(E304),E304,0),0),"")</f>
        <v/>
      </c>
      <c r="H304" s="78" t="s">
        <v>229</v>
      </c>
      <c r="I304" s="79" t="str">
        <f>IF('Novice 15M - Scoring'!B41&lt;&gt;"",IF('Novice 15M - Scoring'!AJ41&lt;&gt;"",'Novice 15M - Scoring'!AJ41,""),"")</f>
        <v/>
      </c>
      <c r="J304" s="79" t="str">
        <f>IF('Novice 15M - Scoring'!B41&lt;&gt;"",IF('Novice 15M - Scoring'!AK41&lt;&gt;"",'Novice 15M - Scoring'!AK41,""),"")</f>
        <v/>
      </c>
      <c r="K304" s="79" t="str">
        <f>IF('Novice 15M - Scoring'!B41&lt;&gt;"",IF('Novice 15M - Scoring'!AL41&lt;&gt;"",'Novice 15M - Scoring'!AL41,""),"")</f>
        <v/>
      </c>
      <c r="L304" s="80" t="str">
        <f>IF('Novice 15M - Scoring'!B41&lt;&gt;"",'Novice 15M - Scoring'!AU41,"")</f>
        <v/>
      </c>
      <c r="M304" s="81" t="str">
        <f>IF(L299&lt;&gt;"",IFERROR(IF(ISNUMBER(L299),L299,0),0)+IFERROR(IF(ISNUMBER(L300),L300,0),0)+IFERROR(IF(ISNUMBER(L301),L301,0),0)+IFERROR(IF(ISNUMBER(L302),L302,0),0)+IFERROR(IF(ISNUMBER(L303),L303,0),0)+IFERROR(IF(ISNUMBER(L304),L304,0),0),"")</f>
        <v/>
      </c>
    </row>
    <row r="305" spans="1:13" ht="3.75" customHeight="1" x14ac:dyDescent="0.35"/>
    <row r="306" spans="1:13" ht="24" customHeight="1" x14ac:dyDescent="0.35">
      <c r="A306" s="124" t="s">
        <v>230</v>
      </c>
      <c r="B306" s="124"/>
      <c r="C306" s="124"/>
      <c r="D306" s="124"/>
      <c r="E306" s="125" t="str">
        <f>IF('Novice 15M - Scoring'!B40&lt;&gt;"",'Novice 15M - Scoring'!AV40,"")</f>
        <v/>
      </c>
      <c r="F306" s="125"/>
      <c r="H306" s="124" t="s">
        <v>230</v>
      </c>
      <c r="I306" s="124"/>
      <c r="J306" s="124"/>
      <c r="K306" s="124"/>
      <c r="L306" s="125" t="str">
        <f>IF('Novice 15M - Scoring'!B41&lt;&gt;"",'Novice 15M - Scoring'!AV41,"")</f>
        <v/>
      </c>
      <c r="M306" s="125"/>
    </row>
    <row r="307" spans="1:13" ht="19.5" customHeight="1" x14ac:dyDescent="0.35">
      <c r="E307" s="125"/>
      <c r="F307" s="125"/>
      <c r="L307" s="125"/>
      <c r="M307" s="125"/>
    </row>
    <row r="308" spans="1:13" ht="3.75" customHeight="1" x14ac:dyDescent="0.35"/>
    <row r="309" spans="1:13" ht="18" customHeight="1" x14ac:dyDescent="0.35">
      <c r="A309" s="73" t="s">
        <v>126</v>
      </c>
      <c r="B309" s="82" t="str">
        <f>IF('Novice 15M - Scoring'!B40&lt;&gt;"",'Novice 15M - Scoring'!AW40,"")</f>
        <v/>
      </c>
      <c r="C309" s="73" t="s">
        <v>127</v>
      </c>
      <c r="D309" s="83" t="str">
        <f>IF('Novice 15M - Scoring'!B40&lt;&gt;"",'Novice 15M - Scoring'!AX40,"")</f>
        <v/>
      </c>
      <c r="E309" s="73" t="s">
        <v>128</v>
      </c>
      <c r="F309" s="83" t="str">
        <f>IF('Novice 15M - Scoring'!B40&lt;&gt;"",'Novice 15M - Scoring'!AY40,"")</f>
        <v/>
      </c>
      <c r="H309" s="73" t="s">
        <v>126</v>
      </c>
      <c r="I309" s="82" t="str">
        <f>IF('Novice 15M - Scoring'!B41&lt;&gt;"",'Novice 15M - Scoring'!AW41,"")</f>
        <v/>
      </c>
      <c r="J309" s="73" t="s">
        <v>127</v>
      </c>
      <c r="K309" s="83" t="str">
        <f>IF('Novice 15M - Scoring'!B41&lt;&gt;"",'Novice 15M - Scoring'!AX41,"")</f>
        <v/>
      </c>
      <c r="L309" s="73" t="s">
        <v>128</v>
      </c>
      <c r="M309" s="83" t="str">
        <f>IF('Novice 15M - Scoring'!B41&lt;&gt;"",'Novice 15M - Scoring'!AY41,"")</f>
        <v/>
      </c>
    </row>
    <row r="310" spans="1:13" ht="3.75" customHeight="1" x14ac:dyDescent="0.35"/>
    <row r="311" spans="1:13" ht="7.5" customHeight="1" x14ac:dyDescent="0.35">
      <c r="A311" s="126"/>
      <c r="B311" s="126"/>
      <c r="C311" s="126"/>
      <c r="D311" s="126"/>
      <c r="E311" s="126"/>
      <c r="F311" s="126"/>
      <c r="G311" s="126"/>
      <c r="H311" s="126"/>
      <c r="I311" s="126"/>
      <c r="J311" s="126"/>
      <c r="K311" s="126"/>
      <c r="L311" s="126"/>
      <c r="M311" s="126"/>
    </row>
    <row r="312" spans="1:13" ht="15.75" customHeight="1" x14ac:dyDescent="0.35">
      <c r="A312" s="73" t="s">
        <v>218</v>
      </c>
      <c r="B312" s="122" t="str">
        <f>IF('Novice 15M - Scoring'!B42&lt;&gt;"",'Novice 15M - Scoring'!B42,"")</f>
        <v/>
      </c>
      <c r="C312" s="122"/>
      <c r="D312" s="122"/>
      <c r="E312" s="73" t="s">
        <v>219</v>
      </c>
      <c r="F312" s="74" t="str">
        <f>IF('Novice 15M - Scoring'!B42&lt;&gt;"",'Novice 15M - Scoring'!BB42,"")</f>
        <v/>
      </c>
      <c r="H312" s="73" t="s">
        <v>218</v>
      </c>
      <c r="I312" s="122" t="str">
        <f>IF('Novice 15M - Scoring'!B43&lt;&gt;"",'Novice 15M - Scoring'!B43,"")</f>
        <v/>
      </c>
      <c r="J312" s="122"/>
      <c r="K312" s="122"/>
      <c r="L312" s="73" t="s">
        <v>219</v>
      </c>
      <c r="M312" s="74" t="str">
        <f>IF('Novice 15M - Scoring'!B43&lt;&gt;"",'Novice 15M - Scoring'!BB43,"")</f>
        <v/>
      </c>
    </row>
    <row r="313" spans="1:13" ht="15.75" customHeight="1" x14ac:dyDescent="0.35">
      <c r="A313" s="73" t="s">
        <v>220</v>
      </c>
      <c r="B313" s="123" t="str">
        <f>IF('Novice 15M - Scoring'!B42&lt;&gt;"",'Novice 15M - Scoring'!D42,"")</f>
        <v/>
      </c>
      <c r="C313" s="123"/>
      <c r="D313" s="123"/>
      <c r="E313" s="73" t="s">
        <v>8</v>
      </c>
      <c r="F313" s="75" t="str">
        <f>IF('Novice 15M - Scoring'!B42&lt;&gt;"",'Novice 15M - Scoring'!E42,"")</f>
        <v/>
      </c>
      <c r="H313" s="73" t="s">
        <v>220</v>
      </c>
      <c r="I313" s="123" t="str">
        <f>IF('Novice 15M - Scoring'!B43&lt;&gt;"",'Novice 15M - Scoring'!D43,"")</f>
        <v/>
      </c>
      <c r="J313" s="123"/>
      <c r="K313" s="123"/>
      <c r="L313" s="73" t="s">
        <v>8</v>
      </c>
      <c r="M313" s="75" t="str">
        <f>IF('Novice 15M - Scoring'!B43&lt;&gt;"",'Novice 15M - Scoring'!E43,"")</f>
        <v/>
      </c>
    </row>
    <row r="314" spans="1:13" ht="3.75" customHeight="1" x14ac:dyDescent="0.35"/>
    <row r="315" spans="1:13" ht="25.5" customHeight="1" x14ac:dyDescent="0.35">
      <c r="A315" s="76" t="s">
        <v>221</v>
      </c>
      <c r="B315" s="77" t="s">
        <v>222</v>
      </c>
      <c r="C315" s="77" t="s">
        <v>223</v>
      </c>
      <c r="D315" s="77" t="s">
        <v>224</v>
      </c>
      <c r="E315" s="76" t="s">
        <v>225</v>
      </c>
      <c r="F315" s="76" t="s">
        <v>226</v>
      </c>
      <c r="H315" s="76" t="s">
        <v>221</v>
      </c>
      <c r="I315" s="77" t="s">
        <v>222</v>
      </c>
      <c r="J315" s="77" t="s">
        <v>223</v>
      </c>
      <c r="K315" s="77" t="s">
        <v>224</v>
      </c>
      <c r="L315" s="76" t="s">
        <v>225</v>
      </c>
      <c r="M315" s="76" t="s">
        <v>226</v>
      </c>
    </row>
    <row r="316" spans="1:13" ht="19.5" customHeight="1" x14ac:dyDescent="0.35">
      <c r="A316" s="78" t="s">
        <v>222</v>
      </c>
      <c r="B316" s="79" t="str">
        <f>IF('Novice 15M - Scoring'!B42&lt;&gt;"",IF('Novice 15M - Scoring'!F42&lt;&gt;"",'Novice 15M - Scoring'!F42,""),"")</f>
        <v/>
      </c>
      <c r="C316" s="79" t="str">
        <f>IF('Novice 15M - Scoring'!B42&lt;&gt;"",IF('Novice 15M - Scoring'!G42&lt;&gt;"",'Novice 15M - Scoring'!G42,""),"")</f>
        <v/>
      </c>
      <c r="D316" s="79" t="str">
        <f>IF('Novice 15M - Scoring'!B42&lt;&gt;"",IF('Novice 15M - Scoring'!H42&lt;&gt;"",'Novice 15M - Scoring'!H42,""),"")</f>
        <v/>
      </c>
      <c r="E316" s="80" t="str">
        <f>IF('Novice 15M - Scoring'!B42&lt;&gt;"",'Novice 15M - Scoring'!AP42,"")</f>
        <v/>
      </c>
      <c r="F316" s="81" t="str">
        <f>IFERROR(IF(ISNUMBER(E316),E316,""),"")</f>
        <v/>
      </c>
      <c r="H316" s="78" t="s">
        <v>222</v>
      </c>
      <c r="I316" s="79" t="str">
        <f>IF('Novice 15M - Scoring'!B43&lt;&gt;"",IF('Novice 15M - Scoring'!F43&lt;&gt;"",'Novice 15M - Scoring'!F43,""),"")</f>
        <v/>
      </c>
      <c r="J316" s="79" t="str">
        <f>IF('Novice 15M - Scoring'!B43&lt;&gt;"",IF('Novice 15M - Scoring'!G43&lt;&gt;"",'Novice 15M - Scoring'!G43,""),"")</f>
        <v/>
      </c>
      <c r="K316" s="79" t="str">
        <f>IF('Novice 15M - Scoring'!B43&lt;&gt;"",IF('Novice 15M - Scoring'!H43&lt;&gt;"",'Novice 15M - Scoring'!H43,""),"")</f>
        <v/>
      </c>
      <c r="L316" s="80" t="str">
        <f>IF('Novice 15M - Scoring'!B43&lt;&gt;"",'Novice 15M - Scoring'!AP43,"")</f>
        <v/>
      </c>
      <c r="M316" s="81" t="str">
        <f>IFERROR(IF(ISNUMBER(L316),L316,""),"")</f>
        <v/>
      </c>
    </row>
    <row r="317" spans="1:13" ht="19.5" customHeight="1" x14ac:dyDescent="0.35">
      <c r="A317" s="78" t="s">
        <v>223</v>
      </c>
      <c r="B317" s="79" t="str">
        <f>IF('Novice 15M - Scoring'!B42&lt;&gt;"",IF('Novice 15M - Scoring'!L42&lt;&gt;"",'Novice 15M - Scoring'!L42,""),"")</f>
        <v/>
      </c>
      <c r="C317" s="79" t="str">
        <f>IF('Novice 15M - Scoring'!B42&lt;&gt;"",IF('Novice 15M - Scoring'!M42&lt;&gt;"",'Novice 15M - Scoring'!M42,""),"")</f>
        <v/>
      </c>
      <c r="D317" s="79" t="str">
        <f>IF('Novice 15M - Scoring'!B42&lt;&gt;"",IF('Novice 15M - Scoring'!N42&lt;&gt;"",'Novice 15M - Scoring'!N42,""),"")</f>
        <v/>
      </c>
      <c r="E317" s="80" t="str">
        <f>IF('Novice 15M - Scoring'!B42&lt;&gt;"",'Novice 15M - Scoring'!AQ42,"")</f>
        <v/>
      </c>
      <c r="F317" s="81" t="str">
        <f>IF(E316&lt;&gt;"",IFERROR(IF(ISNUMBER(E316),E316,0),0)+IFERROR(IF(ISNUMBER(E317),E317,0),0),"")</f>
        <v/>
      </c>
      <c r="H317" s="78" t="s">
        <v>223</v>
      </c>
      <c r="I317" s="79" t="str">
        <f>IF('Novice 15M - Scoring'!B43&lt;&gt;"",IF('Novice 15M - Scoring'!L43&lt;&gt;"",'Novice 15M - Scoring'!L43,""),"")</f>
        <v/>
      </c>
      <c r="J317" s="79" t="str">
        <f>IF('Novice 15M - Scoring'!B43&lt;&gt;"",IF('Novice 15M - Scoring'!M43&lt;&gt;"",'Novice 15M - Scoring'!M43,""),"")</f>
        <v/>
      </c>
      <c r="K317" s="79" t="str">
        <f>IF('Novice 15M - Scoring'!B43&lt;&gt;"",IF('Novice 15M - Scoring'!N43&lt;&gt;"",'Novice 15M - Scoring'!N43,""),"")</f>
        <v/>
      </c>
      <c r="L317" s="80" t="str">
        <f>IF('Novice 15M - Scoring'!B43&lt;&gt;"",'Novice 15M - Scoring'!AQ43,"")</f>
        <v/>
      </c>
      <c r="M317" s="81" t="str">
        <f>IF(L316&lt;&gt;"",IFERROR(IF(ISNUMBER(L316),L316,0),0)+IFERROR(IF(ISNUMBER(L317),L317,0),0),"")</f>
        <v/>
      </c>
    </row>
    <row r="318" spans="1:13" ht="19.5" customHeight="1" x14ac:dyDescent="0.35">
      <c r="A318" s="78" t="s">
        <v>224</v>
      </c>
      <c r="B318" s="79" t="str">
        <f>IF('Novice 15M - Scoring'!B42&lt;&gt;"",IF('Novice 15M - Scoring'!R42&lt;&gt;"",'Novice 15M - Scoring'!R42,""),"")</f>
        <v/>
      </c>
      <c r="C318" s="79" t="str">
        <f>IF('Novice 15M - Scoring'!B42&lt;&gt;"",IF('Novice 15M - Scoring'!S42&lt;&gt;"",'Novice 15M - Scoring'!S42,""),"")</f>
        <v/>
      </c>
      <c r="D318" s="79" t="str">
        <f>IF('Novice 15M - Scoring'!B42&lt;&gt;"",IF('Novice 15M - Scoring'!T42&lt;&gt;"",'Novice 15M - Scoring'!T42,""),"")</f>
        <v/>
      </c>
      <c r="E318" s="80" t="str">
        <f>IF('Novice 15M - Scoring'!B42&lt;&gt;"",'Novice 15M - Scoring'!AR42,"")</f>
        <v/>
      </c>
      <c r="F318" s="81" t="str">
        <f>IF(E316&lt;&gt;"",IFERROR(IF(ISNUMBER(E316),E316,0),0)+IFERROR(IF(ISNUMBER(E317),E317,0),0)+IFERROR(IF(ISNUMBER(E318),E318,0),0),"")</f>
        <v/>
      </c>
      <c r="H318" s="78" t="s">
        <v>224</v>
      </c>
      <c r="I318" s="79" t="str">
        <f>IF('Novice 15M - Scoring'!B43&lt;&gt;"",IF('Novice 15M - Scoring'!R43&lt;&gt;"",'Novice 15M - Scoring'!R43,""),"")</f>
        <v/>
      </c>
      <c r="J318" s="79" t="str">
        <f>IF('Novice 15M - Scoring'!B43&lt;&gt;"",IF('Novice 15M - Scoring'!S43&lt;&gt;"",'Novice 15M - Scoring'!S43,""),"")</f>
        <v/>
      </c>
      <c r="K318" s="79" t="str">
        <f>IF('Novice 15M - Scoring'!B43&lt;&gt;"",IF('Novice 15M - Scoring'!T43&lt;&gt;"",'Novice 15M - Scoring'!T43,""),"")</f>
        <v/>
      </c>
      <c r="L318" s="80" t="str">
        <f>IF('Novice 15M - Scoring'!B43&lt;&gt;"",'Novice 15M - Scoring'!AR43,"")</f>
        <v/>
      </c>
      <c r="M318" s="81" t="str">
        <f>IF(L316&lt;&gt;"",IFERROR(IF(ISNUMBER(L316),L316,0),0)+IFERROR(IF(ISNUMBER(L317),L317,0),0)+IFERROR(IF(ISNUMBER(L318),L318,0),0),"")</f>
        <v/>
      </c>
    </row>
    <row r="319" spans="1:13" ht="19.5" customHeight="1" x14ac:dyDescent="0.35">
      <c r="A319" s="78" t="s">
        <v>227</v>
      </c>
      <c r="B319" s="79" t="str">
        <f>IF('Novice 15M - Scoring'!B42&lt;&gt;"",IF('Novice 15M - Scoring'!X42&lt;&gt;"",'Novice 15M - Scoring'!X42,""),"")</f>
        <v/>
      </c>
      <c r="C319" s="79" t="str">
        <f>IF('Novice 15M - Scoring'!B42&lt;&gt;"",IF('Novice 15M - Scoring'!Y42&lt;&gt;"",'Novice 15M - Scoring'!Y42,""),"")</f>
        <v/>
      </c>
      <c r="D319" s="79" t="str">
        <f>IF('Novice 15M - Scoring'!B42&lt;&gt;"",IF('Novice 15M - Scoring'!Z42&lt;&gt;"",'Novice 15M - Scoring'!Z42,""),"")</f>
        <v/>
      </c>
      <c r="E319" s="80" t="str">
        <f>IF('Novice 15M - Scoring'!B42&lt;&gt;"",'Novice 15M - Scoring'!AS42,"")</f>
        <v/>
      </c>
      <c r="F319" s="81" t="str">
        <f>IF(E316&lt;&gt;"",IFERROR(IF(ISNUMBER(E316),E316,0),0)+IFERROR(IF(ISNUMBER(E317),E317,0),0)+IFERROR(IF(ISNUMBER(E318),E318,0),0)+IFERROR(IF(ISNUMBER(E319),E319,0),0),"")</f>
        <v/>
      </c>
      <c r="H319" s="78" t="s">
        <v>227</v>
      </c>
      <c r="I319" s="79" t="str">
        <f>IF('Novice 15M - Scoring'!B43&lt;&gt;"",IF('Novice 15M - Scoring'!X43&lt;&gt;"",'Novice 15M - Scoring'!X43,""),"")</f>
        <v/>
      </c>
      <c r="J319" s="79" t="str">
        <f>IF('Novice 15M - Scoring'!B43&lt;&gt;"",IF('Novice 15M - Scoring'!Y43&lt;&gt;"",'Novice 15M - Scoring'!Y43,""),"")</f>
        <v/>
      </c>
      <c r="K319" s="79" t="str">
        <f>IF('Novice 15M - Scoring'!B43&lt;&gt;"",IF('Novice 15M - Scoring'!Z43&lt;&gt;"",'Novice 15M - Scoring'!Z43,""),"")</f>
        <v/>
      </c>
      <c r="L319" s="80" t="str">
        <f>IF('Novice 15M - Scoring'!B43&lt;&gt;"",'Novice 15M - Scoring'!AS43,"")</f>
        <v/>
      </c>
      <c r="M319" s="81" t="str">
        <f>IF(L316&lt;&gt;"",IFERROR(IF(ISNUMBER(L316),L316,0),0)+IFERROR(IF(ISNUMBER(L317),L317,0),0)+IFERROR(IF(ISNUMBER(L318),L318,0),0)+IFERROR(IF(ISNUMBER(L319),L319,0),0),"")</f>
        <v/>
      </c>
    </row>
    <row r="320" spans="1:13" ht="19.5" customHeight="1" x14ac:dyDescent="0.35">
      <c r="A320" s="78" t="s">
        <v>228</v>
      </c>
      <c r="B320" s="79" t="str">
        <f>IF('Novice 15M - Scoring'!B42&lt;&gt;"",IF('Novice 15M - Scoring'!AD42&lt;&gt;"",'Novice 15M - Scoring'!AD42,""),"")</f>
        <v/>
      </c>
      <c r="C320" s="79" t="str">
        <f>IF('Novice 15M - Scoring'!B42&lt;&gt;"",IF('Novice 15M - Scoring'!AE42&lt;&gt;"",'Novice 15M - Scoring'!AE42,""),"")</f>
        <v/>
      </c>
      <c r="D320" s="79" t="str">
        <f>IF('Novice 15M - Scoring'!B42&lt;&gt;"",IF('Novice 15M - Scoring'!AF42&lt;&gt;"",'Novice 15M - Scoring'!AF42,""),"")</f>
        <v/>
      </c>
      <c r="E320" s="80" t="str">
        <f>IF('Novice 15M - Scoring'!B42&lt;&gt;"",'Novice 15M - Scoring'!AT42,"")</f>
        <v/>
      </c>
      <c r="F320" s="81" t="str">
        <f>IF(E316&lt;&gt;"",IFERROR(IF(ISNUMBER(E316),E316,0),0)+IFERROR(IF(ISNUMBER(E317),E317,0),0)+IFERROR(IF(ISNUMBER(E318),E318,0),0)+IFERROR(IF(ISNUMBER(E319),E319,0),0)+IFERROR(IF(ISNUMBER(E320),E320,0),0),"")</f>
        <v/>
      </c>
      <c r="H320" s="78" t="s">
        <v>228</v>
      </c>
      <c r="I320" s="79" t="str">
        <f>IF('Novice 15M - Scoring'!B43&lt;&gt;"",IF('Novice 15M - Scoring'!AD43&lt;&gt;"",'Novice 15M - Scoring'!AD43,""),"")</f>
        <v/>
      </c>
      <c r="J320" s="79" t="str">
        <f>IF('Novice 15M - Scoring'!B43&lt;&gt;"",IF('Novice 15M - Scoring'!AE43&lt;&gt;"",'Novice 15M - Scoring'!AE43,""),"")</f>
        <v/>
      </c>
      <c r="K320" s="79" t="str">
        <f>IF('Novice 15M - Scoring'!B43&lt;&gt;"",IF('Novice 15M - Scoring'!AF43&lt;&gt;"",'Novice 15M - Scoring'!AF43,""),"")</f>
        <v/>
      </c>
      <c r="L320" s="80" t="str">
        <f>IF('Novice 15M - Scoring'!B43&lt;&gt;"",'Novice 15M - Scoring'!AT43,"")</f>
        <v/>
      </c>
      <c r="M320" s="81" t="str">
        <f>IF(L316&lt;&gt;"",IFERROR(IF(ISNUMBER(L316),L316,0),0)+IFERROR(IF(ISNUMBER(L317),L317,0),0)+IFERROR(IF(ISNUMBER(L318),L318,0),0)+IFERROR(IF(ISNUMBER(L319),L319,0),0)+IFERROR(IF(ISNUMBER(L320),L320,0),0),"")</f>
        <v/>
      </c>
    </row>
    <row r="321" spans="1:13" ht="19.5" customHeight="1" x14ac:dyDescent="0.35">
      <c r="A321" s="78" t="s">
        <v>229</v>
      </c>
      <c r="B321" s="79" t="str">
        <f>IF('Novice 15M - Scoring'!B42&lt;&gt;"",IF('Novice 15M - Scoring'!AJ42&lt;&gt;"",'Novice 15M - Scoring'!AJ42,""),"")</f>
        <v/>
      </c>
      <c r="C321" s="79" t="str">
        <f>IF('Novice 15M - Scoring'!B42&lt;&gt;"",IF('Novice 15M - Scoring'!AK42&lt;&gt;"",'Novice 15M - Scoring'!AK42,""),"")</f>
        <v/>
      </c>
      <c r="D321" s="79" t="str">
        <f>IF('Novice 15M - Scoring'!B42&lt;&gt;"",IF('Novice 15M - Scoring'!AL42&lt;&gt;"",'Novice 15M - Scoring'!AL42,""),"")</f>
        <v/>
      </c>
      <c r="E321" s="80" t="str">
        <f>IF('Novice 15M - Scoring'!B42&lt;&gt;"",'Novice 15M - Scoring'!AU42,"")</f>
        <v/>
      </c>
      <c r="F321" s="81" t="str">
        <f>IF(E316&lt;&gt;"",IFERROR(IF(ISNUMBER(E316),E316,0),0)+IFERROR(IF(ISNUMBER(E317),E317,0),0)+IFERROR(IF(ISNUMBER(E318),E318,0),0)+IFERROR(IF(ISNUMBER(E319),E319,0),0)+IFERROR(IF(ISNUMBER(E320),E320,0),0)+IFERROR(IF(ISNUMBER(E321),E321,0),0),"")</f>
        <v/>
      </c>
      <c r="H321" s="78" t="s">
        <v>229</v>
      </c>
      <c r="I321" s="79" t="str">
        <f>IF('Novice 15M - Scoring'!B43&lt;&gt;"",IF('Novice 15M - Scoring'!AJ43&lt;&gt;"",'Novice 15M - Scoring'!AJ43,""),"")</f>
        <v/>
      </c>
      <c r="J321" s="79" t="str">
        <f>IF('Novice 15M - Scoring'!B43&lt;&gt;"",IF('Novice 15M - Scoring'!AK43&lt;&gt;"",'Novice 15M - Scoring'!AK43,""),"")</f>
        <v/>
      </c>
      <c r="K321" s="79" t="str">
        <f>IF('Novice 15M - Scoring'!B43&lt;&gt;"",IF('Novice 15M - Scoring'!AL43&lt;&gt;"",'Novice 15M - Scoring'!AL43,""),"")</f>
        <v/>
      </c>
      <c r="L321" s="80" t="str">
        <f>IF('Novice 15M - Scoring'!B43&lt;&gt;"",'Novice 15M - Scoring'!AU43,"")</f>
        <v/>
      </c>
      <c r="M321" s="81" t="str">
        <f>IF(L316&lt;&gt;"",IFERROR(IF(ISNUMBER(L316),L316,0),0)+IFERROR(IF(ISNUMBER(L317),L317,0),0)+IFERROR(IF(ISNUMBER(L318),L318,0),0)+IFERROR(IF(ISNUMBER(L319),L319,0),0)+IFERROR(IF(ISNUMBER(L320),L320,0),0)+IFERROR(IF(ISNUMBER(L321),L321,0),0),"")</f>
        <v/>
      </c>
    </row>
    <row r="322" spans="1:13" ht="3.75" customHeight="1" x14ac:dyDescent="0.35"/>
    <row r="323" spans="1:13" ht="24" customHeight="1" x14ac:dyDescent="0.35">
      <c r="A323" s="124" t="s">
        <v>230</v>
      </c>
      <c r="B323" s="124"/>
      <c r="C323" s="124"/>
      <c r="D323" s="124"/>
      <c r="E323" s="125" t="str">
        <f>IF('Novice 15M - Scoring'!B42&lt;&gt;"",'Novice 15M - Scoring'!AV42,"")</f>
        <v/>
      </c>
      <c r="F323" s="125"/>
      <c r="H323" s="124" t="s">
        <v>230</v>
      </c>
      <c r="I323" s="124"/>
      <c r="J323" s="124"/>
      <c r="K323" s="124"/>
      <c r="L323" s="125" t="str">
        <f>IF('Novice 15M - Scoring'!B43&lt;&gt;"",'Novice 15M - Scoring'!AV43,"")</f>
        <v/>
      </c>
      <c r="M323" s="125"/>
    </row>
    <row r="324" spans="1:13" ht="19.5" customHeight="1" x14ac:dyDescent="0.35">
      <c r="E324" s="125"/>
      <c r="F324" s="125"/>
      <c r="L324" s="125"/>
      <c r="M324" s="125"/>
    </row>
    <row r="325" spans="1:13" ht="3.75" customHeight="1" x14ac:dyDescent="0.35"/>
    <row r="326" spans="1:13" ht="18" customHeight="1" x14ac:dyDescent="0.35">
      <c r="A326" s="73" t="s">
        <v>126</v>
      </c>
      <c r="B326" s="82" t="str">
        <f>IF('Novice 15M - Scoring'!B42&lt;&gt;"",'Novice 15M - Scoring'!AW42,"")</f>
        <v/>
      </c>
      <c r="C326" s="73" t="s">
        <v>127</v>
      </c>
      <c r="D326" s="83" t="str">
        <f>IF('Novice 15M - Scoring'!B42&lt;&gt;"",'Novice 15M - Scoring'!AX42,"")</f>
        <v/>
      </c>
      <c r="E326" s="73" t="s">
        <v>128</v>
      </c>
      <c r="F326" s="83" t="str">
        <f>IF('Novice 15M - Scoring'!B42&lt;&gt;"",'Novice 15M - Scoring'!AY42,"")</f>
        <v/>
      </c>
      <c r="H326" s="73" t="s">
        <v>126</v>
      </c>
      <c r="I326" s="82" t="str">
        <f>IF('Novice 15M - Scoring'!B43&lt;&gt;"",'Novice 15M - Scoring'!AW43,"")</f>
        <v/>
      </c>
      <c r="J326" s="73" t="s">
        <v>127</v>
      </c>
      <c r="K326" s="83" t="str">
        <f>IF('Novice 15M - Scoring'!B43&lt;&gt;"",'Novice 15M - Scoring'!AX43,"")</f>
        <v/>
      </c>
      <c r="L326" s="73" t="s">
        <v>128</v>
      </c>
      <c r="M326" s="83" t="str">
        <f>IF('Novice 15M - Scoring'!B43&lt;&gt;"",'Novice 15M - Scoring'!AY43,"")</f>
        <v/>
      </c>
    </row>
    <row r="327" spans="1:13" ht="3.75" customHeight="1" x14ac:dyDescent="0.35"/>
    <row r="328" spans="1:13" ht="7.5" customHeight="1" x14ac:dyDescent="0.35">
      <c r="A328" s="126"/>
      <c r="B328" s="126"/>
      <c r="C328" s="126"/>
      <c r="D328" s="126"/>
      <c r="E328" s="126"/>
      <c r="F328" s="126"/>
      <c r="G328" s="126"/>
      <c r="H328" s="126"/>
      <c r="I328" s="126"/>
      <c r="J328" s="126"/>
      <c r="K328" s="126"/>
      <c r="L328" s="126"/>
      <c r="M328" s="126"/>
    </row>
    <row r="329" spans="1:13" ht="15.75" customHeight="1" x14ac:dyDescent="0.35">
      <c r="A329" s="73" t="s">
        <v>218</v>
      </c>
      <c r="B329" s="122" t="str">
        <f>IF('Novice 15M - Scoring'!B44&lt;&gt;"",'Novice 15M - Scoring'!B44,"")</f>
        <v/>
      </c>
      <c r="C329" s="122"/>
      <c r="D329" s="122"/>
      <c r="E329" s="73" t="s">
        <v>219</v>
      </c>
      <c r="F329" s="74" t="str">
        <f>IF('Novice 15M - Scoring'!B44&lt;&gt;"",'Novice 15M - Scoring'!BB44,"")</f>
        <v/>
      </c>
      <c r="H329" s="73" t="s">
        <v>218</v>
      </c>
      <c r="I329" s="122" t="str">
        <f>IF('Novice 15M - Scoring'!B45&lt;&gt;"",'Novice 15M - Scoring'!B45,"")</f>
        <v/>
      </c>
      <c r="J329" s="122"/>
      <c r="K329" s="122"/>
      <c r="L329" s="73" t="s">
        <v>219</v>
      </c>
      <c r="M329" s="74" t="str">
        <f>IF('Novice 15M - Scoring'!B45&lt;&gt;"",'Novice 15M - Scoring'!BB45,"")</f>
        <v/>
      </c>
    </row>
    <row r="330" spans="1:13" ht="15.75" customHeight="1" x14ac:dyDescent="0.35">
      <c r="A330" s="73" t="s">
        <v>220</v>
      </c>
      <c r="B330" s="123" t="str">
        <f>IF('Novice 15M - Scoring'!B44&lt;&gt;"",'Novice 15M - Scoring'!D44,"")</f>
        <v/>
      </c>
      <c r="C330" s="123"/>
      <c r="D330" s="123"/>
      <c r="E330" s="73" t="s">
        <v>8</v>
      </c>
      <c r="F330" s="75" t="str">
        <f>IF('Novice 15M - Scoring'!B44&lt;&gt;"",'Novice 15M - Scoring'!E44,"")</f>
        <v/>
      </c>
      <c r="H330" s="73" t="s">
        <v>220</v>
      </c>
      <c r="I330" s="123" t="str">
        <f>IF('Novice 15M - Scoring'!B45&lt;&gt;"",'Novice 15M - Scoring'!D45,"")</f>
        <v/>
      </c>
      <c r="J330" s="123"/>
      <c r="K330" s="123"/>
      <c r="L330" s="73" t="s">
        <v>8</v>
      </c>
      <c r="M330" s="75" t="str">
        <f>IF('Novice 15M - Scoring'!B45&lt;&gt;"",'Novice 15M - Scoring'!E45,"")</f>
        <v/>
      </c>
    </row>
    <row r="331" spans="1:13" ht="3.75" customHeight="1" x14ac:dyDescent="0.35"/>
    <row r="332" spans="1:13" ht="25.5" customHeight="1" x14ac:dyDescent="0.35">
      <c r="A332" s="76" t="s">
        <v>221</v>
      </c>
      <c r="B332" s="77" t="s">
        <v>222</v>
      </c>
      <c r="C332" s="77" t="s">
        <v>223</v>
      </c>
      <c r="D332" s="77" t="s">
        <v>224</v>
      </c>
      <c r="E332" s="76" t="s">
        <v>225</v>
      </c>
      <c r="F332" s="76" t="s">
        <v>226</v>
      </c>
      <c r="H332" s="76" t="s">
        <v>221</v>
      </c>
      <c r="I332" s="77" t="s">
        <v>222</v>
      </c>
      <c r="J332" s="77" t="s">
        <v>223</v>
      </c>
      <c r="K332" s="77" t="s">
        <v>224</v>
      </c>
      <c r="L332" s="76" t="s">
        <v>225</v>
      </c>
      <c r="M332" s="76" t="s">
        <v>226</v>
      </c>
    </row>
    <row r="333" spans="1:13" ht="19.5" customHeight="1" x14ac:dyDescent="0.35">
      <c r="A333" s="78" t="s">
        <v>222</v>
      </c>
      <c r="B333" s="79" t="str">
        <f>IF('Novice 15M - Scoring'!B44&lt;&gt;"",IF('Novice 15M - Scoring'!F44&lt;&gt;"",'Novice 15M - Scoring'!F44,""),"")</f>
        <v/>
      </c>
      <c r="C333" s="79" t="str">
        <f>IF('Novice 15M - Scoring'!B44&lt;&gt;"",IF('Novice 15M - Scoring'!G44&lt;&gt;"",'Novice 15M - Scoring'!G44,""),"")</f>
        <v/>
      </c>
      <c r="D333" s="79" t="str">
        <f>IF('Novice 15M - Scoring'!B44&lt;&gt;"",IF('Novice 15M - Scoring'!H44&lt;&gt;"",'Novice 15M - Scoring'!H44,""),"")</f>
        <v/>
      </c>
      <c r="E333" s="80" t="str">
        <f>IF('Novice 15M - Scoring'!B44&lt;&gt;"",'Novice 15M - Scoring'!AP44,"")</f>
        <v/>
      </c>
      <c r="F333" s="81" t="str">
        <f>IFERROR(IF(ISNUMBER(E333),E333,""),"")</f>
        <v/>
      </c>
      <c r="H333" s="78" t="s">
        <v>222</v>
      </c>
      <c r="I333" s="79" t="str">
        <f>IF('Novice 15M - Scoring'!B45&lt;&gt;"",IF('Novice 15M - Scoring'!F45&lt;&gt;"",'Novice 15M - Scoring'!F45,""),"")</f>
        <v/>
      </c>
      <c r="J333" s="79" t="str">
        <f>IF('Novice 15M - Scoring'!B45&lt;&gt;"",IF('Novice 15M - Scoring'!G45&lt;&gt;"",'Novice 15M - Scoring'!G45,""),"")</f>
        <v/>
      </c>
      <c r="K333" s="79" t="str">
        <f>IF('Novice 15M - Scoring'!B45&lt;&gt;"",IF('Novice 15M - Scoring'!H45&lt;&gt;"",'Novice 15M - Scoring'!H45,""),"")</f>
        <v/>
      </c>
      <c r="L333" s="80" t="str">
        <f>IF('Novice 15M - Scoring'!B45&lt;&gt;"",'Novice 15M - Scoring'!AP45,"")</f>
        <v/>
      </c>
      <c r="M333" s="81" t="str">
        <f>IFERROR(IF(ISNUMBER(L333),L333,""),"")</f>
        <v/>
      </c>
    </row>
    <row r="334" spans="1:13" ht="19.5" customHeight="1" x14ac:dyDescent="0.35">
      <c r="A334" s="78" t="s">
        <v>223</v>
      </c>
      <c r="B334" s="79" t="str">
        <f>IF('Novice 15M - Scoring'!B44&lt;&gt;"",IF('Novice 15M - Scoring'!L44&lt;&gt;"",'Novice 15M - Scoring'!L44,""),"")</f>
        <v/>
      </c>
      <c r="C334" s="79" t="str">
        <f>IF('Novice 15M - Scoring'!B44&lt;&gt;"",IF('Novice 15M - Scoring'!M44&lt;&gt;"",'Novice 15M - Scoring'!M44,""),"")</f>
        <v/>
      </c>
      <c r="D334" s="79" t="str">
        <f>IF('Novice 15M - Scoring'!B44&lt;&gt;"",IF('Novice 15M - Scoring'!N44&lt;&gt;"",'Novice 15M - Scoring'!N44,""),"")</f>
        <v/>
      </c>
      <c r="E334" s="80" t="str">
        <f>IF('Novice 15M - Scoring'!B44&lt;&gt;"",'Novice 15M - Scoring'!AQ44,"")</f>
        <v/>
      </c>
      <c r="F334" s="81" t="str">
        <f>IF(E333&lt;&gt;"",IFERROR(IF(ISNUMBER(E333),E333,0),0)+IFERROR(IF(ISNUMBER(E334),E334,0),0),"")</f>
        <v/>
      </c>
      <c r="H334" s="78" t="s">
        <v>223</v>
      </c>
      <c r="I334" s="79" t="str">
        <f>IF('Novice 15M - Scoring'!B45&lt;&gt;"",IF('Novice 15M - Scoring'!L45&lt;&gt;"",'Novice 15M - Scoring'!L45,""),"")</f>
        <v/>
      </c>
      <c r="J334" s="79" t="str">
        <f>IF('Novice 15M - Scoring'!B45&lt;&gt;"",IF('Novice 15M - Scoring'!M45&lt;&gt;"",'Novice 15M - Scoring'!M45,""),"")</f>
        <v/>
      </c>
      <c r="K334" s="79" t="str">
        <f>IF('Novice 15M - Scoring'!B45&lt;&gt;"",IF('Novice 15M - Scoring'!N45&lt;&gt;"",'Novice 15M - Scoring'!N45,""),"")</f>
        <v/>
      </c>
      <c r="L334" s="80" t="str">
        <f>IF('Novice 15M - Scoring'!B45&lt;&gt;"",'Novice 15M - Scoring'!AQ45,"")</f>
        <v/>
      </c>
      <c r="M334" s="81" t="str">
        <f>IF(L333&lt;&gt;"",IFERROR(IF(ISNUMBER(L333),L333,0),0)+IFERROR(IF(ISNUMBER(L334),L334,0),0),"")</f>
        <v/>
      </c>
    </row>
    <row r="335" spans="1:13" ht="19.5" customHeight="1" x14ac:dyDescent="0.35">
      <c r="A335" s="78" t="s">
        <v>224</v>
      </c>
      <c r="B335" s="79" t="str">
        <f>IF('Novice 15M - Scoring'!B44&lt;&gt;"",IF('Novice 15M - Scoring'!R44&lt;&gt;"",'Novice 15M - Scoring'!R44,""),"")</f>
        <v/>
      </c>
      <c r="C335" s="79" t="str">
        <f>IF('Novice 15M - Scoring'!B44&lt;&gt;"",IF('Novice 15M - Scoring'!S44&lt;&gt;"",'Novice 15M - Scoring'!S44,""),"")</f>
        <v/>
      </c>
      <c r="D335" s="79" t="str">
        <f>IF('Novice 15M - Scoring'!B44&lt;&gt;"",IF('Novice 15M - Scoring'!T44&lt;&gt;"",'Novice 15M - Scoring'!T44,""),"")</f>
        <v/>
      </c>
      <c r="E335" s="80" t="str">
        <f>IF('Novice 15M - Scoring'!B44&lt;&gt;"",'Novice 15M - Scoring'!AR44,"")</f>
        <v/>
      </c>
      <c r="F335" s="81" t="str">
        <f>IF(E333&lt;&gt;"",IFERROR(IF(ISNUMBER(E333),E333,0),0)+IFERROR(IF(ISNUMBER(E334),E334,0),0)+IFERROR(IF(ISNUMBER(E335),E335,0),0),"")</f>
        <v/>
      </c>
      <c r="H335" s="78" t="s">
        <v>224</v>
      </c>
      <c r="I335" s="79" t="str">
        <f>IF('Novice 15M - Scoring'!B45&lt;&gt;"",IF('Novice 15M - Scoring'!R45&lt;&gt;"",'Novice 15M - Scoring'!R45,""),"")</f>
        <v/>
      </c>
      <c r="J335" s="79" t="str">
        <f>IF('Novice 15M - Scoring'!B45&lt;&gt;"",IF('Novice 15M - Scoring'!S45&lt;&gt;"",'Novice 15M - Scoring'!S45,""),"")</f>
        <v/>
      </c>
      <c r="K335" s="79" t="str">
        <f>IF('Novice 15M - Scoring'!B45&lt;&gt;"",IF('Novice 15M - Scoring'!T45&lt;&gt;"",'Novice 15M - Scoring'!T45,""),"")</f>
        <v/>
      </c>
      <c r="L335" s="80" t="str">
        <f>IF('Novice 15M - Scoring'!B45&lt;&gt;"",'Novice 15M - Scoring'!AR45,"")</f>
        <v/>
      </c>
      <c r="M335" s="81" t="str">
        <f>IF(L333&lt;&gt;"",IFERROR(IF(ISNUMBER(L333),L333,0),0)+IFERROR(IF(ISNUMBER(L334),L334,0),0)+IFERROR(IF(ISNUMBER(L335),L335,0),0),"")</f>
        <v/>
      </c>
    </row>
    <row r="336" spans="1:13" ht="19.5" customHeight="1" x14ac:dyDescent="0.35">
      <c r="A336" s="78" t="s">
        <v>227</v>
      </c>
      <c r="B336" s="79" t="str">
        <f>IF('Novice 15M - Scoring'!B44&lt;&gt;"",IF('Novice 15M - Scoring'!X44&lt;&gt;"",'Novice 15M - Scoring'!X44,""),"")</f>
        <v/>
      </c>
      <c r="C336" s="79" t="str">
        <f>IF('Novice 15M - Scoring'!B44&lt;&gt;"",IF('Novice 15M - Scoring'!Y44&lt;&gt;"",'Novice 15M - Scoring'!Y44,""),"")</f>
        <v/>
      </c>
      <c r="D336" s="79" t="str">
        <f>IF('Novice 15M - Scoring'!B44&lt;&gt;"",IF('Novice 15M - Scoring'!Z44&lt;&gt;"",'Novice 15M - Scoring'!Z44,""),"")</f>
        <v/>
      </c>
      <c r="E336" s="80" t="str">
        <f>IF('Novice 15M - Scoring'!B44&lt;&gt;"",'Novice 15M - Scoring'!AS44,"")</f>
        <v/>
      </c>
      <c r="F336" s="81" t="str">
        <f>IF(E333&lt;&gt;"",IFERROR(IF(ISNUMBER(E333),E333,0),0)+IFERROR(IF(ISNUMBER(E334),E334,0),0)+IFERROR(IF(ISNUMBER(E335),E335,0),0)+IFERROR(IF(ISNUMBER(E336),E336,0),0),"")</f>
        <v/>
      </c>
      <c r="H336" s="78" t="s">
        <v>227</v>
      </c>
      <c r="I336" s="79" t="str">
        <f>IF('Novice 15M - Scoring'!B45&lt;&gt;"",IF('Novice 15M - Scoring'!X45&lt;&gt;"",'Novice 15M - Scoring'!X45,""),"")</f>
        <v/>
      </c>
      <c r="J336" s="79" t="str">
        <f>IF('Novice 15M - Scoring'!B45&lt;&gt;"",IF('Novice 15M - Scoring'!Y45&lt;&gt;"",'Novice 15M - Scoring'!Y45,""),"")</f>
        <v/>
      </c>
      <c r="K336" s="79" t="str">
        <f>IF('Novice 15M - Scoring'!B45&lt;&gt;"",IF('Novice 15M - Scoring'!Z45&lt;&gt;"",'Novice 15M - Scoring'!Z45,""),"")</f>
        <v/>
      </c>
      <c r="L336" s="80" t="str">
        <f>IF('Novice 15M - Scoring'!B45&lt;&gt;"",'Novice 15M - Scoring'!AS45,"")</f>
        <v/>
      </c>
      <c r="M336" s="81" t="str">
        <f>IF(L333&lt;&gt;"",IFERROR(IF(ISNUMBER(L333),L333,0),0)+IFERROR(IF(ISNUMBER(L334),L334,0),0)+IFERROR(IF(ISNUMBER(L335),L335,0),0)+IFERROR(IF(ISNUMBER(L336),L336,0),0),"")</f>
        <v/>
      </c>
    </row>
    <row r="337" spans="1:13" ht="19.5" customHeight="1" x14ac:dyDescent="0.35">
      <c r="A337" s="78" t="s">
        <v>228</v>
      </c>
      <c r="B337" s="79" t="str">
        <f>IF('Novice 15M - Scoring'!B44&lt;&gt;"",IF('Novice 15M - Scoring'!AD44&lt;&gt;"",'Novice 15M - Scoring'!AD44,""),"")</f>
        <v/>
      </c>
      <c r="C337" s="79" t="str">
        <f>IF('Novice 15M - Scoring'!B44&lt;&gt;"",IF('Novice 15M - Scoring'!AE44&lt;&gt;"",'Novice 15M - Scoring'!AE44,""),"")</f>
        <v/>
      </c>
      <c r="D337" s="79" t="str">
        <f>IF('Novice 15M - Scoring'!B44&lt;&gt;"",IF('Novice 15M - Scoring'!AF44&lt;&gt;"",'Novice 15M - Scoring'!AF44,""),"")</f>
        <v/>
      </c>
      <c r="E337" s="80" t="str">
        <f>IF('Novice 15M - Scoring'!B44&lt;&gt;"",'Novice 15M - Scoring'!AT44,"")</f>
        <v/>
      </c>
      <c r="F337" s="81" t="str">
        <f>IF(E333&lt;&gt;"",IFERROR(IF(ISNUMBER(E333),E333,0),0)+IFERROR(IF(ISNUMBER(E334),E334,0),0)+IFERROR(IF(ISNUMBER(E335),E335,0),0)+IFERROR(IF(ISNUMBER(E336),E336,0),0)+IFERROR(IF(ISNUMBER(E337),E337,0),0),"")</f>
        <v/>
      </c>
      <c r="H337" s="78" t="s">
        <v>228</v>
      </c>
      <c r="I337" s="79" t="str">
        <f>IF('Novice 15M - Scoring'!B45&lt;&gt;"",IF('Novice 15M - Scoring'!AD45&lt;&gt;"",'Novice 15M - Scoring'!AD45,""),"")</f>
        <v/>
      </c>
      <c r="J337" s="79" t="str">
        <f>IF('Novice 15M - Scoring'!B45&lt;&gt;"",IF('Novice 15M - Scoring'!AE45&lt;&gt;"",'Novice 15M - Scoring'!AE45,""),"")</f>
        <v/>
      </c>
      <c r="K337" s="79" t="str">
        <f>IF('Novice 15M - Scoring'!B45&lt;&gt;"",IF('Novice 15M - Scoring'!AF45&lt;&gt;"",'Novice 15M - Scoring'!AF45,""),"")</f>
        <v/>
      </c>
      <c r="L337" s="80" t="str">
        <f>IF('Novice 15M - Scoring'!B45&lt;&gt;"",'Novice 15M - Scoring'!AT45,"")</f>
        <v/>
      </c>
      <c r="M337" s="81" t="str">
        <f>IF(L333&lt;&gt;"",IFERROR(IF(ISNUMBER(L333),L333,0),0)+IFERROR(IF(ISNUMBER(L334),L334,0),0)+IFERROR(IF(ISNUMBER(L335),L335,0),0)+IFERROR(IF(ISNUMBER(L336),L336,0),0)+IFERROR(IF(ISNUMBER(L337),L337,0),0),"")</f>
        <v/>
      </c>
    </row>
    <row r="338" spans="1:13" ht="19.5" customHeight="1" x14ac:dyDescent="0.35">
      <c r="A338" s="78" t="s">
        <v>229</v>
      </c>
      <c r="B338" s="79" t="str">
        <f>IF('Novice 15M - Scoring'!B44&lt;&gt;"",IF('Novice 15M - Scoring'!AJ44&lt;&gt;"",'Novice 15M - Scoring'!AJ44,""),"")</f>
        <v/>
      </c>
      <c r="C338" s="79" t="str">
        <f>IF('Novice 15M - Scoring'!B44&lt;&gt;"",IF('Novice 15M - Scoring'!AK44&lt;&gt;"",'Novice 15M - Scoring'!AK44,""),"")</f>
        <v/>
      </c>
      <c r="D338" s="79" t="str">
        <f>IF('Novice 15M - Scoring'!B44&lt;&gt;"",IF('Novice 15M - Scoring'!AL44&lt;&gt;"",'Novice 15M - Scoring'!AL44,""),"")</f>
        <v/>
      </c>
      <c r="E338" s="80" t="str">
        <f>IF('Novice 15M - Scoring'!B44&lt;&gt;"",'Novice 15M - Scoring'!AU44,"")</f>
        <v/>
      </c>
      <c r="F338" s="81" t="str">
        <f>IF(E333&lt;&gt;"",IFERROR(IF(ISNUMBER(E333),E333,0),0)+IFERROR(IF(ISNUMBER(E334),E334,0),0)+IFERROR(IF(ISNUMBER(E335),E335,0),0)+IFERROR(IF(ISNUMBER(E336),E336,0),0)+IFERROR(IF(ISNUMBER(E337),E337,0),0)+IFERROR(IF(ISNUMBER(E338),E338,0),0),"")</f>
        <v/>
      </c>
      <c r="H338" s="78" t="s">
        <v>229</v>
      </c>
      <c r="I338" s="79" t="str">
        <f>IF('Novice 15M - Scoring'!B45&lt;&gt;"",IF('Novice 15M - Scoring'!AJ45&lt;&gt;"",'Novice 15M - Scoring'!AJ45,""),"")</f>
        <v/>
      </c>
      <c r="J338" s="79" t="str">
        <f>IF('Novice 15M - Scoring'!B45&lt;&gt;"",IF('Novice 15M - Scoring'!AK45&lt;&gt;"",'Novice 15M - Scoring'!AK45,""),"")</f>
        <v/>
      </c>
      <c r="K338" s="79" t="str">
        <f>IF('Novice 15M - Scoring'!B45&lt;&gt;"",IF('Novice 15M - Scoring'!AL45&lt;&gt;"",'Novice 15M - Scoring'!AL45,""),"")</f>
        <v/>
      </c>
      <c r="L338" s="80" t="str">
        <f>IF('Novice 15M - Scoring'!B45&lt;&gt;"",'Novice 15M - Scoring'!AU45,"")</f>
        <v/>
      </c>
      <c r="M338" s="81" t="str">
        <f>IF(L333&lt;&gt;"",IFERROR(IF(ISNUMBER(L333),L333,0),0)+IFERROR(IF(ISNUMBER(L334),L334,0),0)+IFERROR(IF(ISNUMBER(L335),L335,0),0)+IFERROR(IF(ISNUMBER(L336),L336,0),0)+IFERROR(IF(ISNUMBER(L337),L337,0),0)+IFERROR(IF(ISNUMBER(L338),L338,0),0),"")</f>
        <v/>
      </c>
    </row>
    <row r="339" spans="1:13" ht="3.75" customHeight="1" x14ac:dyDescent="0.35"/>
    <row r="340" spans="1:13" ht="24" customHeight="1" x14ac:dyDescent="0.35">
      <c r="A340" s="124" t="s">
        <v>230</v>
      </c>
      <c r="B340" s="124"/>
      <c r="C340" s="124"/>
      <c r="D340" s="124"/>
      <c r="E340" s="125" t="str">
        <f>IF('Novice 15M - Scoring'!B44&lt;&gt;"",'Novice 15M - Scoring'!AV44,"")</f>
        <v/>
      </c>
      <c r="F340" s="125"/>
      <c r="H340" s="124" t="s">
        <v>230</v>
      </c>
      <c r="I340" s="124"/>
      <c r="J340" s="124"/>
      <c r="K340" s="124"/>
      <c r="L340" s="125" t="str">
        <f>IF('Novice 15M - Scoring'!B45&lt;&gt;"",'Novice 15M - Scoring'!AV45,"")</f>
        <v/>
      </c>
      <c r="M340" s="125"/>
    </row>
    <row r="341" spans="1:13" ht="19.5" customHeight="1" x14ac:dyDescent="0.35">
      <c r="E341" s="125"/>
      <c r="F341" s="125"/>
      <c r="L341" s="125"/>
      <c r="M341" s="125"/>
    </row>
    <row r="342" spans="1:13" ht="3.75" customHeight="1" x14ac:dyDescent="0.35"/>
    <row r="343" spans="1:13" ht="18" customHeight="1" x14ac:dyDescent="0.35">
      <c r="A343" s="73" t="s">
        <v>126</v>
      </c>
      <c r="B343" s="82" t="str">
        <f>IF('Novice 15M - Scoring'!B44&lt;&gt;"",'Novice 15M - Scoring'!AW44,"")</f>
        <v/>
      </c>
      <c r="C343" s="73" t="s">
        <v>127</v>
      </c>
      <c r="D343" s="83" t="str">
        <f>IF('Novice 15M - Scoring'!B44&lt;&gt;"",'Novice 15M - Scoring'!AX44,"")</f>
        <v/>
      </c>
      <c r="E343" s="73" t="s">
        <v>128</v>
      </c>
      <c r="F343" s="83" t="str">
        <f>IF('Novice 15M - Scoring'!B44&lt;&gt;"",'Novice 15M - Scoring'!AY44,"")</f>
        <v/>
      </c>
      <c r="H343" s="73" t="s">
        <v>126</v>
      </c>
      <c r="I343" s="82" t="str">
        <f>IF('Novice 15M - Scoring'!B45&lt;&gt;"",'Novice 15M - Scoring'!AW45,"")</f>
        <v/>
      </c>
      <c r="J343" s="73" t="s">
        <v>127</v>
      </c>
      <c r="K343" s="83" t="str">
        <f>IF('Novice 15M - Scoring'!B45&lt;&gt;"",'Novice 15M - Scoring'!AX45,"")</f>
        <v/>
      </c>
      <c r="L343" s="73" t="s">
        <v>128</v>
      </c>
      <c r="M343" s="83" t="str">
        <f>IF('Novice 15M - Scoring'!B45&lt;&gt;"",'Novice 15M - Scoring'!AY45,"")</f>
        <v/>
      </c>
    </row>
    <row r="344" spans="1:13" ht="3.75" customHeight="1" x14ac:dyDescent="0.35"/>
    <row r="345" spans="1:13" ht="7.5" customHeight="1" x14ac:dyDescent="0.35">
      <c r="A345" s="126"/>
      <c r="B345" s="126"/>
      <c r="C345" s="126"/>
      <c r="D345" s="126"/>
      <c r="E345" s="126"/>
      <c r="F345" s="126"/>
      <c r="G345" s="126"/>
      <c r="H345" s="126"/>
      <c r="I345" s="126"/>
      <c r="J345" s="126"/>
      <c r="K345" s="126"/>
      <c r="L345" s="126"/>
      <c r="M345" s="126"/>
    </row>
    <row r="346" spans="1:13" ht="15.75" customHeight="1" x14ac:dyDescent="0.35">
      <c r="A346" s="73" t="s">
        <v>218</v>
      </c>
      <c r="B346" s="122" t="str">
        <f>IF('Novice 15M - Scoring'!B46&lt;&gt;"",'Novice 15M - Scoring'!B46,"")</f>
        <v/>
      </c>
      <c r="C346" s="122"/>
      <c r="D346" s="122"/>
      <c r="E346" s="73" t="s">
        <v>219</v>
      </c>
      <c r="F346" s="74" t="str">
        <f>IF('Novice 15M - Scoring'!B46&lt;&gt;"",'Novice 15M - Scoring'!BB46,"")</f>
        <v/>
      </c>
      <c r="H346" s="73" t="s">
        <v>218</v>
      </c>
      <c r="I346" s="122" t="str">
        <f>IF('Novice 15M - Scoring'!B47&lt;&gt;"",'Novice 15M - Scoring'!B47,"")</f>
        <v/>
      </c>
      <c r="J346" s="122"/>
      <c r="K346" s="122"/>
      <c r="L346" s="73" t="s">
        <v>219</v>
      </c>
      <c r="M346" s="74" t="str">
        <f>IF('Novice 15M - Scoring'!B47&lt;&gt;"",'Novice 15M - Scoring'!BB47,"")</f>
        <v/>
      </c>
    </row>
    <row r="347" spans="1:13" ht="15.75" customHeight="1" x14ac:dyDescent="0.35">
      <c r="A347" s="73" t="s">
        <v>220</v>
      </c>
      <c r="B347" s="123" t="str">
        <f>IF('Novice 15M - Scoring'!B46&lt;&gt;"",'Novice 15M - Scoring'!D46,"")</f>
        <v/>
      </c>
      <c r="C347" s="123"/>
      <c r="D347" s="123"/>
      <c r="E347" s="73" t="s">
        <v>8</v>
      </c>
      <c r="F347" s="75" t="str">
        <f>IF('Novice 15M - Scoring'!B46&lt;&gt;"",'Novice 15M - Scoring'!E46,"")</f>
        <v/>
      </c>
      <c r="H347" s="73" t="s">
        <v>220</v>
      </c>
      <c r="I347" s="123" t="str">
        <f>IF('Novice 15M - Scoring'!B47&lt;&gt;"",'Novice 15M - Scoring'!D47,"")</f>
        <v/>
      </c>
      <c r="J347" s="123"/>
      <c r="K347" s="123"/>
      <c r="L347" s="73" t="s">
        <v>8</v>
      </c>
      <c r="M347" s="75" t="str">
        <f>IF('Novice 15M - Scoring'!B47&lt;&gt;"",'Novice 15M - Scoring'!E47,"")</f>
        <v/>
      </c>
    </row>
    <row r="348" spans="1:13" ht="3.75" customHeight="1" x14ac:dyDescent="0.35"/>
    <row r="349" spans="1:13" ht="25.5" customHeight="1" x14ac:dyDescent="0.35">
      <c r="A349" s="76" t="s">
        <v>221</v>
      </c>
      <c r="B349" s="77" t="s">
        <v>222</v>
      </c>
      <c r="C349" s="77" t="s">
        <v>223</v>
      </c>
      <c r="D349" s="77" t="s">
        <v>224</v>
      </c>
      <c r="E349" s="76" t="s">
        <v>225</v>
      </c>
      <c r="F349" s="76" t="s">
        <v>226</v>
      </c>
      <c r="H349" s="76" t="s">
        <v>221</v>
      </c>
      <c r="I349" s="77" t="s">
        <v>222</v>
      </c>
      <c r="J349" s="77" t="s">
        <v>223</v>
      </c>
      <c r="K349" s="77" t="s">
        <v>224</v>
      </c>
      <c r="L349" s="76" t="s">
        <v>225</v>
      </c>
      <c r="M349" s="76" t="s">
        <v>226</v>
      </c>
    </row>
    <row r="350" spans="1:13" ht="19.5" customHeight="1" x14ac:dyDescent="0.35">
      <c r="A350" s="78" t="s">
        <v>222</v>
      </c>
      <c r="B350" s="79" t="str">
        <f>IF('Novice 15M - Scoring'!B46&lt;&gt;"",IF('Novice 15M - Scoring'!F46&lt;&gt;"",'Novice 15M - Scoring'!F46,""),"")</f>
        <v/>
      </c>
      <c r="C350" s="79" t="str">
        <f>IF('Novice 15M - Scoring'!B46&lt;&gt;"",IF('Novice 15M - Scoring'!G46&lt;&gt;"",'Novice 15M - Scoring'!G46,""),"")</f>
        <v/>
      </c>
      <c r="D350" s="79" t="str">
        <f>IF('Novice 15M - Scoring'!B46&lt;&gt;"",IF('Novice 15M - Scoring'!H46&lt;&gt;"",'Novice 15M - Scoring'!H46,""),"")</f>
        <v/>
      </c>
      <c r="E350" s="80" t="str">
        <f>IF('Novice 15M - Scoring'!B46&lt;&gt;"",'Novice 15M - Scoring'!AP46,"")</f>
        <v/>
      </c>
      <c r="F350" s="81" t="str">
        <f>IFERROR(IF(ISNUMBER(E350),E350,""),"")</f>
        <v/>
      </c>
      <c r="H350" s="78" t="s">
        <v>222</v>
      </c>
      <c r="I350" s="79" t="str">
        <f>IF('Novice 15M - Scoring'!B47&lt;&gt;"",IF('Novice 15M - Scoring'!F47&lt;&gt;"",'Novice 15M - Scoring'!F47,""),"")</f>
        <v/>
      </c>
      <c r="J350" s="79" t="str">
        <f>IF('Novice 15M - Scoring'!B47&lt;&gt;"",IF('Novice 15M - Scoring'!G47&lt;&gt;"",'Novice 15M - Scoring'!G47,""),"")</f>
        <v/>
      </c>
      <c r="K350" s="79" t="str">
        <f>IF('Novice 15M - Scoring'!B47&lt;&gt;"",IF('Novice 15M - Scoring'!H47&lt;&gt;"",'Novice 15M - Scoring'!H47,""),"")</f>
        <v/>
      </c>
      <c r="L350" s="80" t="str">
        <f>IF('Novice 15M - Scoring'!B47&lt;&gt;"",'Novice 15M - Scoring'!AP47,"")</f>
        <v/>
      </c>
      <c r="M350" s="81" t="str">
        <f>IFERROR(IF(ISNUMBER(L350),L350,""),"")</f>
        <v/>
      </c>
    </row>
    <row r="351" spans="1:13" ht="19.5" customHeight="1" x14ac:dyDescent="0.35">
      <c r="A351" s="78" t="s">
        <v>223</v>
      </c>
      <c r="B351" s="79" t="str">
        <f>IF('Novice 15M - Scoring'!B46&lt;&gt;"",IF('Novice 15M - Scoring'!L46&lt;&gt;"",'Novice 15M - Scoring'!L46,""),"")</f>
        <v/>
      </c>
      <c r="C351" s="79" t="str">
        <f>IF('Novice 15M - Scoring'!B46&lt;&gt;"",IF('Novice 15M - Scoring'!M46&lt;&gt;"",'Novice 15M - Scoring'!M46,""),"")</f>
        <v/>
      </c>
      <c r="D351" s="79" t="str">
        <f>IF('Novice 15M - Scoring'!B46&lt;&gt;"",IF('Novice 15M - Scoring'!N46&lt;&gt;"",'Novice 15M - Scoring'!N46,""),"")</f>
        <v/>
      </c>
      <c r="E351" s="80" t="str">
        <f>IF('Novice 15M - Scoring'!B46&lt;&gt;"",'Novice 15M - Scoring'!AQ46,"")</f>
        <v/>
      </c>
      <c r="F351" s="81" t="str">
        <f>IF(E350&lt;&gt;"",IFERROR(IF(ISNUMBER(E350),E350,0),0)+IFERROR(IF(ISNUMBER(E351),E351,0),0),"")</f>
        <v/>
      </c>
      <c r="H351" s="78" t="s">
        <v>223</v>
      </c>
      <c r="I351" s="79" t="str">
        <f>IF('Novice 15M - Scoring'!B47&lt;&gt;"",IF('Novice 15M - Scoring'!L47&lt;&gt;"",'Novice 15M - Scoring'!L47,""),"")</f>
        <v/>
      </c>
      <c r="J351" s="79" t="str">
        <f>IF('Novice 15M - Scoring'!B47&lt;&gt;"",IF('Novice 15M - Scoring'!M47&lt;&gt;"",'Novice 15M - Scoring'!M47,""),"")</f>
        <v/>
      </c>
      <c r="K351" s="79" t="str">
        <f>IF('Novice 15M - Scoring'!B47&lt;&gt;"",IF('Novice 15M - Scoring'!N47&lt;&gt;"",'Novice 15M - Scoring'!N47,""),"")</f>
        <v/>
      </c>
      <c r="L351" s="80" t="str">
        <f>IF('Novice 15M - Scoring'!B47&lt;&gt;"",'Novice 15M - Scoring'!AQ47,"")</f>
        <v/>
      </c>
      <c r="M351" s="81" t="str">
        <f>IF(L350&lt;&gt;"",IFERROR(IF(ISNUMBER(L350),L350,0),0)+IFERROR(IF(ISNUMBER(L351),L351,0),0),"")</f>
        <v/>
      </c>
    </row>
    <row r="352" spans="1:13" ht="19.5" customHeight="1" x14ac:dyDescent="0.35">
      <c r="A352" s="78" t="s">
        <v>224</v>
      </c>
      <c r="B352" s="79" t="str">
        <f>IF('Novice 15M - Scoring'!B46&lt;&gt;"",IF('Novice 15M - Scoring'!R46&lt;&gt;"",'Novice 15M - Scoring'!R46,""),"")</f>
        <v/>
      </c>
      <c r="C352" s="79" t="str">
        <f>IF('Novice 15M - Scoring'!B46&lt;&gt;"",IF('Novice 15M - Scoring'!S46&lt;&gt;"",'Novice 15M - Scoring'!S46,""),"")</f>
        <v/>
      </c>
      <c r="D352" s="79" t="str">
        <f>IF('Novice 15M - Scoring'!B46&lt;&gt;"",IF('Novice 15M - Scoring'!T46&lt;&gt;"",'Novice 15M - Scoring'!T46,""),"")</f>
        <v/>
      </c>
      <c r="E352" s="80" t="str">
        <f>IF('Novice 15M - Scoring'!B46&lt;&gt;"",'Novice 15M - Scoring'!AR46,"")</f>
        <v/>
      </c>
      <c r="F352" s="81" t="str">
        <f>IF(E350&lt;&gt;"",IFERROR(IF(ISNUMBER(E350),E350,0),0)+IFERROR(IF(ISNUMBER(E351),E351,0),0)+IFERROR(IF(ISNUMBER(E352),E352,0),0),"")</f>
        <v/>
      </c>
      <c r="H352" s="78" t="s">
        <v>224</v>
      </c>
      <c r="I352" s="79" t="str">
        <f>IF('Novice 15M - Scoring'!B47&lt;&gt;"",IF('Novice 15M - Scoring'!R47&lt;&gt;"",'Novice 15M - Scoring'!R47,""),"")</f>
        <v/>
      </c>
      <c r="J352" s="79" t="str">
        <f>IF('Novice 15M - Scoring'!B47&lt;&gt;"",IF('Novice 15M - Scoring'!S47&lt;&gt;"",'Novice 15M - Scoring'!S47,""),"")</f>
        <v/>
      </c>
      <c r="K352" s="79" t="str">
        <f>IF('Novice 15M - Scoring'!B47&lt;&gt;"",IF('Novice 15M - Scoring'!T47&lt;&gt;"",'Novice 15M - Scoring'!T47,""),"")</f>
        <v/>
      </c>
      <c r="L352" s="80" t="str">
        <f>IF('Novice 15M - Scoring'!B47&lt;&gt;"",'Novice 15M - Scoring'!AR47,"")</f>
        <v/>
      </c>
      <c r="M352" s="81" t="str">
        <f>IF(L350&lt;&gt;"",IFERROR(IF(ISNUMBER(L350),L350,0),0)+IFERROR(IF(ISNUMBER(L351),L351,0),0)+IFERROR(IF(ISNUMBER(L352),L352,0),0),"")</f>
        <v/>
      </c>
    </row>
    <row r="353" spans="1:13" ht="19.5" customHeight="1" x14ac:dyDescent="0.35">
      <c r="A353" s="78" t="s">
        <v>227</v>
      </c>
      <c r="B353" s="79" t="str">
        <f>IF('Novice 15M - Scoring'!B46&lt;&gt;"",IF('Novice 15M - Scoring'!X46&lt;&gt;"",'Novice 15M - Scoring'!X46,""),"")</f>
        <v/>
      </c>
      <c r="C353" s="79" t="str">
        <f>IF('Novice 15M - Scoring'!B46&lt;&gt;"",IF('Novice 15M - Scoring'!Y46&lt;&gt;"",'Novice 15M - Scoring'!Y46,""),"")</f>
        <v/>
      </c>
      <c r="D353" s="79" t="str">
        <f>IF('Novice 15M - Scoring'!B46&lt;&gt;"",IF('Novice 15M - Scoring'!Z46&lt;&gt;"",'Novice 15M - Scoring'!Z46,""),"")</f>
        <v/>
      </c>
      <c r="E353" s="80" t="str">
        <f>IF('Novice 15M - Scoring'!B46&lt;&gt;"",'Novice 15M - Scoring'!AS46,"")</f>
        <v/>
      </c>
      <c r="F353" s="81" t="str">
        <f>IF(E350&lt;&gt;"",IFERROR(IF(ISNUMBER(E350),E350,0),0)+IFERROR(IF(ISNUMBER(E351),E351,0),0)+IFERROR(IF(ISNUMBER(E352),E352,0),0)+IFERROR(IF(ISNUMBER(E353),E353,0),0),"")</f>
        <v/>
      </c>
      <c r="H353" s="78" t="s">
        <v>227</v>
      </c>
      <c r="I353" s="79" t="str">
        <f>IF('Novice 15M - Scoring'!B47&lt;&gt;"",IF('Novice 15M - Scoring'!X47&lt;&gt;"",'Novice 15M - Scoring'!X47,""),"")</f>
        <v/>
      </c>
      <c r="J353" s="79" t="str">
        <f>IF('Novice 15M - Scoring'!B47&lt;&gt;"",IF('Novice 15M - Scoring'!Y47&lt;&gt;"",'Novice 15M - Scoring'!Y47,""),"")</f>
        <v/>
      </c>
      <c r="K353" s="79" t="str">
        <f>IF('Novice 15M - Scoring'!B47&lt;&gt;"",IF('Novice 15M - Scoring'!Z47&lt;&gt;"",'Novice 15M - Scoring'!Z47,""),"")</f>
        <v/>
      </c>
      <c r="L353" s="80" t="str">
        <f>IF('Novice 15M - Scoring'!B47&lt;&gt;"",'Novice 15M - Scoring'!AS47,"")</f>
        <v/>
      </c>
      <c r="M353" s="81" t="str">
        <f>IF(L350&lt;&gt;"",IFERROR(IF(ISNUMBER(L350),L350,0),0)+IFERROR(IF(ISNUMBER(L351),L351,0),0)+IFERROR(IF(ISNUMBER(L352),L352,0),0)+IFERROR(IF(ISNUMBER(L353),L353,0),0),"")</f>
        <v/>
      </c>
    </row>
    <row r="354" spans="1:13" ht="19.5" customHeight="1" x14ac:dyDescent="0.35">
      <c r="A354" s="78" t="s">
        <v>228</v>
      </c>
      <c r="B354" s="79" t="str">
        <f>IF('Novice 15M - Scoring'!B46&lt;&gt;"",IF('Novice 15M - Scoring'!AD46&lt;&gt;"",'Novice 15M - Scoring'!AD46,""),"")</f>
        <v/>
      </c>
      <c r="C354" s="79" t="str">
        <f>IF('Novice 15M - Scoring'!B46&lt;&gt;"",IF('Novice 15M - Scoring'!AE46&lt;&gt;"",'Novice 15M - Scoring'!AE46,""),"")</f>
        <v/>
      </c>
      <c r="D354" s="79" t="str">
        <f>IF('Novice 15M - Scoring'!B46&lt;&gt;"",IF('Novice 15M - Scoring'!AF46&lt;&gt;"",'Novice 15M - Scoring'!AF46,""),"")</f>
        <v/>
      </c>
      <c r="E354" s="80" t="str">
        <f>IF('Novice 15M - Scoring'!B46&lt;&gt;"",'Novice 15M - Scoring'!AT46,"")</f>
        <v/>
      </c>
      <c r="F354" s="81" t="str">
        <f>IF(E350&lt;&gt;"",IFERROR(IF(ISNUMBER(E350),E350,0),0)+IFERROR(IF(ISNUMBER(E351),E351,0),0)+IFERROR(IF(ISNUMBER(E352),E352,0),0)+IFERROR(IF(ISNUMBER(E353),E353,0),0)+IFERROR(IF(ISNUMBER(E354),E354,0),0),"")</f>
        <v/>
      </c>
      <c r="H354" s="78" t="s">
        <v>228</v>
      </c>
      <c r="I354" s="79" t="str">
        <f>IF('Novice 15M - Scoring'!B47&lt;&gt;"",IF('Novice 15M - Scoring'!AD47&lt;&gt;"",'Novice 15M - Scoring'!AD47,""),"")</f>
        <v/>
      </c>
      <c r="J354" s="79" t="str">
        <f>IF('Novice 15M - Scoring'!B47&lt;&gt;"",IF('Novice 15M - Scoring'!AE47&lt;&gt;"",'Novice 15M - Scoring'!AE47,""),"")</f>
        <v/>
      </c>
      <c r="K354" s="79" t="str">
        <f>IF('Novice 15M - Scoring'!B47&lt;&gt;"",IF('Novice 15M - Scoring'!AF47&lt;&gt;"",'Novice 15M - Scoring'!AF47,""),"")</f>
        <v/>
      </c>
      <c r="L354" s="80" t="str">
        <f>IF('Novice 15M - Scoring'!B47&lt;&gt;"",'Novice 15M - Scoring'!AT47,"")</f>
        <v/>
      </c>
      <c r="M354" s="81" t="str">
        <f>IF(L350&lt;&gt;"",IFERROR(IF(ISNUMBER(L350),L350,0),0)+IFERROR(IF(ISNUMBER(L351),L351,0),0)+IFERROR(IF(ISNUMBER(L352),L352,0),0)+IFERROR(IF(ISNUMBER(L353),L353,0),0)+IFERROR(IF(ISNUMBER(L354),L354,0),0),"")</f>
        <v/>
      </c>
    </row>
    <row r="355" spans="1:13" ht="19.5" customHeight="1" x14ac:dyDescent="0.35">
      <c r="A355" s="78" t="s">
        <v>229</v>
      </c>
      <c r="B355" s="79" t="str">
        <f>IF('Novice 15M - Scoring'!B46&lt;&gt;"",IF('Novice 15M - Scoring'!AJ46&lt;&gt;"",'Novice 15M - Scoring'!AJ46,""),"")</f>
        <v/>
      </c>
      <c r="C355" s="79" t="str">
        <f>IF('Novice 15M - Scoring'!B46&lt;&gt;"",IF('Novice 15M - Scoring'!AK46&lt;&gt;"",'Novice 15M - Scoring'!AK46,""),"")</f>
        <v/>
      </c>
      <c r="D355" s="79" t="str">
        <f>IF('Novice 15M - Scoring'!B46&lt;&gt;"",IF('Novice 15M - Scoring'!AL46&lt;&gt;"",'Novice 15M - Scoring'!AL46,""),"")</f>
        <v/>
      </c>
      <c r="E355" s="80" t="str">
        <f>IF('Novice 15M - Scoring'!B46&lt;&gt;"",'Novice 15M - Scoring'!AU46,"")</f>
        <v/>
      </c>
      <c r="F355" s="81" t="str">
        <f>IF(E350&lt;&gt;"",IFERROR(IF(ISNUMBER(E350),E350,0),0)+IFERROR(IF(ISNUMBER(E351),E351,0),0)+IFERROR(IF(ISNUMBER(E352),E352,0),0)+IFERROR(IF(ISNUMBER(E353),E353,0),0)+IFERROR(IF(ISNUMBER(E354),E354,0),0)+IFERROR(IF(ISNUMBER(E355),E355,0),0),"")</f>
        <v/>
      </c>
      <c r="H355" s="78" t="s">
        <v>229</v>
      </c>
      <c r="I355" s="79" t="str">
        <f>IF('Novice 15M - Scoring'!B47&lt;&gt;"",IF('Novice 15M - Scoring'!AJ47&lt;&gt;"",'Novice 15M - Scoring'!AJ47,""),"")</f>
        <v/>
      </c>
      <c r="J355" s="79" t="str">
        <f>IF('Novice 15M - Scoring'!B47&lt;&gt;"",IF('Novice 15M - Scoring'!AK47&lt;&gt;"",'Novice 15M - Scoring'!AK47,""),"")</f>
        <v/>
      </c>
      <c r="K355" s="79" t="str">
        <f>IF('Novice 15M - Scoring'!B47&lt;&gt;"",IF('Novice 15M - Scoring'!AL47&lt;&gt;"",'Novice 15M - Scoring'!AL47,""),"")</f>
        <v/>
      </c>
      <c r="L355" s="80" t="str">
        <f>IF('Novice 15M - Scoring'!B47&lt;&gt;"",'Novice 15M - Scoring'!AU47,"")</f>
        <v/>
      </c>
      <c r="M355" s="81" t="str">
        <f>IF(L350&lt;&gt;"",IFERROR(IF(ISNUMBER(L350),L350,0),0)+IFERROR(IF(ISNUMBER(L351),L351,0),0)+IFERROR(IF(ISNUMBER(L352),L352,0),0)+IFERROR(IF(ISNUMBER(L353),L353,0),0)+IFERROR(IF(ISNUMBER(L354),L354,0),0)+IFERROR(IF(ISNUMBER(L355),L355,0),0),"")</f>
        <v/>
      </c>
    </row>
    <row r="356" spans="1:13" ht="3.75" customHeight="1" x14ac:dyDescent="0.35"/>
    <row r="357" spans="1:13" ht="24" customHeight="1" x14ac:dyDescent="0.35">
      <c r="A357" s="124" t="s">
        <v>230</v>
      </c>
      <c r="B357" s="124"/>
      <c r="C357" s="124"/>
      <c r="D357" s="124"/>
      <c r="E357" s="125" t="str">
        <f>IF('Novice 15M - Scoring'!B46&lt;&gt;"",'Novice 15M - Scoring'!AV46,"")</f>
        <v/>
      </c>
      <c r="F357" s="125"/>
      <c r="H357" s="124" t="s">
        <v>230</v>
      </c>
      <c r="I357" s="124"/>
      <c r="J357" s="124"/>
      <c r="K357" s="124"/>
      <c r="L357" s="125" t="str">
        <f>IF('Novice 15M - Scoring'!B47&lt;&gt;"",'Novice 15M - Scoring'!AV47,"")</f>
        <v/>
      </c>
      <c r="M357" s="125"/>
    </row>
    <row r="358" spans="1:13" ht="19.5" customHeight="1" x14ac:dyDescent="0.35">
      <c r="E358" s="125"/>
      <c r="F358" s="125"/>
      <c r="L358" s="125"/>
      <c r="M358" s="125"/>
    </row>
    <row r="359" spans="1:13" ht="3.75" customHeight="1" x14ac:dyDescent="0.35"/>
    <row r="360" spans="1:13" ht="18" customHeight="1" x14ac:dyDescent="0.35">
      <c r="A360" s="73" t="s">
        <v>126</v>
      </c>
      <c r="B360" s="82" t="str">
        <f>IF('Novice 15M - Scoring'!B46&lt;&gt;"",'Novice 15M - Scoring'!AW46,"")</f>
        <v/>
      </c>
      <c r="C360" s="73" t="s">
        <v>127</v>
      </c>
      <c r="D360" s="83" t="str">
        <f>IF('Novice 15M - Scoring'!B46&lt;&gt;"",'Novice 15M - Scoring'!AX46,"")</f>
        <v/>
      </c>
      <c r="E360" s="73" t="s">
        <v>128</v>
      </c>
      <c r="F360" s="83" t="str">
        <f>IF('Novice 15M - Scoring'!B46&lt;&gt;"",'Novice 15M - Scoring'!AY46,"")</f>
        <v/>
      </c>
      <c r="H360" s="73" t="s">
        <v>126</v>
      </c>
      <c r="I360" s="82" t="str">
        <f>IF('Novice 15M - Scoring'!B47&lt;&gt;"",'Novice 15M - Scoring'!AW47,"")</f>
        <v/>
      </c>
      <c r="J360" s="73" t="s">
        <v>127</v>
      </c>
      <c r="K360" s="83" t="str">
        <f>IF('Novice 15M - Scoring'!B47&lt;&gt;"",'Novice 15M - Scoring'!AX47,"")</f>
        <v/>
      </c>
      <c r="L360" s="73" t="s">
        <v>128</v>
      </c>
      <c r="M360" s="83" t="str">
        <f>IF('Novice 15M - Scoring'!B47&lt;&gt;"",'Novice 15M - Scoring'!AY47,"")</f>
        <v/>
      </c>
    </row>
    <row r="361" spans="1:13" ht="3.75" customHeight="1" x14ac:dyDescent="0.35"/>
    <row r="362" spans="1:13" ht="7.5" customHeight="1" x14ac:dyDescent="0.35">
      <c r="A362" s="126"/>
      <c r="B362" s="126"/>
      <c r="C362" s="126"/>
      <c r="D362" s="126"/>
      <c r="E362" s="126"/>
      <c r="F362" s="126"/>
      <c r="G362" s="126"/>
      <c r="H362" s="126"/>
      <c r="I362" s="126"/>
      <c r="J362" s="126"/>
      <c r="K362" s="126"/>
      <c r="L362" s="126"/>
      <c r="M362" s="126"/>
    </row>
    <row r="363" spans="1:13" ht="15.75" customHeight="1" x14ac:dyDescent="0.35">
      <c r="A363" s="73" t="s">
        <v>218</v>
      </c>
      <c r="B363" s="122" t="str">
        <f>IF('Novice 15M - Scoring'!B48&lt;&gt;"",'Novice 15M - Scoring'!B48,"")</f>
        <v/>
      </c>
      <c r="C363" s="122"/>
      <c r="D363" s="122"/>
      <c r="E363" s="73" t="s">
        <v>219</v>
      </c>
      <c r="F363" s="74" t="str">
        <f>IF('Novice 15M - Scoring'!B48&lt;&gt;"",'Novice 15M - Scoring'!BB48,"")</f>
        <v/>
      </c>
      <c r="H363" s="73" t="s">
        <v>218</v>
      </c>
      <c r="I363" s="122" t="str">
        <f>IF('Novice 15M - Scoring'!B49&lt;&gt;"",'Novice 15M - Scoring'!B49,"")</f>
        <v/>
      </c>
      <c r="J363" s="122"/>
      <c r="K363" s="122"/>
      <c r="L363" s="73" t="s">
        <v>219</v>
      </c>
      <c r="M363" s="74" t="str">
        <f>IF('Novice 15M - Scoring'!B49&lt;&gt;"",'Novice 15M - Scoring'!BB49,"")</f>
        <v/>
      </c>
    </row>
    <row r="364" spans="1:13" ht="15.75" customHeight="1" x14ac:dyDescent="0.35">
      <c r="A364" s="73" t="s">
        <v>220</v>
      </c>
      <c r="B364" s="123" t="str">
        <f>IF('Novice 15M - Scoring'!B48&lt;&gt;"",'Novice 15M - Scoring'!D48,"")</f>
        <v/>
      </c>
      <c r="C364" s="123"/>
      <c r="D364" s="123"/>
      <c r="E364" s="73" t="s">
        <v>8</v>
      </c>
      <c r="F364" s="75" t="str">
        <f>IF('Novice 15M - Scoring'!B48&lt;&gt;"",'Novice 15M - Scoring'!E48,"")</f>
        <v/>
      </c>
      <c r="H364" s="73" t="s">
        <v>220</v>
      </c>
      <c r="I364" s="123" t="str">
        <f>IF('Novice 15M - Scoring'!B49&lt;&gt;"",'Novice 15M - Scoring'!D49,"")</f>
        <v/>
      </c>
      <c r="J364" s="123"/>
      <c r="K364" s="123"/>
      <c r="L364" s="73" t="s">
        <v>8</v>
      </c>
      <c r="M364" s="75" t="str">
        <f>IF('Novice 15M - Scoring'!B49&lt;&gt;"",'Novice 15M - Scoring'!E49,"")</f>
        <v/>
      </c>
    </row>
    <row r="365" spans="1:13" ht="3.75" customHeight="1" x14ac:dyDescent="0.35"/>
    <row r="366" spans="1:13" ht="25.5" customHeight="1" x14ac:dyDescent="0.35">
      <c r="A366" s="76" t="s">
        <v>221</v>
      </c>
      <c r="B366" s="77" t="s">
        <v>222</v>
      </c>
      <c r="C366" s="77" t="s">
        <v>223</v>
      </c>
      <c r="D366" s="77" t="s">
        <v>224</v>
      </c>
      <c r="E366" s="76" t="s">
        <v>225</v>
      </c>
      <c r="F366" s="76" t="s">
        <v>226</v>
      </c>
      <c r="H366" s="76" t="s">
        <v>221</v>
      </c>
      <c r="I366" s="77" t="s">
        <v>222</v>
      </c>
      <c r="J366" s="77" t="s">
        <v>223</v>
      </c>
      <c r="K366" s="77" t="s">
        <v>224</v>
      </c>
      <c r="L366" s="76" t="s">
        <v>225</v>
      </c>
      <c r="M366" s="76" t="s">
        <v>226</v>
      </c>
    </row>
    <row r="367" spans="1:13" ht="19.5" customHeight="1" x14ac:dyDescent="0.35">
      <c r="A367" s="78" t="s">
        <v>222</v>
      </c>
      <c r="B367" s="79" t="str">
        <f>IF('Novice 15M - Scoring'!B48&lt;&gt;"",IF('Novice 15M - Scoring'!F48&lt;&gt;"",'Novice 15M - Scoring'!F48,""),"")</f>
        <v/>
      </c>
      <c r="C367" s="79" t="str">
        <f>IF('Novice 15M - Scoring'!B48&lt;&gt;"",IF('Novice 15M - Scoring'!G48&lt;&gt;"",'Novice 15M - Scoring'!G48,""),"")</f>
        <v/>
      </c>
      <c r="D367" s="79" t="str">
        <f>IF('Novice 15M - Scoring'!B48&lt;&gt;"",IF('Novice 15M - Scoring'!H48&lt;&gt;"",'Novice 15M - Scoring'!H48,""),"")</f>
        <v/>
      </c>
      <c r="E367" s="80" t="str">
        <f>IF('Novice 15M - Scoring'!B48&lt;&gt;"",'Novice 15M - Scoring'!AP48,"")</f>
        <v/>
      </c>
      <c r="F367" s="81" t="str">
        <f>IFERROR(IF(ISNUMBER(E367),E367,""),"")</f>
        <v/>
      </c>
      <c r="H367" s="78" t="s">
        <v>222</v>
      </c>
      <c r="I367" s="79" t="str">
        <f>IF('Novice 15M - Scoring'!B49&lt;&gt;"",IF('Novice 15M - Scoring'!F49&lt;&gt;"",'Novice 15M - Scoring'!F49,""),"")</f>
        <v/>
      </c>
      <c r="J367" s="79" t="str">
        <f>IF('Novice 15M - Scoring'!B49&lt;&gt;"",IF('Novice 15M - Scoring'!G49&lt;&gt;"",'Novice 15M - Scoring'!G49,""),"")</f>
        <v/>
      </c>
      <c r="K367" s="79" t="str">
        <f>IF('Novice 15M - Scoring'!B49&lt;&gt;"",IF('Novice 15M - Scoring'!H49&lt;&gt;"",'Novice 15M - Scoring'!H49,""),"")</f>
        <v/>
      </c>
      <c r="L367" s="80" t="str">
        <f>IF('Novice 15M - Scoring'!B49&lt;&gt;"",'Novice 15M - Scoring'!AP49,"")</f>
        <v/>
      </c>
      <c r="M367" s="81" t="str">
        <f>IFERROR(IF(ISNUMBER(L367),L367,""),"")</f>
        <v/>
      </c>
    </row>
    <row r="368" spans="1:13" ht="19.5" customHeight="1" x14ac:dyDescent="0.35">
      <c r="A368" s="78" t="s">
        <v>223</v>
      </c>
      <c r="B368" s="79" t="str">
        <f>IF('Novice 15M - Scoring'!B48&lt;&gt;"",IF('Novice 15M - Scoring'!L48&lt;&gt;"",'Novice 15M - Scoring'!L48,""),"")</f>
        <v/>
      </c>
      <c r="C368" s="79" t="str">
        <f>IF('Novice 15M - Scoring'!B48&lt;&gt;"",IF('Novice 15M - Scoring'!M48&lt;&gt;"",'Novice 15M - Scoring'!M48,""),"")</f>
        <v/>
      </c>
      <c r="D368" s="79" t="str">
        <f>IF('Novice 15M - Scoring'!B48&lt;&gt;"",IF('Novice 15M - Scoring'!N48&lt;&gt;"",'Novice 15M - Scoring'!N48,""),"")</f>
        <v/>
      </c>
      <c r="E368" s="80" t="str">
        <f>IF('Novice 15M - Scoring'!B48&lt;&gt;"",'Novice 15M - Scoring'!AQ48,"")</f>
        <v/>
      </c>
      <c r="F368" s="81" t="str">
        <f>IF(E367&lt;&gt;"",IFERROR(IF(ISNUMBER(E367),E367,0),0)+IFERROR(IF(ISNUMBER(E368),E368,0),0),"")</f>
        <v/>
      </c>
      <c r="H368" s="78" t="s">
        <v>223</v>
      </c>
      <c r="I368" s="79" t="str">
        <f>IF('Novice 15M - Scoring'!B49&lt;&gt;"",IF('Novice 15M - Scoring'!L49&lt;&gt;"",'Novice 15M - Scoring'!L49,""),"")</f>
        <v/>
      </c>
      <c r="J368" s="79" t="str">
        <f>IF('Novice 15M - Scoring'!B49&lt;&gt;"",IF('Novice 15M - Scoring'!M49&lt;&gt;"",'Novice 15M - Scoring'!M49,""),"")</f>
        <v/>
      </c>
      <c r="K368" s="79" t="str">
        <f>IF('Novice 15M - Scoring'!B49&lt;&gt;"",IF('Novice 15M - Scoring'!N49&lt;&gt;"",'Novice 15M - Scoring'!N49,""),"")</f>
        <v/>
      </c>
      <c r="L368" s="80" t="str">
        <f>IF('Novice 15M - Scoring'!B49&lt;&gt;"",'Novice 15M - Scoring'!AQ49,"")</f>
        <v/>
      </c>
      <c r="M368" s="81" t="str">
        <f>IF(L367&lt;&gt;"",IFERROR(IF(ISNUMBER(L367),L367,0),0)+IFERROR(IF(ISNUMBER(L368),L368,0),0),"")</f>
        <v/>
      </c>
    </row>
    <row r="369" spans="1:13" ht="19.5" customHeight="1" x14ac:dyDescent="0.35">
      <c r="A369" s="78" t="s">
        <v>224</v>
      </c>
      <c r="B369" s="79" t="str">
        <f>IF('Novice 15M - Scoring'!B48&lt;&gt;"",IF('Novice 15M - Scoring'!R48&lt;&gt;"",'Novice 15M - Scoring'!R48,""),"")</f>
        <v/>
      </c>
      <c r="C369" s="79" t="str">
        <f>IF('Novice 15M - Scoring'!B48&lt;&gt;"",IF('Novice 15M - Scoring'!S48&lt;&gt;"",'Novice 15M - Scoring'!S48,""),"")</f>
        <v/>
      </c>
      <c r="D369" s="79" t="str">
        <f>IF('Novice 15M - Scoring'!B48&lt;&gt;"",IF('Novice 15M - Scoring'!T48&lt;&gt;"",'Novice 15M - Scoring'!T48,""),"")</f>
        <v/>
      </c>
      <c r="E369" s="80" t="str">
        <f>IF('Novice 15M - Scoring'!B48&lt;&gt;"",'Novice 15M - Scoring'!AR48,"")</f>
        <v/>
      </c>
      <c r="F369" s="81" t="str">
        <f>IF(E367&lt;&gt;"",IFERROR(IF(ISNUMBER(E367),E367,0),0)+IFERROR(IF(ISNUMBER(E368),E368,0),0)+IFERROR(IF(ISNUMBER(E369),E369,0),0),"")</f>
        <v/>
      </c>
      <c r="H369" s="78" t="s">
        <v>224</v>
      </c>
      <c r="I369" s="79" t="str">
        <f>IF('Novice 15M - Scoring'!B49&lt;&gt;"",IF('Novice 15M - Scoring'!R49&lt;&gt;"",'Novice 15M - Scoring'!R49,""),"")</f>
        <v/>
      </c>
      <c r="J369" s="79" t="str">
        <f>IF('Novice 15M - Scoring'!B49&lt;&gt;"",IF('Novice 15M - Scoring'!S49&lt;&gt;"",'Novice 15M - Scoring'!S49,""),"")</f>
        <v/>
      </c>
      <c r="K369" s="79" t="str">
        <f>IF('Novice 15M - Scoring'!B49&lt;&gt;"",IF('Novice 15M - Scoring'!T49&lt;&gt;"",'Novice 15M - Scoring'!T49,""),"")</f>
        <v/>
      </c>
      <c r="L369" s="80" t="str">
        <f>IF('Novice 15M - Scoring'!B49&lt;&gt;"",'Novice 15M - Scoring'!AR49,"")</f>
        <v/>
      </c>
      <c r="M369" s="81" t="str">
        <f>IF(L367&lt;&gt;"",IFERROR(IF(ISNUMBER(L367),L367,0),0)+IFERROR(IF(ISNUMBER(L368),L368,0),0)+IFERROR(IF(ISNUMBER(L369),L369,0),0),"")</f>
        <v/>
      </c>
    </row>
    <row r="370" spans="1:13" ht="19.5" customHeight="1" x14ac:dyDescent="0.35">
      <c r="A370" s="78" t="s">
        <v>227</v>
      </c>
      <c r="B370" s="79" t="str">
        <f>IF('Novice 15M - Scoring'!B48&lt;&gt;"",IF('Novice 15M - Scoring'!X48&lt;&gt;"",'Novice 15M - Scoring'!X48,""),"")</f>
        <v/>
      </c>
      <c r="C370" s="79" t="str">
        <f>IF('Novice 15M - Scoring'!B48&lt;&gt;"",IF('Novice 15M - Scoring'!Y48&lt;&gt;"",'Novice 15M - Scoring'!Y48,""),"")</f>
        <v/>
      </c>
      <c r="D370" s="79" t="str">
        <f>IF('Novice 15M - Scoring'!B48&lt;&gt;"",IF('Novice 15M - Scoring'!Z48&lt;&gt;"",'Novice 15M - Scoring'!Z48,""),"")</f>
        <v/>
      </c>
      <c r="E370" s="80" t="str">
        <f>IF('Novice 15M - Scoring'!B48&lt;&gt;"",'Novice 15M - Scoring'!AS48,"")</f>
        <v/>
      </c>
      <c r="F370" s="81" t="str">
        <f>IF(E367&lt;&gt;"",IFERROR(IF(ISNUMBER(E367),E367,0),0)+IFERROR(IF(ISNUMBER(E368),E368,0),0)+IFERROR(IF(ISNUMBER(E369),E369,0),0)+IFERROR(IF(ISNUMBER(E370),E370,0),0),"")</f>
        <v/>
      </c>
      <c r="H370" s="78" t="s">
        <v>227</v>
      </c>
      <c r="I370" s="79" t="str">
        <f>IF('Novice 15M - Scoring'!B49&lt;&gt;"",IF('Novice 15M - Scoring'!X49&lt;&gt;"",'Novice 15M - Scoring'!X49,""),"")</f>
        <v/>
      </c>
      <c r="J370" s="79" t="str">
        <f>IF('Novice 15M - Scoring'!B49&lt;&gt;"",IF('Novice 15M - Scoring'!Y49&lt;&gt;"",'Novice 15M - Scoring'!Y49,""),"")</f>
        <v/>
      </c>
      <c r="K370" s="79" t="str">
        <f>IF('Novice 15M - Scoring'!B49&lt;&gt;"",IF('Novice 15M - Scoring'!Z49&lt;&gt;"",'Novice 15M - Scoring'!Z49,""),"")</f>
        <v/>
      </c>
      <c r="L370" s="80" t="str">
        <f>IF('Novice 15M - Scoring'!B49&lt;&gt;"",'Novice 15M - Scoring'!AS49,"")</f>
        <v/>
      </c>
      <c r="M370" s="81" t="str">
        <f>IF(L367&lt;&gt;"",IFERROR(IF(ISNUMBER(L367),L367,0),0)+IFERROR(IF(ISNUMBER(L368),L368,0),0)+IFERROR(IF(ISNUMBER(L369),L369,0),0)+IFERROR(IF(ISNUMBER(L370),L370,0),0),"")</f>
        <v/>
      </c>
    </row>
    <row r="371" spans="1:13" ht="19.5" customHeight="1" x14ac:dyDescent="0.35">
      <c r="A371" s="78" t="s">
        <v>228</v>
      </c>
      <c r="B371" s="79" t="str">
        <f>IF('Novice 15M - Scoring'!B48&lt;&gt;"",IF('Novice 15M - Scoring'!AD48&lt;&gt;"",'Novice 15M - Scoring'!AD48,""),"")</f>
        <v/>
      </c>
      <c r="C371" s="79" t="str">
        <f>IF('Novice 15M - Scoring'!B48&lt;&gt;"",IF('Novice 15M - Scoring'!AE48&lt;&gt;"",'Novice 15M - Scoring'!AE48,""),"")</f>
        <v/>
      </c>
      <c r="D371" s="79" t="str">
        <f>IF('Novice 15M - Scoring'!B48&lt;&gt;"",IF('Novice 15M - Scoring'!AF48&lt;&gt;"",'Novice 15M - Scoring'!AF48,""),"")</f>
        <v/>
      </c>
      <c r="E371" s="80" t="str">
        <f>IF('Novice 15M - Scoring'!B48&lt;&gt;"",'Novice 15M - Scoring'!AT48,"")</f>
        <v/>
      </c>
      <c r="F371" s="81" t="str">
        <f>IF(E367&lt;&gt;"",IFERROR(IF(ISNUMBER(E367),E367,0),0)+IFERROR(IF(ISNUMBER(E368),E368,0),0)+IFERROR(IF(ISNUMBER(E369),E369,0),0)+IFERROR(IF(ISNUMBER(E370),E370,0),0)+IFERROR(IF(ISNUMBER(E371),E371,0),0),"")</f>
        <v/>
      </c>
      <c r="H371" s="78" t="s">
        <v>228</v>
      </c>
      <c r="I371" s="79" t="str">
        <f>IF('Novice 15M - Scoring'!B49&lt;&gt;"",IF('Novice 15M - Scoring'!AD49&lt;&gt;"",'Novice 15M - Scoring'!AD49,""),"")</f>
        <v/>
      </c>
      <c r="J371" s="79" t="str">
        <f>IF('Novice 15M - Scoring'!B49&lt;&gt;"",IF('Novice 15M - Scoring'!AE49&lt;&gt;"",'Novice 15M - Scoring'!AE49,""),"")</f>
        <v/>
      </c>
      <c r="K371" s="79" t="str">
        <f>IF('Novice 15M - Scoring'!B49&lt;&gt;"",IF('Novice 15M - Scoring'!AF49&lt;&gt;"",'Novice 15M - Scoring'!AF49,""),"")</f>
        <v/>
      </c>
      <c r="L371" s="80" t="str">
        <f>IF('Novice 15M - Scoring'!B49&lt;&gt;"",'Novice 15M - Scoring'!AT49,"")</f>
        <v/>
      </c>
      <c r="M371" s="81" t="str">
        <f>IF(L367&lt;&gt;"",IFERROR(IF(ISNUMBER(L367),L367,0),0)+IFERROR(IF(ISNUMBER(L368),L368,0),0)+IFERROR(IF(ISNUMBER(L369),L369,0),0)+IFERROR(IF(ISNUMBER(L370),L370,0),0)+IFERROR(IF(ISNUMBER(L371),L371,0),0),"")</f>
        <v/>
      </c>
    </row>
    <row r="372" spans="1:13" ht="19.5" customHeight="1" x14ac:dyDescent="0.35">
      <c r="A372" s="78" t="s">
        <v>229</v>
      </c>
      <c r="B372" s="79" t="str">
        <f>IF('Novice 15M - Scoring'!B48&lt;&gt;"",IF('Novice 15M - Scoring'!AJ48&lt;&gt;"",'Novice 15M - Scoring'!AJ48,""),"")</f>
        <v/>
      </c>
      <c r="C372" s="79" t="str">
        <f>IF('Novice 15M - Scoring'!B48&lt;&gt;"",IF('Novice 15M - Scoring'!AK48&lt;&gt;"",'Novice 15M - Scoring'!AK48,""),"")</f>
        <v/>
      </c>
      <c r="D372" s="79" t="str">
        <f>IF('Novice 15M - Scoring'!B48&lt;&gt;"",IF('Novice 15M - Scoring'!AL48&lt;&gt;"",'Novice 15M - Scoring'!AL48,""),"")</f>
        <v/>
      </c>
      <c r="E372" s="80" t="str">
        <f>IF('Novice 15M - Scoring'!B48&lt;&gt;"",'Novice 15M - Scoring'!AU48,"")</f>
        <v/>
      </c>
      <c r="F372" s="81" t="str">
        <f>IF(E367&lt;&gt;"",IFERROR(IF(ISNUMBER(E367),E367,0),0)+IFERROR(IF(ISNUMBER(E368),E368,0),0)+IFERROR(IF(ISNUMBER(E369),E369,0),0)+IFERROR(IF(ISNUMBER(E370),E370,0),0)+IFERROR(IF(ISNUMBER(E371),E371,0),0)+IFERROR(IF(ISNUMBER(E372),E372,0),0),"")</f>
        <v/>
      </c>
      <c r="H372" s="78" t="s">
        <v>229</v>
      </c>
      <c r="I372" s="79" t="str">
        <f>IF('Novice 15M - Scoring'!B49&lt;&gt;"",IF('Novice 15M - Scoring'!AJ49&lt;&gt;"",'Novice 15M - Scoring'!AJ49,""),"")</f>
        <v/>
      </c>
      <c r="J372" s="79" t="str">
        <f>IF('Novice 15M - Scoring'!B49&lt;&gt;"",IF('Novice 15M - Scoring'!AK49&lt;&gt;"",'Novice 15M - Scoring'!AK49,""),"")</f>
        <v/>
      </c>
      <c r="K372" s="79" t="str">
        <f>IF('Novice 15M - Scoring'!B49&lt;&gt;"",IF('Novice 15M - Scoring'!AL49&lt;&gt;"",'Novice 15M - Scoring'!AL49,""),"")</f>
        <v/>
      </c>
      <c r="L372" s="80" t="str">
        <f>IF('Novice 15M - Scoring'!B49&lt;&gt;"",'Novice 15M - Scoring'!AU49,"")</f>
        <v/>
      </c>
      <c r="M372" s="81" t="str">
        <f>IF(L367&lt;&gt;"",IFERROR(IF(ISNUMBER(L367),L367,0),0)+IFERROR(IF(ISNUMBER(L368),L368,0),0)+IFERROR(IF(ISNUMBER(L369),L369,0),0)+IFERROR(IF(ISNUMBER(L370),L370,0),0)+IFERROR(IF(ISNUMBER(L371),L371,0),0)+IFERROR(IF(ISNUMBER(L372),L372,0),0),"")</f>
        <v/>
      </c>
    </row>
    <row r="373" spans="1:13" ht="3.75" customHeight="1" x14ac:dyDescent="0.35"/>
    <row r="374" spans="1:13" ht="24" customHeight="1" x14ac:dyDescent="0.35">
      <c r="A374" s="124" t="s">
        <v>230</v>
      </c>
      <c r="B374" s="124"/>
      <c r="C374" s="124"/>
      <c r="D374" s="124"/>
      <c r="E374" s="125" t="str">
        <f>IF('Novice 15M - Scoring'!B48&lt;&gt;"",'Novice 15M - Scoring'!AV48,"")</f>
        <v/>
      </c>
      <c r="F374" s="125"/>
      <c r="H374" s="124" t="s">
        <v>230</v>
      </c>
      <c r="I374" s="124"/>
      <c r="J374" s="124"/>
      <c r="K374" s="124"/>
      <c r="L374" s="125" t="str">
        <f>IF('Novice 15M - Scoring'!B49&lt;&gt;"",'Novice 15M - Scoring'!AV49,"")</f>
        <v/>
      </c>
      <c r="M374" s="125"/>
    </row>
    <row r="375" spans="1:13" ht="19.5" customHeight="1" x14ac:dyDescent="0.35">
      <c r="E375" s="125"/>
      <c r="F375" s="125"/>
      <c r="L375" s="125"/>
      <c r="M375" s="125"/>
    </row>
    <row r="376" spans="1:13" ht="3.75" customHeight="1" x14ac:dyDescent="0.35"/>
    <row r="377" spans="1:13" ht="18" customHeight="1" x14ac:dyDescent="0.35">
      <c r="A377" s="73" t="s">
        <v>126</v>
      </c>
      <c r="B377" s="82" t="str">
        <f>IF('Novice 15M - Scoring'!B48&lt;&gt;"",'Novice 15M - Scoring'!AW48,"")</f>
        <v/>
      </c>
      <c r="C377" s="73" t="s">
        <v>127</v>
      </c>
      <c r="D377" s="83" t="str">
        <f>IF('Novice 15M - Scoring'!B48&lt;&gt;"",'Novice 15M - Scoring'!AX48,"")</f>
        <v/>
      </c>
      <c r="E377" s="73" t="s">
        <v>128</v>
      </c>
      <c r="F377" s="83" t="str">
        <f>IF('Novice 15M - Scoring'!B48&lt;&gt;"",'Novice 15M - Scoring'!AY48,"")</f>
        <v/>
      </c>
      <c r="H377" s="73" t="s">
        <v>126</v>
      </c>
      <c r="I377" s="82" t="str">
        <f>IF('Novice 15M - Scoring'!B49&lt;&gt;"",'Novice 15M - Scoring'!AW49,"")</f>
        <v/>
      </c>
      <c r="J377" s="73" t="s">
        <v>127</v>
      </c>
      <c r="K377" s="83" t="str">
        <f>IF('Novice 15M - Scoring'!B49&lt;&gt;"",'Novice 15M - Scoring'!AX49,"")</f>
        <v/>
      </c>
      <c r="L377" s="73" t="s">
        <v>128</v>
      </c>
      <c r="M377" s="83" t="str">
        <f>IF('Novice 15M - Scoring'!B49&lt;&gt;"",'Novice 15M - Scoring'!AY49,"")</f>
        <v/>
      </c>
    </row>
    <row r="378" spans="1:13" ht="3.75" customHeight="1" x14ac:dyDescent="0.35"/>
    <row r="379" spans="1:13" ht="7.5" customHeight="1" x14ac:dyDescent="0.35">
      <c r="A379" s="126"/>
      <c r="B379" s="126"/>
      <c r="C379" s="126"/>
      <c r="D379" s="126"/>
      <c r="E379" s="126"/>
      <c r="F379" s="126"/>
      <c r="G379" s="126"/>
      <c r="H379" s="126"/>
      <c r="I379" s="126"/>
      <c r="J379" s="126"/>
      <c r="K379" s="126"/>
      <c r="L379" s="126"/>
      <c r="M379" s="126"/>
    </row>
    <row r="380" spans="1:13" ht="15.75" customHeight="1" x14ac:dyDescent="0.35">
      <c r="A380" s="73" t="s">
        <v>218</v>
      </c>
      <c r="B380" s="122" t="str">
        <f>IF('Novice 15M - Scoring'!B50&lt;&gt;"",'Novice 15M - Scoring'!B50,"")</f>
        <v/>
      </c>
      <c r="C380" s="122"/>
      <c r="D380" s="122"/>
      <c r="E380" s="73" t="s">
        <v>219</v>
      </c>
      <c r="F380" s="74" t="str">
        <f>IF('Novice 15M - Scoring'!B50&lt;&gt;"",'Novice 15M - Scoring'!BB50,"")</f>
        <v/>
      </c>
      <c r="H380" s="73" t="s">
        <v>218</v>
      </c>
      <c r="I380" s="122" t="str">
        <f>IF('Novice 15M - Scoring'!B51&lt;&gt;"",'Novice 15M - Scoring'!B51,"")</f>
        <v/>
      </c>
      <c r="J380" s="122"/>
      <c r="K380" s="122"/>
      <c r="L380" s="73" t="s">
        <v>219</v>
      </c>
      <c r="M380" s="74" t="str">
        <f>IF('Novice 15M - Scoring'!B51&lt;&gt;"",'Novice 15M - Scoring'!BB51,"")</f>
        <v/>
      </c>
    </row>
    <row r="381" spans="1:13" ht="15.75" customHeight="1" x14ac:dyDescent="0.35">
      <c r="A381" s="73" t="s">
        <v>220</v>
      </c>
      <c r="B381" s="123" t="str">
        <f>IF('Novice 15M - Scoring'!B50&lt;&gt;"",'Novice 15M - Scoring'!D50,"")</f>
        <v/>
      </c>
      <c r="C381" s="123"/>
      <c r="D381" s="123"/>
      <c r="E381" s="73" t="s">
        <v>8</v>
      </c>
      <c r="F381" s="75" t="str">
        <f>IF('Novice 15M - Scoring'!B50&lt;&gt;"",'Novice 15M - Scoring'!E50,"")</f>
        <v/>
      </c>
      <c r="H381" s="73" t="s">
        <v>220</v>
      </c>
      <c r="I381" s="123" t="str">
        <f>IF('Novice 15M - Scoring'!B51&lt;&gt;"",'Novice 15M - Scoring'!D51,"")</f>
        <v/>
      </c>
      <c r="J381" s="123"/>
      <c r="K381" s="123"/>
      <c r="L381" s="73" t="s">
        <v>8</v>
      </c>
      <c r="M381" s="75" t="str">
        <f>IF('Novice 15M - Scoring'!B51&lt;&gt;"",'Novice 15M - Scoring'!E51,"")</f>
        <v/>
      </c>
    </row>
    <row r="382" spans="1:13" ht="3.75" customHeight="1" x14ac:dyDescent="0.35"/>
    <row r="383" spans="1:13" ht="25.5" customHeight="1" x14ac:dyDescent="0.35">
      <c r="A383" s="76" t="s">
        <v>221</v>
      </c>
      <c r="B383" s="77" t="s">
        <v>222</v>
      </c>
      <c r="C383" s="77" t="s">
        <v>223</v>
      </c>
      <c r="D383" s="77" t="s">
        <v>224</v>
      </c>
      <c r="E383" s="76" t="s">
        <v>225</v>
      </c>
      <c r="F383" s="76" t="s">
        <v>226</v>
      </c>
      <c r="H383" s="76" t="s">
        <v>221</v>
      </c>
      <c r="I383" s="77" t="s">
        <v>222</v>
      </c>
      <c r="J383" s="77" t="s">
        <v>223</v>
      </c>
      <c r="K383" s="77" t="s">
        <v>224</v>
      </c>
      <c r="L383" s="76" t="s">
        <v>225</v>
      </c>
      <c r="M383" s="76" t="s">
        <v>226</v>
      </c>
    </row>
    <row r="384" spans="1:13" ht="19.5" customHeight="1" x14ac:dyDescent="0.35">
      <c r="A384" s="78" t="s">
        <v>222</v>
      </c>
      <c r="B384" s="79" t="str">
        <f>IF('Novice 15M - Scoring'!B50&lt;&gt;"",IF('Novice 15M - Scoring'!F50&lt;&gt;"",'Novice 15M - Scoring'!F50,""),"")</f>
        <v/>
      </c>
      <c r="C384" s="79" t="str">
        <f>IF('Novice 15M - Scoring'!B50&lt;&gt;"",IF('Novice 15M - Scoring'!G50&lt;&gt;"",'Novice 15M - Scoring'!G50,""),"")</f>
        <v/>
      </c>
      <c r="D384" s="79" t="str">
        <f>IF('Novice 15M - Scoring'!B50&lt;&gt;"",IF('Novice 15M - Scoring'!H50&lt;&gt;"",'Novice 15M - Scoring'!H50,""),"")</f>
        <v/>
      </c>
      <c r="E384" s="80" t="str">
        <f>IF('Novice 15M - Scoring'!B50&lt;&gt;"",'Novice 15M - Scoring'!AP50,"")</f>
        <v/>
      </c>
      <c r="F384" s="81" t="str">
        <f>IFERROR(IF(ISNUMBER(E384),E384,""),"")</f>
        <v/>
      </c>
      <c r="H384" s="78" t="s">
        <v>222</v>
      </c>
      <c r="I384" s="79" t="str">
        <f>IF('Novice 15M - Scoring'!B51&lt;&gt;"",IF('Novice 15M - Scoring'!F51&lt;&gt;"",'Novice 15M - Scoring'!F51,""),"")</f>
        <v/>
      </c>
      <c r="J384" s="79" t="str">
        <f>IF('Novice 15M - Scoring'!B51&lt;&gt;"",IF('Novice 15M - Scoring'!G51&lt;&gt;"",'Novice 15M - Scoring'!G51,""),"")</f>
        <v/>
      </c>
      <c r="K384" s="79" t="str">
        <f>IF('Novice 15M - Scoring'!B51&lt;&gt;"",IF('Novice 15M - Scoring'!H51&lt;&gt;"",'Novice 15M - Scoring'!H51,""),"")</f>
        <v/>
      </c>
      <c r="L384" s="80" t="str">
        <f>IF('Novice 15M - Scoring'!B51&lt;&gt;"",'Novice 15M - Scoring'!AP51,"")</f>
        <v/>
      </c>
      <c r="M384" s="81" t="str">
        <f>IFERROR(IF(ISNUMBER(L384),L384,""),"")</f>
        <v/>
      </c>
    </row>
    <row r="385" spans="1:13" ht="19.5" customHeight="1" x14ac:dyDescent="0.35">
      <c r="A385" s="78" t="s">
        <v>223</v>
      </c>
      <c r="B385" s="79" t="str">
        <f>IF('Novice 15M - Scoring'!B50&lt;&gt;"",IF('Novice 15M - Scoring'!L50&lt;&gt;"",'Novice 15M - Scoring'!L50,""),"")</f>
        <v/>
      </c>
      <c r="C385" s="79" t="str">
        <f>IF('Novice 15M - Scoring'!B50&lt;&gt;"",IF('Novice 15M - Scoring'!M50&lt;&gt;"",'Novice 15M - Scoring'!M50,""),"")</f>
        <v/>
      </c>
      <c r="D385" s="79" t="str">
        <f>IF('Novice 15M - Scoring'!B50&lt;&gt;"",IF('Novice 15M - Scoring'!N50&lt;&gt;"",'Novice 15M - Scoring'!N50,""),"")</f>
        <v/>
      </c>
      <c r="E385" s="80" t="str">
        <f>IF('Novice 15M - Scoring'!B50&lt;&gt;"",'Novice 15M - Scoring'!AQ50,"")</f>
        <v/>
      </c>
      <c r="F385" s="81" t="str">
        <f>IF(E384&lt;&gt;"",IFERROR(IF(ISNUMBER(E384),E384,0),0)+IFERROR(IF(ISNUMBER(E385),E385,0),0),"")</f>
        <v/>
      </c>
      <c r="H385" s="78" t="s">
        <v>223</v>
      </c>
      <c r="I385" s="79" t="str">
        <f>IF('Novice 15M - Scoring'!B51&lt;&gt;"",IF('Novice 15M - Scoring'!L51&lt;&gt;"",'Novice 15M - Scoring'!L51,""),"")</f>
        <v/>
      </c>
      <c r="J385" s="79" t="str">
        <f>IF('Novice 15M - Scoring'!B51&lt;&gt;"",IF('Novice 15M - Scoring'!M51&lt;&gt;"",'Novice 15M - Scoring'!M51,""),"")</f>
        <v/>
      </c>
      <c r="K385" s="79" t="str">
        <f>IF('Novice 15M - Scoring'!B51&lt;&gt;"",IF('Novice 15M - Scoring'!N51&lt;&gt;"",'Novice 15M - Scoring'!N51,""),"")</f>
        <v/>
      </c>
      <c r="L385" s="80" t="str">
        <f>IF('Novice 15M - Scoring'!B51&lt;&gt;"",'Novice 15M - Scoring'!AQ51,"")</f>
        <v/>
      </c>
      <c r="M385" s="81" t="str">
        <f>IF(L384&lt;&gt;"",IFERROR(IF(ISNUMBER(L384),L384,0),0)+IFERROR(IF(ISNUMBER(L385),L385,0),0),"")</f>
        <v/>
      </c>
    </row>
    <row r="386" spans="1:13" ht="19.5" customHeight="1" x14ac:dyDescent="0.35">
      <c r="A386" s="78" t="s">
        <v>224</v>
      </c>
      <c r="B386" s="79" t="str">
        <f>IF('Novice 15M - Scoring'!B50&lt;&gt;"",IF('Novice 15M - Scoring'!R50&lt;&gt;"",'Novice 15M - Scoring'!R50,""),"")</f>
        <v/>
      </c>
      <c r="C386" s="79" t="str">
        <f>IF('Novice 15M - Scoring'!B50&lt;&gt;"",IF('Novice 15M - Scoring'!S50&lt;&gt;"",'Novice 15M - Scoring'!S50,""),"")</f>
        <v/>
      </c>
      <c r="D386" s="79" t="str">
        <f>IF('Novice 15M - Scoring'!B50&lt;&gt;"",IF('Novice 15M - Scoring'!T50&lt;&gt;"",'Novice 15M - Scoring'!T50,""),"")</f>
        <v/>
      </c>
      <c r="E386" s="80" t="str">
        <f>IF('Novice 15M - Scoring'!B50&lt;&gt;"",'Novice 15M - Scoring'!AR50,"")</f>
        <v/>
      </c>
      <c r="F386" s="81" t="str">
        <f>IF(E384&lt;&gt;"",IFERROR(IF(ISNUMBER(E384),E384,0),0)+IFERROR(IF(ISNUMBER(E385),E385,0),0)+IFERROR(IF(ISNUMBER(E386),E386,0),0),"")</f>
        <v/>
      </c>
      <c r="H386" s="78" t="s">
        <v>224</v>
      </c>
      <c r="I386" s="79" t="str">
        <f>IF('Novice 15M - Scoring'!B51&lt;&gt;"",IF('Novice 15M - Scoring'!R51&lt;&gt;"",'Novice 15M - Scoring'!R51,""),"")</f>
        <v/>
      </c>
      <c r="J386" s="79" t="str">
        <f>IF('Novice 15M - Scoring'!B51&lt;&gt;"",IF('Novice 15M - Scoring'!S51&lt;&gt;"",'Novice 15M - Scoring'!S51,""),"")</f>
        <v/>
      </c>
      <c r="K386" s="79" t="str">
        <f>IF('Novice 15M - Scoring'!B51&lt;&gt;"",IF('Novice 15M - Scoring'!T51&lt;&gt;"",'Novice 15M - Scoring'!T51,""),"")</f>
        <v/>
      </c>
      <c r="L386" s="80" t="str">
        <f>IF('Novice 15M - Scoring'!B51&lt;&gt;"",'Novice 15M - Scoring'!AR51,"")</f>
        <v/>
      </c>
      <c r="M386" s="81" t="str">
        <f>IF(L384&lt;&gt;"",IFERROR(IF(ISNUMBER(L384),L384,0),0)+IFERROR(IF(ISNUMBER(L385),L385,0),0)+IFERROR(IF(ISNUMBER(L386),L386,0),0),"")</f>
        <v/>
      </c>
    </row>
    <row r="387" spans="1:13" ht="19.5" customHeight="1" x14ac:dyDescent="0.35">
      <c r="A387" s="78" t="s">
        <v>227</v>
      </c>
      <c r="B387" s="79" t="str">
        <f>IF('Novice 15M - Scoring'!B50&lt;&gt;"",IF('Novice 15M - Scoring'!X50&lt;&gt;"",'Novice 15M - Scoring'!X50,""),"")</f>
        <v/>
      </c>
      <c r="C387" s="79" t="str">
        <f>IF('Novice 15M - Scoring'!B50&lt;&gt;"",IF('Novice 15M - Scoring'!Y50&lt;&gt;"",'Novice 15M - Scoring'!Y50,""),"")</f>
        <v/>
      </c>
      <c r="D387" s="79" t="str">
        <f>IF('Novice 15M - Scoring'!B50&lt;&gt;"",IF('Novice 15M - Scoring'!Z50&lt;&gt;"",'Novice 15M - Scoring'!Z50,""),"")</f>
        <v/>
      </c>
      <c r="E387" s="80" t="str">
        <f>IF('Novice 15M - Scoring'!B50&lt;&gt;"",'Novice 15M - Scoring'!AS50,"")</f>
        <v/>
      </c>
      <c r="F387" s="81" t="str">
        <f>IF(E384&lt;&gt;"",IFERROR(IF(ISNUMBER(E384),E384,0),0)+IFERROR(IF(ISNUMBER(E385),E385,0),0)+IFERROR(IF(ISNUMBER(E386),E386,0),0)+IFERROR(IF(ISNUMBER(E387),E387,0),0),"")</f>
        <v/>
      </c>
      <c r="H387" s="78" t="s">
        <v>227</v>
      </c>
      <c r="I387" s="79" t="str">
        <f>IF('Novice 15M - Scoring'!B51&lt;&gt;"",IF('Novice 15M - Scoring'!X51&lt;&gt;"",'Novice 15M - Scoring'!X51,""),"")</f>
        <v/>
      </c>
      <c r="J387" s="79" t="str">
        <f>IF('Novice 15M - Scoring'!B51&lt;&gt;"",IF('Novice 15M - Scoring'!Y51&lt;&gt;"",'Novice 15M - Scoring'!Y51,""),"")</f>
        <v/>
      </c>
      <c r="K387" s="79" t="str">
        <f>IF('Novice 15M - Scoring'!B51&lt;&gt;"",IF('Novice 15M - Scoring'!Z51&lt;&gt;"",'Novice 15M - Scoring'!Z51,""),"")</f>
        <v/>
      </c>
      <c r="L387" s="80" t="str">
        <f>IF('Novice 15M - Scoring'!B51&lt;&gt;"",'Novice 15M - Scoring'!AS51,"")</f>
        <v/>
      </c>
      <c r="M387" s="81" t="str">
        <f>IF(L384&lt;&gt;"",IFERROR(IF(ISNUMBER(L384),L384,0),0)+IFERROR(IF(ISNUMBER(L385),L385,0),0)+IFERROR(IF(ISNUMBER(L386),L386,0),0)+IFERROR(IF(ISNUMBER(L387),L387,0),0),"")</f>
        <v/>
      </c>
    </row>
    <row r="388" spans="1:13" ht="19.5" customHeight="1" x14ac:dyDescent="0.35">
      <c r="A388" s="78" t="s">
        <v>228</v>
      </c>
      <c r="B388" s="79" t="str">
        <f>IF('Novice 15M - Scoring'!B50&lt;&gt;"",IF('Novice 15M - Scoring'!AD50&lt;&gt;"",'Novice 15M - Scoring'!AD50,""),"")</f>
        <v/>
      </c>
      <c r="C388" s="79" t="str">
        <f>IF('Novice 15M - Scoring'!B50&lt;&gt;"",IF('Novice 15M - Scoring'!AE50&lt;&gt;"",'Novice 15M - Scoring'!AE50,""),"")</f>
        <v/>
      </c>
      <c r="D388" s="79" t="str">
        <f>IF('Novice 15M - Scoring'!B50&lt;&gt;"",IF('Novice 15M - Scoring'!AF50&lt;&gt;"",'Novice 15M - Scoring'!AF50,""),"")</f>
        <v/>
      </c>
      <c r="E388" s="80" t="str">
        <f>IF('Novice 15M - Scoring'!B50&lt;&gt;"",'Novice 15M - Scoring'!AT50,"")</f>
        <v/>
      </c>
      <c r="F388" s="81" t="str">
        <f>IF(E384&lt;&gt;"",IFERROR(IF(ISNUMBER(E384),E384,0),0)+IFERROR(IF(ISNUMBER(E385),E385,0),0)+IFERROR(IF(ISNUMBER(E386),E386,0),0)+IFERROR(IF(ISNUMBER(E387),E387,0),0)+IFERROR(IF(ISNUMBER(E388),E388,0),0),"")</f>
        <v/>
      </c>
      <c r="H388" s="78" t="s">
        <v>228</v>
      </c>
      <c r="I388" s="79" t="str">
        <f>IF('Novice 15M - Scoring'!B51&lt;&gt;"",IF('Novice 15M - Scoring'!AD51&lt;&gt;"",'Novice 15M - Scoring'!AD51,""),"")</f>
        <v/>
      </c>
      <c r="J388" s="79" t="str">
        <f>IF('Novice 15M - Scoring'!B51&lt;&gt;"",IF('Novice 15M - Scoring'!AE51&lt;&gt;"",'Novice 15M - Scoring'!AE51,""),"")</f>
        <v/>
      </c>
      <c r="K388" s="79" t="str">
        <f>IF('Novice 15M - Scoring'!B51&lt;&gt;"",IF('Novice 15M - Scoring'!AF51&lt;&gt;"",'Novice 15M - Scoring'!AF51,""),"")</f>
        <v/>
      </c>
      <c r="L388" s="80" t="str">
        <f>IF('Novice 15M - Scoring'!B51&lt;&gt;"",'Novice 15M - Scoring'!AT51,"")</f>
        <v/>
      </c>
      <c r="M388" s="81" t="str">
        <f>IF(L384&lt;&gt;"",IFERROR(IF(ISNUMBER(L384),L384,0),0)+IFERROR(IF(ISNUMBER(L385),L385,0),0)+IFERROR(IF(ISNUMBER(L386),L386,0),0)+IFERROR(IF(ISNUMBER(L387),L387,0),0)+IFERROR(IF(ISNUMBER(L388),L388,0),0),"")</f>
        <v/>
      </c>
    </row>
    <row r="389" spans="1:13" ht="19.5" customHeight="1" x14ac:dyDescent="0.35">
      <c r="A389" s="78" t="s">
        <v>229</v>
      </c>
      <c r="B389" s="79" t="str">
        <f>IF('Novice 15M - Scoring'!B50&lt;&gt;"",IF('Novice 15M - Scoring'!AJ50&lt;&gt;"",'Novice 15M - Scoring'!AJ50,""),"")</f>
        <v/>
      </c>
      <c r="C389" s="79" t="str">
        <f>IF('Novice 15M - Scoring'!B50&lt;&gt;"",IF('Novice 15M - Scoring'!AK50&lt;&gt;"",'Novice 15M - Scoring'!AK50,""),"")</f>
        <v/>
      </c>
      <c r="D389" s="79" t="str">
        <f>IF('Novice 15M - Scoring'!B50&lt;&gt;"",IF('Novice 15M - Scoring'!AL50&lt;&gt;"",'Novice 15M - Scoring'!AL50,""),"")</f>
        <v/>
      </c>
      <c r="E389" s="80" t="str">
        <f>IF('Novice 15M - Scoring'!B50&lt;&gt;"",'Novice 15M - Scoring'!AU50,"")</f>
        <v/>
      </c>
      <c r="F389" s="81" t="str">
        <f>IF(E384&lt;&gt;"",IFERROR(IF(ISNUMBER(E384),E384,0),0)+IFERROR(IF(ISNUMBER(E385),E385,0),0)+IFERROR(IF(ISNUMBER(E386),E386,0),0)+IFERROR(IF(ISNUMBER(E387),E387,0),0)+IFERROR(IF(ISNUMBER(E388),E388,0),0)+IFERROR(IF(ISNUMBER(E389),E389,0),0),"")</f>
        <v/>
      </c>
      <c r="H389" s="78" t="s">
        <v>229</v>
      </c>
      <c r="I389" s="79" t="str">
        <f>IF('Novice 15M - Scoring'!B51&lt;&gt;"",IF('Novice 15M - Scoring'!AJ51&lt;&gt;"",'Novice 15M - Scoring'!AJ51,""),"")</f>
        <v/>
      </c>
      <c r="J389" s="79" t="str">
        <f>IF('Novice 15M - Scoring'!B51&lt;&gt;"",IF('Novice 15M - Scoring'!AK51&lt;&gt;"",'Novice 15M - Scoring'!AK51,""),"")</f>
        <v/>
      </c>
      <c r="K389" s="79" t="str">
        <f>IF('Novice 15M - Scoring'!B51&lt;&gt;"",IF('Novice 15M - Scoring'!AL51&lt;&gt;"",'Novice 15M - Scoring'!AL51,""),"")</f>
        <v/>
      </c>
      <c r="L389" s="80" t="str">
        <f>IF('Novice 15M - Scoring'!B51&lt;&gt;"",'Novice 15M - Scoring'!AU51,"")</f>
        <v/>
      </c>
      <c r="M389" s="81" t="str">
        <f>IF(L384&lt;&gt;"",IFERROR(IF(ISNUMBER(L384),L384,0),0)+IFERROR(IF(ISNUMBER(L385),L385,0),0)+IFERROR(IF(ISNUMBER(L386),L386,0),0)+IFERROR(IF(ISNUMBER(L387),L387,0),0)+IFERROR(IF(ISNUMBER(L388),L388,0),0)+IFERROR(IF(ISNUMBER(L389),L389,0),0),"")</f>
        <v/>
      </c>
    </row>
    <row r="390" spans="1:13" ht="3.75" customHeight="1" x14ac:dyDescent="0.35"/>
    <row r="391" spans="1:13" ht="24" customHeight="1" x14ac:dyDescent="0.35">
      <c r="A391" s="124" t="s">
        <v>230</v>
      </c>
      <c r="B391" s="124"/>
      <c r="C391" s="124"/>
      <c r="D391" s="124"/>
      <c r="E391" s="125" t="str">
        <f>IF('Novice 15M - Scoring'!B50&lt;&gt;"",'Novice 15M - Scoring'!AV50,"")</f>
        <v/>
      </c>
      <c r="F391" s="125"/>
      <c r="H391" s="124" t="s">
        <v>230</v>
      </c>
      <c r="I391" s="124"/>
      <c r="J391" s="124"/>
      <c r="K391" s="124"/>
      <c r="L391" s="125" t="str">
        <f>IF('Novice 15M - Scoring'!B51&lt;&gt;"",'Novice 15M - Scoring'!AV51,"")</f>
        <v/>
      </c>
      <c r="M391" s="125"/>
    </row>
    <row r="392" spans="1:13" ht="19.5" customHeight="1" x14ac:dyDescent="0.35">
      <c r="E392" s="125"/>
      <c r="F392" s="125"/>
      <c r="L392" s="125"/>
      <c r="M392" s="125"/>
    </row>
    <row r="393" spans="1:13" ht="3.75" customHeight="1" x14ac:dyDescent="0.35"/>
    <row r="394" spans="1:13" ht="18" customHeight="1" x14ac:dyDescent="0.35">
      <c r="A394" s="73" t="s">
        <v>126</v>
      </c>
      <c r="B394" s="82" t="str">
        <f>IF('Novice 15M - Scoring'!B50&lt;&gt;"",'Novice 15M - Scoring'!AW50,"")</f>
        <v/>
      </c>
      <c r="C394" s="73" t="s">
        <v>127</v>
      </c>
      <c r="D394" s="83" t="str">
        <f>IF('Novice 15M - Scoring'!B50&lt;&gt;"",'Novice 15M - Scoring'!AX50,"")</f>
        <v/>
      </c>
      <c r="E394" s="73" t="s">
        <v>128</v>
      </c>
      <c r="F394" s="83" t="str">
        <f>IF('Novice 15M - Scoring'!B50&lt;&gt;"",'Novice 15M - Scoring'!AY50,"")</f>
        <v/>
      </c>
      <c r="H394" s="73" t="s">
        <v>126</v>
      </c>
      <c r="I394" s="82" t="str">
        <f>IF('Novice 15M - Scoring'!B51&lt;&gt;"",'Novice 15M - Scoring'!AW51,"")</f>
        <v/>
      </c>
      <c r="J394" s="73" t="s">
        <v>127</v>
      </c>
      <c r="K394" s="83" t="str">
        <f>IF('Novice 15M - Scoring'!B51&lt;&gt;"",'Novice 15M - Scoring'!AX51,"")</f>
        <v/>
      </c>
      <c r="L394" s="73" t="s">
        <v>128</v>
      </c>
      <c r="M394" s="83" t="str">
        <f>IF('Novice 15M - Scoring'!B51&lt;&gt;"",'Novice 15M - Scoring'!AY51,"")</f>
        <v/>
      </c>
    </row>
    <row r="395" spans="1:13" ht="3.75" customHeight="1" x14ac:dyDescent="0.35"/>
    <row r="396" spans="1:13" ht="7.5" customHeight="1" x14ac:dyDescent="0.35">
      <c r="A396" s="126"/>
      <c r="B396" s="126"/>
      <c r="C396" s="126"/>
      <c r="D396" s="126"/>
      <c r="E396" s="126"/>
      <c r="F396" s="126"/>
      <c r="G396" s="126"/>
      <c r="H396" s="126"/>
      <c r="I396" s="126"/>
      <c r="J396" s="126"/>
      <c r="K396" s="126"/>
      <c r="L396" s="126"/>
      <c r="M396" s="126"/>
    </row>
    <row r="397" spans="1:13" ht="15.75" customHeight="1" x14ac:dyDescent="0.35">
      <c r="A397" s="73" t="s">
        <v>218</v>
      </c>
      <c r="B397" s="122" t="str">
        <f>IF('Novice 15M - Scoring'!B52&lt;&gt;"",'Novice 15M - Scoring'!B52,"")</f>
        <v/>
      </c>
      <c r="C397" s="122"/>
      <c r="D397" s="122"/>
      <c r="E397" s="73" t="s">
        <v>219</v>
      </c>
      <c r="F397" s="74" t="str">
        <f>IF('Novice 15M - Scoring'!B52&lt;&gt;"",'Novice 15M - Scoring'!BB52,"")</f>
        <v/>
      </c>
      <c r="H397" s="73" t="s">
        <v>218</v>
      </c>
      <c r="I397" s="122" t="str">
        <f>IF('Novice 15M - Scoring'!B53&lt;&gt;"",'Novice 15M - Scoring'!B53,"")</f>
        <v/>
      </c>
      <c r="J397" s="122"/>
      <c r="K397" s="122"/>
      <c r="L397" s="73" t="s">
        <v>219</v>
      </c>
      <c r="M397" s="74" t="str">
        <f>IF('Novice 15M - Scoring'!B53&lt;&gt;"",'Novice 15M - Scoring'!BB53,"")</f>
        <v/>
      </c>
    </row>
    <row r="398" spans="1:13" ht="15.75" customHeight="1" x14ac:dyDescent="0.35">
      <c r="A398" s="73" t="s">
        <v>220</v>
      </c>
      <c r="B398" s="123" t="str">
        <f>IF('Novice 15M - Scoring'!B52&lt;&gt;"",'Novice 15M - Scoring'!D52,"")</f>
        <v/>
      </c>
      <c r="C398" s="123"/>
      <c r="D398" s="123"/>
      <c r="E398" s="73" t="s">
        <v>8</v>
      </c>
      <c r="F398" s="75" t="str">
        <f>IF('Novice 15M - Scoring'!B52&lt;&gt;"",'Novice 15M - Scoring'!E52,"")</f>
        <v/>
      </c>
      <c r="H398" s="73" t="s">
        <v>220</v>
      </c>
      <c r="I398" s="123" t="str">
        <f>IF('Novice 15M - Scoring'!B53&lt;&gt;"",'Novice 15M - Scoring'!D53,"")</f>
        <v/>
      </c>
      <c r="J398" s="123"/>
      <c r="K398" s="123"/>
      <c r="L398" s="73" t="s">
        <v>8</v>
      </c>
      <c r="M398" s="75" t="str">
        <f>IF('Novice 15M - Scoring'!B53&lt;&gt;"",'Novice 15M - Scoring'!E53,"")</f>
        <v/>
      </c>
    </row>
    <row r="399" spans="1:13" ht="3.75" customHeight="1" x14ac:dyDescent="0.35"/>
    <row r="400" spans="1:13" ht="25.5" customHeight="1" x14ac:dyDescent="0.35">
      <c r="A400" s="76" t="s">
        <v>221</v>
      </c>
      <c r="B400" s="77" t="s">
        <v>222</v>
      </c>
      <c r="C400" s="77" t="s">
        <v>223</v>
      </c>
      <c r="D400" s="77" t="s">
        <v>224</v>
      </c>
      <c r="E400" s="76" t="s">
        <v>225</v>
      </c>
      <c r="F400" s="76" t="s">
        <v>226</v>
      </c>
      <c r="H400" s="76" t="s">
        <v>221</v>
      </c>
      <c r="I400" s="77" t="s">
        <v>222</v>
      </c>
      <c r="J400" s="77" t="s">
        <v>223</v>
      </c>
      <c r="K400" s="77" t="s">
        <v>224</v>
      </c>
      <c r="L400" s="76" t="s">
        <v>225</v>
      </c>
      <c r="M400" s="76" t="s">
        <v>226</v>
      </c>
    </row>
    <row r="401" spans="1:13" ht="19.5" customHeight="1" x14ac:dyDescent="0.35">
      <c r="A401" s="78" t="s">
        <v>222</v>
      </c>
      <c r="B401" s="79" t="str">
        <f>IF('Novice 15M - Scoring'!B52&lt;&gt;"",IF('Novice 15M - Scoring'!F52&lt;&gt;"",'Novice 15M - Scoring'!F52,""),"")</f>
        <v/>
      </c>
      <c r="C401" s="79" t="str">
        <f>IF('Novice 15M - Scoring'!B52&lt;&gt;"",IF('Novice 15M - Scoring'!G52&lt;&gt;"",'Novice 15M - Scoring'!G52,""),"")</f>
        <v/>
      </c>
      <c r="D401" s="79" t="str">
        <f>IF('Novice 15M - Scoring'!B52&lt;&gt;"",IF('Novice 15M - Scoring'!H52&lt;&gt;"",'Novice 15M - Scoring'!H52,""),"")</f>
        <v/>
      </c>
      <c r="E401" s="80" t="str">
        <f>IF('Novice 15M - Scoring'!B52&lt;&gt;"",'Novice 15M - Scoring'!AP52,"")</f>
        <v/>
      </c>
      <c r="F401" s="81" t="str">
        <f>IFERROR(IF(ISNUMBER(E401),E401,""),"")</f>
        <v/>
      </c>
      <c r="H401" s="78" t="s">
        <v>222</v>
      </c>
      <c r="I401" s="79" t="str">
        <f>IF('Novice 15M - Scoring'!B53&lt;&gt;"",IF('Novice 15M - Scoring'!F53&lt;&gt;"",'Novice 15M - Scoring'!F53,""),"")</f>
        <v/>
      </c>
      <c r="J401" s="79" t="str">
        <f>IF('Novice 15M - Scoring'!B53&lt;&gt;"",IF('Novice 15M - Scoring'!G53&lt;&gt;"",'Novice 15M - Scoring'!G53,""),"")</f>
        <v/>
      </c>
      <c r="K401" s="79" t="str">
        <f>IF('Novice 15M - Scoring'!B53&lt;&gt;"",IF('Novice 15M - Scoring'!H53&lt;&gt;"",'Novice 15M - Scoring'!H53,""),"")</f>
        <v/>
      </c>
      <c r="L401" s="80" t="str">
        <f>IF('Novice 15M - Scoring'!B53&lt;&gt;"",'Novice 15M - Scoring'!AP53,"")</f>
        <v/>
      </c>
      <c r="M401" s="81" t="str">
        <f>IFERROR(IF(ISNUMBER(L401),L401,""),"")</f>
        <v/>
      </c>
    </row>
    <row r="402" spans="1:13" ht="19.5" customHeight="1" x14ac:dyDescent="0.35">
      <c r="A402" s="78" t="s">
        <v>223</v>
      </c>
      <c r="B402" s="79" t="str">
        <f>IF('Novice 15M - Scoring'!B52&lt;&gt;"",IF('Novice 15M - Scoring'!L52&lt;&gt;"",'Novice 15M - Scoring'!L52,""),"")</f>
        <v/>
      </c>
      <c r="C402" s="79" t="str">
        <f>IF('Novice 15M - Scoring'!B52&lt;&gt;"",IF('Novice 15M - Scoring'!M52&lt;&gt;"",'Novice 15M - Scoring'!M52,""),"")</f>
        <v/>
      </c>
      <c r="D402" s="79" t="str">
        <f>IF('Novice 15M - Scoring'!B52&lt;&gt;"",IF('Novice 15M - Scoring'!N52&lt;&gt;"",'Novice 15M - Scoring'!N52,""),"")</f>
        <v/>
      </c>
      <c r="E402" s="80" t="str">
        <f>IF('Novice 15M - Scoring'!B52&lt;&gt;"",'Novice 15M - Scoring'!AQ52,"")</f>
        <v/>
      </c>
      <c r="F402" s="81" t="str">
        <f>IF(E401&lt;&gt;"",IFERROR(IF(ISNUMBER(E401),E401,0),0)+IFERROR(IF(ISNUMBER(E402),E402,0),0),"")</f>
        <v/>
      </c>
      <c r="H402" s="78" t="s">
        <v>223</v>
      </c>
      <c r="I402" s="79" t="str">
        <f>IF('Novice 15M - Scoring'!B53&lt;&gt;"",IF('Novice 15M - Scoring'!L53&lt;&gt;"",'Novice 15M - Scoring'!L53,""),"")</f>
        <v/>
      </c>
      <c r="J402" s="79" t="str">
        <f>IF('Novice 15M - Scoring'!B53&lt;&gt;"",IF('Novice 15M - Scoring'!M53&lt;&gt;"",'Novice 15M - Scoring'!M53,""),"")</f>
        <v/>
      </c>
      <c r="K402" s="79" t="str">
        <f>IF('Novice 15M - Scoring'!B53&lt;&gt;"",IF('Novice 15M - Scoring'!N53&lt;&gt;"",'Novice 15M - Scoring'!N53,""),"")</f>
        <v/>
      </c>
      <c r="L402" s="80" t="str">
        <f>IF('Novice 15M - Scoring'!B53&lt;&gt;"",'Novice 15M - Scoring'!AQ53,"")</f>
        <v/>
      </c>
      <c r="M402" s="81" t="str">
        <f>IF(L401&lt;&gt;"",IFERROR(IF(ISNUMBER(L401),L401,0),0)+IFERROR(IF(ISNUMBER(L402),L402,0),0),"")</f>
        <v/>
      </c>
    </row>
    <row r="403" spans="1:13" ht="19.5" customHeight="1" x14ac:dyDescent="0.35">
      <c r="A403" s="78" t="s">
        <v>224</v>
      </c>
      <c r="B403" s="79" t="str">
        <f>IF('Novice 15M - Scoring'!B52&lt;&gt;"",IF('Novice 15M - Scoring'!R52&lt;&gt;"",'Novice 15M - Scoring'!R52,""),"")</f>
        <v/>
      </c>
      <c r="C403" s="79" t="str">
        <f>IF('Novice 15M - Scoring'!B52&lt;&gt;"",IF('Novice 15M - Scoring'!S52&lt;&gt;"",'Novice 15M - Scoring'!S52,""),"")</f>
        <v/>
      </c>
      <c r="D403" s="79" t="str">
        <f>IF('Novice 15M - Scoring'!B52&lt;&gt;"",IF('Novice 15M - Scoring'!T52&lt;&gt;"",'Novice 15M - Scoring'!T52,""),"")</f>
        <v/>
      </c>
      <c r="E403" s="80" t="str">
        <f>IF('Novice 15M - Scoring'!B52&lt;&gt;"",'Novice 15M - Scoring'!AR52,"")</f>
        <v/>
      </c>
      <c r="F403" s="81" t="str">
        <f>IF(E401&lt;&gt;"",IFERROR(IF(ISNUMBER(E401),E401,0),0)+IFERROR(IF(ISNUMBER(E402),E402,0),0)+IFERROR(IF(ISNUMBER(E403),E403,0),0),"")</f>
        <v/>
      </c>
      <c r="H403" s="78" t="s">
        <v>224</v>
      </c>
      <c r="I403" s="79" t="str">
        <f>IF('Novice 15M - Scoring'!B53&lt;&gt;"",IF('Novice 15M - Scoring'!R53&lt;&gt;"",'Novice 15M - Scoring'!R53,""),"")</f>
        <v/>
      </c>
      <c r="J403" s="79" t="str">
        <f>IF('Novice 15M - Scoring'!B53&lt;&gt;"",IF('Novice 15M - Scoring'!S53&lt;&gt;"",'Novice 15M - Scoring'!S53,""),"")</f>
        <v/>
      </c>
      <c r="K403" s="79" t="str">
        <f>IF('Novice 15M - Scoring'!B53&lt;&gt;"",IF('Novice 15M - Scoring'!T53&lt;&gt;"",'Novice 15M - Scoring'!T53,""),"")</f>
        <v/>
      </c>
      <c r="L403" s="80" t="str">
        <f>IF('Novice 15M - Scoring'!B53&lt;&gt;"",'Novice 15M - Scoring'!AR53,"")</f>
        <v/>
      </c>
      <c r="M403" s="81" t="str">
        <f>IF(L401&lt;&gt;"",IFERROR(IF(ISNUMBER(L401),L401,0),0)+IFERROR(IF(ISNUMBER(L402),L402,0),0)+IFERROR(IF(ISNUMBER(L403),L403,0),0),"")</f>
        <v/>
      </c>
    </row>
    <row r="404" spans="1:13" ht="19.5" customHeight="1" x14ac:dyDescent="0.35">
      <c r="A404" s="78" t="s">
        <v>227</v>
      </c>
      <c r="B404" s="79" t="str">
        <f>IF('Novice 15M - Scoring'!B52&lt;&gt;"",IF('Novice 15M - Scoring'!X52&lt;&gt;"",'Novice 15M - Scoring'!X52,""),"")</f>
        <v/>
      </c>
      <c r="C404" s="79" t="str">
        <f>IF('Novice 15M - Scoring'!B52&lt;&gt;"",IF('Novice 15M - Scoring'!Y52&lt;&gt;"",'Novice 15M - Scoring'!Y52,""),"")</f>
        <v/>
      </c>
      <c r="D404" s="79" t="str">
        <f>IF('Novice 15M - Scoring'!B52&lt;&gt;"",IF('Novice 15M - Scoring'!Z52&lt;&gt;"",'Novice 15M - Scoring'!Z52,""),"")</f>
        <v/>
      </c>
      <c r="E404" s="80" t="str">
        <f>IF('Novice 15M - Scoring'!B52&lt;&gt;"",'Novice 15M - Scoring'!AS52,"")</f>
        <v/>
      </c>
      <c r="F404" s="81" t="str">
        <f>IF(E401&lt;&gt;"",IFERROR(IF(ISNUMBER(E401),E401,0),0)+IFERROR(IF(ISNUMBER(E402),E402,0),0)+IFERROR(IF(ISNUMBER(E403),E403,0),0)+IFERROR(IF(ISNUMBER(E404),E404,0),0),"")</f>
        <v/>
      </c>
      <c r="H404" s="78" t="s">
        <v>227</v>
      </c>
      <c r="I404" s="79" t="str">
        <f>IF('Novice 15M - Scoring'!B53&lt;&gt;"",IF('Novice 15M - Scoring'!X53&lt;&gt;"",'Novice 15M - Scoring'!X53,""),"")</f>
        <v/>
      </c>
      <c r="J404" s="79" t="str">
        <f>IF('Novice 15M - Scoring'!B53&lt;&gt;"",IF('Novice 15M - Scoring'!Y53&lt;&gt;"",'Novice 15M - Scoring'!Y53,""),"")</f>
        <v/>
      </c>
      <c r="K404" s="79" t="str">
        <f>IF('Novice 15M - Scoring'!B53&lt;&gt;"",IF('Novice 15M - Scoring'!Z53&lt;&gt;"",'Novice 15M - Scoring'!Z53,""),"")</f>
        <v/>
      </c>
      <c r="L404" s="80" t="str">
        <f>IF('Novice 15M - Scoring'!B53&lt;&gt;"",'Novice 15M - Scoring'!AS53,"")</f>
        <v/>
      </c>
      <c r="M404" s="81" t="str">
        <f>IF(L401&lt;&gt;"",IFERROR(IF(ISNUMBER(L401),L401,0),0)+IFERROR(IF(ISNUMBER(L402),L402,0),0)+IFERROR(IF(ISNUMBER(L403),L403,0),0)+IFERROR(IF(ISNUMBER(L404),L404,0),0),"")</f>
        <v/>
      </c>
    </row>
    <row r="405" spans="1:13" ht="19.5" customHeight="1" x14ac:dyDescent="0.35">
      <c r="A405" s="78" t="s">
        <v>228</v>
      </c>
      <c r="B405" s="79" t="str">
        <f>IF('Novice 15M - Scoring'!B52&lt;&gt;"",IF('Novice 15M - Scoring'!AD52&lt;&gt;"",'Novice 15M - Scoring'!AD52,""),"")</f>
        <v/>
      </c>
      <c r="C405" s="79" t="str">
        <f>IF('Novice 15M - Scoring'!B52&lt;&gt;"",IF('Novice 15M - Scoring'!AE52&lt;&gt;"",'Novice 15M - Scoring'!AE52,""),"")</f>
        <v/>
      </c>
      <c r="D405" s="79" t="str">
        <f>IF('Novice 15M - Scoring'!B52&lt;&gt;"",IF('Novice 15M - Scoring'!AF52&lt;&gt;"",'Novice 15M - Scoring'!AF52,""),"")</f>
        <v/>
      </c>
      <c r="E405" s="80" t="str">
        <f>IF('Novice 15M - Scoring'!B52&lt;&gt;"",'Novice 15M - Scoring'!AT52,"")</f>
        <v/>
      </c>
      <c r="F405" s="81" t="str">
        <f>IF(E401&lt;&gt;"",IFERROR(IF(ISNUMBER(E401),E401,0),0)+IFERROR(IF(ISNUMBER(E402),E402,0),0)+IFERROR(IF(ISNUMBER(E403),E403,0),0)+IFERROR(IF(ISNUMBER(E404),E404,0),0)+IFERROR(IF(ISNUMBER(E405),E405,0),0),"")</f>
        <v/>
      </c>
      <c r="H405" s="78" t="s">
        <v>228</v>
      </c>
      <c r="I405" s="79" t="str">
        <f>IF('Novice 15M - Scoring'!B53&lt;&gt;"",IF('Novice 15M - Scoring'!AD53&lt;&gt;"",'Novice 15M - Scoring'!AD53,""),"")</f>
        <v/>
      </c>
      <c r="J405" s="79" t="str">
        <f>IF('Novice 15M - Scoring'!B53&lt;&gt;"",IF('Novice 15M - Scoring'!AE53&lt;&gt;"",'Novice 15M - Scoring'!AE53,""),"")</f>
        <v/>
      </c>
      <c r="K405" s="79" t="str">
        <f>IF('Novice 15M - Scoring'!B53&lt;&gt;"",IF('Novice 15M - Scoring'!AF53&lt;&gt;"",'Novice 15M - Scoring'!AF53,""),"")</f>
        <v/>
      </c>
      <c r="L405" s="80" t="str">
        <f>IF('Novice 15M - Scoring'!B53&lt;&gt;"",'Novice 15M - Scoring'!AT53,"")</f>
        <v/>
      </c>
      <c r="M405" s="81" t="str">
        <f>IF(L401&lt;&gt;"",IFERROR(IF(ISNUMBER(L401),L401,0),0)+IFERROR(IF(ISNUMBER(L402),L402,0),0)+IFERROR(IF(ISNUMBER(L403),L403,0),0)+IFERROR(IF(ISNUMBER(L404),L404,0),0)+IFERROR(IF(ISNUMBER(L405),L405,0),0),"")</f>
        <v/>
      </c>
    </row>
    <row r="406" spans="1:13" ht="19.5" customHeight="1" x14ac:dyDescent="0.35">
      <c r="A406" s="78" t="s">
        <v>229</v>
      </c>
      <c r="B406" s="79" t="str">
        <f>IF('Novice 15M - Scoring'!B52&lt;&gt;"",IF('Novice 15M - Scoring'!AJ52&lt;&gt;"",'Novice 15M - Scoring'!AJ52,""),"")</f>
        <v/>
      </c>
      <c r="C406" s="79" t="str">
        <f>IF('Novice 15M - Scoring'!B52&lt;&gt;"",IF('Novice 15M - Scoring'!AK52&lt;&gt;"",'Novice 15M - Scoring'!AK52,""),"")</f>
        <v/>
      </c>
      <c r="D406" s="79" t="str">
        <f>IF('Novice 15M - Scoring'!B52&lt;&gt;"",IF('Novice 15M - Scoring'!AL52&lt;&gt;"",'Novice 15M - Scoring'!AL52,""),"")</f>
        <v/>
      </c>
      <c r="E406" s="80" t="str">
        <f>IF('Novice 15M - Scoring'!B52&lt;&gt;"",'Novice 15M - Scoring'!AU52,"")</f>
        <v/>
      </c>
      <c r="F406" s="81" t="str">
        <f>IF(E401&lt;&gt;"",IFERROR(IF(ISNUMBER(E401),E401,0),0)+IFERROR(IF(ISNUMBER(E402),E402,0),0)+IFERROR(IF(ISNUMBER(E403),E403,0),0)+IFERROR(IF(ISNUMBER(E404),E404,0),0)+IFERROR(IF(ISNUMBER(E405),E405,0),0)+IFERROR(IF(ISNUMBER(E406),E406,0),0),"")</f>
        <v/>
      </c>
      <c r="H406" s="78" t="s">
        <v>229</v>
      </c>
      <c r="I406" s="79" t="str">
        <f>IF('Novice 15M - Scoring'!B53&lt;&gt;"",IF('Novice 15M - Scoring'!AJ53&lt;&gt;"",'Novice 15M - Scoring'!AJ53,""),"")</f>
        <v/>
      </c>
      <c r="J406" s="79" t="str">
        <f>IF('Novice 15M - Scoring'!B53&lt;&gt;"",IF('Novice 15M - Scoring'!AK53&lt;&gt;"",'Novice 15M - Scoring'!AK53,""),"")</f>
        <v/>
      </c>
      <c r="K406" s="79" t="str">
        <f>IF('Novice 15M - Scoring'!B53&lt;&gt;"",IF('Novice 15M - Scoring'!AL53&lt;&gt;"",'Novice 15M - Scoring'!AL53,""),"")</f>
        <v/>
      </c>
      <c r="L406" s="80" t="str">
        <f>IF('Novice 15M - Scoring'!B53&lt;&gt;"",'Novice 15M - Scoring'!AU53,"")</f>
        <v/>
      </c>
      <c r="M406" s="81" t="str">
        <f>IF(L401&lt;&gt;"",IFERROR(IF(ISNUMBER(L401),L401,0),0)+IFERROR(IF(ISNUMBER(L402),L402,0),0)+IFERROR(IF(ISNUMBER(L403),L403,0),0)+IFERROR(IF(ISNUMBER(L404),L404,0),0)+IFERROR(IF(ISNUMBER(L405),L405,0),0)+IFERROR(IF(ISNUMBER(L406),L406,0),0),"")</f>
        <v/>
      </c>
    </row>
    <row r="407" spans="1:13" ht="3.75" customHeight="1" x14ac:dyDescent="0.35"/>
    <row r="408" spans="1:13" ht="24" customHeight="1" x14ac:dyDescent="0.35">
      <c r="A408" s="124" t="s">
        <v>230</v>
      </c>
      <c r="B408" s="124"/>
      <c r="C408" s="124"/>
      <c r="D408" s="124"/>
      <c r="E408" s="125" t="str">
        <f>IF('Novice 15M - Scoring'!B52&lt;&gt;"",'Novice 15M - Scoring'!AV52,"")</f>
        <v/>
      </c>
      <c r="F408" s="125"/>
      <c r="H408" s="124" t="s">
        <v>230</v>
      </c>
      <c r="I408" s="124"/>
      <c r="J408" s="124"/>
      <c r="K408" s="124"/>
      <c r="L408" s="125" t="str">
        <f>IF('Novice 15M - Scoring'!B53&lt;&gt;"",'Novice 15M - Scoring'!AV53,"")</f>
        <v/>
      </c>
      <c r="M408" s="125"/>
    </row>
    <row r="409" spans="1:13" ht="19.5" customHeight="1" x14ac:dyDescent="0.35">
      <c r="E409" s="125"/>
      <c r="F409" s="125"/>
      <c r="L409" s="125"/>
      <c r="M409" s="125"/>
    </row>
    <row r="410" spans="1:13" ht="3.75" customHeight="1" x14ac:dyDescent="0.35"/>
    <row r="411" spans="1:13" ht="18" customHeight="1" x14ac:dyDescent="0.35">
      <c r="A411" s="73" t="s">
        <v>126</v>
      </c>
      <c r="B411" s="82" t="str">
        <f>IF('Novice 15M - Scoring'!B52&lt;&gt;"",'Novice 15M - Scoring'!AW52,"")</f>
        <v/>
      </c>
      <c r="C411" s="73" t="s">
        <v>127</v>
      </c>
      <c r="D411" s="83" t="str">
        <f>IF('Novice 15M - Scoring'!B52&lt;&gt;"",'Novice 15M - Scoring'!AX52,"")</f>
        <v/>
      </c>
      <c r="E411" s="73" t="s">
        <v>128</v>
      </c>
      <c r="F411" s="83" t="str">
        <f>IF('Novice 15M - Scoring'!B52&lt;&gt;"",'Novice 15M - Scoring'!AY52,"")</f>
        <v/>
      </c>
      <c r="H411" s="73" t="s">
        <v>126</v>
      </c>
      <c r="I411" s="82" t="str">
        <f>IF('Novice 15M - Scoring'!B53&lt;&gt;"",'Novice 15M - Scoring'!AW53,"")</f>
        <v/>
      </c>
      <c r="J411" s="73" t="s">
        <v>127</v>
      </c>
      <c r="K411" s="83" t="str">
        <f>IF('Novice 15M - Scoring'!B53&lt;&gt;"",'Novice 15M - Scoring'!AX53,"")</f>
        <v/>
      </c>
      <c r="L411" s="73" t="s">
        <v>128</v>
      </c>
      <c r="M411" s="83" t="str">
        <f>IF('Novice 15M - Scoring'!B53&lt;&gt;"",'Novice 15M - Scoring'!AY53,"")</f>
        <v/>
      </c>
    </row>
    <row r="412" spans="1:13" ht="3.75" customHeight="1" x14ac:dyDescent="0.35"/>
    <row r="413" spans="1:13" ht="7.5" customHeight="1" x14ac:dyDescent="0.35">
      <c r="A413" s="126"/>
      <c r="B413" s="126"/>
      <c r="C413" s="126"/>
      <c r="D413" s="126"/>
      <c r="E413" s="126"/>
      <c r="F413" s="126"/>
      <c r="G413" s="126"/>
      <c r="H413" s="126"/>
      <c r="I413" s="126"/>
      <c r="J413" s="126"/>
      <c r="K413" s="126"/>
      <c r="L413" s="126"/>
      <c r="M413" s="126"/>
    </row>
    <row r="414" spans="1:13" ht="15.75" customHeight="1" x14ac:dyDescent="0.35">
      <c r="A414" s="73" t="s">
        <v>218</v>
      </c>
      <c r="B414" s="122" t="str">
        <f>IF('Novice 15M - Scoring'!B54&lt;&gt;"",'Novice 15M - Scoring'!B54,"")</f>
        <v/>
      </c>
      <c r="C414" s="122"/>
      <c r="D414" s="122"/>
      <c r="E414" s="73" t="s">
        <v>219</v>
      </c>
      <c r="F414" s="74" t="str">
        <f>IF('Novice 15M - Scoring'!B54&lt;&gt;"",'Novice 15M - Scoring'!BB54,"")</f>
        <v/>
      </c>
      <c r="H414" s="73" t="s">
        <v>218</v>
      </c>
      <c r="I414" s="122" t="str">
        <f>IF('Novice 15M - Scoring'!B55&lt;&gt;"",'Novice 15M - Scoring'!B55,"")</f>
        <v/>
      </c>
      <c r="J414" s="122"/>
      <c r="K414" s="122"/>
      <c r="L414" s="73" t="s">
        <v>219</v>
      </c>
      <c r="M414" s="74" t="str">
        <f>IF('Novice 15M - Scoring'!B55&lt;&gt;"",'Novice 15M - Scoring'!BB55,"")</f>
        <v/>
      </c>
    </row>
    <row r="415" spans="1:13" ht="15.75" customHeight="1" x14ac:dyDescent="0.35">
      <c r="A415" s="73" t="s">
        <v>220</v>
      </c>
      <c r="B415" s="123" t="str">
        <f>IF('Novice 15M - Scoring'!B54&lt;&gt;"",'Novice 15M - Scoring'!D54,"")</f>
        <v/>
      </c>
      <c r="C415" s="123"/>
      <c r="D415" s="123"/>
      <c r="E415" s="73" t="s">
        <v>8</v>
      </c>
      <c r="F415" s="75" t="str">
        <f>IF('Novice 15M - Scoring'!B54&lt;&gt;"",'Novice 15M - Scoring'!E54,"")</f>
        <v/>
      </c>
      <c r="H415" s="73" t="s">
        <v>220</v>
      </c>
      <c r="I415" s="123" t="str">
        <f>IF('Novice 15M - Scoring'!B55&lt;&gt;"",'Novice 15M - Scoring'!D55,"")</f>
        <v/>
      </c>
      <c r="J415" s="123"/>
      <c r="K415" s="123"/>
      <c r="L415" s="73" t="s">
        <v>8</v>
      </c>
      <c r="M415" s="75" t="str">
        <f>IF('Novice 15M - Scoring'!B55&lt;&gt;"",'Novice 15M - Scoring'!E55,"")</f>
        <v/>
      </c>
    </row>
    <row r="416" spans="1:13" ht="3.75" customHeight="1" x14ac:dyDescent="0.35"/>
    <row r="417" spans="1:13" ht="25.5" customHeight="1" x14ac:dyDescent="0.35">
      <c r="A417" s="76" t="s">
        <v>221</v>
      </c>
      <c r="B417" s="77" t="s">
        <v>222</v>
      </c>
      <c r="C417" s="77" t="s">
        <v>223</v>
      </c>
      <c r="D417" s="77" t="s">
        <v>224</v>
      </c>
      <c r="E417" s="76" t="s">
        <v>225</v>
      </c>
      <c r="F417" s="76" t="s">
        <v>226</v>
      </c>
      <c r="H417" s="76" t="s">
        <v>221</v>
      </c>
      <c r="I417" s="77" t="s">
        <v>222</v>
      </c>
      <c r="J417" s="77" t="s">
        <v>223</v>
      </c>
      <c r="K417" s="77" t="s">
        <v>224</v>
      </c>
      <c r="L417" s="76" t="s">
        <v>225</v>
      </c>
      <c r="M417" s="76" t="s">
        <v>226</v>
      </c>
    </row>
    <row r="418" spans="1:13" ht="19.5" customHeight="1" x14ac:dyDescent="0.35">
      <c r="A418" s="78" t="s">
        <v>222</v>
      </c>
      <c r="B418" s="79" t="str">
        <f>IF('Novice 15M - Scoring'!B54&lt;&gt;"",IF('Novice 15M - Scoring'!F54&lt;&gt;"",'Novice 15M - Scoring'!F54,""),"")</f>
        <v/>
      </c>
      <c r="C418" s="79" t="str">
        <f>IF('Novice 15M - Scoring'!B54&lt;&gt;"",IF('Novice 15M - Scoring'!G54&lt;&gt;"",'Novice 15M - Scoring'!G54,""),"")</f>
        <v/>
      </c>
      <c r="D418" s="79" t="str">
        <f>IF('Novice 15M - Scoring'!B54&lt;&gt;"",IF('Novice 15M - Scoring'!H54&lt;&gt;"",'Novice 15M - Scoring'!H54,""),"")</f>
        <v/>
      </c>
      <c r="E418" s="80" t="str">
        <f>IF('Novice 15M - Scoring'!B54&lt;&gt;"",'Novice 15M - Scoring'!AP54,"")</f>
        <v/>
      </c>
      <c r="F418" s="81" t="str">
        <f>IFERROR(IF(ISNUMBER(E418),E418,""),"")</f>
        <v/>
      </c>
      <c r="H418" s="78" t="s">
        <v>222</v>
      </c>
      <c r="I418" s="79" t="str">
        <f>IF('Novice 15M - Scoring'!B55&lt;&gt;"",IF('Novice 15M - Scoring'!F55&lt;&gt;"",'Novice 15M - Scoring'!F55,""),"")</f>
        <v/>
      </c>
      <c r="J418" s="79" t="str">
        <f>IF('Novice 15M - Scoring'!B55&lt;&gt;"",IF('Novice 15M - Scoring'!G55&lt;&gt;"",'Novice 15M - Scoring'!G55,""),"")</f>
        <v/>
      </c>
      <c r="K418" s="79" t="str">
        <f>IF('Novice 15M - Scoring'!B55&lt;&gt;"",IF('Novice 15M - Scoring'!H55&lt;&gt;"",'Novice 15M - Scoring'!H55,""),"")</f>
        <v/>
      </c>
      <c r="L418" s="80" t="str">
        <f>IF('Novice 15M - Scoring'!B55&lt;&gt;"",'Novice 15M - Scoring'!AP55,"")</f>
        <v/>
      </c>
      <c r="M418" s="81" t="str">
        <f>IFERROR(IF(ISNUMBER(L418),L418,""),"")</f>
        <v/>
      </c>
    </row>
    <row r="419" spans="1:13" ht="19.5" customHeight="1" x14ac:dyDescent="0.35">
      <c r="A419" s="78" t="s">
        <v>223</v>
      </c>
      <c r="B419" s="79" t="str">
        <f>IF('Novice 15M - Scoring'!B54&lt;&gt;"",IF('Novice 15M - Scoring'!L54&lt;&gt;"",'Novice 15M - Scoring'!L54,""),"")</f>
        <v/>
      </c>
      <c r="C419" s="79" t="str">
        <f>IF('Novice 15M - Scoring'!B54&lt;&gt;"",IF('Novice 15M - Scoring'!M54&lt;&gt;"",'Novice 15M - Scoring'!M54,""),"")</f>
        <v/>
      </c>
      <c r="D419" s="79" t="str">
        <f>IF('Novice 15M - Scoring'!B54&lt;&gt;"",IF('Novice 15M - Scoring'!N54&lt;&gt;"",'Novice 15M - Scoring'!N54,""),"")</f>
        <v/>
      </c>
      <c r="E419" s="80" t="str">
        <f>IF('Novice 15M - Scoring'!B54&lt;&gt;"",'Novice 15M - Scoring'!AQ54,"")</f>
        <v/>
      </c>
      <c r="F419" s="81" t="str">
        <f>IF(E418&lt;&gt;"",IFERROR(IF(ISNUMBER(E418),E418,0),0)+IFERROR(IF(ISNUMBER(E419),E419,0),0),"")</f>
        <v/>
      </c>
      <c r="H419" s="78" t="s">
        <v>223</v>
      </c>
      <c r="I419" s="79" t="str">
        <f>IF('Novice 15M - Scoring'!B55&lt;&gt;"",IF('Novice 15M - Scoring'!L55&lt;&gt;"",'Novice 15M - Scoring'!L55,""),"")</f>
        <v/>
      </c>
      <c r="J419" s="79" t="str">
        <f>IF('Novice 15M - Scoring'!B55&lt;&gt;"",IF('Novice 15M - Scoring'!M55&lt;&gt;"",'Novice 15M - Scoring'!M55,""),"")</f>
        <v/>
      </c>
      <c r="K419" s="79" t="str">
        <f>IF('Novice 15M - Scoring'!B55&lt;&gt;"",IF('Novice 15M - Scoring'!N55&lt;&gt;"",'Novice 15M - Scoring'!N55,""),"")</f>
        <v/>
      </c>
      <c r="L419" s="80" t="str">
        <f>IF('Novice 15M - Scoring'!B55&lt;&gt;"",'Novice 15M - Scoring'!AQ55,"")</f>
        <v/>
      </c>
      <c r="M419" s="81" t="str">
        <f>IF(L418&lt;&gt;"",IFERROR(IF(ISNUMBER(L418),L418,0),0)+IFERROR(IF(ISNUMBER(L419),L419,0),0),"")</f>
        <v/>
      </c>
    </row>
    <row r="420" spans="1:13" ht="19.5" customHeight="1" x14ac:dyDescent="0.35">
      <c r="A420" s="78" t="s">
        <v>224</v>
      </c>
      <c r="B420" s="79" t="str">
        <f>IF('Novice 15M - Scoring'!B54&lt;&gt;"",IF('Novice 15M - Scoring'!R54&lt;&gt;"",'Novice 15M - Scoring'!R54,""),"")</f>
        <v/>
      </c>
      <c r="C420" s="79" t="str">
        <f>IF('Novice 15M - Scoring'!B54&lt;&gt;"",IF('Novice 15M - Scoring'!S54&lt;&gt;"",'Novice 15M - Scoring'!S54,""),"")</f>
        <v/>
      </c>
      <c r="D420" s="79" t="str">
        <f>IF('Novice 15M - Scoring'!B54&lt;&gt;"",IF('Novice 15M - Scoring'!T54&lt;&gt;"",'Novice 15M - Scoring'!T54,""),"")</f>
        <v/>
      </c>
      <c r="E420" s="80" t="str">
        <f>IF('Novice 15M - Scoring'!B54&lt;&gt;"",'Novice 15M - Scoring'!AR54,"")</f>
        <v/>
      </c>
      <c r="F420" s="81" t="str">
        <f>IF(E418&lt;&gt;"",IFERROR(IF(ISNUMBER(E418),E418,0),0)+IFERROR(IF(ISNUMBER(E419),E419,0),0)+IFERROR(IF(ISNUMBER(E420),E420,0),0),"")</f>
        <v/>
      </c>
      <c r="H420" s="78" t="s">
        <v>224</v>
      </c>
      <c r="I420" s="79" t="str">
        <f>IF('Novice 15M - Scoring'!B55&lt;&gt;"",IF('Novice 15M - Scoring'!R55&lt;&gt;"",'Novice 15M - Scoring'!R55,""),"")</f>
        <v/>
      </c>
      <c r="J420" s="79" t="str">
        <f>IF('Novice 15M - Scoring'!B55&lt;&gt;"",IF('Novice 15M - Scoring'!S55&lt;&gt;"",'Novice 15M - Scoring'!S55,""),"")</f>
        <v/>
      </c>
      <c r="K420" s="79" t="str">
        <f>IF('Novice 15M - Scoring'!B55&lt;&gt;"",IF('Novice 15M - Scoring'!T55&lt;&gt;"",'Novice 15M - Scoring'!T55,""),"")</f>
        <v/>
      </c>
      <c r="L420" s="80" t="str">
        <f>IF('Novice 15M - Scoring'!B55&lt;&gt;"",'Novice 15M - Scoring'!AR55,"")</f>
        <v/>
      </c>
      <c r="M420" s="81" t="str">
        <f>IF(L418&lt;&gt;"",IFERROR(IF(ISNUMBER(L418),L418,0),0)+IFERROR(IF(ISNUMBER(L419),L419,0),0)+IFERROR(IF(ISNUMBER(L420),L420,0),0),"")</f>
        <v/>
      </c>
    </row>
    <row r="421" spans="1:13" ht="19.5" customHeight="1" x14ac:dyDescent="0.35">
      <c r="A421" s="78" t="s">
        <v>227</v>
      </c>
      <c r="B421" s="79" t="str">
        <f>IF('Novice 15M - Scoring'!B54&lt;&gt;"",IF('Novice 15M - Scoring'!X54&lt;&gt;"",'Novice 15M - Scoring'!X54,""),"")</f>
        <v/>
      </c>
      <c r="C421" s="79" t="str">
        <f>IF('Novice 15M - Scoring'!B54&lt;&gt;"",IF('Novice 15M - Scoring'!Y54&lt;&gt;"",'Novice 15M - Scoring'!Y54,""),"")</f>
        <v/>
      </c>
      <c r="D421" s="79" t="str">
        <f>IF('Novice 15M - Scoring'!B54&lt;&gt;"",IF('Novice 15M - Scoring'!Z54&lt;&gt;"",'Novice 15M - Scoring'!Z54,""),"")</f>
        <v/>
      </c>
      <c r="E421" s="80" t="str">
        <f>IF('Novice 15M - Scoring'!B54&lt;&gt;"",'Novice 15M - Scoring'!AS54,"")</f>
        <v/>
      </c>
      <c r="F421" s="81" t="str">
        <f>IF(E418&lt;&gt;"",IFERROR(IF(ISNUMBER(E418),E418,0),0)+IFERROR(IF(ISNUMBER(E419),E419,0),0)+IFERROR(IF(ISNUMBER(E420),E420,0),0)+IFERROR(IF(ISNUMBER(E421),E421,0),0),"")</f>
        <v/>
      </c>
      <c r="H421" s="78" t="s">
        <v>227</v>
      </c>
      <c r="I421" s="79" t="str">
        <f>IF('Novice 15M - Scoring'!B55&lt;&gt;"",IF('Novice 15M - Scoring'!X55&lt;&gt;"",'Novice 15M - Scoring'!X55,""),"")</f>
        <v/>
      </c>
      <c r="J421" s="79" t="str">
        <f>IF('Novice 15M - Scoring'!B55&lt;&gt;"",IF('Novice 15M - Scoring'!Y55&lt;&gt;"",'Novice 15M - Scoring'!Y55,""),"")</f>
        <v/>
      </c>
      <c r="K421" s="79" t="str">
        <f>IF('Novice 15M - Scoring'!B55&lt;&gt;"",IF('Novice 15M - Scoring'!Z55&lt;&gt;"",'Novice 15M - Scoring'!Z55,""),"")</f>
        <v/>
      </c>
      <c r="L421" s="80" t="str">
        <f>IF('Novice 15M - Scoring'!B55&lt;&gt;"",'Novice 15M - Scoring'!AS55,"")</f>
        <v/>
      </c>
      <c r="M421" s="81" t="str">
        <f>IF(L418&lt;&gt;"",IFERROR(IF(ISNUMBER(L418),L418,0),0)+IFERROR(IF(ISNUMBER(L419),L419,0),0)+IFERROR(IF(ISNUMBER(L420),L420,0),0)+IFERROR(IF(ISNUMBER(L421),L421,0),0),"")</f>
        <v/>
      </c>
    </row>
    <row r="422" spans="1:13" ht="19.5" customHeight="1" x14ac:dyDescent="0.35">
      <c r="A422" s="78" t="s">
        <v>228</v>
      </c>
      <c r="B422" s="79" t="str">
        <f>IF('Novice 15M - Scoring'!B54&lt;&gt;"",IF('Novice 15M - Scoring'!AD54&lt;&gt;"",'Novice 15M - Scoring'!AD54,""),"")</f>
        <v/>
      </c>
      <c r="C422" s="79" t="str">
        <f>IF('Novice 15M - Scoring'!B54&lt;&gt;"",IF('Novice 15M - Scoring'!AE54&lt;&gt;"",'Novice 15M - Scoring'!AE54,""),"")</f>
        <v/>
      </c>
      <c r="D422" s="79" t="str">
        <f>IF('Novice 15M - Scoring'!B54&lt;&gt;"",IF('Novice 15M - Scoring'!AF54&lt;&gt;"",'Novice 15M - Scoring'!AF54,""),"")</f>
        <v/>
      </c>
      <c r="E422" s="80" t="str">
        <f>IF('Novice 15M - Scoring'!B54&lt;&gt;"",'Novice 15M - Scoring'!AT54,"")</f>
        <v/>
      </c>
      <c r="F422" s="81" t="str">
        <f>IF(E418&lt;&gt;"",IFERROR(IF(ISNUMBER(E418),E418,0),0)+IFERROR(IF(ISNUMBER(E419),E419,0),0)+IFERROR(IF(ISNUMBER(E420),E420,0),0)+IFERROR(IF(ISNUMBER(E421),E421,0),0)+IFERROR(IF(ISNUMBER(E422),E422,0),0),"")</f>
        <v/>
      </c>
      <c r="H422" s="78" t="s">
        <v>228</v>
      </c>
      <c r="I422" s="79" t="str">
        <f>IF('Novice 15M - Scoring'!B55&lt;&gt;"",IF('Novice 15M - Scoring'!AD55&lt;&gt;"",'Novice 15M - Scoring'!AD55,""),"")</f>
        <v/>
      </c>
      <c r="J422" s="79" t="str">
        <f>IF('Novice 15M - Scoring'!B55&lt;&gt;"",IF('Novice 15M - Scoring'!AE55&lt;&gt;"",'Novice 15M - Scoring'!AE55,""),"")</f>
        <v/>
      </c>
      <c r="K422" s="79" t="str">
        <f>IF('Novice 15M - Scoring'!B55&lt;&gt;"",IF('Novice 15M - Scoring'!AF55&lt;&gt;"",'Novice 15M - Scoring'!AF55,""),"")</f>
        <v/>
      </c>
      <c r="L422" s="80" t="str">
        <f>IF('Novice 15M - Scoring'!B55&lt;&gt;"",'Novice 15M - Scoring'!AT55,"")</f>
        <v/>
      </c>
      <c r="M422" s="81" t="str">
        <f>IF(L418&lt;&gt;"",IFERROR(IF(ISNUMBER(L418),L418,0),0)+IFERROR(IF(ISNUMBER(L419),L419,0),0)+IFERROR(IF(ISNUMBER(L420),L420,0),0)+IFERROR(IF(ISNUMBER(L421),L421,0),0)+IFERROR(IF(ISNUMBER(L422),L422,0),0),"")</f>
        <v/>
      </c>
    </row>
    <row r="423" spans="1:13" ht="19.5" customHeight="1" x14ac:dyDescent="0.35">
      <c r="A423" s="78" t="s">
        <v>229</v>
      </c>
      <c r="B423" s="79" t="str">
        <f>IF('Novice 15M - Scoring'!B54&lt;&gt;"",IF('Novice 15M - Scoring'!AJ54&lt;&gt;"",'Novice 15M - Scoring'!AJ54,""),"")</f>
        <v/>
      </c>
      <c r="C423" s="79" t="str">
        <f>IF('Novice 15M - Scoring'!B54&lt;&gt;"",IF('Novice 15M - Scoring'!AK54&lt;&gt;"",'Novice 15M - Scoring'!AK54,""),"")</f>
        <v/>
      </c>
      <c r="D423" s="79" t="str">
        <f>IF('Novice 15M - Scoring'!B54&lt;&gt;"",IF('Novice 15M - Scoring'!AL54&lt;&gt;"",'Novice 15M - Scoring'!AL54,""),"")</f>
        <v/>
      </c>
      <c r="E423" s="80" t="str">
        <f>IF('Novice 15M - Scoring'!B54&lt;&gt;"",'Novice 15M - Scoring'!AU54,"")</f>
        <v/>
      </c>
      <c r="F423" s="81" t="str">
        <f>IF(E418&lt;&gt;"",IFERROR(IF(ISNUMBER(E418),E418,0),0)+IFERROR(IF(ISNUMBER(E419),E419,0),0)+IFERROR(IF(ISNUMBER(E420),E420,0),0)+IFERROR(IF(ISNUMBER(E421),E421,0),0)+IFERROR(IF(ISNUMBER(E422),E422,0),0)+IFERROR(IF(ISNUMBER(E423),E423,0),0),"")</f>
        <v/>
      </c>
      <c r="H423" s="78" t="s">
        <v>229</v>
      </c>
      <c r="I423" s="79" t="str">
        <f>IF('Novice 15M - Scoring'!B55&lt;&gt;"",IF('Novice 15M - Scoring'!AJ55&lt;&gt;"",'Novice 15M - Scoring'!AJ55,""),"")</f>
        <v/>
      </c>
      <c r="J423" s="79" t="str">
        <f>IF('Novice 15M - Scoring'!B55&lt;&gt;"",IF('Novice 15M - Scoring'!AK55&lt;&gt;"",'Novice 15M - Scoring'!AK55,""),"")</f>
        <v/>
      </c>
      <c r="K423" s="79" t="str">
        <f>IF('Novice 15M - Scoring'!B55&lt;&gt;"",IF('Novice 15M - Scoring'!AL55&lt;&gt;"",'Novice 15M - Scoring'!AL55,""),"")</f>
        <v/>
      </c>
      <c r="L423" s="80" t="str">
        <f>IF('Novice 15M - Scoring'!B55&lt;&gt;"",'Novice 15M - Scoring'!AU55,"")</f>
        <v/>
      </c>
      <c r="M423" s="81" t="str">
        <f>IF(L418&lt;&gt;"",IFERROR(IF(ISNUMBER(L418),L418,0),0)+IFERROR(IF(ISNUMBER(L419),L419,0),0)+IFERROR(IF(ISNUMBER(L420),L420,0),0)+IFERROR(IF(ISNUMBER(L421),L421,0),0)+IFERROR(IF(ISNUMBER(L422),L422,0),0)+IFERROR(IF(ISNUMBER(L423),L423,0),0),"")</f>
        <v/>
      </c>
    </row>
    <row r="424" spans="1:13" ht="3.75" customHeight="1" x14ac:dyDescent="0.35"/>
    <row r="425" spans="1:13" ht="24" customHeight="1" x14ac:dyDescent="0.35">
      <c r="A425" s="124" t="s">
        <v>230</v>
      </c>
      <c r="B425" s="124"/>
      <c r="C425" s="124"/>
      <c r="D425" s="124"/>
      <c r="E425" s="125" t="str">
        <f>IF('Novice 15M - Scoring'!B54&lt;&gt;"",'Novice 15M - Scoring'!AV54,"")</f>
        <v/>
      </c>
      <c r="F425" s="125"/>
      <c r="H425" s="124" t="s">
        <v>230</v>
      </c>
      <c r="I425" s="124"/>
      <c r="J425" s="124"/>
      <c r="K425" s="124"/>
      <c r="L425" s="125" t="str">
        <f>IF('Novice 15M - Scoring'!B55&lt;&gt;"",'Novice 15M - Scoring'!AV55,"")</f>
        <v/>
      </c>
      <c r="M425" s="125"/>
    </row>
    <row r="426" spans="1:13" ht="19.5" customHeight="1" x14ac:dyDescent="0.35">
      <c r="E426" s="125"/>
      <c r="F426" s="125"/>
      <c r="L426" s="125"/>
      <c r="M426" s="125"/>
    </row>
    <row r="427" spans="1:13" ht="3.75" customHeight="1" x14ac:dyDescent="0.35"/>
    <row r="428" spans="1:13" ht="18" customHeight="1" x14ac:dyDescent="0.35">
      <c r="A428" s="73" t="s">
        <v>126</v>
      </c>
      <c r="B428" s="82" t="str">
        <f>IF('Novice 15M - Scoring'!B54&lt;&gt;"",'Novice 15M - Scoring'!AW54,"")</f>
        <v/>
      </c>
      <c r="C428" s="73" t="s">
        <v>127</v>
      </c>
      <c r="D428" s="83" t="str">
        <f>IF('Novice 15M - Scoring'!B54&lt;&gt;"",'Novice 15M - Scoring'!AX54,"")</f>
        <v/>
      </c>
      <c r="E428" s="73" t="s">
        <v>128</v>
      </c>
      <c r="F428" s="83" t="str">
        <f>IF('Novice 15M - Scoring'!B54&lt;&gt;"",'Novice 15M - Scoring'!AY54,"")</f>
        <v/>
      </c>
      <c r="H428" s="73" t="s">
        <v>126</v>
      </c>
      <c r="I428" s="82" t="str">
        <f>IF('Novice 15M - Scoring'!B55&lt;&gt;"",'Novice 15M - Scoring'!AW55,"")</f>
        <v/>
      </c>
      <c r="J428" s="73" t="s">
        <v>127</v>
      </c>
      <c r="K428" s="83" t="str">
        <f>IF('Novice 15M - Scoring'!B55&lt;&gt;"",'Novice 15M - Scoring'!AX55,"")</f>
        <v/>
      </c>
      <c r="L428" s="73" t="s">
        <v>128</v>
      </c>
      <c r="M428" s="83" t="str">
        <f>IF('Novice 15M - Scoring'!B55&lt;&gt;"",'Novice 15M - Scoring'!AY55,"")</f>
        <v/>
      </c>
    </row>
    <row r="429" spans="1:13" ht="3.75" customHeight="1" x14ac:dyDescent="0.35"/>
    <row r="430" spans="1:13" ht="7.5" customHeight="1" x14ac:dyDescent="0.35">
      <c r="A430" s="126"/>
      <c r="B430" s="126"/>
      <c r="C430" s="126"/>
      <c r="D430" s="126"/>
      <c r="E430" s="126"/>
      <c r="F430" s="126"/>
      <c r="G430" s="126"/>
      <c r="H430" s="126"/>
      <c r="I430" s="126"/>
      <c r="J430" s="126"/>
      <c r="K430" s="126"/>
      <c r="L430" s="126"/>
      <c r="M430" s="126"/>
    </row>
    <row r="431" spans="1:13" ht="15.75" customHeight="1" x14ac:dyDescent="0.35">
      <c r="A431" s="73" t="s">
        <v>218</v>
      </c>
      <c r="B431" s="122" t="str">
        <f>IF('Novice 15M - Scoring'!B56&lt;&gt;"",'Novice 15M - Scoring'!B56,"")</f>
        <v/>
      </c>
      <c r="C431" s="122"/>
      <c r="D431" s="122"/>
      <c r="E431" s="73" t="s">
        <v>219</v>
      </c>
      <c r="F431" s="74" t="str">
        <f>IF('Novice 15M - Scoring'!B56&lt;&gt;"",'Novice 15M - Scoring'!BB56,"")</f>
        <v/>
      </c>
      <c r="H431" s="73" t="s">
        <v>218</v>
      </c>
      <c r="I431" s="122" t="str">
        <f>IF('Novice 15M - Scoring'!B57&lt;&gt;"",'Novice 15M - Scoring'!B57,"")</f>
        <v/>
      </c>
      <c r="J431" s="122"/>
      <c r="K431" s="122"/>
      <c r="L431" s="73" t="s">
        <v>219</v>
      </c>
      <c r="M431" s="74" t="str">
        <f>IF('Novice 15M - Scoring'!B57&lt;&gt;"",'Novice 15M - Scoring'!BB57,"")</f>
        <v/>
      </c>
    </row>
    <row r="432" spans="1:13" ht="15.75" customHeight="1" x14ac:dyDescent="0.35">
      <c r="A432" s="73" t="s">
        <v>220</v>
      </c>
      <c r="B432" s="123" t="str">
        <f>IF('Novice 15M - Scoring'!B56&lt;&gt;"",'Novice 15M - Scoring'!D56,"")</f>
        <v/>
      </c>
      <c r="C432" s="123"/>
      <c r="D432" s="123"/>
      <c r="E432" s="73" t="s">
        <v>8</v>
      </c>
      <c r="F432" s="75" t="str">
        <f>IF('Novice 15M - Scoring'!B56&lt;&gt;"",'Novice 15M - Scoring'!E56,"")</f>
        <v/>
      </c>
      <c r="H432" s="73" t="s">
        <v>220</v>
      </c>
      <c r="I432" s="123" t="str">
        <f>IF('Novice 15M - Scoring'!B57&lt;&gt;"",'Novice 15M - Scoring'!D57,"")</f>
        <v/>
      </c>
      <c r="J432" s="123"/>
      <c r="K432" s="123"/>
      <c r="L432" s="73" t="s">
        <v>8</v>
      </c>
      <c r="M432" s="75" t="str">
        <f>IF('Novice 15M - Scoring'!B57&lt;&gt;"",'Novice 15M - Scoring'!E57,"")</f>
        <v/>
      </c>
    </row>
    <row r="433" spans="1:13" ht="3.75" customHeight="1" x14ac:dyDescent="0.35"/>
    <row r="434" spans="1:13" ht="25.5" customHeight="1" x14ac:dyDescent="0.35">
      <c r="A434" s="76" t="s">
        <v>221</v>
      </c>
      <c r="B434" s="77" t="s">
        <v>222</v>
      </c>
      <c r="C434" s="77" t="s">
        <v>223</v>
      </c>
      <c r="D434" s="77" t="s">
        <v>224</v>
      </c>
      <c r="E434" s="76" t="s">
        <v>225</v>
      </c>
      <c r="F434" s="76" t="s">
        <v>226</v>
      </c>
      <c r="H434" s="76" t="s">
        <v>221</v>
      </c>
      <c r="I434" s="77" t="s">
        <v>222</v>
      </c>
      <c r="J434" s="77" t="s">
        <v>223</v>
      </c>
      <c r="K434" s="77" t="s">
        <v>224</v>
      </c>
      <c r="L434" s="76" t="s">
        <v>225</v>
      </c>
      <c r="M434" s="76" t="s">
        <v>226</v>
      </c>
    </row>
    <row r="435" spans="1:13" ht="19.5" customHeight="1" x14ac:dyDescent="0.35">
      <c r="A435" s="78" t="s">
        <v>222</v>
      </c>
      <c r="B435" s="79" t="str">
        <f>IF('Novice 15M - Scoring'!B56&lt;&gt;"",IF('Novice 15M - Scoring'!F56&lt;&gt;"",'Novice 15M - Scoring'!F56,""),"")</f>
        <v/>
      </c>
      <c r="C435" s="79" t="str">
        <f>IF('Novice 15M - Scoring'!B56&lt;&gt;"",IF('Novice 15M - Scoring'!G56&lt;&gt;"",'Novice 15M - Scoring'!G56,""),"")</f>
        <v/>
      </c>
      <c r="D435" s="79" t="str">
        <f>IF('Novice 15M - Scoring'!B56&lt;&gt;"",IF('Novice 15M - Scoring'!H56&lt;&gt;"",'Novice 15M - Scoring'!H56,""),"")</f>
        <v/>
      </c>
      <c r="E435" s="80" t="str">
        <f>IF('Novice 15M - Scoring'!B56&lt;&gt;"",'Novice 15M - Scoring'!AP56,"")</f>
        <v/>
      </c>
      <c r="F435" s="81" t="str">
        <f>IFERROR(IF(ISNUMBER(E435),E435,""),"")</f>
        <v/>
      </c>
      <c r="H435" s="78" t="s">
        <v>222</v>
      </c>
      <c r="I435" s="79" t="str">
        <f>IF('Novice 15M - Scoring'!B57&lt;&gt;"",IF('Novice 15M - Scoring'!F57&lt;&gt;"",'Novice 15M - Scoring'!F57,""),"")</f>
        <v/>
      </c>
      <c r="J435" s="79" t="str">
        <f>IF('Novice 15M - Scoring'!B57&lt;&gt;"",IF('Novice 15M - Scoring'!G57&lt;&gt;"",'Novice 15M - Scoring'!G57,""),"")</f>
        <v/>
      </c>
      <c r="K435" s="79" t="str">
        <f>IF('Novice 15M - Scoring'!B57&lt;&gt;"",IF('Novice 15M - Scoring'!H57&lt;&gt;"",'Novice 15M - Scoring'!H57,""),"")</f>
        <v/>
      </c>
      <c r="L435" s="80" t="str">
        <f>IF('Novice 15M - Scoring'!B57&lt;&gt;"",'Novice 15M - Scoring'!AP57,"")</f>
        <v/>
      </c>
      <c r="M435" s="81" t="str">
        <f>IFERROR(IF(ISNUMBER(L435),L435,""),"")</f>
        <v/>
      </c>
    </row>
    <row r="436" spans="1:13" ht="19.5" customHeight="1" x14ac:dyDescent="0.35">
      <c r="A436" s="78" t="s">
        <v>223</v>
      </c>
      <c r="B436" s="79" t="str">
        <f>IF('Novice 15M - Scoring'!B56&lt;&gt;"",IF('Novice 15M - Scoring'!L56&lt;&gt;"",'Novice 15M - Scoring'!L56,""),"")</f>
        <v/>
      </c>
      <c r="C436" s="79" t="str">
        <f>IF('Novice 15M - Scoring'!B56&lt;&gt;"",IF('Novice 15M - Scoring'!M56&lt;&gt;"",'Novice 15M - Scoring'!M56,""),"")</f>
        <v/>
      </c>
      <c r="D436" s="79" t="str">
        <f>IF('Novice 15M - Scoring'!B56&lt;&gt;"",IF('Novice 15M - Scoring'!N56&lt;&gt;"",'Novice 15M - Scoring'!N56,""),"")</f>
        <v/>
      </c>
      <c r="E436" s="80" t="str">
        <f>IF('Novice 15M - Scoring'!B56&lt;&gt;"",'Novice 15M - Scoring'!AQ56,"")</f>
        <v/>
      </c>
      <c r="F436" s="81" t="str">
        <f>IF(E435&lt;&gt;"",IFERROR(IF(ISNUMBER(E435),E435,0),0)+IFERROR(IF(ISNUMBER(E436),E436,0),0),"")</f>
        <v/>
      </c>
      <c r="H436" s="78" t="s">
        <v>223</v>
      </c>
      <c r="I436" s="79" t="str">
        <f>IF('Novice 15M - Scoring'!B57&lt;&gt;"",IF('Novice 15M - Scoring'!L57&lt;&gt;"",'Novice 15M - Scoring'!L57,""),"")</f>
        <v/>
      </c>
      <c r="J436" s="79" t="str">
        <f>IF('Novice 15M - Scoring'!B57&lt;&gt;"",IF('Novice 15M - Scoring'!M57&lt;&gt;"",'Novice 15M - Scoring'!M57,""),"")</f>
        <v/>
      </c>
      <c r="K436" s="79" t="str">
        <f>IF('Novice 15M - Scoring'!B57&lt;&gt;"",IF('Novice 15M - Scoring'!N57&lt;&gt;"",'Novice 15M - Scoring'!N57,""),"")</f>
        <v/>
      </c>
      <c r="L436" s="80" t="str">
        <f>IF('Novice 15M - Scoring'!B57&lt;&gt;"",'Novice 15M - Scoring'!AQ57,"")</f>
        <v/>
      </c>
      <c r="M436" s="81" t="str">
        <f>IF(L435&lt;&gt;"",IFERROR(IF(ISNUMBER(L435),L435,0),0)+IFERROR(IF(ISNUMBER(L436),L436,0),0),"")</f>
        <v/>
      </c>
    </row>
    <row r="437" spans="1:13" ht="19.5" customHeight="1" x14ac:dyDescent="0.35">
      <c r="A437" s="78" t="s">
        <v>224</v>
      </c>
      <c r="B437" s="79" t="str">
        <f>IF('Novice 15M - Scoring'!B56&lt;&gt;"",IF('Novice 15M - Scoring'!R56&lt;&gt;"",'Novice 15M - Scoring'!R56,""),"")</f>
        <v/>
      </c>
      <c r="C437" s="79" t="str">
        <f>IF('Novice 15M - Scoring'!B56&lt;&gt;"",IF('Novice 15M - Scoring'!S56&lt;&gt;"",'Novice 15M - Scoring'!S56,""),"")</f>
        <v/>
      </c>
      <c r="D437" s="79" t="str">
        <f>IF('Novice 15M - Scoring'!B56&lt;&gt;"",IF('Novice 15M - Scoring'!T56&lt;&gt;"",'Novice 15M - Scoring'!T56,""),"")</f>
        <v/>
      </c>
      <c r="E437" s="80" t="str">
        <f>IF('Novice 15M - Scoring'!B56&lt;&gt;"",'Novice 15M - Scoring'!AR56,"")</f>
        <v/>
      </c>
      <c r="F437" s="81" t="str">
        <f>IF(E435&lt;&gt;"",IFERROR(IF(ISNUMBER(E435),E435,0),0)+IFERROR(IF(ISNUMBER(E436),E436,0),0)+IFERROR(IF(ISNUMBER(E437),E437,0),0),"")</f>
        <v/>
      </c>
      <c r="H437" s="78" t="s">
        <v>224</v>
      </c>
      <c r="I437" s="79" t="str">
        <f>IF('Novice 15M - Scoring'!B57&lt;&gt;"",IF('Novice 15M - Scoring'!R57&lt;&gt;"",'Novice 15M - Scoring'!R57,""),"")</f>
        <v/>
      </c>
      <c r="J437" s="79" t="str">
        <f>IF('Novice 15M - Scoring'!B57&lt;&gt;"",IF('Novice 15M - Scoring'!S57&lt;&gt;"",'Novice 15M - Scoring'!S57,""),"")</f>
        <v/>
      </c>
      <c r="K437" s="79" t="str">
        <f>IF('Novice 15M - Scoring'!B57&lt;&gt;"",IF('Novice 15M - Scoring'!T57&lt;&gt;"",'Novice 15M - Scoring'!T57,""),"")</f>
        <v/>
      </c>
      <c r="L437" s="80" t="str">
        <f>IF('Novice 15M - Scoring'!B57&lt;&gt;"",'Novice 15M - Scoring'!AR57,"")</f>
        <v/>
      </c>
      <c r="M437" s="81" t="str">
        <f>IF(L435&lt;&gt;"",IFERROR(IF(ISNUMBER(L435),L435,0),0)+IFERROR(IF(ISNUMBER(L436),L436,0),0)+IFERROR(IF(ISNUMBER(L437),L437,0),0),"")</f>
        <v/>
      </c>
    </row>
    <row r="438" spans="1:13" ht="19.5" customHeight="1" x14ac:dyDescent="0.35">
      <c r="A438" s="78" t="s">
        <v>227</v>
      </c>
      <c r="B438" s="79" t="str">
        <f>IF('Novice 15M - Scoring'!B56&lt;&gt;"",IF('Novice 15M - Scoring'!X56&lt;&gt;"",'Novice 15M - Scoring'!X56,""),"")</f>
        <v/>
      </c>
      <c r="C438" s="79" t="str">
        <f>IF('Novice 15M - Scoring'!B56&lt;&gt;"",IF('Novice 15M - Scoring'!Y56&lt;&gt;"",'Novice 15M - Scoring'!Y56,""),"")</f>
        <v/>
      </c>
      <c r="D438" s="79" t="str">
        <f>IF('Novice 15M - Scoring'!B56&lt;&gt;"",IF('Novice 15M - Scoring'!Z56&lt;&gt;"",'Novice 15M - Scoring'!Z56,""),"")</f>
        <v/>
      </c>
      <c r="E438" s="80" t="str">
        <f>IF('Novice 15M - Scoring'!B56&lt;&gt;"",'Novice 15M - Scoring'!AS56,"")</f>
        <v/>
      </c>
      <c r="F438" s="81" t="str">
        <f>IF(E435&lt;&gt;"",IFERROR(IF(ISNUMBER(E435),E435,0),0)+IFERROR(IF(ISNUMBER(E436),E436,0),0)+IFERROR(IF(ISNUMBER(E437),E437,0),0)+IFERROR(IF(ISNUMBER(E438),E438,0),0),"")</f>
        <v/>
      </c>
      <c r="H438" s="78" t="s">
        <v>227</v>
      </c>
      <c r="I438" s="79" t="str">
        <f>IF('Novice 15M - Scoring'!B57&lt;&gt;"",IF('Novice 15M - Scoring'!X57&lt;&gt;"",'Novice 15M - Scoring'!X57,""),"")</f>
        <v/>
      </c>
      <c r="J438" s="79" t="str">
        <f>IF('Novice 15M - Scoring'!B57&lt;&gt;"",IF('Novice 15M - Scoring'!Y57&lt;&gt;"",'Novice 15M - Scoring'!Y57,""),"")</f>
        <v/>
      </c>
      <c r="K438" s="79" t="str">
        <f>IF('Novice 15M - Scoring'!B57&lt;&gt;"",IF('Novice 15M - Scoring'!Z57&lt;&gt;"",'Novice 15M - Scoring'!Z57,""),"")</f>
        <v/>
      </c>
      <c r="L438" s="80" t="str">
        <f>IF('Novice 15M - Scoring'!B57&lt;&gt;"",'Novice 15M - Scoring'!AS57,"")</f>
        <v/>
      </c>
      <c r="M438" s="81" t="str">
        <f>IF(L435&lt;&gt;"",IFERROR(IF(ISNUMBER(L435),L435,0),0)+IFERROR(IF(ISNUMBER(L436),L436,0),0)+IFERROR(IF(ISNUMBER(L437),L437,0),0)+IFERROR(IF(ISNUMBER(L438),L438,0),0),"")</f>
        <v/>
      </c>
    </row>
    <row r="439" spans="1:13" ht="19.5" customHeight="1" x14ac:dyDescent="0.35">
      <c r="A439" s="78" t="s">
        <v>228</v>
      </c>
      <c r="B439" s="79" t="str">
        <f>IF('Novice 15M - Scoring'!B56&lt;&gt;"",IF('Novice 15M - Scoring'!AD56&lt;&gt;"",'Novice 15M - Scoring'!AD56,""),"")</f>
        <v/>
      </c>
      <c r="C439" s="79" t="str">
        <f>IF('Novice 15M - Scoring'!B56&lt;&gt;"",IF('Novice 15M - Scoring'!AE56&lt;&gt;"",'Novice 15M - Scoring'!AE56,""),"")</f>
        <v/>
      </c>
      <c r="D439" s="79" t="str">
        <f>IF('Novice 15M - Scoring'!B56&lt;&gt;"",IF('Novice 15M - Scoring'!AF56&lt;&gt;"",'Novice 15M - Scoring'!AF56,""),"")</f>
        <v/>
      </c>
      <c r="E439" s="80" t="str">
        <f>IF('Novice 15M - Scoring'!B56&lt;&gt;"",'Novice 15M - Scoring'!AT56,"")</f>
        <v/>
      </c>
      <c r="F439" s="81" t="str">
        <f>IF(E435&lt;&gt;"",IFERROR(IF(ISNUMBER(E435),E435,0),0)+IFERROR(IF(ISNUMBER(E436),E436,0),0)+IFERROR(IF(ISNUMBER(E437),E437,0),0)+IFERROR(IF(ISNUMBER(E438),E438,0),0)+IFERROR(IF(ISNUMBER(E439),E439,0),0),"")</f>
        <v/>
      </c>
      <c r="H439" s="78" t="s">
        <v>228</v>
      </c>
      <c r="I439" s="79" t="str">
        <f>IF('Novice 15M - Scoring'!B57&lt;&gt;"",IF('Novice 15M - Scoring'!AD57&lt;&gt;"",'Novice 15M - Scoring'!AD57,""),"")</f>
        <v/>
      </c>
      <c r="J439" s="79" t="str">
        <f>IF('Novice 15M - Scoring'!B57&lt;&gt;"",IF('Novice 15M - Scoring'!AE57&lt;&gt;"",'Novice 15M - Scoring'!AE57,""),"")</f>
        <v/>
      </c>
      <c r="K439" s="79" t="str">
        <f>IF('Novice 15M - Scoring'!B57&lt;&gt;"",IF('Novice 15M - Scoring'!AF57&lt;&gt;"",'Novice 15M - Scoring'!AF57,""),"")</f>
        <v/>
      </c>
      <c r="L439" s="80" t="str">
        <f>IF('Novice 15M - Scoring'!B57&lt;&gt;"",'Novice 15M - Scoring'!AT57,"")</f>
        <v/>
      </c>
      <c r="M439" s="81" t="str">
        <f>IF(L435&lt;&gt;"",IFERROR(IF(ISNUMBER(L435),L435,0),0)+IFERROR(IF(ISNUMBER(L436),L436,0),0)+IFERROR(IF(ISNUMBER(L437),L437,0),0)+IFERROR(IF(ISNUMBER(L438),L438,0),0)+IFERROR(IF(ISNUMBER(L439),L439,0),0),"")</f>
        <v/>
      </c>
    </row>
    <row r="440" spans="1:13" ht="19.5" customHeight="1" x14ac:dyDescent="0.35">
      <c r="A440" s="78" t="s">
        <v>229</v>
      </c>
      <c r="B440" s="79" t="str">
        <f>IF('Novice 15M - Scoring'!B56&lt;&gt;"",IF('Novice 15M - Scoring'!AJ56&lt;&gt;"",'Novice 15M - Scoring'!AJ56,""),"")</f>
        <v/>
      </c>
      <c r="C440" s="79" t="str">
        <f>IF('Novice 15M - Scoring'!B56&lt;&gt;"",IF('Novice 15M - Scoring'!AK56&lt;&gt;"",'Novice 15M - Scoring'!AK56,""),"")</f>
        <v/>
      </c>
      <c r="D440" s="79" t="str">
        <f>IF('Novice 15M - Scoring'!B56&lt;&gt;"",IF('Novice 15M - Scoring'!AL56&lt;&gt;"",'Novice 15M - Scoring'!AL56,""),"")</f>
        <v/>
      </c>
      <c r="E440" s="80" t="str">
        <f>IF('Novice 15M - Scoring'!B56&lt;&gt;"",'Novice 15M - Scoring'!AU56,"")</f>
        <v/>
      </c>
      <c r="F440" s="81" t="str">
        <f>IF(E435&lt;&gt;"",IFERROR(IF(ISNUMBER(E435),E435,0),0)+IFERROR(IF(ISNUMBER(E436),E436,0),0)+IFERROR(IF(ISNUMBER(E437),E437,0),0)+IFERROR(IF(ISNUMBER(E438),E438,0),0)+IFERROR(IF(ISNUMBER(E439),E439,0),0)+IFERROR(IF(ISNUMBER(E440),E440,0),0),"")</f>
        <v/>
      </c>
      <c r="H440" s="78" t="s">
        <v>229</v>
      </c>
      <c r="I440" s="79" t="str">
        <f>IF('Novice 15M - Scoring'!B57&lt;&gt;"",IF('Novice 15M - Scoring'!AJ57&lt;&gt;"",'Novice 15M - Scoring'!AJ57,""),"")</f>
        <v/>
      </c>
      <c r="J440" s="79" t="str">
        <f>IF('Novice 15M - Scoring'!B57&lt;&gt;"",IF('Novice 15M - Scoring'!AK57&lt;&gt;"",'Novice 15M - Scoring'!AK57,""),"")</f>
        <v/>
      </c>
      <c r="K440" s="79" t="str">
        <f>IF('Novice 15M - Scoring'!B57&lt;&gt;"",IF('Novice 15M - Scoring'!AL57&lt;&gt;"",'Novice 15M - Scoring'!AL57,""),"")</f>
        <v/>
      </c>
      <c r="L440" s="80" t="str">
        <f>IF('Novice 15M - Scoring'!B57&lt;&gt;"",'Novice 15M - Scoring'!AU57,"")</f>
        <v/>
      </c>
      <c r="M440" s="81" t="str">
        <f>IF(L435&lt;&gt;"",IFERROR(IF(ISNUMBER(L435),L435,0),0)+IFERROR(IF(ISNUMBER(L436),L436,0),0)+IFERROR(IF(ISNUMBER(L437),L437,0),0)+IFERROR(IF(ISNUMBER(L438),L438,0),0)+IFERROR(IF(ISNUMBER(L439),L439,0),0)+IFERROR(IF(ISNUMBER(L440),L440,0),0),"")</f>
        <v/>
      </c>
    </row>
    <row r="441" spans="1:13" ht="3.75" customHeight="1" x14ac:dyDescent="0.35"/>
    <row r="442" spans="1:13" ht="24" customHeight="1" x14ac:dyDescent="0.35">
      <c r="A442" s="124" t="s">
        <v>230</v>
      </c>
      <c r="B442" s="124"/>
      <c r="C442" s="124"/>
      <c r="D442" s="124"/>
      <c r="E442" s="125" t="str">
        <f>IF('Novice 15M - Scoring'!B56&lt;&gt;"",'Novice 15M - Scoring'!AV56,"")</f>
        <v/>
      </c>
      <c r="F442" s="125"/>
      <c r="H442" s="124" t="s">
        <v>230</v>
      </c>
      <c r="I442" s="124"/>
      <c r="J442" s="124"/>
      <c r="K442" s="124"/>
      <c r="L442" s="125" t="str">
        <f>IF('Novice 15M - Scoring'!B57&lt;&gt;"",'Novice 15M - Scoring'!AV57,"")</f>
        <v/>
      </c>
      <c r="M442" s="125"/>
    </row>
    <row r="443" spans="1:13" ht="19.5" customHeight="1" x14ac:dyDescent="0.35">
      <c r="E443" s="125"/>
      <c r="F443" s="125"/>
      <c r="L443" s="125"/>
      <c r="M443" s="125"/>
    </row>
    <row r="444" spans="1:13" ht="3.75" customHeight="1" x14ac:dyDescent="0.35"/>
    <row r="445" spans="1:13" ht="18" customHeight="1" x14ac:dyDescent="0.35">
      <c r="A445" s="73" t="s">
        <v>126</v>
      </c>
      <c r="B445" s="82" t="str">
        <f>IF('Novice 15M - Scoring'!B56&lt;&gt;"",'Novice 15M - Scoring'!AW56,"")</f>
        <v/>
      </c>
      <c r="C445" s="73" t="s">
        <v>127</v>
      </c>
      <c r="D445" s="83" t="str">
        <f>IF('Novice 15M - Scoring'!B56&lt;&gt;"",'Novice 15M - Scoring'!AX56,"")</f>
        <v/>
      </c>
      <c r="E445" s="73" t="s">
        <v>128</v>
      </c>
      <c r="F445" s="83" t="str">
        <f>IF('Novice 15M - Scoring'!B56&lt;&gt;"",'Novice 15M - Scoring'!AY56,"")</f>
        <v/>
      </c>
      <c r="H445" s="73" t="s">
        <v>126</v>
      </c>
      <c r="I445" s="82" t="str">
        <f>IF('Novice 15M - Scoring'!B57&lt;&gt;"",'Novice 15M - Scoring'!AW57,"")</f>
        <v/>
      </c>
      <c r="J445" s="73" t="s">
        <v>127</v>
      </c>
      <c r="K445" s="83" t="str">
        <f>IF('Novice 15M - Scoring'!B57&lt;&gt;"",'Novice 15M - Scoring'!AX57,"")</f>
        <v/>
      </c>
      <c r="L445" s="73" t="s">
        <v>128</v>
      </c>
      <c r="M445" s="83" t="str">
        <f>IF('Novice 15M - Scoring'!B57&lt;&gt;"",'Novice 15M - Scoring'!AY57,"")</f>
        <v/>
      </c>
    </row>
    <row r="446" spans="1:13" ht="3.75" customHeight="1" x14ac:dyDescent="0.35"/>
    <row r="447" spans="1:13" ht="7.5" customHeight="1" x14ac:dyDescent="0.35">
      <c r="A447" s="126"/>
      <c r="B447" s="126"/>
      <c r="C447" s="126"/>
      <c r="D447" s="126"/>
      <c r="E447" s="126"/>
      <c r="F447" s="126"/>
      <c r="G447" s="126"/>
      <c r="H447" s="126"/>
      <c r="I447" s="126"/>
      <c r="J447" s="126"/>
      <c r="K447" s="126"/>
      <c r="L447" s="126"/>
      <c r="M447" s="126"/>
    </row>
    <row r="448" spans="1:13" ht="15.75" customHeight="1" x14ac:dyDescent="0.35">
      <c r="A448" s="73" t="s">
        <v>218</v>
      </c>
      <c r="B448" s="122" t="str">
        <f>IF('Novice 15M - Scoring'!B58&lt;&gt;"",'Novice 15M - Scoring'!B58,"")</f>
        <v/>
      </c>
      <c r="C448" s="122"/>
      <c r="D448" s="122"/>
      <c r="E448" s="73" t="s">
        <v>219</v>
      </c>
      <c r="F448" s="74" t="str">
        <f>IF('Novice 15M - Scoring'!B58&lt;&gt;"",'Novice 15M - Scoring'!BB58,"")</f>
        <v/>
      </c>
      <c r="H448" s="73" t="s">
        <v>218</v>
      </c>
      <c r="I448" s="122" t="str">
        <f>IF('Novice 15M - Scoring'!B59&lt;&gt;"",'Novice 15M - Scoring'!B59,"")</f>
        <v/>
      </c>
      <c r="J448" s="122"/>
      <c r="K448" s="122"/>
      <c r="L448" s="73" t="s">
        <v>219</v>
      </c>
      <c r="M448" s="74" t="str">
        <f>IF('Novice 15M - Scoring'!B59&lt;&gt;"",'Novice 15M - Scoring'!BB59,"")</f>
        <v/>
      </c>
    </row>
    <row r="449" spans="1:13" ht="15.75" customHeight="1" x14ac:dyDescent="0.35">
      <c r="A449" s="73" t="s">
        <v>220</v>
      </c>
      <c r="B449" s="123" t="str">
        <f>IF('Novice 15M - Scoring'!B58&lt;&gt;"",'Novice 15M - Scoring'!D58,"")</f>
        <v/>
      </c>
      <c r="C449" s="123"/>
      <c r="D449" s="123"/>
      <c r="E449" s="73" t="s">
        <v>8</v>
      </c>
      <c r="F449" s="75" t="str">
        <f>IF('Novice 15M - Scoring'!B58&lt;&gt;"",'Novice 15M - Scoring'!E58,"")</f>
        <v/>
      </c>
      <c r="H449" s="73" t="s">
        <v>220</v>
      </c>
      <c r="I449" s="123" t="str">
        <f>IF('Novice 15M - Scoring'!B59&lt;&gt;"",'Novice 15M - Scoring'!D59,"")</f>
        <v/>
      </c>
      <c r="J449" s="123"/>
      <c r="K449" s="123"/>
      <c r="L449" s="73" t="s">
        <v>8</v>
      </c>
      <c r="M449" s="75" t="str">
        <f>IF('Novice 15M - Scoring'!B59&lt;&gt;"",'Novice 15M - Scoring'!E59,"")</f>
        <v/>
      </c>
    </row>
    <row r="450" spans="1:13" ht="3.75" customHeight="1" x14ac:dyDescent="0.35"/>
    <row r="451" spans="1:13" ht="25.5" customHeight="1" x14ac:dyDescent="0.35">
      <c r="A451" s="76" t="s">
        <v>221</v>
      </c>
      <c r="B451" s="77" t="s">
        <v>222</v>
      </c>
      <c r="C451" s="77" t="s">
        <v>223</v>
      </c>
      <c r="D451" s="77" t="s">
        <v>224</v>
      </c>
      <c r="E451" s="76" t="s">
        <v>225</v>
      </c>
      <c r="F451" s="76" t="s">
        <v>226</v>
      </c>
      <c r="H451" s="76" t="s">
        <v>221</v>
      </c>
      <c r="I451" s="77" t="s">
        <v>222</v>
      </c>
      <c r="J451" s="77" t="s">
        <v>223</v>
      </c>
      <c r="K451" s="77" t="s">
        <v>224</v>
      </c>
      <c r="L451" s="76" t="s">
        <v>225</v>
      </c>
      <c r="M451" s="76" t="s">
        <v>226</v>
      </c>
    </row>
    <row r="452" spans="1:13" ht="19.5" customHeight="1" x14ac:dyDescent="0.35">
      <c r="A452" s="78" t="s">
        <v>222</v>
      </c>
      <c r="B452" s="79" t="str">
        <f>IF('Novice 15M - Scoring'!B58&lt;&gt;"",IF('Novice 15M - Scoring'!F58&lt;&gt;"",'Novice 15M - Scoring'!F58,""),"")</f>
        <v/>
      </c>
      <c r="C452" s="79" t="str">
        <f>IF('Novice 15M - Scoring'!B58&lt;&gt;"",IF('Novice 15M - Scoring'!G58&lt;&gt;"",'Novice 15M - Scoring'!G58,""),"")</f>
        <v/>
      </c>
      <c r="D452" s="79" t="str">
        <f>IF('Novice 15M - Scoring'!B58&lt;&gt;"",IF('Novice 15M - Scoring'!H58&lt;&gt;"",'Novice 15M - Scoring'!H58,""),"")</f>
        <v/>
      </c>
      <c r="E452" s="80" t="str">
        <f>IF('Novice 15M - Scoring'!B58&lt;&gt;"",'Novice 15M - Scoring'!AP58,"")</f>
        <v/>
      </c>
      <c r="F452" s="81" t="str">
        <f>IFERROR(IF(ISNUMBER(E452),E452,""),"")</f>
        <v/>
      </c>
      <c r="H452" s="78" t="s">
        <v>222</v>
      </c>
      <c r="I452" s="79" t="str">
        <f>IF('Novice 15M - Scoring'!B59&lt;&gt;"",IF('Novice 15M - Scoring'!F59&lt;&gt;"",'Novice 15M - Scoring'!F59,""),"")</f>
        <v/>
      </c>
      <c r="J452" s="79" t="str">
        <f>IF('Novice 15M - Scoring'!B59&lt;&gt;"",IF('Novice 15M - Scoring'!G59&lt;&gt;"",'Novice 15M - Scoring'!G59,""),"")</f>
        <v/>
      </c>
      <c r="K452" s="79" t="str">
        <f>IF('Novice 15M - Scoring'!B59&lt;&gt;"",IF('Novice 15M - Scoring'!H59&lt;&gt;"",'Novice 15M - Scoring'!H59,""),"")</f>
        <v/>
      </c>
      <c r="L452" s="80" t="str">
        <f>IF('Novice 15M - Scoring'!B59&lt;&gt;"",'Novice 15M - Scoring'!AP59,"")</f>
        <v/>
      </c>
      <c r="M452" s="81" t="str">
        <f>IFERROR(IF(ISNUMBER(L452),L452,""),"")</f>
        <v/>
      </c>
    </row>
    <row r="453" spans="1:13" ht="19.5" customHeight="1" x14ac:dyDescent="0.35">
      <c r="A453" s="78" t="s">
        <v>223</v>
      </c>
      <c r="B453" s="79" t="str">
        <f>IF('Novice 15M - Scoring'!B58&lt;&gt;"",IF('Novice 15M - Scoring'!L58&lt;&gt;"",'Novice 15M - Scoring'!L58,""),"")</f>
        <v/>
      </c>
      <c r="C453" s="79" t="str">
        <f>IF('Novice 15M - Scoring'!B58&lt;&gt;"",IF('Novice 15M - Scoring'!M58&lt;&gt;"",'Novice 15M - Scoring'!M58,""),"")</f>
        <v/>
      </c>
      <c r="D453" s="79" t="str">
        <f>IF('Novice 15M - Scoring'!B58&lt;&gt;"",IF('Novice 15M - Scoring'!N58&lt;&gt;"",'Novice 15M - Scoring'!N58,""),"")</f>
        <v/>
      </c>
      <c r="E453" s="80" t="str">
        <f>IF('Novice 15M - Scoring'!B58&lt;&gt;"",'Novice 15M - Scoring'!AQ58,"")</f>
        <v/>
      </c>
      <c r="F453" s="81" t="str">
        <f>IF(E452&lt;&gt;"",IFERROR(IF(ISNUMBER(E452),E452,0),0)+IFERROR(IF(ISNUMBER(E453),E453,0),0),"")</f>
        <v/>
      </c>
      <c r="H453" s="78" t="s">
        <v>223</v>
      </c>
      <c r="I453" s="79" t="str">
        <f>IF('Novice 15M - Scoring'!B59&lt;&gt;"",IF('Novice 15M - Scoring'!L59&lt;&gt;"",'Novice 15M - Scoring'!L59,""),"")</f>
        <v/>
      </c>
      <c r="J453" s="79" t="str">
        <f>IF('Novice 15M - Scoring'!B59&lt;&gt;"",IF('Novice 15M - Scoring'!M59&lt;&gt;"",'Novice 15M - Scoring'!M59,""),"")</f>
        <v/>
      </c>
      <c r="K453" s="79" t="str">
        <f>IF('Novice 15M - Scoring'!B59&lt;&gt;"",IF('Novice 15M - Scoring'!N59&lt;&gt;"",'Novice 15M - Scoring'!N59,""),"")</f>
        <v/>
      </c>
      <c r="L453" s="80" t="str">
        <f>IF('Novice 15M - Scoring'!B59&lt;&gt;"",'Novice 15M - Scoring'!AQ59,"")</f>
        <v/>
      </c>
      <c r="M453" s="81" t="str">
        <f>IF(L452&lt;&gt;"",IFERROR(IF(ISNUMBER(L452),L452,0),0)+IFERROR(IF(ISNUMBER(L453),L453,0),0),"")</f>
        <v/>
      </c>
    </row>
    <row r="454" spans="1:13" ht="19.5" customHeight="1" x14ac:dyDescent="0.35">
      <c r="A454" s="78" t="s">
        <v>224</v>
      </c>
      <c r="B454" s="79" t="str">
        <f>IF('Novice 15M - Scoring'!B58&lt;&gt;"",IF('Novice 15M - Scoring'!R58&lt;&gt;"",'Novice 15M - Scoring'!R58,""),"")</f>
        <v/>
      </c>
      <c r="C454" s="79" t="str">
        <f>IF('Novice 15M - Scoring'!B58&lt;&gt;"",IF('Novice 15M - Scoring'!S58&lt;&gt;"",'Novice 15M - Scoring'!S58,""),"")</f>
        <v/>
      </c>
      <c r="D454" s="79" t="str">
        <f>IF('Novice 15M - Scoring'!B58&lt;&gt;"",IF('Novice 15M - Scoring'!T58&lt;&gt;"",'Novice 15M - Scoring'!T58,""),"")</f>
        <v/>
      </c>
      <c r="E454" s="80" t="str">
        <f>IF('Novice 15M - Scoring'!B58&lt;&gt;"",'Novice 15M - Scoring'!AR58,"")</f>
        <v/>
      </c>
      <c r="F454" s="81" t="str">
        <f>IF(E452&lt;&gt;"",IFERROR(IF(ISNUMBER(E452),E452,0),0)+IFERROR(IF(ISNUMBER(E453),E453,0),0)+IFERROR(IF(ISNUMBER(E454),E454,0),0),"")</f>
        <v/>
      </c>
      <c r="H454" s="78" t="s">
        <v>224</v>
      </c>
      <c r="I454" s="79" t="str">
        <f>IF('Novice 15M - Scoring'!B59&lt;&gt;"",IF('Novice 15M - Scoring'!R59&lt;&gt;"",'Novice 15M - Scoring'!R59,""),"")</f>
        <v/>
      </c>
      <c r="J454" s="79" t="str">
        <f>IF('Novice 15M - Scoring'!B59&lt;&gt;"",IF('Novice 15M - Scoring'!S59&lt;&gt;"",'Novice 15M - Scoring'!S59,""),"")</f>
        <v/>
      </c>
      <c r="K454" s="79" t="str">
        <f>IF('Novice 15M - Scoring'!B59&lt;&gt;"",IF('Novice 15M - Scoring'!T59&lt;&gt;"",'Novice 15M - Scoring'!T59,""),"")</f>
        <v/>
      </c>
      <c r="L454" s="80" t="str">
        <f>IF('Novice 15M - Scoring'!B59&lt;&gt;"",'Novice 15M - Scoring'!AR59,"")</f>
        <v/>
      </c>
      <c r="M454" s="81" t="str">
        <f>IF(L452&lt;&gt;"",IFERROR(IF(ISNUMBER(L452),L452,0),0)+IFERROR(IF(ISNUMBER(L453),L453,0),0)+IFERROR(IF(ISNUMBER(L454),L454,0),0),"")</f>
        <v/>
      </c>
    </row>
    <row r="455" spans="1:13" ht="19.5" customHeight="1" x14ac:dyDescent="0.35">
      <c r="A455" s="78" t="s">
        <v>227</v>
      </c>
      <c r="B455" s="79" t="str">
        <f>IF('Novice 15M - Scoring'!B58&lt;&gt;"",IF('Novice 15M - Scoring'!X58&lt;&gt;"",'Novice 15M - Scoring'!X58,""),"")</f>
        <v/>
      </c>
      <c r="C455" s="79" t="str">
        <f>IF('Novice 15M - Scoring'!B58&lt;&gt;"",IF('Novice 15M - Scoring'!Y58&lt;&gt;"",'Novice 15M - Scoring'!Y58,""),"")</f>
        <v/>
      </c>
      <c r="D455" s="79" t="str">
        <f>IF('Novice 15M - Scoring'!B58&lt;&gt;"",IF('Novice 15M - Scoring'!Z58&lt;&gt;"",'Novice 15M - Scoring'!Z58,""),"")</f>
        <v/>
      </c>
      <c r="E455" s="80" t="str">
        <f>IF('Novice 15M - Scoring'!B58&lt;&gt;"",'Novice 15M - Scoring'!AS58,"")</f>
        <v/>
      </c>
      <c r="F455" s="81" t="str">
        <f>IF(E452&lt;&gt;"",IFERROR(IF(ISNUMBER(E452),E452,0),0)+IFERROR(IF(ISNUMBER(E453),E453,0),0)+IFERROR(IF(ISNUMBER(E454),E454,0),0)+IFERROR(IF(ISNUMBER(E455),E455,0),0),"")</f>
        <v/>
      </c>
      <c r="H455" s="78" t="s">
        <v>227</v>
      </c>
      <c r="I455" s="79" t="str">
        <f>IF('Novice 15M - Scoring'!B59&lt;&gt;"",IF('Novice 15M - Scoring'!X59&lt;&gt;"",'Novice 15M - Scoring'!X59,""),"")</f>
        <v/>
      </c>
      <c r="J455" s="79" t="str">
        <f>IF('Novice 15M - Scoring'!B59&lt;&gt;"",IF('Novice 15M - Scoring'!Y59&lt;&gt;"",'Novice 15M - Scoring'!Y59,""),"")</f>
        <v/>
      </c>
      <c r="K455" s="79" t="str">
        <f>IF('Novice 15M - Scoring'!B59&lt;&gt;"",IF('Novice 15M - Scoring'!Z59&lt;&gt;"",'Novice 15M - Scoring'!Z59,""),"")</f>
        <v/>
      </c>
      <c r="L455" s="80" t="str">
        <f>IF('Novice 15M - Scoring'!B59&lt;&gt;"",'Novice 15M - Scoring'!AS59,"")</f>
        <v/>
      </c>
      <c r="M455" s="81" t="str">
        <f>IF(L452&lt;&gt;"",IFERROR(IF(ISNUMBER(L452),L452,0),0)+IFERROR(IF(ISNUMBER(L453),L453,0),0)+IFERROR(IF(ISNUMBER(L454),L454,0),0)+IFERROR(IF(ISNUMBER(L455),L455,0),0),"")</f>
        <v/>
      </c>
    </row>
    <row r="456" spans="1:13" ht="19.5" customHeight="1" x14ac:dyDescent="0.35">
      <c r="A456" s="78" t="s">
        <v>228</v>
      </c>
      <c r="B456" s="79" t="str">
        <f>IF('Novice 15M - Scoring'!B58&lt;&gt;"",IF('Novice 15M - Scoring'!AD58&lt;&gt;"",'Novice 15M - Scoring'!AD58,""),"")</f>
        <v/>
      </c>
      <c r="C456" s="79" t="str">
        <f>IF('Novice 15M - Scoring'!B58&lt;&gt;"",IF('Novice 15M - Scoring'!AE58&lt;&gt;"",'Novice 15M - Scoring'!AE58,""),"")</f>
        <v/>
      </c>
      <c r="D456" s="79" t="str">
        <f>IF('Novice 15M - Scoring'!B58&lt;&gt;"",IF('Novice 15M - Scoring'!AF58&lt;&gt;"",'Novice 15M - Scoring'!AF58,""),"")</f>
        <v/>
      </c>
      <c r="E456" s="80" t="str">
        <f>IF('Novice 15M - Scoring'!B58&lt;&gt;"",'Novice 15M - Scoring'!AT58,"")</f>
        <v/>
      </c>
      <c r="F456" s="81" t="str">
        <f>IF(E452&lt;&gt;"",IFERROR(IF(ISNUMBER(E452),E452,0),0)+IFERROR(IF(ISNUMBER(E453),E453,0),0)+IFERROR(IF(ISNUMBER(E454),E454,0),0)+IFERROR(IF(ISNUMBER(E455),E455,0),0)+IFERROR(IF(ISNUMBER(E456),E456,0),0),"")</f>
        <v/>
      </c>
      <c r="H456" s="78" t="s">
        <v>228</v>
      </c>
      <c r="I456" s="79" t="str">
        <f>IF('Novice 15M - Scoring'!B59&lt;&gt;"",IF('Novice 15M - Scoring'!AD59&lt;&gt;"",'Novice 15M - Scoring'!AD59,""),"")</f>
        <v/>
      </c>
      <c r="J456" s="79" t="str">
        <f>IF('Novice 15M - Scoring'!B59&lt;&gt;"",IF('Novice 15M - Scoring'!AE59&lt;&gt;"",'Novice 15M - Scoring'!AE59,""),"")</f>
        <v/>
      </c>
      <c r="K456" s="79" t="str">
        <f>IF('Novice 15M - Scoring'!B59&lt;&gt;"",IF('Novice 15M - Scoring'!AF59&lt;&gt;"",'Novice 15M - Scoring'!AF59,""),"")</f>
        <v/>
      </c>
      <c r="L456" s="80" t="str">
        <f>IF('Novice 15M - Scoring'!B59&lt;&gt;"",'Novice 15M - Scoring'!AT59,"")</f>
        <v/>
      </c>
      <c r="M456" s="81" t="str">
        <f>IF(L452&lt;&gt;"",IFERROR(IF(ISNUMBER(L452),L452,0),0)+IFERROR(IF(ISNUMBER(L453),L453,0),0)+IFERROR(IF(ISNUMBER(L454),L454,0),0)+IFERROR(IF(ISNUMBER(L455),L455,0),0)+IFERROR(IF(ISNUMBER(L456),L456,0),0),"")</f>
        <v/>
      </c>
    </row>
    <row r="457" spans="1:13" ht="19.5" customHeight="1" x14ac:dyDescent="0.35">
      <c r="A457" s="78" t="s">
        <v>229</v>
      </c>
      <c r="B457" s="79" t="str">
        <f>IF('Novice 15M - Scoring'!B58&lt;&gt;"",IF('Novice 15M - Scoring'!AJ58&lt;&gt;"",'Novice 15M - Scoring'!AJ58,""),"")</f>
        <v/>
      </c>
      <c r="C457" s="79" t="str">
        <f>IF('Novice 15M - Scoring'!B58&lt;&gt;"",IF('Novice 15M - Scoring'!AK58&lt;&gt;"",'Novice 15M - Scoring'!AK58,""),"")</f>
        <v/>
      </c>
      <c r="D457" s="79" t="str">
        <f>IF('Novice 15M - Scoring'!B58&lt;&gt;"",IF('Novice 15M - Scoring'!AL58&lt;&gt;"",'Novice 15M - Scoring'!AL58,""),"")</f>
        <v/>
      </c>
      <c r="E457" s="80" t="str">
        <f>IF('Novice 15M - Scoring'!B58&lt;&gt;"",'Novice 15M - Scoring'!AU58,"")</f>
        <v/>
      </c>
      <c r="F457" s="81" t="str">
        <f>IF(E452&lt;&gt;"",IFERROR(IF(ISNUMBER(E452),E452,0),0)+IFERROR(IF(ISNUMBER(E453),E453,0),0)+IFERROR(IF(ISNUMBER(E454),E454,0),0)+IFERROR(IF(ISNUMBER(E455),E455,0),0)+IFERROR(IF(ISNUMBER(E456),E456,0),0)+IFERROR(IF(ISNUMBER(E457),E457,0),0),"")</f>
        <v/>
      </c>
      <c r="H457" s="78" t="s">
        <v>229</v>
      </c>
      <c r="I457" s="79" t="str">
        <f>IF('Novice 15M - Scoring'!B59&lt;&gt;"",IF('Novice 15M - Scoring'!AJ59&lt;&gt;"",'Novice 15M - Scoring'!AJ59,""),"")</f>
        <v/>
      </c>
      <c r="J457" s="79" t="str">
        <f>IF('Novice 15M - Scoring'!B59&lt;&gt;"",IF('Novice 15M - Scoring'!AK59&lt;&gt;"",'Novice 15M - Scoring'!AK59,""),"")</f>
        <v/>
      </c>
      <c r="K457" s="79" t="str">
        <f>IF('Novice 15M - Scoring'!B59&lt;&gt;"",IF('Novice 15M - Scoring'!AL59&lt;&gt;"",'Novice 15M - Scoring'!AL59,""),"")</f>
        <v/>
      </c>
      <c r="L457" s="80" t="str">
        <f>IF('Novice 15M - Scoring'!B59&lt;&gt;"",'Novice 15M - Scoring'!AU59,"")</f>
        <v/>
      </c>
      <c r="M457" s="81" t="str">
        <f>IF(L452&lt;&gt;"",IFERROR(IF(ISNUMBER(L452),L452,0),0)+IFERROR(IF(ISNUMBER(L453),L453,0),0)+IFERROR(IF(ISNUMBER(L454),L454,0),0)+IFERROR(IF(ISNUMBER(L455),L455,0),0)+IFERROR(IF(ISNUMBER(L456),L456,0),0)+IFERROR(IF(ISNUMBER(L457),L457,0),0),"")</f>
        <v/>
      </c>
    </row>
    <row r="458" spans="1:13" ht="3.75" customHeight="1" x14ac:dyDescent="0.35"/>
    <row r="459" spans="1:13" ht="24" customHeight="1" x14ac:dyDescent="0.35">
      <c r="A459" s="124" t="s">
        <v>230</v>
      </c>
      <c r="B459" s="124"/>
      <c r="C459" s="124"/>
      <c r="D459" s="124"/>
      <c r="E459" s="125" t="str">
        <f>IF('Novice 15M - Scoring'!B58&lt;&gt;"",'Novice 15M - Scoring'!AV58,"")</f>
        <v/>
      </c>
      <c r="F459" s="125"/>
      <c r="H459" s="124" t="s">
        <v>230</v>
      </c>
      <c r="I459" s="124"/>
      <c r="J459" s="124"/>
      <c r="K459" s="124"/>
      <c r="L459" s="125" t="str">
        <f>IF('Novice 15M - Scoring'!B59&lt;&gt;"",'Novice 15M - Scoring'!AV59,"")</f>
        <v/>
      </c>
      <c r="M459" s="125"/>
    </row>
    <row r="460" spans="1:13" ht="19.5" customHeight="1" x14ac:dyDescent="0.35">
      <c r="E460" s="125"/>
      <c r="F460" s="125"/>
      <c r="L460" s="125"/>
      <c r="M460" s="125"/>
    </row>
    <row r="461" spans="1:13" ht="3.75" customHeight="1" x14ac:dyDescent="0.35"/>
    <row r="462" spans="1:13" ht="18" customHeight="1" x14ac:dyDescent="0.35">
      <c r="A462" s="73" t="s">
        <v>126</v>
      </c>
      <c r="B462" s="82" t="str">
        <f>IF('Novice 15M - Scoring'!B58&lt;&gt;"",'Novice 15M - Scoring'!AW58,"")</f>
        <v/>
      </c>
      <c r="C462" s="73" t="s">
        <v>127</v>
      </c>
      <c r="D462" s="83" t="str">
        <f>IF('Novice 15M - Scoring'!B58&lt;&gt;"",'Novice 15M - Scoring'!AX58,"")</f>
        <v/>
      </c>
      <c r="E462" s="73" t="s">
        <v>128</v>
      </c>
      <c r="F462" s="83" t="str">
        <f>IF('Novice 15M - Scoring'!B58&lt;&gt;"",'Novice 15M - Scoring'!AY58,"")</f>
        <v/>
      </c>
      <c r="H462" s="73" t="s">
        <v>126</v>
      </c>
      <c r="I462" s="82" t="str">
        <f>IF('Novice 15M - Scoring'!B59&lt;&gt;"",'Novice 15M - Scoring'!AW59,"")</f>
        <v/>
      </c>
      <c r="J462" s="73" t="s">
        <v>127</v>
      </c>
      <c r="K462" s="83" t="str">
        <f>IF('Novice 15M - Scoring'!B59&lt;&gt;"",'Novice 15M - Scoring'!AX59,"")</f>
        <v/>
      </c>
      <c r="L462" s="73" t="s">
        <v>128</v>
      </c>
      <c r="M462" s="83" t="str">
        <f>IF('Novice 15M - Scoring'!B59&lt;&gt;"",'Novice 15M - Scoring'!AY59,"")</f>
        <v/>
      </c>
    </row>
    <row r="463" spans="1:13" ht="3.75" customHeight="1" x14ac:dyDescent="0.35"/>
    <row r="464" spans="1:13" ht="7.5" customHeight="1" x14ac:dyDescent="0.35">
      <c r="A464" s="126"/>
      <c r="B464" s="126"/>
      <c r="C464" s="126"/>
      <c r="D464" s="126"/>
      <c r="E464" s="126"/>
      <c r="F464" s="126"/>
      <c r="G464" s="126"/>
      <c r="H464" s="126"/>
      <c r="I464" s="126"/>
      <c r="J464" s="126"/>
      <c r="K464" s="126"/>
      <c r="L464" s="126"/>
      <c r="M464" s="126"/>
    </row>
    <row r="465" spans="1:13" ht="15.75" customHeight="1" x14ac:dyDescent="0.35">
      <c r="A465" s="73" t="s">
        <v>218</v>
      </c>
      <c r="B465" s="122" t="str">
        <f>IF('Novice 15M - Scoring'!B60&lt;&gt;"",'Novice 15M - Scoring'!B60,"")</f>
        <v/>
      </c>
      <c r="C465" s="122"/>
      <c r="D465" s="122"/>
      <c r="E465" s="73" t="s">
        <v>219</v>
      </c>
      <c r="F465" s="74" t="str">
        <f>IF('Novice 15M - Scoring'!B60&lt;&gt;"",'Novice 15M - Scoring'!BB60,"")</f>
        <v/>
      </c>
      <c r="H465" s="73" t="s">
        <v>218</v>
      </c>
      <c r="I465" s="122" t="str">
        <f>IF('Novice 15M - Scoring'!B61&lt;&gt;"",'Novice 15M - Scoring'!B61,"")</f>
        <v/>
      </c>
      <c r="J465" s="122"/>
      <c r="K465" s="122"/>
      <c r="L465" s="73" t="s">
        <v>219</v>
      </c>
      <c r="M465" s="74" t="str">
        <f>IF('Novice 15M - Scoring'!B61&lt;&gt;"",'Novice 15M - Scoring'!BB61,"")</f>
        <v/>
      </c>
    </row>
    <row r="466" spans="1:13" ht="15.75" customHeight="1" x14ac:dyDescent="0.35">
      <c r="A466" s="73" t="s">
        <v>220</v>
      </c>
      <c r="B466" s="123" t="str">
        <f>IF('Novice 15M - Scoring'!B60&lt;&gt;"",'Novice 15M - Scoring'!D60,"")</f>
        <v/>
      </c>
      <c r="C466" s="123"/>
      <c r="D466" s="123"/>
      <c r="E466" s="73" t="s">
        <v>8</v>
      </c>
      <c r="F466" s="75" t="str">
        <f>IF('Novice 15M - Scoring'!B60&lt;&gt;"",'Novice 15M - Scoring'!E60,"")</f>
        <v/>
      </c>
      <c r="H466" s="73" t="s">
        <v>220</v>
      </c>
      <c r="I466" s="123" t="str">
        <f>IF('Novice 15M - Scoring'!B61&lt;&gt;"",'Novice 15M - Scoring'!D61,"")</f>
        <v/>
      </c>
      <c r="J466" s="123"/>
      <c r="K466" s="123"/>
      <c r="L466" s="73" t="s">
        <v>8</v>
      </c>
      <c r="M466" s="75" t="str">
        <f>IF('Novice 15M - Scoring'!B61&lt;&gt;"",'Novice 15M - Scoring'!E61,"")</f>
        <v/>
      </c>
    </row>
    <row r="467" spans="1:13" ht="3.75" customHeight="1" x14ac:dyDescent="0.35"/>
    <row r="468" spans="1:13" ht="25.5" customHeight="1" x14ac:dyDescent="0.35">
      <c r="A468" s="76" t="s">
        <v>221</v>
      </c>
      <c r="B468" s="77" t="s">
        <v>222</v>
      </c>
      <c r="C468" s="77" t="s">
        <v>223</v>
      </c>
      <c r="D468" s="77" t="s">
        <v>224</v>
      </c>
      <c r="E468" s="76" t="s">
        <v>225</v>
      </c>
      <c r="F468" s="76" t="s">
        <v>226</v>
      </c>
      <c r="H468" s="76" t="s">
        <v>221</v>
      </c>
      <c r="I468" s="77" t="s">
        <v>222</v>
      </c>
      <c r="J468" s="77" t="s">
        <v>223</v>
      </c>
      <c r="K468" s="77" t="s">
        <v>224</v>
      </c>
      <c r="L468" s="76" t="s">
        <v>225</v>
      </c>
      <c r="M468" s="76" t="s">
        <v>226</v>
      </c>
    </row>
    <row r="469" spans="1:13" ht="19.5" customHeight="1" x14ac:dyDescent="0.35">
      <c r="A469" s="78" t="s">
        <v>222</v>
      </c>
      <c r="B469" s="79" t="str">
        <f>IF('Novice 15M - Scoring'!B60&lt;&gt;"",IF('Novice 15M - Scoring'!F60&lt;&gt;"",'Novice 15M - Scoring'!F60,""),"")</f>
        <v/>
      </c>
      <c r="C469" s="79" t="str">
        <f>IF('Novice 15M - Scoring'!B60&lt;&gt;"",IF('Novice 15M - Scoring'!G60&lt;&gt;"",'Novice 15M - Scoring'!G60,""),"")</f>
        <v/>
      </c>
      <c r="D469" s="79" t="str">
        <f>IF('Novice 15M - Scoring'!B60&lt;&gt;"",IF('Novice 15M - Scoring'!H60&lt;&gt;"",'Novice 15M - Scoring'!H60,""),"")</f>
        <v/>
      </c>
      <c r="E469" s="80" t="str">
        <f>IF('Novice 15M - Scoring'!B60&lt;&gt;"",'Novice 15M - Scoring'!AP60,"")</f>
        <v/>
      </c>
      <c r="F469" s="81" t="str">
        <f>IFERROR(IF(ISNUMBER(E469),E469,""),"")</f>
        <v/>
      </c>
      <c r="H469" s="78" t="s">
        <v>222</v>
      </c>
      <c r="I469" s="79" t="str">
        <f>IF('Novice 15M - Scoring'!B61&lt;&gt;"",IF('Novice 15M - Scoring'!F61&lt;&gt;"",'Novice 15M - Scoring'!F61,""),"")</f>
        <v/>
      </c>
      <c r="J469" s="79" t="str">
        <f>IF('Novice 15M - Scoring'!B61&lt;&gt;"",IF('Novice 15M - Scoring'!G61&lt;&gt;"",'Novice 15M - Scoring'!G61,""),"")</f>
        <v/>
      </c>
      <c r="K469" s="79" t="str">
        <f>IF('Novice 15M - Scoring'!B61&lt;&gt;"",IF('Novice 15M - Scoring'!H61&lt;&gt;"",'Novice 15M - Scoring'!H61,""),"")</f>
        <v/>
      </c>
      <c r="L469" s="80" t="str">
        <f>IF('Novice 15M - Scoring'!B61&lt;&gt;"",'Novice 15M - Scoring'!AP61,"")</f>
        <v/>
      </c>
      <c r="M469" s="81" t="str">
        <f>IFERROR(IF(ISNUMBER(L469),L469,""),"")</f>
        <v/>
      </c>
    </row>
    <row r="470" spans="1:13" ht="19.5" customHeight="1" x14ac:dyDescent="0.35">
      <c r="A470" s="78" t="s">
        <v>223</v>
      </c>
      <c r="B470" s="79" t="str">
        <f>IF('Novice 15M - Scoring'!B60&lt;&gt;"",IF('Novice 15M - Scoring'!L60&lt;&gt;"",'Novice 15M - Scoring'!L60,""),"")</f>
        <v/>
      </c>
      <c r="C470" s="79" t="str">
        <f>IF('Novice 15M - Scoring'!B60&lt;&gt;"",IF('Novice 15M - Scoring'!M60&lt;&gt;"",'Novice 15M - Scoring'!M60,""),"")</f>
        <v/>
      </c>
      <c r="D470" s="79" t="str">
        <f>IF('Novice 15M - Scoring'!B60&lt;&gt;"",IF('Novice 15M - Scoring'!N60&lt;&gt;"",'Novice 15M - Scoring'!N60,""),"")</f>
        <v/>
      </c>
      <c r="E470" s="80" t="str">
        <f>IF('Novice 15M - Scoring'!B60&lt;&gt;"",'Novice 15M - Scoring'!AQ60,"")</f>
        <v/>
      </c>
      <c r="F470" s="81" t="str">
        <f>IF(E469&lt;&gt;"",IFERROR(IF(ISNUMBER(E469),E469,0),0)+IFERROR(IF(ISNUMBER(E470),E470,0),0),"")</f>
        <v/>
      </c>
      <c r="H470" s="78" t="s">
        <v>223</v>
      </c>
      <c r="I470" s="79" t="str">
        <f>IF('Novice 15M - Scoring'!B61&lt;&gt;"",IF('Novice 15M - Scoring'!L61&lt;&gt;"",'Novice 15M - Scoring'!L61,""),"")</f>
        <v/>
      </c>
      <c r="J470" s="79" t="str">
        <f>IF('Novice 15M - Scoring'!B61&lt;&gt;"",IF('Novice 15M - Scoring'!M61&lt;&gt;"",'Novice 15M - Scoring'!M61,""),"")</f>
        <v/>
      </c>
      <c r="K470" s="79" t="str">
        <f>IF('Novice 15M - Scoring'!B61&lt;&gt;"",IF('Novice 15M - Scoring'!N61&lt;&gt;"",'Novice 15M - Scoring'!N61,""),"")</f>
        <v/>
      </c>
      <c r="L470" s="80" t="str">
        <f>IF('Novice 15M - Scoring'!B61&lt;&gt;"",'Novice 15M - Scoring'!AQ61,"")</f>
        <v/>
      </c>
      <c r="M470" s="81" t="str">
        <f>IF(L469&lt;&gt;"",IFERROR(IF(ISNUMBER(L469),L469,0),0)+IFERROR(IF(ISNUMBER(L470),L470,0),0),"")</f>
        <v/>
      </c>
    </row>
    <row r="471" spans="1:13" ht="19.5" customHeight="1" x14ac:dyDescent="0.35">
      <c r="A471" s="78" t="s">
        <v>224</v>
      </c>
      <c r="B471" s="79" t="str">
        <f>IF('Novice 15M - Scoring'!B60&lt;&gt;"",IF('Novice 15M - Scoring'!R60&lt;&gt;"",'Novice 15M - Scoring'!R60,""),"")</f>
        <v/>
      </c>
      <c r="C471" s="79" t="str">
        <f>IF('Novice 15M - Scoring'!B60&lt;&gt;"",IF('Novice 15M - Scoring'!S60&lt;&gt;"",'Novice 15M - Scoring'!S60,""),"")</f>
        <v/>
      </c>
      <c r="D471" s="79" t="str">
        <f>IF('Novice 15M - Scoring'!B60&lt;&gt;"",IF('Novice 15M - Scoring'!T60&lt;&gt;"",'Novice 15M - Scoring'!T60,""),"")</f>
        <v/>
      </c>
      <c r="E471" s="80" t="str">
        <f>IF('Novice 15M - Scoring'!B60&lt;&gt;"",'Novice 15M - Scoring'!AR60,"")</f>
        <v/>
      </c>
      <c r="F471" s="81" t="str">
        <f>IF(E469&lt;&gt;"",IFERROR(IF(ISNUMBER(E469),E469,0),0)+IFERROR(IF(ISNUMBER(E470),E470,0),0)+IFERROR(IF(ISNUMBER(E471),E471,0),0),"")</f>
        <v/>
      </c>
      <c r="H471" s="78" t="s">
        <v>224</v>
      </c>
      <c r="I471" s="79" t="str">
        <f>IF('Novice 15M - Scoring'!B61&lt;&gt;"",IF('Novice 15M - Scoring'!R61&lt;&gt;"",'Novice 15M - Scoring'!R61,""),"")</f>
        <v/>
      </c>
      <c r="J471" s="79" t="str">
        <f>IF('Novice 15M - Scoring'!B61&lt;&gt;"",IF('Novice 15M - Scoring'!S61&lt;&gt;"",'Novice 15M - Scoring'!S61,""),"")</f>
        <v/>
      </c>
      <c r="K471" s="79" t="str">
        <f>IF('Novice 15M - Scoring'!B61&lt;&gt;"",IF('Novice 15M - Scoring'!T61&lt;&gt;"",'Novice 15M - Scoring'!T61,""),"")</f>
        <v/>
      </c>
      <c r="L471" s="80" t="str">
        <f>IF('Novice 15M - Scoring'!B61&lt;&gt;"",'Novice 15M - Scoring'!AR61,"")</f>
        <v/>
      </c>
      <c r="M471" s="81" t="str">
        <f>IF(L469&lt;&gt;"",IFERROR(IF(ISNUMBER(L469),L469,0),0)+IFERROR(IF(ISNUMBER(L470),L470,0),0)+IFERROR(IF(ISNUMBER(L471),L471,0),0),"")</f>
        <v/>
      </c>
    </row>
    <row r="472" spans="1:13" ht="19.5" customHeight="1" x14ac:dyDescent="0.35">
      <c r="A472" s="78" t="s">
        <v>227</v>
      </c>
      <c r="B472" s="79" t="str">
        <f>IF('Novice 15M - Scoring'!B60&lt;&gt;"",IF('Novice 15M - Scoring'!X60&lt;&gt;"",'Novice 15M - Scoring'!X60,""),"")</f>
        <v/>
      </c>
      <c r="C472" s="79" t="str">
        <f>IF('Novice 15M - Scoring'!B60&lt;&gt;"",IF('Novice 15M - Scoring'!Y60&lt;&gt;"",'Novice 15M - Scoring'!Y60,""),"")</f>
        <v/>
      </c>
      <c r="D472" s="79" t="str">
        <f>IF('Novice 15M - Scoring'!B60&lt;&gt;"",IF('Novice 15M - Scoring'!Z60&lt;&gt;"",'Novice 15M - Scoring'!Z60,""),"")</f>
        <v/>
      </c>
      <c r="E472" s="80" t="str">
        <f>IF('Novice 15M - Scoring'!B60&lt;&gt;"",'Novice 15M - Scoring'!AS60,"")</f>
        <v/>
      </c>
      <c r="F472" s="81" t="str">
        <f>IF(E469&lt;&gt;"",IFERROR(IF(ISNUMBER(E469),E469,0),0)+IFERROR(IF(ISNUMBER(E470),E470,0),0)+IFERROR(IF(ISNUMBER(E471),E471,0),0)+IFERROR(IF(ISNUMBER(E472),E472,0),0),"")</f>
        <v/>
      </c>
      <c r="H472" s="78" t="s">
        <v>227</v>
      </c>
      <c r="I472" s="79" t="str">
        <f>IF('Novice 15M - Scoring'!B61&lt;&gt;"",IF('Novice 15M - Scoring'!X61&lt;&gt;"",'Novice 15M - Scoring'!X61,""),"")</f>
        <v/>
      </c>
      <c r="J472" s="79" t="str">
        <f>IF('Novice 15M - Scoring'!B61&lt;&gt;"",IF('Novice 15M - Scoring'!Y61&lt;&gt;"",'Novice 15M - Scoring'!Y61,""),"")</f>
        <v/>
      </c>
      <c r="K472" s="79" t="str">
        <f>IF('Novice 15M - Scoring'!B61&lt;&gt;"",IF('Novice 15M - Scoring'!Z61&lt;&gt;"",'Novice 15M - Scoring'!Z61,""),"")</f>
        <v/>
      </c>
      <c r="L472" s="80" t="str">
        <f>IF('Novice 15M - Scoring'!B61&lt;&gt;"",'Novice 15M - Scoring'!AS61,"")</f>
        <v/>
      </c>
      <c r="M472" s="81" t="str">
        <f>IF(L469&lt;&gt;"",IFERROR(IF(ISNUMBER(L469),L469,0),0)+IFERROR(IF(ISNUMBER(L470),L470,0),0)+IFERROR(IF(ISNUMBER(L471),L471,0),0)+IFERROR(IF(ISNUMBER(L472),L472,0),0),"")</f>
        <v/>
      </c>
    </row>
    <row r="473" spans="1:13" ht="19.5" customHeight="1" x14ac:dyDescent="0.35">
      <c r="A473" s="78" t="s">
        <v>228</v>
      </c>
      <c r="B473" s="79" t="str">
        <f>IF('Novice 15M - Scoring'!B60&lt;&gt;"",IF('Novice 15M - Scoring'!AD60&lt;&gt;"",'Novice 15M - Scoring'!AD60,""),"")</f>
        <v/>
      </c>
      <c r="C473" s="79" t="str">
        <f>IF('Novice 15M - Scoring'!B60&lt;&gt;"",IF('Novice 15M - Scoring'!AE60&lt;&gt;"",'Novice 15M - Scoring'!AE60,""),"")</f>
        <v/>
      </c>
      <c r="D473" s="79" t="str">
        <f>IF('Novice 15M - Scoring'!B60&lt;&gt;"",IF('Novice 15M - Scoring'!AF60&lt;&gt;"",'Novice 15M - Scoring'!AF60,""),"")</f>
        <v/>
      </c>
      <c r="E473" s="80" t="str">
        <f>IF('Novice 15M - Scoring'!B60&lt;&gt;"",'Novice 15M - Scoring'!AT60,"")</f>
        <v/>
      </c>
      <c r="F473" s="81" t="str">
        <f>IF(E469&lt;&gt;"",IFERROR(IF(ISNUMBER(E469),E469,0),0)+IFERROR(IF(ISNUMBER(E470),E470,0),0)+IFERROR(IF(ISNUMBER(E471),E471,0),0)+IFERROR(IF(ISNUMBER(E472),E472,0),0)+IFERROR(IF(ISNUMBER(E473),E473,0),0),"")</f>
        <v/>
      </c>
      <c r="H473" s="78" t="s">
        <v>228</v>
      </c>
      <c r="I473" s="79" t="str">
        <f>IF('Novice 15M - Scoring'!B61&lt;&gt;"",IF('Novice 15M - Scoring'!AD61&lt;&gt;"",'Novice 15M - Scoring'!AD61,""),"")</f>
        <v/>
      </c>
      <c r="J473" s="79" t="str">
        <f>IF('Novice 15M - Scoring'!B61&lt;&gt;"",IF('Novice 15M - Scoring'!AE61&lt;&gt;"",'Novice 15M - Scoring'!AE61,""),"")</f>
        <v/>
      </c>
      <c r="K473" s="79" t="str">
        <f>IF('Novice 15M - Scoring'!B61&lt;&gt;"",IF('Novice 15M - Scoring'!AF61&lt;&gt;"",'Novice 15M - Scoring'!AF61,""),"")</f>
        <v/>
      </c>
      <c r="L473" s="80" t="str">
        <f>IF('Novice 15M - Scoring'!B61&lt;&gt;"",'Novice 15M - Scoring'!AT61,"")</f>
        <v/>
      </c>
      <c r="M473" s="81" t="str">
        <f>IF(L469&lt;&gt;"",IFERROR(IF(ISNUMBER(L469),L469,0),0)+IFERROR(IF(ISNUMBER(L470),L470,0),0)+IFERROR(IF(ISNUMBER(L471),L471,0),0)+IFERROR(IF(ISNUMBER(L472),L472,0),0)+IFERROR(IF(ISNUMBER(L473),L473,0),0),"")</f>
        <v/>
      </c>
    </row>
    <row r="474" spans="1:13" ht="19.5" customHeight="1" x14ac:dyDescent="0.35">
      <c r="A474" s="78" t="s">
        <v>229</v>
      </c>
      <c r="B474" s="79" t="str">
        <f>IF('Novice 15M - Scoring'!B60&lt;&gt;"",IF('Novice 15M - Scoring'!AJ60&lt;&gt;"",'Novice 15M - Scoring'!AJ60,""),"")</f>
        <v/>
      </c>
      <c r="C474" s="79" t="str">
        <f>IF('Novice 15M - Scoring'!B60&lt;&gt;"",IF('Novice 15M - Scoring'!AK60&lt;&gt;"",'Novice 15M - Scoring'!AK60,""),"")</f>
        <v/>
      </c>
      <c r="D474" s="79" t="str">
        <f>IF('Novice 15M - Scoring'!B60&lt;&gt;"",IF('Novice 15M - Scoring'!AL60&lt;&gt;"",'Novice 15M - Scoring'!AL60,""),"")</f>
        <v/>
      </c>
      <c r="E474" s="80" t="str">
        <f>IF('Novice 15M - Scoring'!B60&lt;&gt;"",'Novice 15M - Scoring'!AU60,"")</f>
        <v/>
      </c>
      <c r="F474" s="81" t="str">
        <f>IF(E469&lt;&gt;"",IFERROR(IF(ISNUMBER(E469),E469,0),0)+IFERROR(IF(ISNUMBER(E470),E470,0),0)+IFERROR(IF(ISNUMBER(E471),E471,0),0)+IFERROR(IF(ISNUMBER(E472),E472,0),0)+IFERROR(IF(ISNUMBER(E473),E473,0),0)+IFERROR(IF(ISNUMBER(E474),E474,0),0),"")</f>
        <v/>
      </c>
      <c r="H474" s="78" t="s">
        <v>229</v>
      </c>
      <c r="I474" s="79" t="str">
        <f>IF('Novice 15M - Scoring'!B61&lt;&gt;"",IF('Novice 15M - Scoring'!AJ61&lt;&gt;"",'Novice 15M - Scoring'!AJ61,""),"")</f>
        <v/>
      </c>
      <c r="J474" s="79" t="str">
        <f>IF('Novice 15M - Scoring'!B61&lt;&gt;"",IF('Novice 15M - Scoring'!AK61&lt;&gt;"",'Novice 15M - Scoring'!AK61,""),"")</f>
        <v/>
      </c>
      <c r="K474" s="79" t="str">
        <f>IF('Novice 15M - Scoring'!B61&lt;&gt;"",IF('Novice 15M - Scoring'!AL61&lt;&gt;"",'Novice 15M - Scoring'!AL61,""),"")</f>
        <v/>
      </c>
      <c r="L474" s="80" t="str">
        <f>IF('Novice 15M - Scoring'!B61&lt;&gt;"",'Novice 15M - Scoring'!AU61,"")</f>
        <v/>
      </c>
      <c r="M474" s="81" t="str">
        <f>IF(L469&lt;&gt;"",IFERROR(IF(ISNUMBER(L469),L469,0),0)+IFERROR(IF(ISNUMBER(L470),L470,0),0)+IFERROR(IF(ISNUMBER(L471),L471,0),0)+IFERROR(IF(ISNUMBER(L472),L472,0),0)+IFERROR(IF(ISNUMBER(L473),L473,0),0)+IFERROR(IF(ISNUMBER(L474),L474,0),0),"")</f>
        <v/>
      </c>
    </row>
    <row r="475" spans="1:13" ht="3.75" customHeight="1" x14ac:dyDescent="0.35"/>
    <row r="476" spans="1:13" ht="24" customHeight="1" x14ac:dyDescent="0.35">
      <c r="A476" s="124" t="s">
        <v>230</v>
      </c>
      <c r="B476" s="124"/>
      <c r="C476" s="124"/>
      <c r="D476" s="124"/>
      <c r="E476" s="125" t="str">
        <f>IF('Novice 15M - Scoring'!B60&lt;&gt;"",'Novice 15M - Scoring'!AV60,"")</f>
        <v/>
      </c>
      <c r="F476" s="125"/>
      <c r="H476" s="124" t="s">
        <v>230</v>
      </c>
      <c r="I476" s="124"/>
      <c r="J476" s="124"/>
      <c r="K476" s="124"/>
      <c r="L476" s="125" t="str">
        <f>IF('Novice 15M - Scoring'!B61&lt;&gt;"",'Novice 15M - Scoring'!AV61,"")</f>
        <v/>
      </c>
      <c r="M476" s="125"/>
    </row>
    <row r="477" spans="1:13" ht="19.5" customHeight="1" x14ac:dyDescent="0.35">
      <c r="E477" s="125"/>
      <c r="F477" s="125"/>
      <c r="L477" s="125"/>
      <c r="M477" s="125"/>
    </row>
    <row r="478" spans="1:13" ht="3.75" customHeight="1" x14ac:dyDescent="0.35"/>
    <row r="479" spans="1:13" ht="18" customHeight="1" x14ac:dyDescent="0.35">
      <c r="A479" s="73" t="s">
        <v>126</v>
      </c>
      <c r="B479" s="82" t="str">
        <f>IF('Novice 15M - Scoring'!B60&lt;&gt;"",'Novice 15M - Scoring'!AW60,"")</f>
        <v/>
      </c>
      <c r="C479" s="73" t="s">
        <v>127</v>
      </c>
      <c r="D479" s="83" t="str">
        <f>IF('Novice 15M - Scoring'!B60&lt;&gt;"",'Novice 15M - Scoring'!AX60,"")</f>
        <v/>
      </c>
      <c r="E479" s="73" t="s">
        <v>128</v>
      </c>
      <c r="F479" s="83" t="str">
        <f>IF('Novice 15M - Scoring'!B60&lt;&gt;"",'Novice 15M - Scoring'!AY60,"")</f>
        <v/>
      </c>
      <c r="H479" s="73" t="s">
        <v>126</v>
      </c>
      <c r="I479" s="82" t="str">
        <f>IF('Novice 15M - Scoring'!B61&lt;&gt;"",'Novice 15M - Scoring'!AW61,"")</f>
        <v/>
      </c>
      <c r="J479" s="73" t="s">
        <v>127</v>
      </c>
      <c r="K479" s="83" t="str">
        <f>IF('Novice 15M - Scoring'!B61&lt;&gt;"",'Novice 15M - Scoring'!AX61,"")</f>
        <v/>
      </c>
      <c r="L479" s="73" t="s">
        <v>128</v>
      </c>
      <c r="M479" s="83" t="str">
        <f>IF('Novice 15M - Scoring'!B61&lt;&gt;"",'Novice 15M - Scoring'!AY61,"")</f>
        <v/>
      </c>
    </row>
    <row r="480" spans="1:13" ht="3.75" customHeight="1" x14ac:dyDescent="0.35"/>
    <row r="481" spans="1:13" ht="7.5" customHeight="1" x14ac:dyDescent="0.35">
      <c r="A481" s="126"/>
      <c r="B481" s="126"/>
      <c r="C481" s="126"/>
      <c r="D481" s="126"/>
      <c r="E481" s="126"/>
      <c r="F481" s="126"/>
      <c r="G481" s="126"/>
      <c r="H481" s="126"/>
      <c r="I481" s="126"/>
      <c r="J481" s="126"/>
      <c r="K481" s="126"/>
      <c r="L481" s="126"/>
      <c r="M481" s="126"/>
    </row>
    <row r="482" spans="1:13" ht="15.75" customHeight="1" x14ac:dyDescent="0.35">
      <c r="A482" s="73" t="s">
        <v>218</v>
      </c>
      <c r="B482" s="122" t="str">
        <f>IF('Novice 15M - Scoring'!B62&lt;&gt;"",'Novice 15M - Scoring'!B62,"")</f>
        <v/>
      </c>
      <c r="C482" s="122"/>
      <c r="D482" s="122"/>
      <c r="E482" s="73" t="s">
        <v>219</v>
      </c>
      <c r="F482" s="74" t="str">
        <f>IF('Novice 15M - Scoring'!B62&lt;&gt;"",'Novice 15M - Scoring'!BB62,"")</f>
        <v/>
      </c>
      <c r="H482" s="73" t="s">
        <v>218</v>
      </c>
      <c r="I482" s="122" t="str">
        <f>IF('Novice 15M - Scoring'!B63&lt;&gt;"",'Novice 15M - Scoring'!B63,"")</f>
        <v/>
      </c>
      <c r="J482" s="122"/>
      <c r="K482" s="122"/>
      <c r="L482" s="73" t="s">
        <v>219</v>
      </c>
      <c r="M482" s="74" t="str">
        <f>IF('Novice 15M - Scoring'!B63&lt;&gt;"",'Novice 15M - Scoring'!BB63,"")</f>
        <v/>
      </c>
    </row>
    <row r="483" spans="1:13" ht="15.75" customHeight="1" x14ac:dyDescent="0.35">
      <c r="A483" s="73" t="s">
        <v>220</v>
      </c>
      <c r="B483" s="123" t="str">
        <f>IF('Novice 15M - Scoring'!B62&lt;&gt;"",'Novice 15M - Scoring'!D62,"")</f>
        <v/>
      </c>
      <c r="C483" s="123"/>
      <c r="D483" s="123"/>
      <c r="E483" s="73" t="s">
        <v>8</v>
      </c>
      <c r="F483" s="75" t="str">
        <f>IF('Novice 15M - Scoring'!B62&lt;&gt;"",'Novice 15M - Scoring'!E62,"")</f>
        <v/>
      </c>
      <c r="H483" s="73" t="s">
        <v>220</v>
      </c>
      <c r="I483" s="123" t="str">
        <f>IF('Novice 15M - Scoring'!B63&lt;&gt;"",'Novice 15M - Scoring'!D63,"")</f>
        <v/>
      </c>
      <c r="J483" s="123"/>
      <c r="K483" s="123"/>
      <c r="L483" s="73" t="s">
        <v>8</v>
      </c>
      <c r="M483" s="75" t="str">
        <f>IF('Novice 15M - Scoring'!B63&lt;&gt;"",'Novice 15M - Scoring'!E63,"")</f>
        <v/>
      </c>
    </row>
    <row r="484" spans="1:13" ht="3.75" customHeight="1" x14ac:dyDescent="0.35"/>
    <row r="485" spans="1:13" ht="25.5" customHeight="1" x14ac:dyDescent="0.35">
      <c r="A485" s="76" t="s">
        <v>221</v>
      </c>
      <c r="B485" s="77" t="s">
        <v>222</v>
      </c>
      <c r="C485" s="77" t="s">
        <v>223</v>
      </c>
      <c r="D485" s="77" t="s">
        <v>224</v>
      </c>
      <c r="E485" s="76" t="s">
        <v>225</v>
      </c>
      <c r="F485" s="76" t="s">
        <v>226</v>
      </c>
      <c r="H485" s="76" t="s">
        <v>221</v>
      </c>
      <c r="I485" s="77" t="s">
        <v>222</v>
      </c>
      <c r="J485" s="77" t="s">
        <v>223</v>
      </c>
      <c r="K485" s="77" t="s">
        <v>224</v>
      </c>
      <c r="L485" s="76" t="s">
        <v>225</v>
      </c>
      <c r="M485" s="76" t="s">
        <v>226</v>
      </c>
    </row>
    <row r="486" spans="1:13" ht="19.5" customHeight="1" x14ac:dyDescent="0.35">
      <c r="A486" s="78" t="s">
        <v>222</v>
      </c>
      <c r="B486" s="79" t="str">
        <f>IF('Novice 15M - Scoring'!B62&lt;&gt;"",IF('Novice 15M - Scoring'!F62&lt;&gt;"",'Novice 15M - Scoring'!F62,""),"")</f>
        <v/>
      </c>
      <c r="C486" s="79" t="str">
        <f>IF('Novice 15M - Scoring'!B62&lt;&gt;"",IF('Novice 15M - Scoring'!G62&lt;&gt;"",'Novice 15M - Scoring'!G62,""),"")</f>
        <v/>
      </c>
      <c r="D486" s="79" t="str">
        <f>IF('Novice 15M - Scoring'!B62&lt;&gt;"",IF('Novice 15M - Scoring'!H62&lt;&gt;"",'Novice 15M - Scoring'!H62,""),"")</f>
        <v/>
      </c>
      <c r="E486" s="80" t="str">
        <f>IF('Novice 15M - Scoring'!B62&lt;&gt;"",'Novice 15M - Scoring'!AP62,"")</f>
        <v/>
      </c>
      <c r="F486" s="81" t="str">
        <f>IFERROR(IF(ISNUMBER(E486),E486,""),"")</f>
        <v/>
      </c>
      <c r="H486" s="78" t="s">
        <v>222</v>
      </c>
      <c r="I486" s="79" t="str">
        <f>IF('Novice 15M - Scoring'!B63&lt;&gt;"",IF('Novice 15M - Scoring'!F63&lt;&gt;"",'Novice 15M - Scoring'!F63,""),"")</f>
        <v/>
      </c>
      <c r="J486" s="79" t="str">
        <f>IF('Novice 15M - Scoring'!B63&lt;&gt;"",IF('Novice 15M - Scoring'!G63&lt;&gt;"",'Novice 15M - Scoring'!G63,""),"")</f>
        <v/>
      </c>
      <c r="K486" s="79" t="str">
        <f>IF('Novice 15M - Scoring'!B63&lt;&gt;"",IF('Novice 15M - Scoring'!H63&lt;&gt;"",'Novice 15M - Scoring'!H63,""),"")</f>
        <v/>
      </c>
      <c r="L486" s="80" t="str">
        <f>IF('Novice 15M - Scoring'!B63&lt;&gt;"",'Novice 15M - Scoring'!AP63,"")</f>
        <v/>
      </c>
      <c r="M486" s="81" t="str">
        <f>IFERROR(IF(ISNUMBER(L486),L486,""),"")</f>
        <v/>
      </c>
    </row>
    <row r="487" spans="1:13" ht="19.5" customHeight="1" x14ac:dyDescent="0.35">
      <c r="A487" s="78" t="s">
        <v>223</v>
      </c>
      <c r="B487" s="79" t="str">
        <f>IF('Novice 15M - Scoring'!B62&lt;&gt;"",IF('Novice 15M - Scoring'!L62&lt;&gt;"",'Novice 15M - Scoring'!L62,""),"")</f>
        <v/>
      </c>
      <c r="C487" s="79" t="str">
        <f>IF('Novice 15M - Scoring'!B62&lt;&gt;"",IF('Novice 15M - Scoring'!M62&lt;&gt;"",'Novice 15M - Scoring'!M62,""),"")</f>
        <v/>
      </c>
      <c r="D487" s="79" t="str">
        <f>IF('Novice 15M - Scoring'!B62&lt;&gt;"",IF('Novice 15M - Scoring'!N62&lt;&gt;"",'Novice 15M - Scoring'!N62,""),"")</f>
        <v/>
      </c>
      <c r="E487" s="80" t="str">
        <f>IF('Novice 15M - Scoring'!B62&lt;&gt;"",'Novice 15M - Scoring'!AQ62,"")</f>
        <v/>
      </c>
      <c r="F487" s="81" t="str">
        <f>IF(E486&lt;&gt;"",IFERROR(IF(ISNUMBER(E486),E486,0),0)+IFERROR(IF(ISNUMBER(E487),E487,0),0),"")</f>
        <v/>
      </c>
      <c r="H487" s="78" t="s">
        <v>223</v>
      </c>
      <c r="I487" s="79" t="str">
        <f>IF('Novice 15M - Scoring'!B63&lt;&gt;"",IF('Novice 15M - Scoring'!L63&lt;&gt;"",'Novice 15M - Scoring'!L63,""),"")</f>
        <v/>
      </c>
      <c r="J487" s="79" t="str">
        <f>IF('Novice 15M - Scoring'!B63&lt;&gt;"",IF('Novice 15M - Scoring'!M63&lt;&gt;"",'Novice 15M - Scoring'!M63,""),"")</f>
        <v/>
      </c>
      <c r="K487" s="79" t="str">
        <f>IF('Novice 15M - Scoring'!B63&lt;&gt;"",IF('Novice 15M - Scoring'!N63&lt;&gt;"",'Novice 15M - Scoring'!N63,""),"")</f>
        <v/>
      </c>
      <c r="L487" s="80" t="str">
        <f>IF('Novice 15M - Scoring'!B63&lt;&gt;"",'Novice 15M - Scoring'!AQ63,"")</f>
        <v/>
      </c>
      <c r="M487" s="81" t="str">
        <f>IF(L486&lt;&gt;"",IFERROR(IF(ISNUMBER(L486),L486,0),0)+IFERROR(IF(ISNUMBER(L487),L487,0),0),"")</f>
        <v/>
      </c>
    </row>
    <row r="488" spans="1:13" ht="19.5" customHeight="1" x14ac:dyDescent="0.35">
      <c r="A488" s="78" t="s">
        <v>224</v>
      </c>
      <c r="B488" s="79" t="str">
        <f>IF('Novice 15M - Scoring'!B62&lt;&gt;"",IF('Novice 15M - Scoring'!R62&lt;&gt;"",'Novice 15M - Scoring'!R62,""),"")</f>
        <v/>
      </c>
      <c r="C488" s="79" t="str">
        <f>IF('Novice 15M - Scoring'!B62&lt;&gt;"",IF('Novice 15M - Scoring'!S62&lt;&gt;"",'Novice 15M - Scoring'!S62,""),"")</f>
        <v/>
      </c>
      <c r="D488" s="79" t="str">
        <f>IF('Novice 15M - Scoring'!B62&lt;&gt;"",IF('Novice 15M - Scoring'!T62&lt;&gt;"",'Novice 15M - Scoring'!T62,""),"")</f>
        <v/>
      </c>
      <c r="E488" s="80" t="str">
        <f>IF('Novice 15M - Scoring'!B62&lt;&gt;"",'Novice 15M - Scoring'!AR62,"")</f>
        <v/>
      </c>
      <c r="F488" s="81" t="str">
        <f>IF(E486&lt;&gt;"",IFERROR(IF(ISNUMBER(E486),E486,0),0)+IFERROR(IF(ISNUMBER(E487),E487,0),0)+IFERROR(IF(ISNUMBER(E488),E488,0),0),"")</f>
        <v/>
      </c>
      <c r="H488" s="78" t="s">
        <v>224</v>
      </c>
      <c r="I488" s="79" t="str">
        <f>IF('Novice 15M - Scoring'!B63&lt;&gt;"",IF('Novice 15M - Scoring'!R63&lt;&gt;"",'Novice 15M - Scoring'!R63,""),"")</f>
        <v/>
      </c>
      <c r="J488" s="79" t="str">
        <f>IF('Novice 15M - Scoring'!B63&lt;&gt;"",IF('Novice 15M - Scoring'!S63&lt;&gt;"",'Novice 15M - Scoring'!S63,""),"")</f>
        <v/>
      </c>
      <c r="K488" s="79" t="str">
        <f>IF('Novice 15M - Scoring'!B63&lt;&gt;"",IF('Novice 15M - Scoring'!T63&lt;&gt;"",'Novice 15M - Scoring'!T63,""),"")</f>
        <v/>
      </c>
      <c r="L488" s="80" t="str">
        <f>IF('Novice 15M - Scoring'!B63&lt;&gt;"",'Novice 15M - Scoring'!AR63,"")</f>
        <v/>
      </c>
      <c r="M488" s="81" t="str">
        <f>IF(L486&lt;&gt;"",IFERROR(IF(ISNUMBER(L486),L486,0),0)+IFERROR(IF(ISNUMBER(L487),L487,0),0)+IFERROR(IF(ISNUMBER(L488),L488,0),0),"")</f>
        <v/>
      </c>
    </row>
    <row r="489" spans="1:13" ht="19.5" customHeight="1" x14ac:dyDescent="0.35">
      <c r="A489" s="78" t="s">
        <v>227</v>
      </c>
      <c r="B489" s="79" t="str">
        <f>IF('Novice 15M - Scoring'!B62&lt;&gt;"",IF('Novice 15M - Scoring'!X62&lt;&gt;"",'Novice 15M - Scoring'!X62,""),"")</f>
        <v/>
      </c>
      <c r="C489" s="79" t="str">
        <f>IF('Novice 15M - Scoring'!B62&lt;&gt;"",IF('Novice 15M - Scoring'!Y62&lt;&gt;"",'Novice 15M - Scoring'!Y62,""),"")</f>
        <v/>
      </c>
      <c r="D489" s="79" t="str">
        <f>IF('Novice 15M - Scoring'!B62&lt;&gt;"",IF('Novice 15M - Scoring'!Z62&lt;&gt;"",'Novice 15M - Scoring'!Z62,""),"")</f>
        <v/>
      </c>
      <c r="E489" s="80" t="str">
        <f>IF('Novice 15M - Scoring'!B62&lt;&gt;"",'Novice 15M - Scoring'!AS62,"")</f>
        <v/>
      </c>
      <c r="F489" s="81" t="str">
        <f>IF(E486&lt;&gt;"",IFERROR(IF(ISNUMBER(E486),E486,0),0)+IFERROR(IF(ISNUMBER(E487),E487,0),0)+IFERROR(IF(ISNUMBER(E488),E488,0),0)+IFERROR(IF(ISNUMBER(E489),E489,0),0),"")</f>
        <v/>
      </c>
      <c r="H489" s="78" t="s">
        <v>227</v>
      </c>
      <c r="I489" s="79" t="str">
        <f>IF('Novice 15M - Scoring'!B63&lt;&gt;"",IF('Novice 15M - Scoring'!X63&lt;&gt;"",'Novice 15M - Scoring'!X63,""),"")</f>
        <v/>
      </c>
      <c r="J489" s="79" t="str">
        <f>IF('Novice 15M - Scoring'!B63&lt;&gt;"",IF('Novice 15M - Scoring'!Y63&lt;&gt;"",'Novice 15M - Scoring'!Y63,""),"")</f>
        <v/>
      </c>
      <c r="K489" s="79" t="str">
        <f>IF('Novice 15M - Scoring'!B63&lt;&gt;"",IF('Novice 15M - Scoring'!Z63&lt;&gt;"",'Novice 15M - Scoring'!Z63,""),"")</f>
        <v/>
      </c>
      <c r="L489" s="80" t="str">
        <f>IF('Novice 15M - Scoring'!B63&lt;&gt;"",'Novice 15M - Scoring'!AS63,"")</f>
        <v/>
      </c>
      <c r="M489" s="81" t="str">
        <f>IF(L486&lt;&gt;"",IFERROR(IF(ISNUMBER(L486),L486,0),0)+IFERROR(IF(ISNUMBER(L487),L487,0),0)+IFERROR(IF(ISNUMBER(L488),L488,0),0)+IFERROR(IF(ISNUMBER(L489),L489,0),0),"")</f>
        <v/>
      </c>
    </row>
    <row r="490" spans="1:13" ht="19.5" customHeight="1" x14ac:dyDescent="0.35">
      <c r="A490" s="78" t="s">
        <v>228</v>
      </c>
      <c r="B490" s="79" t="str">
        <f>IF('Novice 15M - Scoring'!B62&lt;&gt;"",IF('Novice 15M - Scoring'!AD62&lt;&gt;"",'Novice 15M - Scoring'!AD62,""),"")</f>
        <v/>
      </c>
      <c r="C490" s="79" t="str">
        <f>IF('Novice 15M - Scoring'!B62&lt;&gt;"",IF('Novice 15M - Scoring'!AE62&lt;&gt;"",'Novice 15M - Scoring'!AE62,""),"")</f>
        <v/>
      </c>
      <c r="D490" s="79" t="str">
        <f>IF('Novice 15M - Scoring'!B62&lt;&gt;"",IF('Novice 15M - Scoring'!AF62&lt;&gt;"",'Novice 15M - Scoring'!AF62,""),"")</f>
        <v/>
      </c>
      <c r="E490" s="80" t="str">
        <f>IF('Novice 15M - Scoring'!B62&lt;&gt;"",'Novice 15M - Scoring'!AT62,"")</f>
        <v/>
      </c>
      <c r="F490" s="81" t="str">
        <f>IF(E486&lt;&gt;"",IFERROR(IF(ISNUMBER(E486),E486,0),0)+IFERROR(IF(ISNUMBER(E487),E487,0),0)+IFERROR(IF(ISNUMBER(E488),E488,0),0)+IFERROR(IF(ISNUMBER(E489),E489,0),0)+IFERROR(IF(ISNUMBER(E490),E490,0),0),"")</f>
        <v/>
      </c>
      <c r="H490" s="78" t="s">
        <v>228</v>
      </c>
      <c r="I490" s="79" t="str">
        <f>IF('Novice 15M - Scoring'!B63&lt;&gt;"",IF('Novice 15M - Scoring'!AD63&lt;&gt;"",'Novice 15M - Scoring'!AD63,""),"")</f>
        <v/>
      </c>
      <c r="J490" s="79" t="str">
        <f>IF('Novice 15M - Scoring'!B63&lt;&gt;"",IF('Novice 15M - Scoring'!AE63&lt;&gt;"",'Novice 15M - Scoring'!AE63,""),"")</f>
        <v/>
      </c>
      <c r="K490" s="79" t="str">
        <f>IF('Novice 15M - Scoring'!B63&lt;&gt;"",IF('Novice 15M - Scoring'!AF63&lt;&gt;"",'Novice 15M - Scoring'!AF63,""),"")</f>
        <v/>
      </c>
      <c r="L490" s="80" t="str">
        <f>IF('Novice 15M - Scoring'!B63&lt;&gt;"",'Novice 15M - Scoring'!AT63,"")</f>
        <v/>
      </c>
      <c r="M490" s="81" t="str">
        <f>IF(L486&lt;&gt;"",IFERROR(IF(ISNUMBER(L486),L486,0),0)+IFERROR(IF(ISNUMBER(L487),L487,0),0)+IFERROR(IF(ISNUMBER(L488),L488,0),0)+IFERROR(IF(ISNUMBER(L489),L489,0),0)+IFERROR(IF(ISNUMBER(L490),L490,0),0),"")</f>
        <v/>
      </c>
    </row>
    <row r="491" spans="1:13" ht="19.5" customHeight="1" x14ac:dyDescent="0.35">
      <c r="A491" s="78" t="s">
        <v>229</v>
      </c>
      <c r="B491" s="79" t="str">
        <f>IF('Novice 15M - Scoring'!B62&lt;&gt;"",IF('Novice 15M - Scoring'!AJ62&lt;&gt;"",'Novice 15M - Scoring'!AJ62,""),"")</f>
        <v/>
      </c>
      <c r="C491" s="79" t="str">
        <f>IF('Novice 15M - Scoring'!B62&lt;&gt;"",IF('Novice 15M - Scoring'!AK62&lt;&gt;"",'Novice 15M - Scoring'!AK62,""),"")</f>
        <v/>
      </c>
      <c r="D491" s="79" t="str">
        <f>IF('Novice 15M - Scoring'!B62&lt;&gt;"",IF('Novice 15M - Scoring'!AL62&lt;&gt;"",'Novice 15M - Scoring'!AL62,""),"")</f>
        <v/>
      </c>
      <c r="E491" s="80" t="str">
        <f>IF('Novice 15M - Scoring'!B62&lt;&gt;"",'Novice 15M - Scoring'!AU62,"")</f>
        <v/>
      </c>
      <c r="F491" s="81" t="str">
        <f>IF(E486&lt;&gt;"",IFERROR(IF(ISNUMBER(E486),E486,0),0)+IFERROR(IF(ISNUMBER(E487),E487,0),0)+IFERROR(IF(ISNUMBER(E488),E488,0),0)+IFERROR(IF(ISNUMBER(E489),E489,0),0)+IFERROR(IF(ISNUMBER(E490),E490,0),0)+IFERROR(IF(ISNUMBER(E491),E491,0),0),"")</f>
        <v/>
      </c>
      <c r="H491" s="78" t="s">
        <v>229</v>
      </c>
      <c r="I491" s="79" t="str">
        <f>IF('Novice 15M - Scoring'!B63&lt;&gt;"",IF('Novice 15M - Scoring'!AJ63&lt;&gt;"",'Novice 15M - Scoring'!AJ63,""),"")</f>
        <v/>
      </c>
      <c r="J491" s="79" t="str">
        <f>IF('Novice 15M - Scoring'!B63&lt;&gt;"",IF('Novice 15M - Scoring'!AK63&lt;&gt;"",'Novice 15M - Scoring'!AK63,""),"")</f>
        <v/>
      </c>
      <c r="K491" s="79" t="str">
        <f>IF('Novice 15M - Scoring'!B63&lt;&gt;"",IF('Novice 15M - Scoring'!AL63&lt;&gt;"",'Novice 15M - Scoring'!AL63,""),"")</f>
        <v/>
      </c>
      <c r="L491" s="80" t="str">
        <f>IF('Novice 15M - Scoring'!B63&lt;&gt;"",'Novice 15M - Scoring'!AU63,"")</f>
        <v/>
      </c>
      <c r="M491" s="81" t="str">
        <f>IF(L486&lt;&gt;"",IFERROR(IF(ISNUMBER(L486),L486,0),0)+IFERROR(IF(ISNUMBER(L487),L487,0),0)+IFERROR(IF(ISNUMBER(L488),L488,0),0)+IFERROR(IF(ISNUMBER(L489),L489,0),0)+IFERROR(IF(ISNUMBER(L490),L490,0),0)+IFERROR(IF(ISNUMBER(L491),L491,0),0),"")</f>
        <v/>
      </c>
    </row>
    <row r="492" spans="1:13" ht="3.75" customHeight="1" x14ac:dyDescent="0.35"/>
    <row r="493" spans="1:13" ht="24" customHeight="1" x14ac:dyDescent="0.35">
      <c r="A493" s="124" t="s">
        <v>230</v>
      </c>
      <c r="B493" s="124"/>
      <c r="C493" s="124"/>
      <c r="D493" s="124"/>
      <c r="E493" s="125" t="str">
        <f>IF('Novice 15M - Scoring'!B62&lt;&gt;"",'Novice 15M - Scoring'!AV62,"")</f>
        <v/>
      </c>
      <c r="F493" s="125"/>
      <c r="H493" s="124" t="s">
        <v>230</v>
      </c>
      <c r="I493" s="124"/>
      <c r="J493" s="124"/>
      <c r="K493" s="124"/>
      <c r="L493" s="125" t="str">
        <f>IF('Novice 15M - Scoring'!B63&lt;&gt;"",'Novice 15M - Scoring'!AV63,"")</f>
        <v/>
      </c>
      <c r="M493" s="125"/>
    </row>
    <row r="494" spans="1:13" ht="19.5" customHeight="1" x14ac:dyDescent="0.35">
      <c r="E494" s="125"/>
      <c r="F494" s="125"/>
      <c r="L494" s="125"/>
      <c r="M494" s="125"/>
    </row>
    <row r="495" spans="1:13" ht="3.75" customHeight="1" x14ac:dyDescent="0.35"/>
    <row r="496" spans="1:13" ht="18" customHeight="1" x14ac:dyDescent="0.35">
      <c r="A496" s="73" t="s">
        <v>126</v>
      </c>
      <c r="B496" s="82" t="str">
        <f>IF('Novice 15M - Scoring'!B62&lt;&gt;"",'Novice 15M - Scoring'!AW62,"")</f>
        <v/>
      </c>
      <c r="C496" s="73" t="s">
        <v>127</v>
      </c>
      <c r="D496" s="83" t="str">
        <f>IF('Novice 15M - Scoring'!B62&lt;&gt;"",'Novice 15M - Scoring'!AX62,"")</f>
        <v/>
      </c>
      <c r="E496" s="73" t="s">
        <v>128</v>
      </c>
      <c r="F496" s="83" t="str">
        <f>IF('Novice 15M - Scoring'!B62&lt;&gt;"",'Novice 15M - Scoring'!AY62,"")</f>
        <v/>
      </c>
      <c r="H496" s="73" t="s">
        <v>126</v>
      </c>
      <c r="I496" s="82" t="str">
        <f>IF('Novice 15M - Scoring'!B63&lt;&gt;"",'Novice 15M - Scoring'!AW63,"")</f>
        <v/>
      </c>
      <c r="J496" s="73" t="s">
        <v>127</v>
      </c>
      <c r="K496" s="83" t="str">
        <f>IF('Novice 15M - Scoring'!B63&lt;&gt;"",'Novice 15M - Scoring'!AX63,"")</f>
        <v/>
      </c>
      <c r="L496" s="73" t="s">
        <v>128</v>
      </c>
      <c r="M496" s="83" t="str">
        <f>IF('Novice 15M - Scoring'!B63&lt;&gt;"",'Novice 15M - Scoring'!AY63,"")</f>
        <v/>
      </c>
    </row>
    <row r="497" spans="1:13" ht="3.75" customHeight="1" x14ac:dyDescent="0.35"/>
    <row r="498" spans="1:13" ht="7.5" customHeight="1" x14ac:dyDescent="0.35">
      <c r="A498" s="126"/>
      <c r="B498" s="126"/>
      <c r="C498" s="126"/>
      <c r="D498" s="126"/>
      <c r="E498" s="126"/>
      <c r="F498" s="126"/>
      <c r="G498" s="126"/>
      <c r="H498" s="126"/>
      <c r="I498" s="126"/>
      <c r="J498" s="126"/>
      <c r="K498" s="126"/>
      <c r="L498" s="126"/>
      <c r="M498" s="126"/>
    </row>
    <row r="499" spans="1:13" ht="15.75" customHeight="1" x14ac:dyDescent="0.35">
      <c r="A499" s="73" t="s">
        <v>218</v>
      </c>
      <c r="B499" s="122" t="str">
        <f>IF('Novice 15M - Scoring'!B64&lt;&gt;"",'Novice 15M - Scoring'!B64,"")</f>
        <v/>
      </c>
      <c r="C499" s="122"/>
      <c r="D499" s="122"/>
      <c r="E499" s="73" t="s">
        <v>219</v>
      </c>
      <c r="F499" s="74" t="str">
        <f>IF('Novice 15M - Scoring'!B64&lt;&gt;"",'Novice 15M - Scoring'!BB64,"")</f>
        <v/>
      </c>
      <c r="H499" s="73" t="s">
        <v>218</v>
      </c>
      <c r="I499" s="122" t="str">
        <f>IF('Novice 15M - Scoring'!B65&lt;&gt;"",'Novice 15M - Scoring'!B65,"")</f>
        <v/>
      </c>
      <c r="J499" s="122"/>
      <c r="K499" s="122"/>
      <c r="L499" s="73" t="s">
        <v>219</v>
      </c>
      <c r="M499" s="74" t="str">
        <f>IF('Novice 15M - Scoring'!B65&lt;&gt;"",'Novice 15M - Scoring'!BB65,"")</f>
        <v/>
      </c>
    </row>
    <row r="500" spans="1:13" ht="15.75" customHeight="1" x14ac:dyDescent="0.35">
      <c r="A500" s="73" t="s">
        <v>220</v>
      </c>
      <c r="B500" s="123" t="str">
        <f>IF('Novice 15M - Scoring'!B64&lt;&gt;"",'Novice 15M - Scoring'!D64,"")</f>
        <v/>
      </c>
      <c r="C500" s="123"/>
      <c r="D500" s="123"/>
      <c r="E500" s="73" t="s">
        <v>8</v>
      </c>
      <c r="F500" s="75" t="str">
        <f>IF('Novice 15M - Scoring'!B64&lt;&gt;"",'Novice 15M - Scoring'!E64,"")</f>
        <v/>
      </c>
      <c r="H500" s="73" t="s">
        <v>220</v>
      </c>
      <c r="I500" s="123" t="str">
        <f>IF('Novice 15M - Scoring'!B65&lt;&gt;"",'Novice 15M - Scoring'!D65,"")</f>
        <v/>
      </c>
      <c r="J500" s="123"/>
      <c r="K500" s="123"/>
      <c r="L500" s="73" t="s">
        <v>8</v>
      </c>
      <c r="M500" s="75" t="str">
        <f>IF('Novice 15M - Scoring'!B65&lt;&gt;"",'Novice 15M - Scoring'!E65,"")</f>
        <v/>
      </c>
    </row>
    <row r="501" spans="1:13" ht="3.75" customHeight="1" x14ac:dyDescent="0.35"/>
    <row r="502" spans="1:13" ht="25.5" customHeight="1" x14ac:dyDescent="0.35">
      <c r="A502" s="76" t="s">
        <v>221</v>
      </c>
      <c r="B502" s="77" t="s">
        <v>222</v>
      </c>
      <c r="C502" s="77" t="s">
        <v>223</v>
      </c>
      <c r="D502" s="77" t="s">
        <v>224</v>
      </c>
      <c r="E502" s="76" t="s">
        <v>225</v>
      </c>
      <c r="F502" s="76" t="s">
        <v>226</v>
      </c>
      <c r="H502" s="76" t="s">
        <v>221</v>
      </c>
      <c r="I502" s="77" t="s">
        <v>222</v>
      </c>
      <c r="J502" s="77" t="s">
        <v>223</v>
      </c>
      <c r="K502" s="77" t="s">
        <v>224</v>
      </c>
      <c r="L502" s="76" t="s">
        <v>225</v>
      </c>
      <c r="M502" s="76" t="s">
        <v>226</v>
      </c>
    </row>
    <row r="503" spans="1:13" ht="19.5" customHeight="1" x14ac:dyDescent="0.35">
      <c r="A503" s="78" t="s">
        <v>222</v>
      </c>
      <c r="B503" s="79" t="str">
        <f>IF('Novice 15M - Scoring'!B64&lt;&gt;"",IF('Novice 15M - Scoring'!F64&lt;&gt;"",'Novice 15M - Scoring'!F64,""),"")</f>
        <v/>
      </c>
      <c r="C503" s="79" t="str">
        <f>IF('Novice 15M - Scoring'!B64&lt;&gt;"",IF('Novice 15M - Scoring'!G64&lt;&gt;"",'Novice 15M - Scoring'!G64,""),"")</f>
        <v/>
      </c>
      <c r="D503" s="79" t="str">
        <f>IF('Novice 15M - Scoring'!B64&lt;&gt;"",IF('Novice 15M - Scoring'!H64&lt;&gt;"",'Novice 15M - Scoring'!H64,""),"")</f>
        <v/>
      </c>
      <c r="E503" s="80" t="str">
        <f>IF('Novice 15M - Scoring'!B64&lt;&gt;"",'Novice 15M - Scoring'!AP64,"")</f>
        <v/>
      </c>
      <c r="F503" s="81" t="str">
        <f>IFERROR(IF(ISNUMBER(E503),E503,""),"")</f>
        <v/>
      </c>
      <c r="H503" s="78" t="s">
        <v>222</v>
      </c>
      <c r="I503" s="79" t="str">
        <f>IF('Novice 15M - Scoring'!B65&lt;&gt;"",IF('Novice 15M - Scoring'!F65&lt;&gt;"",'Novice 15M - Scoring'!F65,""),"")</f>
        <v/>
      </c>
      <c r="J503" s="79" t="str">
        <f>IF('Novice 15M - Scoring'!B65&lt;&gt;"",IF('Novice 15M - Scoring'!G65&lt;&gt;"",'Novice 15M - Scoring'!G65,""),"")</f>
        <v/>
      </c>
      <c r="K503" s="79" t="str">
        <f>IF('Novice 15M - Scoring'!B65&lt;&gt;"",IF('Novice 15M - Scoring'!H65&lt;&gt;"",'Novice 15M - Scoring'!H65,""),"")</f>
        <v/>
      </c>
      <c r="L503" s="80" t="str">
        <f>IF('Novice 15M - Scoring'!B65&lt;&gt;"",'Novice 15M - Scoring'!AP65,"")</f>
        <v/>
      </c>
      <c r="M503" s="81" t="str">
        <f>IFERROR(IF(ISNUMBER(L503),L503,""),"")</f>
        <v/>
      </c>
    </row>
    <row r="504" spans="1:13" ht="19.5" customHeight="1" x14ac:dyDescent="0.35">
      <c r="A504" s="78" t="s">
        <v>223</v>
      </c>
      <c r="B504" s="79" t="str">
        <f>IF('Novice 15M - Scoring'!B64&lt;&gt;"",IF('Novice 15M - Scoring'!L64&lt;&gt;"",'Novice 15M - Scoring'!L64,""),"")</f>
        <v/>
      </c>
      <c r="C504" s="79" t="str">
        <f>IF('Novice 15M - Scoring'!B64&lt;&gt;"",IF('Novice 15M - Scoring'!M64&lt;&gt;"",'Novice 15M - Scoring'!M64,""),"")</f>
        <v/>
      </c>
      <c r="D504" s="79" t="str">
        <f>IF('Novice 15M - Scoring'!B64&lt;&gt;"",IF('Novice 15M - Scoring'!N64&lt;&gt;"",'Novice 15M - Scoring'!N64,""),"")</f>
        <v/>
      </c>
      <c r="E504" s="80" t="str">
        <f>IF('Novice 15M - Scoring'!B64&lt;&gt;"",'Novice 15M - Scoring'!AQ64,"")</f>
        <v/>
      </c>
      <c r="F504" s="81" t="str">
        <f>IF(E503&lt;&gt;"",IFERROR(IF(ISNUMBER(E503),E503,0),0)+IFERROR(IF(ISNUMBER(E504),E504,0),0),"")</f>
        <v/>
      </c>
      <c r="H504" s="78" t="s">
        <v>223</v>
      </c>
      <c r="I504" s="79" t="str">
        <f>IF('Novice 15M - Scoring'!B65&lt;&gt;"",IF('Novice 15M - Scoring'!L65&lt;&gt;"",'Novice 15M - Scoring'!L65,""),"")</f>
        <v/>
      </c>
      <c r="J504" s="79" t="str">
        <f>IF('Novice 15M - Scoring'!B65&lt;&gt;"",IF('Novice 15M - Scoring'!M65&lt;&gt;"",'Novice 15M - Scoring'!M65,""),"")</f>
        <v/>
      </c>
      <c r="K504" s="79" t="str">
        <f>IF('Novice 15M - Scoring'!B65&lt;&gt;"",IF('Novice 15M - Scoring'!N65&lt;&gt;"",'Novice 15M - Scoring'!N65,""),"")</f>
        <v/>
      </c>
      <c r="L504" s="80" t="str">
        <f>IF('Novice 15M - Scoring'!B65&lt;&gt;"",'Novice 15M - Scoring'!AQ65,"")</f>
        <v/>
      </c>
      <c r="M504" s="81" t="str">
        <f>IF(L503&lt;&gt;"",IFERROR(IF(ISNUMBER(L503),L503,0),0)+IFERROR(IF(ISNUMBER(L504),L504,0),0),"")</f>
        <v/>
      </c>
    </row>
    <row r="505" spans="1:13" ht="19.5" customHeight="1" x14ac:dyDescent="0.35">
      <c r="A505" s="78" t="s">
        <v>224</v>
      </c>
      <c r="B505" s="79" t="str">
        <f>IF('Novice 15M - Scoring'!B64&lt;&gt;"",IF('Novice 15M - Scoring'!R64&lt;&gt;"",'Novice 15M - Scoring'!R64,""),"")</f>
        <v/>
      </c>
      <c r="C505" s="79" t="str">
        <f>IF('Novice 15M - Scoring'!B64&lt;&gt;"",IF('Novice 15M - Scoring'!S64&lt;&gt;"",'Novice 15M - Scoring'!S64,""),"")</f>
        <v/>
      </c>
      <c r="D505" s="79" t="str">
        <f>IF('Novice 15M - Scoring'!B64&lt;&gt;"",IF('Novice 15M - Scoring'!T64&lt;&gt;"",'Novice 15M - Scoring'!T64,""),"")</f>
        <v/>
      </c>
      <c r="E505" s="80" t="str">
        <f>IF('Novice 15M - Scoring'!B64&lt;&gt;"",'Novice 15M - Scoring'!AR64,"")</f>
        <v/>
      </c>
      <c r="F505" s="81" t="str">
        <f>IF(E503&lt;&gt;"",IFERROR(IF(ISNUMBER(E503),E503,0),0)+IFERROR(IF(ISNUMBER(E504),E504,0),0)+IFERROR(IF(ISNUMBER(E505),E505,0),0),"")</f>
        <v/>
      </c>
      <c r="H505" s="78" t="s">
        <v>224</v>
      </c>
      <c r="I505" s="79" t="str">
        <f>IF('Novice 15M - Scoring'!B65&lt;&gt;"",IF('Novice 15M - Scoring'!R65&lt;&gt;"",'Novice 15M - Scoring'!R65,""),"")</f>
        <v/>
      </c>
      <c r="J505" s="79" t="str">
        <f>IF('Novice 15M - Scoring'!B65&lt;&gt;"",IF('Novice 15M - Scoring'!S65&lt;&gt;"",'Novice 15M - Scoring'!S65,""),"")</f>
        <v/>
      </c>
      <c r="K505" s="79" t="str">
        <f>IF('Novice 15M - Scoring'!B65&lt;&gt;"",IF('Novice 15M - Scoring'!T65&lt;&gt;"",'Novice 15M - Scoring'!T65,""),"")</f>
        <v/>
      </c>
      <c r="L505" s="80" t="str">
        <f>IF('Novice 15M - Scoring'!B65&lt;&gt;"",'Novice 15M - Scoring'!AR65,"")</f>
        <v/>
      </c>
      <c r="M505" s="81" t="str">
        <f>IF(L503&lt;&gt;"",IFERROR(IF(ISNUMBER(L503),L503,0),0)+IFERROR(IF(ISNUMBER(L504),L504,0),0)+IFERROR(IF(ISNUMBER(L505),L505,0),0),"")</f>
        <v/>
      </c>
    </row>
    <row r="506" spans="1:13" ht="19.5" customHeight="1" x14ac:dyDescent="0.35">
      <c r="A506" s="78" t="s">
        <v>227</v>
      </c>
      <c r="B506" s="79" t="str">
        <f>IF('Novice 15M - Scoring'!B64&lt;&gt;"",IF('Novice 15M - Scoring'!X64&lt;&gt;"",'Novice 15M - Scoring'!X64,""),"")</f>
        <v/>
      </c>
      <c r="C506" s="79" t="str">
        <f>IF('Novice 15M - Scoring'!B64&lt;&gt;"",IF('Novice 15M - Scoring'!Y64&lt;&gt;"",'Novice 15M - Scoring'!Y64,""),"")</f>
        <v/>
      </c>
      <c r="D506" s="79" t="str">
        <f>IF('Novice 15M - Scoring'!B64&lt;&gt;"",IF('Novice 15M - Scoring'!Z64&lt;&gt;"",'Novice 15M - Scoring'!Z64,""),"")</f>
        <v/>
      </c>
      <c r="E506" s="80" t="str">
        <f>IF('Novice 15M - Scoring'!B64&lt;&gt;"",'Novice 15M - Scoring'!AS64,"")</f>
        <v/>
      </c>
      <c r="F506" s="81" t="str">
        <f>IF(E503&lt;&gt;"",IFERROR(IF(ISNUMBER(E503),E503,0),0)+IFERROR(IF(ISNUMBER(E504),E504,0),0)+IFERROR(IF(ISNUMBER(E505),E505,0),0)+IFERROR(IF(ISNUMBER(E506),E506,0),0),"")</f>
        <v/>
      </c>
      <c r="H506" s="78" t="s">
        <v>227</v>
      </c>
      <c r="I506" s="79" t="str">
        <f>IF('Novice 15M - Scoring'!B65&lt;&gt;"",IF('Novice 15M - Scoring'!X65&lt;&gt;"",'Novice 15M - Scoring'!X65,""),"")</f>
        <v/>
      </c>
      <c r="J506" s="79" t="str">
        <f>IF('Novice 15M - Scoring'!B65&lt;&gt;"",IF('Novice 15M - Scoring'!Y65&lt;&gt;"",'Novice 15M - Scoring'!Y65,""),"")</f>
        <v/>
      </c>
      <c r="K506" s="79" t="str">
        <f>IF('Novice 15M - Scoring'!B65&lt;&gt;"",IF('Novice 15M - Scoring'!Z65&lt;&gt;"",'Novice 15M - Scoring'!Z65,""),"")</f>
        <v/>
      </c>
      <c r="L506" s="80" t="str">
        <f>IF('Novice 15M - Scoring'!B65&lt;&gt;"",'Novice 15M - Scoring'!AS65,"")</f>
        <v/>
      </c>
      <c r="M506" s="81" t="str">
        <f>IF(L503&lt;&gt;"",IFERROR(IF(ISNUMBER(L503),L503,0),0)+IFERROR(IF(ISNUMBER(L504),L504,0),0)+IFERROR(IF(ISNUMBER(L505),L505,0),0)+IFERROR(IF(ISNUMBER(L506),L506,0),0),"")</f>
        <v/>
      </c>
    </row>
    <row r="507" spans="1:13" ht="19.5" customHeight="1" x14ac:dyDescent="0.35">
      <c r="A507" s="78" t="s">
        <v>228</v>
      </c>
      <c r="B507" s="79" t="str">
        <f>IF('Novice 15M - Scoring'!B64&lt;&gt;"",IF('Novice 15M - Scoring'!AD64&lt;&gt;"",'Novice 15M - Scoring'!AD64,""),"")</f>
        <v/>
      </c>
      <c r="C507" s="79" t="str">
        <f>IF('Novice 15M - Scoring'!B64&lt;&gt;"",IF('Novice 15M - Scoring'!AE64&lt;&gt;"",'Novice 15M - Scoring'!AE64,""),"")</f>
        <v/>
      </c>
      <c r="D507" s="79" t="str">
        <f>IF('Novice 15M - Scoring'!B64&lt;&gt;"",IF('Novice 15M - Scoring'!AF64&lt;&gt;"",'Novice 15M - Scoring'!AF64,""),"")</f>
        <v/>
      </c>
      <c r="E507" s="80" t="str">
        <f>IF('Novice 15M - Scoring'!B64&lt;&gt;"",'Novice 15M - Scoring'!AT64,"")</f>
        <v/>
      </c>
      <c r="F507" s="81" t="str">
        <f>IF(E503&lt;&gt;"",IFERROR(IF(ISNUMBER(E503),E503,0),0)+IFERROR(IF(ISNUMBER(E504),E504,0),0)+IFERROR(IF(ISNUMBER(E505),E505,0),0)+IFERROR(IF(ISNUMBER(E506),E506,0),0)+IFERROR(IF(ISNUMBER(E507),E507,0),0),"")</f>
        <v/>
      </c>
      <c r="H507" s="78" t="s">
        <v>228</v>
      </c>
      <c r="I507" s="79" t="str">
        <f>IF('Novice 15M - Scoring'!B65&lt;&gt;"",IF('Novice 15M - Scoring'!AD65&lt;&gt;"",'Novice 15M - Scoring'!AD65,""),"")</f>
        <v/>
      </c>
      <c r="J507" s="79" t="str">
        <f>IF('Novice 15M - Scoring'!B65&lt;&gt;"",IF('Novice 15M - Scoring'!AE65&lt;&gt;"",'Novice 15M - Scoring'!AE65,""),"")</f>
        <v/>
      </c>
      <c r="K507" s="79" t="str">
        <f>IF('Novice 15M - Scoring'!B65&lt;&gt;"",IF('Novice 15M - Scoring'!AF65&lt;&gt;"",'Novice 15M - Scoring'!AF65,""),"")</f>
        <v/>
      </c>
      <c r="L507" s="80" t="str">
        <f>IF('Novice 15M - Scoring'!B65&lt;&gt;"",'Novice 15M - Scoring'!AT65,"")</f>
        <v/>
      </c>
      <c r="M507" s="81" t="str">
        <f>IF(L503&lt;&gt;"",IFERROR(IF(ISNUMBER(L503),L503,0),0)+IFERROR(IF(ISNUMBER(L504),L504,0),0)+IFERROR(IF(ISNUMBER(L505),L505,0),0)+IFERROR(IF(ISNUMBER(L506),L506,0),0)+IFERROR(IF(ISNUMBER(L507),L507,0),0),"")</f>
        <v/>
      </c>
    </row>
    <row r="508" spans="1:13" ht="19.5" customHeight="1" x14ac:dyDescent="0.35">
      <c r="A508" s="78" t="s">
        <v>229</v>
      </c>
      <c r="B508" s="79" t="str">
        <f>IF('Novice 15M - Scoring'!B64&lt;&gt;"",IF('Novice 15M - Scoring'!AJ64&lt;&gt;"",'Novice 15M - Scoring'!AJ64,""),"")</f>
        <v/>
      </c>
      <c r="C508" s="79" t="str">
        <f>IF('Novice 15M - Scoring'!B64&lt;&gt;"",IF('Novice 15M - Scoring'!AK64&lt;&gt;"",'Novice 15M - Scoring'!AK64,""),"")</f>
        <v/>
      </c>
      <c r="D508" s="79" t="str">
        <f>IF('Novice 15M - Scoring'!B64&lt;&gt;"",IF('Novice 15M - Scoring'!AL64&lt;&gt;"",'Novice 15M - Scoring'!AL64,""),"")</f>
        <v/>
      </c>
      <c r="E508" s="80" t="str">
        <f>IF('Novice 15M - Scoring'!B64&lt;&gt;"",'Novice 15M - Scoring'!AU64,"")</f>
        <v/>
      </c>
      <c r="F508" s="81" t="str">
        <f>IF(E503&lt;&gt;"",IFERROR(IF(ISNUMBER(E503),E503,0),0)+IFERROR(IF(ISNUMBER(E504),E504,0),0)+IFERROR(IF(ISNUMBER(E505),E505,0),0)+IFERROR(IF(ISNUMBER(E506),E506,0),0)+IFERROR(IF(ISNUMBER(E507),E507,0),0)+IFERROR(IF(ISNUMBER(E508),E508,0),0),"")</f>
        <v/>
      </c>
      <c r="H508" s="78" t="s">
        <v>229</v>
      </c>
      <c r="I508" s="79" t="str">
        <f>IF('Novice 15M - Scoring'!B65&lt;&gt;"",IF('Novice 15M - Scoring'!AJ65&lt;&gt;"",'Novice 15M - Scoring'!AJ65,""),"")</f>
        <v/>
      </c>
      <c r="J508" s="79" t="str">
        <f>IF('Novice 15M - Scoring'!B65&lt;&gt;"",IF('Novice 15M - Scoring'!AK65&lt;&gt;"",'Novice 15M - Scoring'!AK65,""),"")</f>
        <v/>
      </c>
      <c r="K508" s="79" t="str">
        <f>IF('Novice 15M - Scoring'!B65&lt;&gt;"",IF('Novice 15M - Scoring'!AL65&lt;&gt;"",'Novice 15M - Scoring'!AL65,""),"")</f>
        <v/>
      </c>
      <c r="L508" s="80" t="str">
        <f>IF('Novice 15M - Scoring'!B65&lt;&gt;"",'Novice 15M - Scoring'!AU65,"")</f>
        <v/>
      </c>
      <c r="M508" s="81" t="str">
        <f>IF(L503&lt;&gt;"",IFERROR(IF(ISNUMBER(L503),L503,0),0)+IFERROR(IF(ISNUMBER(L504),L504,0),0)+IFERROR(IF(ISNUMBER(L505),L505,0),0)+IFERROR(IF(ISNUMBER(L506),L506,0),0)+IFERROR(IF(ISNUMBER(L507),L507,0),0)+IFERROR(IF(ISNUMBER(L508),L508,0),0),"")</f>
        <v/>
      </c>
    </row>
    <row r="509" spans="1:13" ht="3.75" customHeight="1" x14ac:dyDescent="0.35"/>
    <row r="510" spans="1:13" ht="24" customHeight="1" x14ac:dyDescent="0.35">
      <c r="A510" s="124" t="s">
        <v>230</v>
      </c>
      <c r="B510" s="124"/>
      <c r="C510" s="124"/>
      <c r="D510" s="124"/>
      <c r="E510" s="125" t="str">
        <f>IF('Novice 15M - Scoring'!B64&lt;&gt;"",'Novice 15M - Scoring'!AV64,"")</f>
        <v/>
      </c>
      <c r="F510" s="125"/>
      <c r="H510" s="124" t="s">
        <v>230</v>
      </c>
      <c r="I510" s="124"/>
      <c r="J510" s="124"/>
      <c r="K510" s="124"/>
      <c r="L510" s="125" t="str">
        <f>IF('Novice 15M - Scoring'!B65&lt;&gt;"",'Novice 15M - Scoring'!AV65,"")</f>
        <v/>
      </c>
      <c r="M510" s="125"/>
    </row>
    <row r="511" spans="1:13" ht="19.5" customHeight="1" x14ac:dyDescent="0.35">
      <c r="E511" s="125"/>
      <c r="F511" s="125"/>
      <c r="L511" s="125"/>
      <c r="M511" s="125"/>
    </row>
    <row r="512" spans="1:13" ht="3.75" customHeight="1" x14ac:dyDescent="0.35"/>
    <row r="513" spans="1:13" ht="18" customHeight="1" x14ac:dyDescent="0.35">
      <c r="A513" s="73" t="s">
        <v>126</v>
      </c>
      <c r="B513" s="82" t="str">
        <f>IF('Novice 15M - Scoring'!B64&lt;&gt;"",'Novice 15M - Scoring'!AW64,"")</f>
        <v/>
      </c>
      <c r="C513" s="73" t="s">
        <v>127</v>
      </c>
      <c r="D513" s="83" t="str">
        <f>IF('Novice 15M - Scoring'!B64&lt;&gt;"",'Novice 15M - Scoring'!AX64,"")</f>
        <v/>
      </c>
      <c r="E513" s="73" t="s">
        <v>128</v>
      </c>
      <c r="F513" s="83" t="str">
        <f>IF('Novice 15M - Scoring'!B64&lt;&gt;"",'Novice 15M - Scoring'!AY64,"")</f>
        <v/>
      </c>
      <c r="H513" s="73" t="s">
        <v>126</v>
      </c>
      <c r="I513" s="82" t="str">
        <f>IF('Novice 15M - Scoring'!B65&lt;&gt;"",'Novice 15M - Scoring'!AW65,"")</f>
        <v/>
      </c>
      <c r="J513" s="73" t="s">
        <v>127</v>
      </c>
      <c r="K513" s="83" t="str">
        <f>IF('Novice 15M - Scoring'!B65&lt;&gt;"",'Novice 15M - Scoring'!AX65,"")</f>
        <v/>
      </c>
      <c r="L513" s="73" t="s">
        <v>128</v>
      </c>
      <c r="M513" s="83" t="str">
        <f>IF('Novice 15M - Scoring'!B65&lt;&gt;"",'Novice 15M - Scoring'!AY65,"")</f>
        <v/>
      </c>
    </row>
    <row r="514" spans="1:13" ht="3.75" customHeight="1" x14ac:dyDescent="0.35"/>
    <row r="515" spans="1:13" ht="7.5" customHeight="1" x14ac:dyDescent="0.35">
      <c r="A515" s="126"/>
      <c r="B515" s="126"/>
      <c r="C515" s="126"/>
      <c r="D515" s="126"/>
      <c r="E515" s="126"/>
      <c r="F515" s="126"/>
      <c r="G515" s="126"/>
      <c r="H515" s="126"/>
      <c r="I515" s="126"/>
      <c r="J515" s="126"/>
      <c r="K515" s="126"/>
      <c r="L515" s="126"/>
      <c r="M515" s="126"/>
    </row>
    <row r="516" spans="1:13" ht="15.75" customHeight="1" x14ac:dyDescent="0.35">
      <c r="A516" s="73" t="s">
        <v>218</v>
      </c>
      <c r="B516" s="122" t="str">
        <f>IF('Novice 15M - Scoring'!B66&lt;&gt;"",'Novice 15M - Scoring'!B66,"")</f>
        <v/>
      </c>
      <c r="C516" s="122"/>
      <c r="D516" s="122"/>
      <c r="E516" s="73" t="s">
        <v>219</v>
      </c>
      <c r="F516" s="74" t="str">
        <f>IF('Novice 15M - Scoring'!B66&lt;&gt;"",'Novice 15M - Scoring'!BB66,"")</f>
        <v/>
      </c>
      <c r="H516" s="73" t="s">
        <v>218</v>
      </c>
      <c r="I516" s="122" t="str">
        <f>IF('Novice 15M - Scoring'!B67&lt;&gt;"",'Novice 15M - Scoring'!B67,"")</f>
        <v/>
      </c>
      <c r="J516" s="122"/>
      <c r="K516" s="122"/>
      <c r="L516" s="73" t="s">
        <v>219</v>
      </c>
      <c r="M516" s="74" t="str">
        <f>IF('Novice 15M - Scoring'!B67&lt;&gt;"",'Novice 15M - Scoring'!BB67,"")</f>
        <v/>
      </c>
    </row>
    <row r="517" spans="1:13" ht="15.75" customHeight="1" x14ac:dyDescent="0.35">
      <c r="A517" s="73" t="s">
        <v>220</v>
      </c>
      <c r="B517" s="123" t="str">
        <f>IF('Novice 15M - Scoring'!B66&lt;&gt;"",'Novice 15M - Scoring'!D66,"")</f>
        <v/>
      </c>
      <c r="C517" s="123"/>
      <c r="D517" s="123"/>
      <c r="E517" s="73" t="s">
        <v>8</v>
      </c>
      <c r="F517" s="75" t="str">
        <f>IF('Novice 15M - Scoring'!B66&lt;&gt;"",'Novice 15M - Scoring'!E66,"")</f>
        <v/>
      </c>
      <c r="H517" s="73" t="s">
        <v>220</v>
      </c>
      <c r="I517" s="123" t="str">
        <f>IF('Novice 15M - Scoring'!B67&lt;&gt;"",'Novice 15M - Scoring'!D67,"")</f>
        <v/>
      </c>
      <c r="J517" s="123"/>
      <c r="K517" s="123"/>
      <c r="L517" s="73" t="s">
        <v>8</v>
      </c>
      <c r="M517" s="75" t="str">
        <f>IF('Novice 15M - Scoring'!B67&lt;&gt;"",'Novice 15M - Scoring'!E67,"")</f>
        <v/>
      </c>
    </row>
    <row r="518" spans="1:13" ht="3.75" customHeight="1" x14ac:dyDescent="0.35"/>
    <row r="519" spans="1:13" ht="25.5" customHeight="1" x14ac:dyDescent="0.35">
      <c r="A519" s="76" t="s">
        <v>221</v>
      </c>
      <c r="B519" s="77" t="s">
        <v>222</v>
      </c>
      <c r="C519" s="77" t="s">
        <v>223</v>
      </c>
      <c r="D519" s="77" t="s">
        <v>224</v>
      </c>
      <c r="E519" s="76" t="s">
        <v>225</v>
      </c>
      <c r="F519" s="76" t="s">
        <v>226</v>
      </c>
      <c r="H519" s="76" t="s">
        <v>221</v>
      </c>
      <c r="I519" s="77" t="s">
        <v>222</v>
      </c>
      <c r="J519" s="77" t="s">
        <v>223</v>
      </c>
      <c r="K519" s="77" t="s">
        <v>224</v>
      </c>
      <c r="L519" s="76" t="s">
        <v>225</v>
      </c>
      <c r="M519" s="76" t="s">
        <v>226</v>
      </c>
    </row>
    <row r="520" spans="1:13" ht="19.5" customHeight="1" x14ac:dyDescent="0.35">
      <c r="A520" s="78" t="s">
        <v>222</v>
      </c>
      <c r="B520" s="79" t="str">
        <f>IF('Novice 15M - Scoring'!B66&lt;&gt;"",IF('Novice 15M - Scoring'!F66&lt;&gt;"",'Novice 15M - Scoring'!F66,""),"")</f>
        <v/>
      </c>
      <c r="C520" s="79" t="str">
        <f>IF('Novice 15M - Scoring'!B66&lt;&gt;"",IF('Novice 15M - Scoring'!G66&lt;&gt;"",'Novice 15M - Scoring'!G66,""),"")</f>
        <v/>
      </c>
      <c r="D520" s="79" t="str">
        <f>IF('Novice 15M - Scoring'!B66&lt;&gt;"",IF('Novice 15M - Scoring'!H66&lt;&gt;"",'Novice 15M - Scoring'!H66,""),"")</f>
        <v/>
      </c>
      <c r="E520" s="80" t="str">
        <f>IF('Novice 15M - Scoring'!B66&lt;&gt;"",'Novice 15M - Scoring'!AP66,"")</f>
        <v/>
      </c>
      <c r="F520" s="81" t="str">
        <f>IFERROR(IF(ISNUMBER(E520),E520,""),"")</f>
        <v/>
      </c>
      <c r="H520" s="78" t="s">
        <v>222</v>
      </c>
      <c r="I520" s="79" t="str">
        <f>IF('Novice 15M - Scoring'!B67&lt;&gt;"",IF('Novice 15M - Scoring'!F67&lt;&gt;"",'Novice 15M - Scoring'!F67,""),"")</f>
        <v/>
      </c>
      <c r="J520" s="79" t="str">
        <f>IF('Novice 15M - Scoring'!B67&lt;&gt;"",IF('Novice 15M - Scoring'!G67&lt;&gt;"",'Novice 15M - Scoring'!G67,""),"")</f>
        <v/>
      </c>
      <c r="K520" s="79" t="str">
        <f>IF('Novice 15M - Scoring'!B67&lt;&gt;"",IF('Novice 15M - Scoring'!H67&lt;&gt;"",'Novice 15M - Scoring'!H67,""),"")</f>
        <v/>
      </c>
      <c r="L520" s="80" t="str">
        <f>IF('Novice 15M - Scoring'!B67&lt;&gt;"",'Novice 15M - Scoring'!AP67,"")</f>
        <v/>
      </c>
      <c r="M520" s="81" t="str">
        <f>IFERROR(IF(ISNUMBER(L520),L520,""),"")</f>
        <v/>
      </c>
    </row>
    <row r="521" spans="1:13" ht="19.5" customHeight="1" x14ac:dyDescent="0.35">
      <c r="A521" s="78" t="s">
        <v>223</v>
      </c>
      <c r="B521" s="79" t="str">
        <f>IF('Novice 15M - Scoring'!B66&lt;&gt;"",IF('Novice 15M - Scoring'!L66&lt;&gt;"",'Novice 15M - Scoring'!L66,""),"")</f>
        <v/>
      </c>
      <c r="C521" s="79" t="str">
        <f>IF('Novice 15M - Scoring'!B66&lt;&gt;"",IF('Novice 15M - Scoring'!M66&lt;&gt;"",'Novice 15M - Scoring'!M66,""),"")</f>
        <v/>
      </c>
      <c r="D521" s="79" t="str">
        <f>IF('Novice 15M - Scoring'!B66&lt;&gt;"",IF('Novice 15M - Scoring'!N66&lt;&gt;"",'Novice 15M - Scoring'!N66,""),"")</f>
        <v/>
      </c>
      <c r="E521" s="80" t="str">
        <f>IF('Novice 15M - Scoring'!B66&lt;&gt;"",'Novice 15M - Scoring'!AQ66,"")</f>
        <v/>
      </c>
      <c r="F521" s="81" t="str">
        <f>IF(E520&lt;&gt;"",IFERROR(IF(ISNUMBER(E520),E520,0),0)+IFERROR(IF(ISNUMBER(E521),E521,0),0),"")</f>
        <v/>
      </c>
      <c r="H521" s="78" t="s">
        <v>223</v>
      </c>
      <c r="I521" s="79" t="str">
        <f>IF('Novice 15M - Scoring'!B67&lt;&gt;"",IF('Novice 15M - Scoring'!L67&lt;&gt;"",'Novice 15M - Scoring'!L67,""),"")</f>
        <v/>
      </c>
      <c r="J521" s="79" t="str">
        <f>IF('Novice 15M - Scoring'!B67&lt;&gt;"",IF('Novice 15M - Scoring'!M67&lt;&gt;"",'Novice 15M - Scoring'!M67,""),"")</f>
        <v/>
      </c>
      <c r="K521" s="79" t="str">
        <f>IF('Novice 15M - Scoring'!B67&lt;&gt;"",IF('Novice 15M - Scoring'!N67&lt;&gt;"",'Novice 15M - Scoring'!N67,""),"")</f>
        <v/>
      </c>
      <c r="L521" s="80" t="str">
        <f>IF('Novice 15M - Scoring'!B67&lt;&gt;"",'Novice 15M - Scoring'!AQ67,"")</f>
        <v/>
      </c>
      <c r="M521" s="81" t="str">
        <f>IF(L520&lt;&gt;"",IFERROR(IF(ISNUMBER(L520),L520,0),0)+IFERROR(IF(ISNUMBER(L521),L521,0),0),"")</f>
        <v/>
      </c>
    </row>
    <row r="522" spans="1:13" ht="19.5" customHeight="1" x14ac:dyDescent="0.35">
      <c r="A522" s="78" t="s">
        <v>224</v>
      </c>
      <c r="B522" s="79" t="str">
        <f>IF('Novice 15M - Scoring'!B66&lt;&gt;"",IF('Novice 15M - Scoring'!R66&lt;&gt;"",'Novice 15M - Scoring'!R66,""),"")</f>
        <v/>
      </c>
      <c r="C522" s="79" t="str">
        <f>IF('Novice 15M - Scoring'!B66&lt;&gt;"",IF('Novice 15M - Scoring'!S66&lt;&gt;"",'Novice 15M - Scoring'!S66,""),"")</f>
        <v/>
      </c>
      <c r="D522" s="79" t="str">
        <f>IF('Novice 15M - Scoring'!B66&lt;&gt;"",IF('Novice 15M - Scoring'!T66&lt;&gt;"",'Novice 15M - Scoring'!T66,""),"")</f>
        <v/>
      </c>
      <c r="E522" s="80" t="str">
        <f>IF('Novice 15M - Scoring'!B66&lt;&gt;"",'Novice 15M - Scoring'!AR66,"")</f>
        <v/>
      </c>
      <c r="F522" s="81" t="str">
        <f>IF(E520&lt;&gt;"",IFERROR(IF(ISNUMBER(E520),E520,0),0)+IFERROR(IF(ISNUMBER(E521),E521,0),0)+IFERROR(IF(ISNUMBER(E522),E522,0),0),"")</f>
        <v/>
      </c>
      <c r="H522" s="78" t="s">
        <v>224</v>
      </c>
      <c r="I522" s="79" t="str">
        <f>IF('Novice 15M - Scoring'!B67&lt;&gt;"",IF('Novice 15M - Scoring'!R67&lt;&gt;"",'Novice 15M - Scoring'!R67,""),"")</f>
        <v/>
      </c>
      <c r="J522" s="79" t="str">
        <f>IF('Novice 15M - Scoring'!B67&lt;&gt;"",IF('Novice 15M - Scoring'!S67&lt;&gt;"",'Novice 15M - Scoring'!S67,""),"")</f>
        <v/>
      </c>
      <c r="K522" s="79" t="str">
        <f>IF('Novice 15M - Scoring'!B67&lt;&gt;"",IF('Novice 15M - Scoring'!T67&lt;&gt;"",'Novice 15M - Scoring'!T67,""),"")</f>
        <v/>
      </c>
      <c r="L522" s="80" t="str">
        <f>IF('Novice 15M - Scoring'!B67&lt;&gt;"",'Novice 15M - Scoring'!AR67,"")</f>
        <v/>
      </c>
      <c r="M522" s="81" t="str">
        <f>IF(L520&lt;&gt;"",IFERROR(IF(ISNUMBER(L520),L520,0),0)+IFERROR(IF(ISNUMBER(L521),L521,0),0)+IFERROR(IF(ISNUMBER(L522),L522,0),0),"")</f>
        <v/>
      </c>
    </row>
    <row r="523" spans="1:13" ht="19.5" customHeight="1" x14ac:dyDescent="0.35">
      <c r="A523" s="78" t="s">
        <v>227</v>
      </c>
      <c r="B523" s="79" t="str">
        <f>IF('Novice 15M - Scoring'!B66&lt;&gt;"",IF('Novice 15M - Scoring'!X66&lt;&gt;"",'Novice 15M - Scoring'!X66,""),"")</f>
        <v/>
      </c>
      <c r="C523" s="79" t="str">
        <f>IF('Novice 15M - Scoring'!B66&lt;&gt;"",IF('Novice 15M - Scoring'!Y66&lt;&gt;"",'Novice 15M - Scoring'!Y66,""),"")</f>
        <v/>
      </c>
      <c r="D523" s="79" t="str">
        <f>IF('Novice 15M - Scoring'!B66&lt;&gt;"",IF('Novice 15M - Scoring'!Z66&lt;&gt;"",'Novice 15M - Scoring'!Z66,""),"")</f>
        <v/>
      </c>
      <c r="E523" s="80" t="str">
        <f>IF('Novice 15M - Scoring'!B66&lt;&gt;"",'Novice 15M - Scoring'!AS66,"")</f>
        <v/>
      </c>
      <c r="F523" s="81" t="str">
        <f>IF(E520&lt;&gt;"",IFERROR(IF(ISNUMBER(E520),E520,0),0)+IFERROR(IF(ISNUMBER(E521),E521,0),0)+IFERROR(IF(ISNUMBER(E522),E522,0),0)+IFERROR(IF(ISNUMBER(E523),E523,0),0),"")</f>
        <v/>
      </c>
      <c r="H523" s="78" t="s">
        <v>227</v>
      </c>
      <c r="I523" s="79" t="str">
        <f>IF('Novice 15M - Scoring'!B67&lt;&gt;"",IF('Novice 15M - Scoring'!X67&lt;&gt;"",'Novice 15M - Scoring'!X67,""),"")</f>
        <v/>
      </c>
      <c r="J523" s="79" t="str">
        <f>IF('Novice 15M - Scoring'!B67&lt;&gt;"",IF('Novice 15M - Scoring'!Y67&lt;&gt;"",'Novice 15M - Scoring'!Y67,""),"")</f>
        <v/>
      </c>
      <c r="K523" s="79" t="str">
        <f>IF('Novice 15M - Scoring'!B67&lt;&gt;"",IF('Novice 15M - Scoring'!Z67&lt;&gt;"",'Novice 15M - Scoring'!Z67,""),"")</f>
        <v/>
      </c>
      <c r="L523" s="80" t="str">
        <f>IF('Novice 15M - Scoring'!B67&lt;&gt;"",'Novice 15M - Scoring'!AS67,"")</f>
        <v/>
      </c>
      <c r="M523" s="81" t="str">
        <f>IF(L520&lt;&gt;"",IFERROR(IF(ISNUMBER(L520),L520,0),0)+IFERROR(IF(ISNUMBER(L521),L521,0),0)+IFERROR(IF(ISNUMBER(L522),L522,0),0)+IFERROR(IF(ISNUMBER(L523),L523,0),0),"")</f>
        <v/>
      </c>
    </row>
    <row r="524" spans="1:13" ht="19.5" customHeight="1" x14ac:dyDescent="0.35">
      <c r="A524" s="78" t="s">
        <v>228</v>
      </c>
      <c r="B524" s="79" t="str">
        <f>IF('Novice 15M - Scoring'!B66&lt;&gt;"",IF('Novice 15M - Scoring'!AD66&lt;&gt;"",'Novice 15M - Scoring'!AD66,""),"")</f>
        <v/>
      </c>
      <c r="C524" s="79" t="str">
        <f>IF('Novice 15M - Scoring'!B66&lt;&gt;"",IF('Novice 15M - Scoring'!AE66&lt;&gt;"",'Novice 15M - Scoring'!AE66,""),"")</f>
        <v/>
      </c>
      <c r="D524" s="79" t="str">
        <f>IF('Novice 15M - Scoring'!B66&lt;&gt;"",IF('Novice 15M - Scoring'!AF66&lt;&gt;"",'Novice 15M - Scoring'!AF66,""),"")</f>
        <v/>
      </c>
      <c r="E524" s="80" t="str">
        <f>IF('Novice 15M - Scoring'!B66&lt;&gt;"",'Novice 15M - Scoring'!AT66,"")</f>
        <v/>
      </c>
      <c r="F524" s="81" t="str">
        <f>IF(E520&lt;&gt;"",IFERROR(IF(ISNUMBER(E520),E520,0),0)+IFERROR(IF(ISNUMBER(E521),E521,0),0)+IFERROR(IF(ISNUMBER(E522),E522,0),0)+IFERROR(IF(ISNUMBER(E523),E523,0),0)+IFERROR(IF(ISNUMBER(E524),E524,0),0),"")</f>
        <v/>
      </c>
      <c r="H524" s="78" t="s">
        <v>228</v>
      </c>
      <c r="I524" s="79" t="str">
        <f>IF('Novice 15M - Scoring'!B67&lt;&gt;"",IF('Novice 15M - Scoring'!AD67&lt;&gt;"",'Novice 15M - Scoring'!AD67,""),"")</f>
        <v/>
      </c>
      <c r="J524" s="79" t="str">
        <f>IF('Novice 15M - Scoring'!B67&lt;&gt;"",IF('Novice 15M - Scoring'!AE67&lt;&gt;"",'Novice 15M - Scoring'!AE67,""),"")</f>
        <v/>
      </c>
      <c r="K524" s="79" t="str">
        <f>IF('Novice 15M - Scoring'!B67&lt;&gt;"",IF('Novice 15M - Scoring'!AF67&lt;&gt;"",'Novice 15M - Scoring'!AF67,""),"")</f>
        <v/>
      </c>
      <c r="L524" s="80" t="str">
        <f>IF('Novice 15M - Scoring'!B67&lt;&gt;"",'Novice 15M - Scoring'!AT67,"")</f>
        <v/>
      </c>
      <c r="M524" s="81" t="str">
        <f>IF(L520&lt;&gt;"",IFERROR(IF(ISNUMBER(L520),L520,0),0)+IFERROR(IF(ISNUMBER(L521),L521,0),0)+IFERROR(IF(ISNUMBER(L522),L522,0),0)+IFERROR(IF(ISNUMBER(L523),L523,0),0)+IFERROR(IF(ISNUMBER(L524),L524,0),0),"")</f>
        <v/>
      </c>
    </row>
    <row r="525" spans="1:13" ht="19.5" customHeight="1" x14ac:dyDescent="0.35">
      <c r="A525" s="78" t="s">
        <v>229</v>
      </c>
      <c r="B525" s="79" t="str">
        <f>IF('Novice 15M - Scoring'!B66&lt;&gt;"",IF('Novice 15M - Scoring'!AJ66&lt;&gt;"",'Novice 15M - Scoring'!AJ66,""),"")</f>
        <v/>
      </c>
      <c r="C525" s="79" t="str">
        <f>IF('Novice 15M - Scoring'!B66&lt;&gt;"",IF('Novice 15M - Scoring'!AK66&lt;&gt;"",'Novice 15M - Scoring'!AK66,""),"")</f>
        <v/>
      </c>
      <c r="D525" s="79" t="str">
        <f>IF('Novice 15M - Scoring'!B66&lt;&gt;"",IF('Novice 15M - Scoring'!AL66&lt;&gt;"",'Novice 15M - Scoring'!AL66,""),"")</f>
        <v/>
      </c>
      <c r="E525" s="80" t="str">
        <f>IF('Novice 15M - Scoring'!B66&lt;&gt;"",'Novice 15M - Scoring'!AU66,"")</f>
        <v/>
      </c>
      <c r="F525" s="81" t="str">
        <f>IF(E520&lt;&gt;"",IFERROR(IF(ISNUMBER(E520),E520,0),0)+IFERROR(IF(ISNUMBER(E521),E521,0),0)+IFERROR(IF(ISNUMBER(E522),E522,0),0)+IFERROR(IF(ISNUMBER(E523),E523,0),0)+IFERROR(IF(ISNUMBER(E524),E524,0),0)+IFERROR(IF(ISNUMBER(E525),E525,0),0),"")</f>
        <v/>
      </c>
      <c r="H525" s="78" t="s">
        <v>229</v>
      </c>
      <c r="I525" s="79" t="str">
        <f>IF('Novice 15M - Scoring'!B67&lt;&gt;"",IF('Novice 15M - Scoring'!AJ67&lt;&gt;"",'Novice 15M - Scoring'!AJ67,""),"")</f>
        <v/>
      </c>
      <c r="J525" s="79" t="str">
        <f>IF('Novice 15M - Scoring'!B67&lt;&gt;"",IF('Novice 15M - Scoring'!AK67&lt;&gt;"",'Novice 15M - Scoring'!AK67,""),"")</f>
        <v/>
      </c>
      <c r="K525" s="79" t="str">
        <f>IF('Novice 15M - Scoring'!B67&lt;&gt;"",IF('Novice 15M - Scoring'!AL67&lt;&gt;"",'Novice 15M - Scoring'!AL67,""),"")</f>
        <v/>
      </c>
      <c r="L525" s="80" t="str">
        <f>IF('Novice 15M - Scoring'!B67&lt;&gt;"",'Novice 15M - Scoring'!AU67,"")</f>
        <v/>
      </c>
      <c r="M525" s="81" t="str">
        <f>IF(L520&lt;&gt;"",IFERROR(IF(ISNUMBER(L520),L520,0),0)+IFERROR(IF(ISNUMBER(L521),L521,0),0)+IFERROR(IF(ISNUMBER(L522),L522,0),0)+IFERROR(IF(ISNUMBER(L523),L523,0),0)+IFERROR(IF(ISNUMBER(L524),L524,0),0)+IFERROR(IF(ISNUMBER(L525),L525,0),0),"")</f>
        <v/>
      </c>
    </row>
    <row r="526" spans="1:13" ht="3.75" customHeight="1" x14ac:dyDescent="0.35"/>
    <row r="527" spans="1:13" ht="24" customHeight="1" x14ac:dyDescent="0.35">
      <c r="A527" s="124" t="s">
        <v>230</v>
      </c>
      <c r="B527" s="124"/>
      <c r="C527" s="124"/>
      <c r="D527" s="124"/>
      <c r="E527" s="125" t="str">
        <f>IF('Novice 15M - Scoring'!B66&lt;&gt;"",'Novice 15M - Scoring'!AV66,"")</f>
        <v/>
      </c>
      <c r="F527" s="125"/>
      <c r="H527" s="124" t="s">
        <v>230</v>
      </c>
      <c r="I527" s="124"/>
      <c r="J527" s="124"/>
      <c r="K527" s="124"/>
      <c r="L527" s="125" t="str">
        <f>IF('Novice 15M - Scoring'!B67&lt;&gt;"",'Novice 15M - Scoring'!AV67,"")</f>
        <v/>
      </c>
      <c r="M527" s="125"/>
    </row>
    <row r="528" spans="1:13" ht="19.5" customHeight="1" x14ac:dyDescent="0.35">
      <c r="E528" s="125"/>
      <c r="F528" s="125"/>
      <c r="L528" s="125"/>
      <c r="M528" s="125"/>
    </row>
    <row r="529" spans="1:13" ht="3.75" customHeight="1" x14ac:dyDescent="0.35"/>
    <row r="530" spans="1:13" ht="18" customHeight="1" x14ac:dyDescent="0.35">
      <c r="A530" s="73" t="s">
        <v>126</v>
      </c>
      <c r="B530" s="82" t="str">
        <f>IF('Novice 15M - Scoring'!B66&lt;&gt;"",'Novice 15M - Scoring'!AW66,"")</f>
        <v/>
      </c>
      <c r="C530" s="73" t="s">
        <v>127</v>
      </c>
      <c r="D530" s="83" t="str">
        <f>IF('Novice 15M - Scoring'!B66&lt;&gt;"",'Novice 15M - Scoring'!AX66,"")</f>
        <v/>
      </c>
      <c r="E530" s="73" t="s">
        <v>128</v>
      </c>
      <c r="F530" s="83" t="str">
        <f>IF('Novice 15M - Scoring'!B66&lt;&gt;"",'Novice 15M - Scoring'!AY66,"")</f>
        <v/>
      </c>
      <c r="H530" s="73" t="s">
        <v>126</v>
      </c>
      <c r="I530" s="82" t="str">
        <f>IF('Novice 15M - Scoring'!B67&lt;&gt;"",'Novice 15M - Scoring'!AW67,"")</f>
        <v/>
      </c>
      <c r="J530" s="73" t="s">
        <v>127</v>
      </c>
      <c r="K530" s="83" t="str">
        <f>IF('Novice 15M - Scoring'!B67&lt;&gt;"",'Novice 15M - Scoring'!AX67,"")</f>
        <v/>
      </c>
      <c r="L530" s="73" t="s">
        <v>128</v>
      </c>
      <c r="M530" s="83" t="str">
        <f>IF('Novice 15M - Scoring'!B67&lt;&gt;"",'Novice 15M - Scoring'!AY67,"")</f>
        <v/>
      </c>
    </row>
    <row r="531" spans="1:13" ht="3.75" customHeight="1" x14ac:dyDescent="0.35"/>
    <row r="532" spans="1:13" ht="7.5" customHeight="1" x14ac:dyDescent="0.35">
      <c r="A532" s="126"/>
      <c r="B532" s="126"/>
      <c r="C532" s="126"/>
      <c r="D532" s="126"/>
      <c r="E532" s="126"/>
      <c r="F532" s="126"/>
      <c r="G532" s="126"/>
      <c r="H532" s="126"/>
      <c r="I532" s="126"/>
      <c r="J532" s="126"/>
      <c r="K532" s="126"/>
      <c r="L532" s="126"/>
      <c r="M532" s="126"/>
    </row>
    <row r="533" spans="1:13" ht="15.75" customHeight="1" x14ac:dyDescent="0.35">
      <c r="A533" s="73" t="s">
        <v>218</v>
      </c>
      <c r="B533" s="122" t="str">
        <f>IF('Novice 15M - Scoring'!B68&lt;&gt;"",'Novice 15M - Scoring'!B68,"")</f>
        <v/>
      </c>
      <c r="C533" s="122"/>
      <c r="D533" s="122"/>
      <c r="E533" s="73" t="s">
        <v>219</v>
      </c>
      <c r="F533" s="74" t="str">
        <f>IF('Novice 15M - Scoring'!B68&lt;&gt;"",'Novice 15M - Scoring'!BB68,"")</f>
        <v/>
      </c>
      <c r="H533" s="73" t="s">
        <v>218</v>
      </c>
      <c r="I533" s="122" t="str">
        <f>IF('Novice 15M - Scoring'!B69&lt;&gt;"",'Novice 15M - Scoring'!B69,"")</f>
        <v/>
      </c>
      <c r="J533" s="122"/>
      <c r="K533" s="122"/>
      <c r="L533" s="73" t="s">
        <v>219</v>
      </c>
      <c r="M533" s="74" t="str">
        <f>IF('Novice 15M - Scoring'!B69&lt;&gt;"",'Novice 15M - Scoring'!BB69,"")</f>
        <v/>
      </c>
    </row>
    <row r="534" spans="1:13" ht="15.75" customHeight="1" x14ac:dyDescent="0.35">
      <c r="A534" s="73" t="s">
        <v>220</v>
      </c>
      <c r="B534" s="123" t="str">
        <f>IF('Novice 15M - Scoring'!B68&lt;&gt;"",'Novice 15M - Scoring'!D68,"")</f>
        <v/>
      </c>
      <c r="C534" s="123"/>
      <c r="D534" s="123"/>
      <c r="E534" s="73" t="s">
        <v>8</v>
      </c>
      <c r="F534" s="75" t="str">
        <f>IF('Novice 15M - Scoring'!B68&lt;&gt;"",'Novice 15M - Scoring'!E68,"")</f>
        <v/>
      </c>
      <c r="H534" s="73" t="s">
        <v>220</v>
      </c>
      <c r="I534" s="123" t="str">
        <f>IF('Novice 15M - Scoring'!B69&lt;&gt;"",'Novice 15M - Scoring'!D69,"")</f>
        <v/>
      </c>
      <c r="J534" s="123"/>
      <c r="K534" s="123"/>
      <c r="L534" s="73" t="s">
        <v>8</v>
      </c>
      <c r="M534" s="75" t="str">
        <f>IF('Novice 15M - Scoring'!B69&lt;&gt;"",'Novice 15M - Scoring'!E69,"")</f>
        <v/>
      </c>
    </row>
    <row r="535" spans="1:13" ht="3.75" customHeight="1" x14ac:dyDescent="0.35"/>
    <row r="536" spans="1:13" ht="25.5" customHeight="1" x14ac:dyDescent="0.35">
      <c r="A536" s="76" t="s">
        <v>221</v>
      </c>
      <c r="B536" s="77" t="s">
        <v>222</v>
      </c>
      <c r="C536" s="77" t="s">
        <v>223</v>
      </c>
      <c r="D536" s="77" t="s">
        <v>224</v>
      </c>
      <c r="E536" s="76" t="s">
        <v>225</v>
      </c>
      <c r="F536" s="76" t="s">
        <v>226</v>
      </c>
      <c r="H536" s="76" t="s">
        <v>221</v>
      </c>
      <c r="I536" s="77" t="s">
        <v>222</v>
      </c>
      <c r="J536" s="77" t="s">
        <v>223</v>
      </c>
      <c r="K536" s="77" t="s">
        <v>224</v>
      </c>
      <c r="L536" s="76" t="s">
        <v>225</v>
      </c>
      <c r="M536" s="76" t="s">
        <v>226</v>
      </c>
    </row>
    <row r="537" spans="1:13" ht="19.5" customHeight="1" x14ac:dyDescent="0.35">
      <c r="A537" s="78" t="s">
        <v>222</v>
      </c>
      <c r="B537" s="79" t="str">
        <f>IF('Novice 15M - Scoring'!B68&lt;&gt;"",IF('Novice 15M - Scoring'!F68&lt;&gt;"",'Novice 15M - Scoring'!F68,""),"")</f>
        <v/>
      </c>
      <c r="C537" s="79" t="str">
        <f>IF('Novice 15M - Scoring'!B68&lt;&gt;"",IF('Novice 15M - Scoring'!G68&lt;&gt;"",'Novice 15M - Scoring'!G68,""),"")</f>
        <v/>
      </c>
      <c r="D537" s="79" t="str">
        <f>IF('Novice 15M - Scoring'!B68&lt;&gt;"",IF('Novice 15M - Scoring'!H68&lt;&gt;"",'Novice 15M - Scoring'!H68,""),"")</f>
        <v/>
      </c>
      <c r="E537" s="80" t="str">
        <f>IF('Novice 15M - Scoring'!B68&lt;&gt;"",'Novice 15M - Scoring'!AP68,"")</f>
        <v/>
      </c>
      <c r="F537" s="81" t="str">
        <f>IFERROR(IF(ISNUMBER(E537),E537,""),"")</f>
        <v/>
      </c>
      <c r="H537" s="78" t="s">
        <v>222</v>
      </c>
      <c r="I537" s="79" t="str">
        <f>IF('Novice 15M - Scoring'!B69&lt;&gt;"",IF('Novice 15M - Scoring'!F69&lt;&gt;"",'Novice 15M - Scoring'!F69,""),"")</f>
        <v/>
      </c>
      <c r="J537" s="79" t="str">
        <f>IF('Novice 15M - Scoring'!B69&lt;&gt;"",IF('Novice 15M - Scoring'!G69&lt;&gt;"",'Novice 15M - Scoring'!G69,""),"")</f>
        <v/>
      </c>
      <c r="K537" s="79" t="str">
        <f>IF('Novice 15M - Scoring'!B69&lt;&gt;"",IF('Novice 15M - Scoring'!H69&lt;&gt;"",'Novice 15M - Scoring'!H69,""),"")</f>
        <v/>
      </c>
      <c r="L537" s="80" t="str">
        <f>IF('Novice 15M - Scoring'!B69&lt;&gt;"",'Novice 15M - Scoring'!AP69,"")</f>
        <v/>
      </c>
      <c r="M537" s="81" t="str">
        <f>IFERROR(IF(ISNUMBER(L537),L537,""),"")</f>
        <v/>
      </c>
    </row>
    <row r="538" spans="1:13" ht="19.5" customHeight="1" x14ac:dyDescent="0.35">
      <c r="A538" s="78" t="s">
        <v>223</v>
      </c>
      <c r="B538" s="79" t="str">
        <f>IF('Novice 15M - Scoring'!B68&lt;&gt;"",IF('Novice 15M - Scoring'!L68&lt;&gt;"",'Novice 15M - Scoring'!L68,""),"")</f>
        <v/>
      </c>
      <c r="C538" s="79" t="str">
        <f>IF('Novice 15M - Scoring'!B68&lt;&gt;"",IF('Novice 15M - Scoring'!M68&lt;&gt;"",'Novice 15M - Scoring'!M68,""),"")</f>
        <v/>
      </c>
      <c r="D538" s="79" t="str">
        <f>IF('Novice 15M - Scoring'!B68&lt;&gt;"",IF('Novice 15M - Scoring'!N68&lt;&gt;"",'Novice 15M - Scoring'!N68,""),"")</f>
        <v/>
      </c>
      <c r="E538" s="80" t="str">
        <f>IF('Novice 15M - Scoring'!B68&lt;&gt;"",'Novice 15M - Scoring'!AQ68,"")</f>
        <v/>
      </c>
      <c r="F538" s="81" t="str">
        <f>IF(E537&lt;&gt;"",IFERROR(IF(ISNUMBER(E537),E537,0),0)+IFERROR(IF(ISNUMBER(E538),E538,0),0),"")</f>
        <v/>
      </c>
      <c r="H538" s="78" t="s">
        <v>223</v>
      </c>
      <c r="I538" s="79" t="str">
        <f>IF('Novice 15M - Scoring'!B69&lt;&gt;"",IF('Novice 15M - Scoring'!L69&lt;&gt;"",'Novice 15M - Scoring'!L69,""),"")</f>
        <v/>
      </c>
      <c r="J538" s="79" t="str">
        <f>IF('Novice 15M - Scoring'!B69&lt;&gt;"",IF('Novice 15M - Scoring'!M69&lt;&gt;"",'Novice 15M - Scoring'!M69,""),"")</f>
        <v/>
      </c>
      <c r="K538" s="79" t="str">
        <f>IF('Novice 15M - Scoring'!B69&lt;&gt;"",IF('Novice 15M - Scoring'!N69&lt;&gt;"",'Novice 15M - Scoring'!N69,""),"")</f>
        <v/>
      </c>
      <c r="L538" s="80" t="str">
        <f>IF('Novice 15M - Scoring'!B69&lt;&gt;"",'Novice 15M - Scoring'!AQ69,"")</f>
        <v/>
      </c>
      <c r="M538" s="81" t="str">
        <f>IF(L537&lt;&gt;"",IFERROR(IF(ISNUMBER(L537),L537,0),0)+IFERROR(IF(ISNUMBER(L538),L538,0),0),"")</f>
        <v/>
      </c>
    </row>
    <row r="539" spans="1:13" ht="19.5" customHeight="1" x14ac:dyDescent="0.35">
      <c r="A539" s="78" t="s">
        <v>224</v>
      </c>
      <c r="B539" s="79" t="str">
        <f>IF('Novice 15M - Scoring'!B68&lt;&gt;"",IF('Novice 15M - Scoring'!R68&lt;&gt;"",'Novice 15M - Scoring'!R68,""),"")</f>
        <v/>
      </c>
      <c r="C539" s="79" t="str">
        <f>IF('Novice 15M - Scoring'!B68&lt;&gt;"",IF('Novice 15M - Scoring'!S68&lt;&gt;"",'Novice 15M - Scoring'!S68,""),"")</f>
        <v/>
      </c>
      <c r="D539" s="79" t="str">
        <f>IF('Novice 15M - Scoring'!B68&lt;&gt;"",IF('Novice 15M - Scoring'!T68&lt;&gt;"",'Novice 15M - Scoring'!T68,""),"")</f>
        <v/>
      </c>
      <c r="E539" s="80" t="str">
        <f>IF('Novice 15M - Scoring'!B68&lt;&gt;"",'Novice 15M - Scoring'!AR68,"")</f>
        <v/>
      </c>
      <c r="F539" s="81" t="str">
        <f>IF(E537&lt;&gt;"",IFERROR(IF(ISNUMBER(E537),E537,0),0)+IFERROR(IF(ISNUMBER(E538),E538,0),0)+IFERROR(IF(ISNUMBER(E539),E539,0),0),"")</f>
        <v/>
      </c>
      <c r="H539" s="78" t="s">
        <v>224</v>
      </c>
      <c r="I539" s="79" t="str">
        <f>IF('Novice 15M - Scoring'!B69&lt;&gt;"",IF('Novice 15M - Scoring'!R69&lt;&gt;"",'Novice 15M - Scoring'!R69,""),"")</f>
        <v/>
      </c>
      <c r="J539" s="79" t="str">
        <f>IF('Novice 15M - Scoring'!B69&lt;&gt;"",IF('Novice 15M - Scoring'!S69&lt;&gt;"",'Novice 15M - Scoring'!S69,""),"")</f>
        <v/>
      </c>
      <c r="K539" s="79" t="str">
        <f>IF('Novice 15M - Scoring'!B69&lt;&gt;"",IF('Novice 15M - Scoring'!T69&lt;&gt;"",'Novice 15M - Scoring'!T69,""),"")</f>
        <v/>
      </c>
      <c r="L539" s="80" t="str">
        <f>IF('Novice 15M - Scoring'!B69&lt;&gt;"",'Novice 15M - Scoring'!AR69,"")</f>
        <v/>
      </c>
      <c r="M539" s="81" t="str">
        <f>IF(L537&lt;&gt;"",IFERROR(IF(ISNUMBER(L537),L537,0),0)+IFERROR(IF(ISNUMBER(L538),L538,0),0)+IFERROR(IF(ISNUMBER(L539),L539,0),0),"")</f>
        <v/>
      </c>
    </row>
    <row r="540" spans="1:13" ht="19.5" customHeight="1" x14ac:dyDescent="0.35">
      <c r="A540" s="78" t="s">
        <v>227</v>
      </c>
      <c r="B540" s="79" t="str">
        <f>IF('Novice 15M - Scoring'!B68&lt;&gt;"",IF('Novice 15M - Scoring'!X68&lt;&gt;"",'Novice 15M - Scoring'!X68,""),"")</f>
        <v/>
      </c>
      <c r="C540" s="79" t="str">
        <f>IF('Novice 15M - Scoring'!B68&lt;&gt;"",IF('Novice 15M - Scoring'!Y68&lt;&gt;"",'Novice 15M - Scoring'!Y68,""),"")</f>
        <v/>
      </c>
      <c r="D540" s="79" t="str">
        <f>IF('Novice 15M - Scoring'!B68&lt;&gt;"",IF('Novice 15M - Scoring'!Z68&lt;&gt;"",'Novice 15M - Scoring'!Z68,""),"")</f>
        <v/>
      </c>
      <c r="E540" s="80" t="str">
        <f>IF('Novice 15M - Scoring'!B68&lt;&gt;"",'Novice 15M - Scoring'!AS68,"")</f>
        <v/>
      </c>
      <c r="F540" s="81" t="str">
        <f>IF(E537&lt;&gt;"",IFERROR(IF(ISNUMBER(E537),E537,0),0)+IFERROR(IF(ISNUMBER(E538),E538,0),0)+IFERROR(IF(ISNUMBER(E539),E539,0),0)+IFERROR(IF(ISNUMBER(E540),E540,0),0),"")</f>
        <v/>
      </c>
      <c r="H540" s="78" t="s">
        <v>227</v>
      </c>
      <c r="I540" s="79" t="str">
        <f>IF('Novice 15M - Scoring'!B69&lt;&gt;"",IF('Novice 15M - Scoring'!X69&lt;&gt;"",'Novice 15M - Scoring'!X69,""),"")</f>
        <v/>
      </c>
      <c r="J540" s="79" t="str">
        <f>IF('Novice 15M - Scoring'!B69&lt;&gt;"",IF('Novice 15M - Scoring'!Y69&lt;&gt;"",'Novice 15M - Scoring'!Y69,""),"")</f>
        <v/>
      </c>
      <c r="K540" s="79" t="str">
        <f>IF('Novice 15M - Scoring'!B69&lt;&gt;"",IF('Novice 15M - Scoring'!Z69&lt;&gt;"",'Novice 15M - Scoring'!Z69,""),"")</f>
        <v/>
      </c>
      <c r="L540" s="80" t="str">
        <f>IF('Novice 15M - Scoring'!B69&lt;&gt;"",'Novice 15M - Scoring'!AS69,"")</f>
        <v/>
      </c>
      <c r="M540" s="81" t="str">
        <f>IF(L537&lt;&gt;"",IFERROR(IF(ISNUMBER(L537),L537,0),0)+IFERROR(IF(ISNUMBER(L538),L538,0),0)+IFERROR(IF(ISNUMBER(L539),L539,0),0)+IFERROR(IF(ISNUMBER(L540),L540,0),0),"")</f>
        <v/>
      </c>
    </row>
    <row r="541" spans="1:13" ht="19.5" customHeight="1" x14ac:dyDescent="0.35">
      <c r="A541" s="78" t="s">
        <v>228</v>
      </c>
      <c r="B541" s="79" t="str">
        <f>IF('Novice 15M - Scoring'!B68&lt;&gt;"",IF('Novice 15M - Scoring'!AD68&lt;&gt;"",'Novice 15M - Scoring'!AD68,""),"")</f>
        <v/>
      </c>
      <c r="C541" s="79" t="str">
        <f>IF('Novice 15M - Scoring'!B68&lt;&gt;"",IF('Novice 15M - Scoring'!AE68&lt;&gt;"",'Novice 15M - Scoring'!AE68,""),"")</f>
        <v/>
      </c>
      <c r="D541" s="79" t="str">
        <f>IF('Novice 15M - Scoring'!B68&lt;&gt;"",IF('Novice 15M - Scoring'!AF68&lt;&gt;"",'Novice 15M - Scoring'!AF68,""),"")</f>
        <v/>
      </c>
      <c r="E541" s="80" t="str">
        <f>IF('Novice 15M - Scoring'!B68&lt;&gt;"",'Novice 15M - Scoring'!AT68,"")</f>
        <v/>
      </c>
      <c r="F541" s="81" t="str">
        <f>IF(E537&lt;&gt;"",IFERROR(IF(ISNUMBER(E537),E537,0),0)+IFERROR(IF(ISNUMBER(E538),E538,0),0)+IFERROR(IF(ISNUMBER(E539),E539,0),0)+IFERROR(IF(ISNUMBER(E540),E540,0),0)+IFERROR(IF(ISNUMBER(E541),E541,0),0),"")</f>
        <v/>
      </c>
      <c r="H541" s="78" t="s">
        <v>228</v>
      </c>
      <c r="I541" s="79" t="str">
        <f>IF('Novice 15M - Scoring'!B69&lt;&gt;"",IF('Novice 15M - Scoring'!AD69&lt;&gt;"",'Novice 15M - Scoring'!AD69,""),"")</f>
        <v/>
      </c>
      <c r="J541" s="79" t="str">
        <f>IF('Novice 15M - Scoring'!B69&lt;&gt;"",IF('Novice 15M - Scoring'!AE69&lt;&gt;"",'Novice 15M - Scoring'!AE69,""),"")</f>
        <v/>
      </c>
      <c r="K541" s="79" t="str">
        <f>IF('Novice 15M - Scoring'!B69&lt;&gt;"",IF('Novice 15M - Scoring'!AF69&lt;&gt;"",'Novice 15M - Scoring'!AF69,""),"")</f>
        <v/>
      </c>
      <c r="L541" s="80" t="str">
        <f>IF('Novice 15M - Scoring'!B69&lt;&gt;"",'Novice 15M - Scoring'!AT69,"")</f>
        <v/>
      </c>
      <c r="M541" s="81" t="str">
        <f>IF(L537&lt;&gt;"",IFERROR(IF(ISNUMBER(L537),L537,0),0)+IFERROR(IF(ISNUMBER(L538),L538,0),0)+IFERROR(IF(ISNUMBER(L539),L539,0),0)+IFERROR(IF(ISNUMBER(L540),L540,0),0)+IFERROR(IF(ISNUMBER(L541),L541,0),0),"")</f>
        <v/>
      </c>
    </row>
    <row r="542" spans="1:13" ht="19.5" customHeight="1" x14ac:dyDescent="0.35">
      <c r="A542" s="78" t="s">
        <v>229</v>
      </c>
      <c r="B542" s="79" t="str">
        <f>IF('Novice 15M - Scoring'!B68&lt;&gt;"",IF('Novice 15M - Scoring'!AJ68&lt;&gt;"",'Novice 15M - Scoring'!AJ68,""),"")</f>
        <v/>
      </c>
      <c r="C542" s="79" t="str">
        <f>IF('Novice 15M - Scoring'!B68&lt;&gt;"",IF('Novice 15M - Scoring'!AK68&lt;&gt;"",'Novice 15M - Scoring'!AK68,""),"")</f>
        <v/>
      </c>
      <c r="D542" s="79" t="str">
        <f>IF('Novice 15M - Scoring'!B68&lt;&gt;"",IF('Novice 15M - Scoring'!AL68&lt;&gt;"",'Novice 15M - Scoring'!AL68,""),"")</f>
        <v/>
      </c>
      <c r="E542" s="80" t="str">
        <f>IF('Novice 15M - Scoring'!B68&lt;&gt;"",'Novice 15M - Scoring'!AU68,"")</f>
        <v/>
      </c>
      <c r="F542" s="81" t="str">
        <f>IF(E537&lt;&gt;"",IFERROR(IF(ISNUMBER(E537),E537,0),0)+IFERROR(IF(ISNUMBER(E538),E538,0),0)+IFERROR(IF(ISNUMBER(E539),E539,0),0)+IFERROR(IF(ISNUMBER(E540),E540,0),0)+IFERROR(IF(ISNUMBER(E541),E541,0),0)+IFERROR(IF(ISNUMBER(E542),E542,0),0),"")</f>
        <v/>
      </c>
      <c r="H542" s="78" t="s">
        <v>229</v>
      </c>
      <c r="I542" s="79" t="str">
        <f>IF('Novice 15M - Scoring'!B69&lt;&gt;"",IF('Novice 15M - Scoring'!AJ69&lt;&gt;"",'Novice 15M - Scoring'!AJ69,""),"")</f>
        <v/>
      </c>
      <c r="J542" s="79" t="str">
        <f>IF('Novice 15M - Scoring'!B69&lt;&gt;"",IF('Novice 15M - Scoring'!AK69&lt;&gt;"",'Novice 15M - Scoring'!AK69,""),"")</f>
        <v/>
      </c>
      <c r="K542" s="79" t="str">
        <f>IF('Novice 15M - Scoring'!B69&lt;&gt;"",IF('Novice 15M - Scoring'!AL69&lt;&gt;"",'Novice 15M - Scoring'!AL69,""),"")</f>
        <v/>
      </c>
      <c r="L542" s="80" t="str">
        <f>IF('Novice 15M - Scoring'!B69&lt;&gt;"",'Novice 15M - Scoring'!AU69,"")</f>
        <v/>
      </c>
      <c r="M542" s="81" t="str">
        <f>IF(L537&lt;&gt;"",IFERROR(IF(ISNUMBER(L537),L537,0),0)+IFERROR(IF(ISNUMBER(L538),L538,0),0)+IFERROR(IF(ISNUMBER(L539),L539,0),0)+IFERROR(IF(ISNUMBER(L540),L540,0),0)+IFERROR(IF(ISNUMBER(L541),L541,0),0)+IFERROR(IF(ISNUMBER(L542),L542,0),0),"")</f>
        <v/>
      </c>
    </row>
    <row r="543" spans="1:13" ht="3.75" customHeight="1" x14ac:dyDescent="0.35"/>
    <row r="544" spans="1:13" ht="24" customHeight="1" x14ac:dyDescent="0.35">
      <c r="A544" s="124" t="s">
        <v>230</v>
      </c>
      <c r="B544" s="124"/>
      <c r="C544" s="124"/>
      <c r="D544" s="124"/>
      <c r="E544" s="125" t="str">
        <f>IF('Novice 15M - Scoring'!B68&lt;&gt;"",'Novice 15M - Scoring'!AV68,"")</f>
        <v/>
      </c>
      <c r="F544" s="125"/>
      <c r="H544" s="124" t="s">
        <v>230</v>
      </c>
      <c r="I544" s="124"/>
      <c r="J544" s="124"/>
      <c r="K544" s="124"/>
      <c r="L544" s="125" t="str">
        <f>IF('Novice 15M - Scoring'!B69&lt;&gt;"",'Novice 15M - Scoring'!AV69,"")</f>
        <v/>
      </c>
      <c r="M544" s="125"/>
    </row>
    <row r="545" spans="1:13" ht="19.5" customHeight="1" x14ac:dyDescent="0.35">
      <c r="E545" s="125"/>
      <c r="F545" s="125"/>
      <c r="L545" s="125"/>
      <c r="M545" s="125"/>
    </row>
    <row r="546" spans="1:13" ht="3.75" customHeight="1" x14ac:dyDescent="0.35"/>
    <row r="547" spans="1:13" ht="18" customHeight="1" x14ac:dyDescent="0.35">
      <c r="A547" s="73" t="s">
        <v>126</v>
      </c>
      <c r="B547" s="82" t="str">
        <f>IF('Novice 15M - Scoring'!B68&lt;&gt;"",'Novice 15M - Scoring'!AW68,"")</f>
        <v/>
      </c>
      <c r="C547" s="73" t="s">
        <v>127</v>
      </c>
      <c r="D547" s="83" t="str">
        <f>IF('Novice 15M - Scoring'!B68&lt;&gt;"",'Novice 15M - Scoring'!AX68,"")</f>
        <v/>
      </c>
      <c r="E547" s="73" t="s">
        <v>128</v>
      </c>
      <c r="F547" s="83" t="str">
        <f>IF('Novice 15M - Scoring'!B68&lt;&gt;"",'Novice 15M - Scoring'!AY68,"")</f>
        <v/>
      </c>
      <c r="H547" s="73" t="s">
        <v>126</v>
      </c>
      <c r="I547" s="82" t="str">
        <f>IF('Novice 15M - Scoring'!B69&lt;&gt;"",'Novice 15M - Scoring'!AW69,"")</f>
        <v/>
      </c>
      <c r="J547" s="73" t="s">
        <v>127</v>
      </c>
      <c r="K547" s="83" t="str">
        <f>IF('Novice 15M - Scoring'!B69&lt;&gt;"",'Novice 15M - Scoring'!AX69,"")</f>
        <v/>
      </c>
      <c r="L547" s="73" t="s">
        <v>128</v>
      </c>
      <c r="M547" s="83" t="str">
        <f>IF('Novice 15M - Scoring'!B69&lt;&gt;"",'Novice 15M - Scoring'!AY69,"")</f>
        <v/>
      </c>
    </row>
    <row r="548" spans="1:13" ht="3.75" customHeight="1" x14ac:dyDescent="0.35"/>
    <row r="549" spans="1:13" ht="7.5" customHeight="1" x14ac:dyDescent="0.35">
      <c r="A549" s="126"/>
      <c r="B549" s="126"/>
      <c r="C549" s="126"/>
      <c r="D549" s="126"/>
      <c r="E549" s="126"/>
      <c r="F549" s="126"/>
      <c r="G549" s="126"/>
      <c r="H549" s="126"/>
      <c r="I549" s="126"/>
      <c r="J549" s="126"/>
      <c r="K549" s="126"/>
      <c r="L549" s="126"/>
      <c r="M549" s="126"/>
    </row>
  </sheetData>
  <mergeCells count="291">
    <mergeCell ref="A549:M549"/>
    <mergeCell ref="A532:M532"/>
    <mergeCell ref="B533:D533"/>
    <mergeCell ref="I533:K533"/>
    <mergeCell ref="B534:D534"/>
    <mergeCell ref="I534:K534"/>
    <mergeCell ref="A544:D544"/>
    <mergeCell ref="E544:F545"/>
    <mergeCell ref="H544:K544"/>
    <mergeCell ref="L544:M545"/>
    <mergeCell ref="A515:M515"/>
    <mergeCell ref="B516:D516"/>
    <mergeCell ref="I516:K516"/>
    <mergeCell ref="B517:D517"/>
    <mergeCell ref="I517:K517"/>
    <mergeCell ref="A527:D527"/>
    <mergeCell ref="E527:F528"/>
    <mergeCell ref="H527:K527"/>
    <mergeCell ref="L527:M528"/>
    <mergeCell ref="A498:M498"/>
    <mergeCell ref="B499:D499"/>
    <mergeCell ref="I499:K499"/>
    <mergeCell ref="B500:D500"/>
    <mergeCell ref="I500:K500"/>
    <mergeCell ref="A510:D510"/>
    <mergeCell ref="E510:F511"/>
    <mergeCell ref="H510:K510"/>
    <mergeCell ref="L510:M511"/>
    <mergeCell ref="A481:M481"/>
    <mergeCell ref="B482:D482"/>
    <mergeCell ref="I482:K482"/>
    <mergeCell ref="B483:D483"/>
    <mergeCell ref="I483:K483"/>
    <mergeCell ref="A493:D493"/>
    <mergeCell ref="E493:F494"/>
    <mergeCell ref="H493:K493"/>
    <mergeCell ref="L493:M494"/>
    <mergeCell ref="A464:M464"/>
    <mergeCell ref="B465:D465"/>
    <mergeCell ref="I465:K465"/>
    <mergeCell ref="B466:D466"/>
    <mergeCell ref="I466:K466"/>
    <mergeCell ref="A476:D476"/>
    <mergeCell ref="E476:F477"/>
    <mergeCell ref="H476:K476"/>
    <mergeCell ref="L476:M477"/>
    <mergeCell ref="A447:M447"/>
    <mergeCell ref="B448:D448"/>
    <mergeCell ref="I448:K448"/>
    <mergeCell ref="B449:D449"/>
    <mergeCell ref="I449:K449"/>
    <mergeCell ref="A459:D459"/>
    <mergeCell ref="E459:F460"/>
    <mergeCell ref="H459:K459"/>
    <mergeCell ref="L459:M460"/>
    <mergeCell ref="A430:M430"/>
    <mergeCell ref="B431:D431"/>
    <mergeCell ref="I431:K431"/>
    <mergeCell ref="B432:D432"/>
    <mergeCell ref="I432:K432"/>
    <mergeCell ref="A442:D442"/>
    <mergeCell ref="E442:F443"/>
    <mergeCell ref="H442:K442"/>
    <mergeCell ref="L442:M443"/>
    <mergeCell ref="A413:M413"/>
    <mergeCell ref="B414:D414"/>
    <mergeCell ref="I414:K414"/>
    <mergeCell ref="B415:D415"/>
    <mergeCell ref="I415:K415"/>
    <mergeCell ref="A425:D425"/>
    <mergeCell ref="E425:F426"/>
    <mergeCell ref="H425:K425"/>
    <mergeCell ref="L425:M426"/>
    <mergeCell ref="A396:M396"/>
    <mergeCell ref="B397:D397"/>
    <mergeCell ref="I397:K397"/>
    <mergeCell ref="B398:D398"/>
    <mergeCell ref="I398:K398"/>
    <mergeCell ref="A408:D408"/>
    <mergeCell ref="E408:F409"/>
    <mergeCell ref="H408:K408"/>
    <mergeCell ref="L408:M409"/>
    <mergeCell ref="A379:M379"/>
    <mergeCell ref="B380:D380"/>
    <mergeCell ref="I380:K380"/>
    <mergeCell ref="B381:D381"/>
    <mergeCell ref="I381:K381"/>
    <mergeCell ref="A391:D391"/>
    <mergeCell ref="E391:F392"/>
    <mergeCell ref="H391:K391"/>
    <mergeCell ref="L391:M392"/>
    <mergeCell ref="A362:M362"/>
    <mergeCell ref="B363:D363"/>
    <mergeCell ref="I363:K363"/>
    <mergeCell ref="B364:D364"/>
    <mergeCell ref="I364:K364"/>
    <mergeCell ref="A374:D374"/>
    <mergeCell ref="E374:F375"/>
    <mergeCell ref="H374:K374"/>
    <mergeCell ref="L374:M375"/>
    <mergeCell ref="A345:M345"/>
    <mergeCell ref="B346:D346"/>
    <mergeCell ref="I346:K346"/>
    <mergeCell ref="B347:D347"/>
    <mergeCell ref="I347:K347"/>
    <mergeCell ref="A357:D357"/>
    <mergeCell ref="E357:F358"/>
    <mergeCell ref="H357:K357"/>
    <mergeCell ref="L357:M358"/>
    <mergeCell ref="A328:M328"/>
    <mergeCell ref="B329:D329"/>
    <mergeCell ref="I329:K329"/>
    <mergeCell ref="B330:D330"/>
    <mergeCell ref="I330:K330"/>
    <mergeCell ref="A340:D340"/>
    <mergeCell ref="E340:F341"/>
    <mergeCell ref="H340:K340"/>
    <mergeCell ref="L340:M341"/>
    <mergeCell ref="A311:M311"/>
    <mergeCell ref="B312:D312"/>
    <mergeCell ref="I312:K312"/>
    <mergeCell ref="B313:D313"/>
    <mergeCell ref="I313:K313"/>
    <mergeCell ref="A323:D323"/>
    <mergeCell ref="E323:F324"/>
    <mergeCell ref="H323:K323"/>
    <mergeCell ref="L323:M324"/>
    <mergeCell ref="A294:M294"/>
    <mergeCell ref="B295:D295"/>
    <mergeCell ref="I295:K295"/>
    <mergeCell ref="B296:D296"/>
    <mergeCell ref="I296:K296"/>
    <mergeCell ref="A306:D306"/>
    <mergeCell ref="E306:F307"/>
    <mergeCell ref="H306:K306"/>
    <mergeCell ref="L306:M307"/>
    <mergeCell ref="A277:M277"/>
    <mergeCell ref="B278:D278"/>
    <mergeCell ref="I278:K278"/>
    <mergeCell ref="B279:D279"/>
    <mergeCell ref="I279:K279"/>
    <mergeCell ref="A289:D289"/>
    <mergeCell ref="E289:F290"/>
    <mergeCell ref="H289:K289"/>
    <mergeCell ref="L289:M290"/>
    <mergeCell ref="A260:M260"/>
    <mergeCell ref="B261:D261"/>
    <mergeCell ref="I261:K261"/>
    <mergeCell ref="B262:D262"/>
    <mergeCell ref="I262:K262"/>
    <mergeCell ref="A272:D272"/>
    <mergeCell ref="E272:F273"/>
    <mergeCell ref="H272:K272"/>
    <mergeCell ref="L272:M273"/>
    <mergeCell ref="A243:M243"/>
    <mergeCell ref="B244:D244"/>
    <mergeCell ref="I244:K244"/>
    <mergeCell ref="B245:D245"/>
    <mergeCell ref="I245:K245"/>
    <mergeCell ref="A255:D255"/>
    <mergeCell ref="E255:F256"/>
    <mergeCell ref="H255:K255"/>
    <mergeCell ref="L255:M256"/>
    <mergeCell ref="A226:M226"/>
    <mergeCell ref="B227:D227"/>
    <mergeCell ref="I227:K227"/>
    <mergeCell ref="B228:D228"/>
    <mergeCell ref="I228:K228"/>
    <mergeCell ref="A238:D238"/>
    <mergeCell ref="E238:F239"/>
    <mergeCell ref="H238:K238"/>
    <mergeCell ref="L238:M239"/>
    <mergeCell ref="A209:M209"/>
    <mergeCell ref="B210:D210"/>
    <mergeCell ref="I210:K210"/>
    <mergeCell ref="B211:D211"/>
    <mergeCell ref="I211:K211"/>
    <mergeCell ref="A221:D221"/>
    <mergeCell ref="E221:F222"/>
    <mergeCell ref="H221:K221"/>
    <mergeCell ref="L221:M222"/>
    <mergeCell ref="A192:M192"/>
    <mergeCell ref="B193:D193"/>
    <mergeCell ref="I193:K193"/>
    <mergeCell ref="B194:D194"/>
    <mergeCell ref="I194:K194"/>
    <mergeCell ref="A204:D204"/>
    <mergeCell ref="E204:F205"/>
    <mergeCell ref="H204:K204"/>
    <mergeCell ref="L204:M205"/>
    <mergeCell ref="A175:M175"/>
    <mergeCell ref="B176:D176"/>
    <mergeCell ref="I176:K176"/>
    <mergeCell ref="B177:D177"/>
    <mergeCell ref="I177:K177"/>
    <mergeCell ref="A187:D187"/>
    <mergeCell ref="E187:F188"/>
    <mergeCell ref="H187:K187"/>
    <mergeCell ref="L187:M188"/>
    <mergeCell ref="A158:M158"/>
    <mergeCell ref="B159:D159"/>
    <mergeCell ref="I159:K159"/>
    <mergeCell ref="B160:D160"/>
    <mergeCell ref="I160:K160"/>
    <mergeCell ref="A170:D170"/>
    <mergeCell ref="E170:F171"/>
    <mergeCell ref="H170:K170"/>
    <mergeCell ref="L170:M171"/>
    <mergeCell ref="A141:M141"/>
    <mergeCell ref="B142:D142"/>
    <mergeCell ref="I142:K142"/>
    <mergeCell ref="B143:D143"/>
    <mergeCell ref="I143:K143"/>
    <mergeCell ref="A153:D153"/>
    <mergeCell ref="E153:F154"/>
    <mergeCell ref="H153:K153"/>
    <mergeCell ref="L153:M154"/>
    <mergeCell ref="A124:M124"/>
    <mergeCell ref="B125:D125"/>
    <mergeCell ref="I125:K125"/>
    <mergeCell ref="B126:D126"/>
    <mergeCell ref="I126:K126"/>
    <mergeCell ref="A136:D136"/>
    <mergeCell ref="E136:F137"/>
    <mergeCell ref="H136:K136"/>
    <mergeCell ref="L136:M137"/>
    <mergeCell ref="A107:M107"/>
    <mergeCell ref="B108:D108"/>
    <mergeCell ref="I108:K108"/>
    <mergeCell ref="B109:D109"/>
    <mergeCell ref="I109:K109"/>
    <mergeCell ref="A119:D119"/>
    <mergeCell ref="E119:F120"/>
    <mergeCell ref="H119:K119"/>
    <mergeCell ref="L119:M120"/>
    <mergeCell ref="A90:M90"/>
    <mergeCell ref="B91:D91"/>
    <mergeCell ref="I91:K91"/>
    <mergeCell ref="B92:D92"/>
    <mergeCell ref="I92:K92"/>
    <mergeCell ref="A102:D102"/>
    <mergeCell ref="E102:F103"/>
    <mergeCell ref="H102:K102"/>
    <mergeCell ref="L102:M103"/>
    <mergeCell ref="A73:M73"/>
    <mergeCell ref="B74:D74"/>
    <mergeCell ref="I74:K74"/>
    <mergeCell ref="B75:D75"/>
    <mergeCell ref="I75:K75"/>
    <mergeCell ref="A85:D85"/>
    <mergeCell ref="E85:F86"/>
    <mergeCell ref="H85:K85"/>
    <mergeCell ref="L85:M86"/>
    <mergeCell ref="A56:M56"/>
    <mergeCell ref="B57:D57"/>
    <mergeCell ref="I57:K57"/>
    <mergeCell ref="B58:D58"/>
    <mergeCell ref="I58:K58"/>
    <mergeCell ref="A68:D68"/>
    <mergeCell ref="E68:F69"/>
    <mergeCell ref="H68:K68"/>
    <mergeCell ref="L68:M69"/>
    <mergeCell ref="A39:M39"/>
    <mergeCell ref="B40:D40"/>
    <mergeCell ref="I40:K40"/>
    <mergeCell ref="B41:D41"/>
    <mergeCell ref="I41:K41"/>
    <mergeCell ref="A51:D51"/>
    <mergeCell ref="E51:F52"/>
    <mergeCell ref="H51:K51"/>
    <mergeCell ref="L51:M52"/>
    <mergeCell ref="A22:M22"/>
    <mergeCell ref="B23:D23"/>
    <mergeCell ref="I23:K23"/>
    <mergeCell ref="B24:D24"/>
    <mergeCell ref="I24:K24"/>
    <mergeCell ref="A34:D34"/>
    <mergeCell ref="E34:F35"/>
    <mergeCell ref="H34:K34"/>
    <mergeCell ref="L34:M35"/>
    <mergeCell ref="A1:M1"/>
    <mergeCell ref="A2:M2"/>
    <mergeCell ref="A4:M4"/>
    <mergeCell ref="B6:D6"/>
    <mergeCell ref="I6:K6"/>
    <mergeCell ref="B7:D7"/>
    <mergeCell ref="I7:K7"/>
    <mergeCell ref="A17:D17"/>
    <mergeCell ref="E17:F18"/>
    <mergeCell ref="H17:K17"/>
    <mergeCell ref="L17:M18"/>
  </mergeCells>
  <printOptions horizontalCentered="1"/>
  <pageMargins left="0.75" right="0.75" top="1" bottom="1" header="0.511811023622047" footer="0.511811023622047"/>
  <pageSetup paperSize="9" fitToHeight="0" orientation="landscape" horizontalDpi="300" verticalDpi="300"/>
  <rowBreaks count="31" manualBreakCount="31">
    <brk id="1" max="16383" man="1"/>
    <brk id="2" max="16383" man="1"/>
    <brk id="3" max="16383" man="1"/>
    <brk id="4" max="16383" man="1"/>
    <brk id="5" max="16383" man="1"/>
    <brk id="6" max="16383" man="1"/>
    <brk id="7" max="16383" man="1"/>
    <brk id="8" max="16383" man="1"/>
    <brk id="9" max="16383" man="1"/>
    <brk id="10" max="16383" man="1"/>
    <brk id="11" max="16383" man="1"/>
    <brk id="12" max="16383" man="1"/>
    <brk id="13" max="16383" man="1"/>
    <brk id="14" max="16383" man="1"/>
    <brk id="15" max="16383" man="1"/>
    <brk id="16" max="16383" man="1"/>
    <brk id="17" max="16383" man="1"/>
    <brk id="18" max="16383" man="1"/>
    <brk id="19" max="16383" man="1"/>
    <brk id="20" max="16383" man="1"/>
    <brk id="21" max="16383" man="1"/>
    <brk id="22" max="16383" man="1"/>
    <brk id="23" max="16383" man="1"/>
    <brk id="24" max="16383" man="1"/>
    <brk id="25" max="16383" man="1"/>
    <brk id="26" max="16383" man="1"/>
    <brk id="27" max="16383" man="1"/>
    <brk id="28" max="16383" man="1"/>
    <brk id="29" max="16383" man="1"/>
    <brk id="30" max="16383" man="1"/>
    <brk id="31"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62828"/>
    <pageSetUpPr fitToPage="1"/>
  </sheetPr>
  <dimension ref="A1:Q272"/>
  <sheetViews>
    <sheetView showGridLines="0" zoomScaleNormal="100" workbookViewId="0"/>
  </sheetViews>
  <sheetFormatPr defaultColWidth="8.6328125" defaultRowHeight="14.5" x14ac:dyDescent="0.35"/>
  <cols>
    <col min="1" max="1" width="9" customWidth="1"/>
    <col min="2" max="7" width="7" customWidth="1"/>
    <col min="8" max="8" width="8" customWidth="1"/>
    <col min="9" max="9" width="9" customWidth="1"/>
    <col min="10" max="10" width="8" customWidth="1"/>
    <col min="11" max="16" width="7" customWidth="1"/>
    <col min="17" max="17" width="9" customWidth="1"/>
  </cols>
  <sheetData>
    <row r="1" spans="1:17" ht="7.5" customHeight="1" x14ac:dyDescent="0.35"/>
    <row r="2" spans="1:17" ht="19.5" customHeight="1" x14ac:dyDescent="0.35">
      <c r="A2" s="127" t="s">
        <v>231</v>
      </c>
      <c r="B2" s="127"/>
      <c r="C2" s="127"/>
      <c r="D2" s="127"/>
      <c r="E2" s="127"/>
      <c r="F2" s="127"/>
      <c r="G2" s="127"/>
      <c r="H2" s="127"/>
      <c r="I2" s="127"/>
      <c r="J2" s="127"/>
      <c r="K2" s="127"/>
      <c r="L2" s="127"/>
      <c r="M2" s="127"/>
      <c r="N2" s="127"/>
      <c r="O2" s="127"/>
      <c r="P2" s="127"/>
      <c r="Q2" s="127"/>
    </row>
    <row r="3" spans="1:17" ht="4.5" customHeight="1" x14ac:dyDescent="0.35"/>
    <row r="4" spans="1:17" ht="21.75" customHeight="1" x14ac:dyDescent="0.35">
      <c r="A4" s="84" t="s">
        <v>232</v>
      </c>
      <c r="B4" s="128" t="str">
        <f>IFERROR(IF('Novice 15M - Bracket'!B6="","TBD",'Novice 15M - Bracket'!B6),"TBD")</f>
        <v>Michael Allan Corpuz</v>
      </c>
      <c r="C4" s="128"/>
      <c r="D4" s="128"/>
      <c r="E4" s="128"/>
      <c r="F4" s="128"/>
      <c r="G4" s="128"/>
      <c r="H4" s="128"/>
      <c r="I4" s="84" t="s">
        <v>233</v>
      </c>
      <c r="J4" s="128" t="str">
        <f>IFERROR(IF('Novice 15M - Bracket'!B8="","TBD",'Novice 15M - Bracket'!B8),"TBD")</f>
        <v>TBD</v>
      </c>
      <c r="K4" s="128"/>
      <c r="L4" s="128"/>
      <c r="M4" s="128"/>
      <c r="N4" s="128"/>
      <c r="O4" s="128"/>
      <c r="P4" s="128"/>
      <c r="Q4" s="84" t="s">
        <v>232</v>
      </c>
    </row>
    <row r="5" spans="1:17" ht="13.5" customHeight="1" x14ac:dyDescent="0.35">
      <c r="A5" s="85" t="s">
        <v>234</v>
      </c>
      <c r="B5" s="129" t="str">
        <f>IFERROR('Novice 15M - Bracket'!A6,"")</f>
        <v>#1</v>
      </c>
      <c r="C5" s="129"/>
      <c r="D5" s="129"/>
      <c r="E5" s="129"/>
      <c r="F5" s="129"/>
      <c r="G5" s="129"/>
      <c r="H5" s="129"/>
      <c r="I5" s="86"/>
      <c r="J5" s="129" t="str">
        <f>IFERROR('Novice 15M - Bracket'!A8,"")</f>
        <v>BYE</v>
      </c>
      <c r="K5" s="129"/>
      <c r="L5" s="129"/>
      <c r="M5" s="129"/>
      <c r="N5" s="129"/>
      <c r="O5" s="129"/>
      <c r="P5" s="129"/>
      <c r="Q5" s="85" t="s">
        <v>234</v>
      </c>
    </row>
    <row r="6" spans="1:17" ht="19.5" customHeight="1" x14ac:dyDescent="0.35">
      <c r="A6" s="87" t="s">
        <v>235</v>
      </c>
      <c r="B6" s="88" t="s">
        <v>83</v>
      </c>
      <c r="C6" s="88" t="s">
        <v>84</v>
      </c>
      <c r="D6" s="88" t="s">
        <v>85</v>
      </c>
      <c r="E6" s="88" t="s">
        <v>86</v>
      </c>
      <c r="F6" s="88" t="s">
        <v>87</v>
      </c>
      <c r="G6" s="88" t="s">
        <v>88</v>
      </c>
      <c r="H6" s="24" t="s">
        <v>236</v>
      </c>
      <c r="I6" s="89"/>
      <c r="J6" s="24" t="s">
        <v>236</v>
      </c>
      <c r="K6" s="88" t="s">
        <v>88</v>
      </c>
      <c r="L6" s="88" t="s">
        <v>87</v>
      </c>
      <c r="M6" s="88" t="s">
        <v>86</v>
      </c>
      <c r="N6" s="88" t="s">
        <v>85</v>
      </c>
      <c r="O6" s="88" t="s">
        <v>84</v>
      </c>
      <c r="P6" s="88" t="s">
        <v>83</v>
      </c>
      <c r="Q6" s="87" t="s">
        <v>235</v>
      </c>
    </row>
    <row r="7" spans="1:17" ht="21.75" customHeight="1" x14ac:dyDescent="0.35">
      <c r="A7" s="84" t="s">
        <v>222</v>
      </c>
      <c r="B7" s="90" t="str">
        <f>IFERROR(IF('Novice 15M - Bracket'!H6="","",'Novice 15M - Bracket'!H6),"")</f>
        <v/>
      </c>
      <c r="C7" s="90" t="str">
        <f>IFERROR(IF('Novice 15M - Bracket'!I6="","",'Novice 15M - Bracket'!I6),"")</f>
        <v/>
      </c>
      <c r="D7" s="90" t="str">
        <f>IFERROR(IF('Novice 15M - Bracket'!J6="","",'Novice 15M - Bracket'!J6),"")</f>
        <v/>
      </c>
      <c r="E7" s="90" t="str">
        <f>IFERROR(IF('Novice 15M - Bracket'!K6="","",'Novice 15M - Bracket'!K6),"")</f>
        <v/>
      </c>
      <c r="F7" s="90" t="str">
        <f>IFERROR(IF('Novice 15M - Bracket'!L6="","",'Novice 15M - Bracket'!L6),"")</f>
        <v/>
      </c>
      <c r="G7" s="90" t="str">
        <f>IFERROR(IF('Novice 15M - Bracket'!M6="","",'Novice 15M - Bracket'!M6),"")</f>
        <v/>
      </c>
      <c r="H7" s="32">
        <f>IFERROR(IF(ISNUMBER('Novice 15M - Bracket'!N6),'Novice 15M - Bracket'!N6,0),0)</f>
        <v>0</v>
      </c>
      <c r="I7" s="91" t="str">
        <f>IF(AND(ISNUMBER('Novice 15M - Bracket'!N6),ISNUMBER('Novice 15M - Bracket'!N8)),IF('Novice 15M - Bracket'!N6&gt;'Novice 15M - Bracket'!N8,"2-0",IF('Novice 15M - Bracket'!N6='Novice 15M - Bracket'!N8,"1-1","0-2")),"—")</f>
        <v>—</v>
      </c>
      <c r="J7" s="32">
        <f>IFERROR(IF(ISNUMBER('Novice 15M - Bracket'!N8),'Novice 15M - Bracket'!N8,0),0)</f>
        <v>0</v>
      </c>
      <c r="K7" s="90" t="str">
        <f>IFERROR(IF('Novice 15M - Bracket'!M8="","",'Novice 15M - Bracket'!M8),"")</f>
        <v/>
      </c>
      <c r="L7" s="90" t="str">
        <f>IFERROR(IF('Novice 15M - Bracket'!L8="","",'Novice 15M - Bracket'!L8),"")</f>
        <v/>
      </c>
      <c r="M7" s="90" t="str">
        <f>IFERROR(IF('Novice 15M - Bracket'!K8="","",'Novice 15M - Bracket'!K8),"")</f>
        <v/>
      </c>
      <c r="N7" s="90" t="str">
        <f>IFERROR(IF('Novice 15M - Bracket'!J8="","",'Novice 15M - Bracket'!J8),"")</f>
        <v/>
      </c>
      <c r="O7" s="90" t="str">
        <f>IFERROR(IF('Novice 15M - Bracket'!I8="","",'Novice 15M - Bracket'!I8),"")</f>
        <v/>
      </c>
      <c r="P7" s="90" t="str">
        <f>IFERROR(IF('Novice 15M - Bracket'!H8="","",'Novice 15M - Bracket'!H8),"")</f>
        <v/>
      </c>
      <c r="Q7" s="84" t="s">
        <v>222</v>
      </c>
    </row>
    <row r="8" spans="1:17" ht="21.75" customHeight="1" x14ac:dyDescent="0.35">
      <c r="A8" s="84" t="s">
        <v>223</v>
      </c>
      <c r="B8" s="90" t="str">
        <f>IFERROR(IF('Novice 15M - Bracket'!O6="","",'Novice 15M - Bracket'!O6),"")</f>
        <v/>
      </c>
      <c r="C8" s="90" t="str">
        <f>IFERROR(IF('Novice 15M - Bracket'!P6="","",'Novice 15M - Bracket'!P6),"")</f>
        <v/>
      </c>
      <c r="D8" s="90" t="str">
        <f>IFERROR(IF('Novice 15M - Bracket'!Q6="","",'Novice 15M - Bracket'!Q6),"")</f>
        <v/>
      </c>
      <c r="E8" s="90" t="str">
        <f>IFERROR(IF('Novice 15M - Bracket'!R6="","",'Novice 15M - Bracket'!R6),"")</f>
        <v/>
      </c>
      <c r="F8" s="90" t="str">
        <f>IFERROR(IF('Novice 15M - Bracket'!S6="","",'Novice 15M - Bracket'!S6),"")</f>
        <v/>
      </c>
      <c r="G8" s="90" t="str">
        <f>IFERROR(IF('Novice 15M - Bracket'!T6="","",'Novice 15M - Bracket'!T6),"")</f>
        <v/>
      </c>
      <c r="H8" s="32">
        <f>IFERROR(IF(ISNUMBER('Novice 15M - Bracket'!U6),'Novice 15M - Bracket'!U6,0),0)</f>
        <v>0</v>
      </c>
      <c r="I8" s="91" t="str">
        <f>IF(AND(ISNUMBER('Novice 15M - Bracket'!U6),ISNUMBER('Novice 15M - Bracket'!U8)),IF('Novice 15M - Bracket'!U6&gt;'Novice 15M - Bracket'!U8,"2-0",IF('Novice 15M - Bracket'!U6='Novice 15M - Bracket'!U8,"1-1","0-2")),"—")</f>
        <v>—</v>
      </c>
      <c r="J8" s="32">
        <f>IFERROR(IF(ISNUMBER('Novice 15M - Bracket'!U8),'Novice 15M - Bracket'!U8,0),0)</f>
        <v>0</v>
      </c>
      <c r="K8" s="90" t="str">
        <f>IFERROR(IF('Novice 15M - Bracket'!T8="","",'Novice 15M - Bracket'!T8),"")</f>
        <v/>
      </c>
      <c r="L8" s="90" t="str">
        <f>IFERROR(IF('Novice 15M - Bracket'!S8="","",'Novice 15M - Bracket'!S8),"")</f>
        <v/>
      </c>
      <c r="M8" s="90" t="str">
        <f>IFERROR(IF('Novice 15M - Bracket'!R8="","",'Novice 15M - Bracket'!R8),"")</f>
        <v/>
      </c>
      <c r="N8" s="90" t="str">
        <f>IFERROR(IF('Novice 15M - Bracket'!Q8="","",'Novice 15M - Bracket'!Q8),"")</f>
        <v/>
      </c>
      <c r="O8" s="90" t="str">
        <f>IFERROR(IF('Novice 15M - Bracket'!P8="","",'Novice 15M - Bracket'!P8),"")</f>
        <v/>
      </c>
      <c r="P8" s="90" t="str">
        <f>IFERROR(IF('Novice 15M - Bracket'!O8="","",'Novice 15M - Bracket'!O8),"")</f>
        <v/>
      </c>
      <c r="Q8" s="84" t="s">
        <v>223</v>
      </c>
    </row>
    <row r="9" spans="1:17" ht="21.75" customHeight="1" x14ac:dyDescent="0.35">
      <c r="A9" s="84" t="s">
        <v>224</v>
      </c>
      <c r="B9" s="90" t="str">
        <f>IFERROR(IF('Novice 15M - Bracket'!V6="","",'Novice 15M - Bracket'!V6),"")</f>
        <v/>
      </c>
      <c r="C9" s="90" t="str">
        <f>IFERROR(IF('Novice 15M - Bracket'!W6="","",'Novice 15M - Bracket'!W6),"")</f>
        <v/>
      </c>
      <c r="D9" s="90" t="str">
        <f>IFERROR(IF('Novice 15M - Bracket'!X6="","",'Novice 15M - Bracket'!X6),"")</f>
        <v/>
      </c>
      <c r="E9" s="90" t="str">
        <f>IFERROR(IF('Novice 15M - Bracket'!Y6="","",'Novice 15M - Bracket'!Y6),"")</f>
        <v/>
      </c>
      <c r="F9" s="90" t="str">
        <f>IFERROR(IF('Novice 15M - Bracket'!Z6="","",'Novice 15M - Bracket'!Z6),"")</f>
        <v/>
      </c>
      <c r="G9" s="90" t="str">
        <f>IFERROR(IF('Novice 15M - Bracket'!AA6="","",'Novice 15M - Bracket'!AA6),"")</f>
        <v/>
      </c>
      <c r="H9" s="32">
        <f>IFERROR(IF(ISNUMBER('Novice 15M - Bracket'!AB6),'Novice 15M - Bracket'!AB6,0),0)</f>
        <v>0</v>
      </c>
      <c r="I9" s="91" t="str">
        <f>IF(AND(ISNUMBER('Novice 15M - Bracket'!AB6),ISNUMBER('Novice 15M - Bracket'!AB8)),IF('Novice 15M - Bracket'!AB6&gt;'Novice 15M - Bracket'!AB8,"2-0",IF('Novice 15M - Bracket'!AB6='Novice 15M - Bracket'!AB8,"1-1","0-2")),"—")</f>
        <v>—</v>
      </c>
      <c r="J9" s="32">
        <f>IFERROR(IF(ISNUMBER('Novice 15M - Bracket'!AB8),'Novice 15M - Bracket'!AB8,0),0)</f>
        <v>0</v>
      </c>
      <c r="K9" s="90" t="str">
        <f>IFERROR(IF('Novice 15M - Bracket'!AA8="","",'Novice 15M - Bracket'!AA8),"")</f>
        <v/>
      </c>
      <c r="L9" s="90" t="str">
        <f>IFERROR(IF('Novice 15M - Bracket'!Z8="","",'Novice 15M - Bracket'!Z8),"")</f>
        <v/>
      </c>
      <c r="M9" s="90" t="str">
        <f>IFERROR(IF('Novice 15M - Bracket'!Y8="","",'Novice 15M - Bracket'!Y8),"")</f>
        <v/>
      </c>
      <c r="N9" s="90" t="str">
        <f>IFERROR(IF('Novice 15M - Bracket'!X8="","",'Novice 15M - Bracket'!X8),"")</f>
        <v/>
      </c>
      <c r="O9" s="90" t="str">
        <f>IFERROR(IF('Novice 15M - Bracket'!W8="","",'Novice 15M - Bracket'!W8),"")</f>
        <v/>
      </c>
      <c r="P9" s="90" t="str">
        <f>IFERROR(IF('Novice 15M - Bracket'!V8="","",'Novice 15M - Bracket'!V8),"")</f>
        <v/>
      </c>
      <c r="Q9" s="84" t="s">
        <v>224</v>
      </c>
    </row>
    <row r="10" spans="1:17" ht="21.75" customHeight="1" x14ac:dyDescent="0.35">
      <c r="A10" s="84" t="s">
        <v>227</v>
      </c>
      <c r="B10" s="90" t="str">
        <f>IFERROR(IF('Novice 15M - Bracket'!AC6="","",'Novice 15M - Bracket'!AC6),"")</f>
        <v/>
      </c>
      <c r="C10" s="90" t="str">
        <f>IFERROR(IF('Novice 15M - Bracket'!AD6="","",'Novice 15M - Bracket'!AD6),"")</f>
        <v/>
      </c>
      <c r="D10" s="90" t="str">
        <f>IFERROR(IF('Novice 15M - Bracket'!AE6="","",'Novice 15M - Bracket'!AE6),"")</f>
        <v/>
      </c>
      <c r="E10" s="90" t="str">
        <f>IFERROR(IF('Novice 15M - Bracket'!AF6="","",'Novice 15M - Bracket'!AF6),"")</f>
        <v/>
      </c>
      <c r="F10" s="90" t="str">
        <f>IFERROR(IF('Novice 15M - Bracket'!AG6="","",'Novice 15M - Bracket'!AG6),"")</f>
        <v/>
      </c>
      <c r="G10" s="90" t="str">
        <f>IFERROR(IF('Novice 15M - Bracket'!AH6="","",'Novice 15M - Bracket'!AH6),"")</f>
        <v/>
      </c>
      <c r="H10" s="32">
        <f>IFERROR(IF(ISNUMBER('Novice 15M - Bracket'!AI6),'Novice 15M - Bracket'!AI6,0),0)</f>
        <v>0</v>
      </c>
      <c r="I10" s="91" t="str">
        <f>IF(AND(ISNUMBER('Novice 15M - Bracket'!AI6),ISNUMBER('Novice 15M - Bracket'!AI8)),IF('Novice 15M - Bracket'!AI6&gt;'Novice 15M - Bracket'!AI8,"2-0",IF('Novice 15M - Bracket'!AI6='Novice 15M - Bracket'!AI8,"1-1","0-2")),"—")</f>
        <v>—</v>
      </c>
      <c r="J10" s="32">
        <f>IFERROR(IF(ISNUMBER('Novice 15M - Bracket'!AI8),'Novice 15M - Bracket'!AI8,0),0)</f>
        <v>0</v>
      </c>
      <c r="K10" s="90" t="str">
        <f>IFERROR(IF('Novice 15M - Bracket'!AH8="","",'Novice 15M - Bracket'!AH8),"")</f>
        <v/>
      </c>
      <c r="L10" s="90" t="str">
        <f>IFERROR(IF('Novice 15M - Bracket'!AG8="","",'Novice 15M - Bracket'!AG8),"")</f>
        <v/>
      </c>
      <c r="M10" s="90" t="str">
        <f>IFERROR(IF('Novice 15M - Bracket'!AF8="","",'Novice 15M - Bracket'!AF8),"")</f>
        <v/>
      </c>
      <c r="N10" s="90" t="str">
        <f>IFERROR(IF('Novice 15M - Bracket'!AE8="","",'Novice 15M - Bracket'!AE8),"")</f>
        <v/>
      </c>
      <c r="O10" s="90" t="str">
        <f>IFERROR(IF('Novice 15M - Bracket'!AD8="","",'Novice 15M - Bracket'!AD8),"")</f>
        <v/>
      </c>
      <c r="P10" s="90" t="str">
        <f>IFERROR(IF('Novice 15M - Bracket'!AC8="","",'Novice 15M - Bracket'!AC8),"")</f>
        <v/>
      </c>
      <c r="Q10" s="84" t="s">
        <v>227</v>
      </c>
    </row>
    <row r="11" spans="1:17" ht="21.75" customHeight="1" x14ac:dyDescent="0.35">
      <c r="A11" s="84" t="s">
        <v>228</v>
      </c>
      <c r="B11" s="90" t="str">
        <f>IFERROR(IF('Novice 15M - Bracket'!AJ6="","",'Novice 15M - Bracket'!AJ6),"")</f>
        <v/>
      </c>
      <c r="C11" s="90" t="str">
        <f>IFERROR(IF('Novice 15M - Bracket'!AK6="","",'Novice 15M - Bracket'!AK6),"")</f>
        <v/>
      </c>
      <c r="D11" s="90" t="str">
        <f>IFERROR(IF('Novice 15M - Bracket'!AL6="","",'Novice 15M - Bracket'!AL6),"")</f>
        <v/>
      </c>
      <c r="E11" s="90" t="str">
        <f>IFERROR(IF('Novice 15M - Bracket'!AM6="","",'Novice 15M - Bracket'!AM6),"")</f>
        <v/>
      </c>
      <c r="F11" s="90" t="str">
        <f>IFERROR(IF('Novice 15M - Bracket'!AN6="","",'Novice 15M - Bracket'!AN6),"")</f>
        <v/>
      </c>
      <c r="G11" s="90" t="str">
        <f>IFERROR(IF('Novice 15M - Bracket'!AO6="","",'Novice 15M - Bracket'!AO6),"")</f>
        <v/>
      </c>
      <c r="H11" s="32">
        <f>IFERROR(IF(ISNUMBER('Novice 15M - Bracket'!AP6),'Novice 15M - Bracket'!AP6,0),0)</f>
        <v>0</v>
      </c>
      <c r="I11" s="91" t="str">
        <f>IF(AND(ISNUMBER('Novice 15M - Bracket'!AP6),ISNUMBER('Novice 15M - Bracket'!AP8)),IF('Novice 15M - Bracket'!AP6&gt;'Novice 15M - Bracket'!AP8,"2-0",IF('Novice 15M - Bracket'!AP6='Novice 15M - Bracket'!AP8,"1-1","0-2")),"—")</f>
        <v>—</v>
      </c>
      <c r="J11" s="32">
        <f>IFERROR(IF(ISNUMBER('Novice 15M - Bracket'!AP8),'Novice 15M - Bracket'!AP8,0),0)</f>
        <v>0</v>
      </c>
      <c r="K11" s="90" t="str">
        <f>IFERROR(IF('Novice 15M - Bracket'!AO8="","",'Novice 15M - Bracket'!AO8),"")</f>
        <v/>
      </c>
      <c r="L11" s="90" t="str">
        <f>IFERROR(IF('Novice 15M - Bracket'!AN8="","",'Novice 15M - Bracket'!AN8),"")</f>
        <v/>
      </c>
      <c r="M11" s="90" t="str">
        <f>IFERROR(IF('Novice 15M - Bracket'!AM8="","",'Novice 15M - Bracket'!AM8),"")</f>
        <v/>
      </c>
      <c r="N11" s="90" t="str">
        <f>IFERROR(IF('Novice 15M - Bracket'!AL8="","",'Novice 15M - Bracket'!AL8),"")</f>
        <v/>
      </c>
      <c r="O11" s="90" t="str">
        <f>IFERROR(IF('Novice 15M - Bracket'!AK8="","",'Novice 15M - Bracket'!AK8),"")</f>
        <v/>
      </c>
      <c r="P11" s="90" t="str">
        <f>IFERROR(IF('Novice 15M - Bracket'!AJ8="","",'Novice 15M - Bracket'!AJ8),"")</f>
        <v/>
      </c>
      <c r="Q11" s="84" t="s">
        <v>228</v>
      </c>
    </row>
    <row r="12" spans="1:17" ht="21.75" customHeight="1" x14ac:dyDescent="0.35">
      <c r="A12" s="92" t="s">
        <v>237</v>
      </c>
      <c r="B12" s="93" t="str">
        <f>IFERROR(IF('Novice 15M - Bracket'!AQ6="","",'Novice 15M - Bracket'!AQ6),"")</f>
        <v/>
      </c>
      <c r="C12" s="93" t="str">
        <f>IFERROR(IF('Novice 15M - Bracket'!AR6="","",'Novice 15M - Bracket'!AR6),"")</f>
        <v/>
      </c>
      <c r="D12" s="93" t="str">
        <f>IFERROR(IF('Novice 15M - Bracket'!AS6="","",'Novice 15M - Bracket'!AS6),"")</f>
        <v/>
      </c>
      <c r="E12" s="93" t="str">
        <f>IFERROR(IF('Novice 15M - Bracket'!AT6="","",'Novice 15M - Bracket'!AT6),"")</f>
        <v/>
      </c>
      <c r="F12" s="93" t="str">
        <f>IFERROR(IF('Novice 15M - Bracket'!AU6="","",'Novice 15M - Bracket'!AU6),"")</f>
        <v/>
      </c>
      <c r="G12" s="93" t="str">
        <f>IFERROR(IF('Novice 15M - Bracket'!AV6="","",'Novice 15M - Bracket'!AV6),"")</f>
        <v/>
      </c>
      <c r="H12" s="32">
        <f>IFERROR(IF(ISNUMBER('Novice 15M - Bracket'!AW6),'Novice 15M - Bracket'!AW6,0),0)</f>
        <v>0</v>
      </c>
      <c r="I12" s="91" t="str">
        <f>IF(AND(ISNUMBER('Novice 15M - Bracket'!AW6),ISNUMBER('Novice 15M - Bracket'!AW8)),IF('Novice 15M - Bracket'!AW6&gt;'Novice 15M - Bracket'!AW8,"2-0",IF('Novice 15M - Bracket'!AW6='Novice 15M - Bracket'!AW8,"1-1","0-2")),"—")</f>
        <v>—</v>
      </c>
      <c r="J12" s="32">
        <f>IFERROR(IF(ISNUMBER('Novice 15M - Bracket'!AW8),'Novice 15M - Bracket'!AW8,0),0)</f>
        <v>0</v>
      </c>
      <c r="K12" s="93" t="str">
        <f>IFERROR(IF('Novice 15M - Bracket'!AV8="","",'Novice 15M - Bracket'!AV8),"")</f>
        <v/>
      </c>
      <c r="L12" s="93" t="str">
        <f>IFERROR(IF('Novice 15M - Bracket'!AU8="","",'Novice 15M - Bracket'!AU8),"")</f>
        <v/>
      </c>
      <c r="M12" s="93" t="str">
        <f>IFERROR(IF('Novice 15M - Bracket'!AT8="","",'Novice 15M - Bracket'!AT8),"")</f>
        <v/>
      </c>
      <c r="N12" s="93" t="str">
        <f>IFERROR(IF('Novice 15M - Bracket'!AS8="","",'Novice 15M - Bracket'!AS8),"")</f>
        <v/>
      </c>
      <c r="O12" s="93" t="str">
        <f>IFERROR(IF('Novice 15M - Bracket'!AR8="","",'Novice 15M - Bracket'!AR8),"")</f>
        <v/>
      </c>
      <c r="P12" s="93" t="str">
        <f>IFERROR(IF('Novice 15M - Bracket'!AQ8="","",'Novice 15M - Bracket'!AQ8),"")</f>
        <v/>
      </c>
      <c r="Q12" s="92" t="s">
        <v>237</v>
      </c>
    </row>
    <row r="13" spans="1:17" ht="4.5" customHeight="1" x14ac:dyDescent="0.35"/>
    <row r="14" spans="1:17" ht="31.5" customHeight="1" x14ac:dyDescent="0.35">
      <c r="A14" s="130">
        <f>IFERROR(IF(ISNUMBER('Novice 15M - Bracket'!AX6),'Novice 15M - Bracket'!AX6,0),0)</f>
        <v>0</v>
      </c>
      <c r="B14" s="130"/>
      <c r="C14" s="130"/>
      <c r="D14" s="130"/>
      <c r="E14" s="130"/>
      <c r="F14" s="130"/>
      <c r="G14" s="130"/>
      <c r="H14" s="94" t="str">
        <f>IFERROR('Novice 15M - Bracket'!BA6,"")</f>
        <v>&gt;&gt; Advance</v>
      </c>
      <c r="I14" s="86"/>
      <c r="J14" s="94" t="str">
        <f>IFERROR('Novice 15M - Bracket'!BA8,"")</f>
        <v>BYE</v>
      </c>
      <c r="K14" s="130">
        <f>IFERROR(IF(ISNUMBER('Novice 15M - Bracket'!AX8),'Novice 15M - Bracket'!AX8,0),0)</f>
        <v>0</v>
      </c>
      <c r="L14" s="130"/>
      <c r="M14" s="130"/>
      <c r="N14" s="130"/>
      <c r="O14" s="130"/>
      <c r="P14" s="130"/>
      <c r="Q14" s="130"/>
    </row>
    <row r="15" spans="1:17" ht="21.75" customHeight="1" x14ac:dyDescent="0.35">
      <c r="A15" s="130"/>
      <c r="B15" s="130"/>
      <c r="C15" s="130"/>
      <c r="D15" s="130"/>
      <c r="E15" s="130"/>
      <c r="F15" s="130"/>
      <c r="G15" s="130"/>
      <c r="K15" s="130"/>
      <c r="L15" s="130"/>
      <c r="M15" s="130"/>
      <c r="N15" s="130"/>
      <c r="O15" s="130"/>
      <c r="P15" s="130"/>
      <c r="Q15" s="130"/>
    </row>
    <row r="16" spans="1:17" ht="4.5" customHeight="1" x14ac:dyDescent="0.35"/>
    <row r="17" spans="1:17" ht="12" customHeight="1" x14ac:dyDescent="0.35">
      <c r="A17" s="126"/>
      <c r="B17" s="126"/>
      <c r="C17" s="126"/>
      <c r="D17" s="126"/>
      <c r="E17" s="126"/>
      <c r="F17" s="126"/>
      <c r="G17" s="126"/>
      <c r="H17" s="126"/>
      <c r="I17" s="126"/>
      <c r="J17" s="126"/>
      <c r="K17" s="126"/>
      <c r="L17" s="126"/>
      <c r="M17" s="126"/>
      <c r="N17" s="126"/>
      <c r="O17" s="126"/>
      <c r="P17" s="126"/>
      <c r="Q17" s="126"/>
    </row>
    <row r="18" spans="1:17" ht="7.5" customHeight="1" x14ac:dyDescent="0.35"/>
    <row r="19" spans="1:17" ht="19.5" customHeight="1" x14ac:dyDescent="0.35">
      <c r="A19" s="127" t="s">
        <v>238</v>
      </c>
      <c r="B19" s="127"/>
      <c r="C19" s="127"/>
      <c r="D19" s="127"/>
      <c r="E19" s="127"/>
      <c r="F19" s="127"/>
      <c r="G19" s="127"/>
      <c r="H19" s="127"/>
      <c r="I19" s="127"/>
      <c r="J19" s="127"/>
      <c r="K19" s="127"/>
      <c r="L19" s="127"/>
      <c r="M19" s="127"/>
      <c r="N19" s="127"/>
      <c r="O19" s="127"/>
      <c r="P19" s="127"/>
      <c r="Q19" s="127"/>
    </row>
    <row r="20" spans="1:17" ht="4.5" customHeight="1" x14ac:dyDescent="0.35"/>
    <row r="21" spans="1:17" ht="21.75" customHeight="1" x14ac:dyDescent="0.35">
      <c r="A21" s="84" t="s">
        <v>232</v>
      </c>
      <c r="B21" s="128" t="str">
        <f>IFERROR(IF('Novice 15M - Bracket'!B11="","TBD",'Novice 15M - Bracket'!B11),"TBD")</f>
        <v>TBD</v>
      </c>
      <c r="C21" s="128"/>
      <c r="D21" s="128"/>
      <c r="E21" s="128"/>
      <c r="F21" s="128"/>
      <c r="G21" s="128"/>
      <c r="H21" s="128"/>
      <c r="I21" s="84" t="s">
        <v>233</v>
      </c>
      <c r="J21" s="128" t="str">
        <f>IFERROR(IF('Novice 15M - Bracket'!B13="","TBD",'Novice 15M - Bracket'!B13),"TBD")</f>
        <v>TBD</v>
      </c>
      <c r="K21" s="128"/>
      <c r="L21" s="128"/>
      <c r="M21" s="128"/>
      <c r="N21" s="128"/>
      <c r="O21" s="128"/>
      <c r="P21" s="128"/>
      <c r="Q21" s="84" t="s">
        <v>232</v>
      </c>
    </row>
    <row r="22" spans="1:17" ht="13.5" customHeight="1" x14ac:dyDescent="0.35">
      <c r="A22" s="85" t="s">
        <v>234</v>
      </c>
      <c r="B22" s="129" t="str">
        <f>IFERROR('Novice 15M - Bracket'!A11,"")</f>
        <v>BYE</v>
      </c>
      <c r="C22" s="129"/>
      <c r="D22" s="129"/>
      <c r="E22" s="129"/>
      <c r="F22" s="129"/>
      <c r="G22" s="129"/>
      <c r="H22" s="129"/>
      <c r="I22" s="86"/>
      <c r="J22" s="129" t="str">
        <f>IFERROR('Novice 15M - Bracket'!A13,"")</f>
        <v>BYE</v>
      </c>
      <c r="K22" s="129"/>
      <c r="L22" s="129"/>
      <c r="M22" s="129"/>
      <c r="N22" s="129"/>
      <c r="O22" s="129"/>
      <c r="P22" s="129"/>
      <c r="Q22" s="85" t="s">
        <v>234</v>
      </c>
    </row>
    <row r="23" spans="1:17" ht="19.5" customHeight="1" x14ac:dyDescent="0.35">
      <c r="A23" s="87" t="s">
        <v>235</v>
      </c>
      <c r="B23" s="88" t="s">
        <v>83</v>
      </c>
      <c r="C23" s="88" t="s">
        <v>84</v>
      </c>
      <c r="D23" s="88" t="s">
        <v>85</v>
      </c>
      <c r="E23" s="88" t="s">
        <v>86</v>
      </c>
      <c r="F23" s="88" t="s">
        <v>87</v>
      </c>
      <c r="G23" s="88" t="s">
        <v>88</v>
      </c>
      <c r="H23" s="24" t="s">
        <v>236</v>
      </c>
      <c r="I23" s="89"/>
      <c r="J23" s="24" t="s">
        <v>236</v>
      </c>
      <c r="K23" s="88" t="s">
        <v>88</v>
      </c>
      <c r="L23" s="88" t="s">
        <v>87</v>
      </c>
      <c r="M23" s="88" t="s">
        <v>86</v>
      </c>
      <c r="N23" s="88" t="s">
        <v>85</v>
      </c>
      <c r="O23" s="88" t="s">
        <v>84</v>
      </c>
      <c r="P23" s="88" t="s">
        <v>83</v>
      </c>
      <c r="Q23" s="87" t="s">
        <v>235</v>
      </c>
    </row>
    <row r="24" spans="1:17" ht="21.75" customHeight="1" x14ac:dyDescent="0.35">
      <c r="A24" s="84" t="s">
        <v>222</v>
      </c>
      <c r="B24" s="90" t="str">
        <f>IFERROR(IF('Novice 15M - Bracket'!H11="","",'Novice 15M - Bracket'!H11),"")</f>
        <v/>
      </c>
      <c r="C24" s="90" t="str">
        <f>IFERROR(IF('Novice 15M - Bracket'!I11="","",'Novice 15M - Bracket'!I11),"")</f>
        <v/>
      </c>
      <c r="D24" s="90" t="str">
        <f>IFERROR(IF('Novice 15M - Bracket'!J11="","",'Novice 15M - Bracket'!J11),"")</f>
        <v/>
      </c>
      <c r="E24" s="90" t="str">
        <f>IFERROR(IF('Novice 15M - Bracket'!K11="","",'Novice 15M - Bracket'!K11),"")</f>
        <v/>
      </c>
      <c r="F24" s="90" t="str">
        <f>IFERROR(IF('Novice 15M - Bracket'!L11="","",'Novice 15M - Bracket'!L11),"")</f>
        <v/>
      </c>
      <c r="G24" s="90" t="str">
        <f>IFERROR(IF('Novice 15M - Bracket'!M11="","",'Novice 15M - Bracket'!M11),"")</f>
        <v/>
      </c>
      <c r="H24" s="32">
        <f>IFERROR(IF(ISNUMBER('Novice 15M - Bracket'!N11),'Novice 15M - Bracket'!N11,0),0)</f>
        <v>0</v>
      </c>
      <c r="I24" s="91" t="str">
        <f>IF(AND(ISNUMBER('Novice 15M - Bracket'!N11),ISNUMBER('Novice 15M - Bracket'!N13)),IF('Novice 15M - Bracket'!N11&gt;'Novice 15M - Bracket'!N13,"2-0",IF('Novice 15M - Bracket'!N11='Novice 15M - Bracket'!N13,"1-1","0-2")),"—")</f>
        <v>—</v>
      </c>
      <c r="J24" s="32">
        <f>IFERROR(IF(ISNUMBER('Novice 15M - Bracket'!N13),'Novice 15M - Bracket'!N13,0),0)</f>
        <v>0</v>
      </c>
      <c r="K24" s="90" t="str">
        <f>IFERROR(IF('Novice 15M - Bracket'!M13="","",'Novice 15M - Bracket'!M13),"")</f>
        <v/>
      </c>
      <c r="L24" s="90" t="str">
        <f>IFERROR(IF('Novice 15M - Bracket'!L13="","",'Novice 15M - Bracket'!L13),"")</f>
        <v/>
      </c>
      <c r="M24" s="90" t="str">
        <f>IFERROR(IF('Novice 15M - Bracket'!K13="","",'Novice 15M - Bracket'!K13),"")</f>
        <v/>
      </c>
      <c r="N24" s="90" t="str">
        <f>IFERROR(IF('Novice 15M - Bracket'!J13="","",'Novice 15M - Bracket'!J13),"")</f>
        <v/>
      </c>
      <c r="O24" s="90" t="str">
        <f>IFERROR(IF('Novice 15M - Bracket'!I13="","",'Novice 15M - Bracket'!I13),"")</f>
        <v/>
      </c>
      <c r="P24" s="90" t="str">
        <f>IFERROR(IF('Novice 15M - Bracket'!H13="","",'Novice 15M - Bracket'!H13),"")</f>
        <v/>
      </c>
      <c r="Q24" s="84" t="s">
        <v>222</v>
      </c>
    </row>
    <row r="25" spans="1:17" ht="21.75" customHeight="1" x14ac:dyDescent="0.35">
      <c r="A25" s="84" t="s">
        <v>223</v>
      </c>
      <c r="B25" s="90" t="str">
        <f>IFERROR(IF('Novice 15M - Bracket'!O11="","",'Novice 15M - Bracket'!O11),"")</f>
        <v/>
      </c>
      <c r="C25" s="90" t="str">
        <f>IFERROR(IF('Novice 15M - Bracket'!P11="","",'Novice 15M - Bracket'!P11),"")</f>
        <v/>
      </c>
      <c r="D25" s="90" t="str">
        <f>IFERROR(IF('Novice 15M - Bracket'!Q11="","",'Novice 15M - Bracket'!Q11),"")</f>
        <v/>
      </c>
      <c r="E25" s="90" t="str">
        <f>IFERROR(IF('Novice 15M - Bracket'!R11="","",'Novice 15M - Bracket'!R11),"")</f>
        <v/>
      </c>
      <c r="F25" s="90" t="str">
        <f>IFERROR(IF('Novice 15M - Bracket'!S11="","",'Novice 15M - Bracket'!S11),"")</f>
        <v/>
      </c>
      <c r="G25" s="90" t="str">
        <f>IFERROR(IF('Novice 15M - Bracket'!T11="","",'Novice 15M - Bracket'!T11),"")</f>
        <v/>
      </c>
      <c r="H25" s="32">
        <f>IFERROR(IF(ISNUMBER('Novice 15M - Bracket'!U11),'Novice 15M - Bracket'!U11,0),0)</f>
        <v>0</v>
      </c>
      <c r="I25" s="91" t="str">
        <f>IF(AND(ISNUMBER('Novice 15M - Bracket'!U11),ISNUMBER('Novice 15M - Bracket'!U13)),IF('Novice 15M - Bracket'!U11&gt;'Novice 15M - Bracket'!U13,"2-0",IF('Novice 15M - Bracket'!U11='Novice 15M - Bracket'!U13,"1-1","0-2")),"—")</f>
        <v>—</v>
      </c>
      <c r="J25" s="32">
        <f>IFERROR(IF(ISNUMBER('Novice 15M - Bracket'!U13),'Novice 15M - Bracket'!U13,0),0)</f>
        <v>0</v>
      </c>
      <c r="K25" s="90" t="str">
        <f>IFERROR(IF('Novice 15M - Bracket'!T13="","",'Novice 15M - Bracket'!T13),"")</f>
        <v/>
      </c>
      <c r="L25" s="90" t="str">
        <f>IFERROR(IF('Novice 15M - Bracket'!S13="","",'Novice 15M - Bracket'!S13),"")</f>
        <v/>
      </c>
      <c r="M25" s="90" t="str">
        <f>IFERROR(IF('Novice 15M - Bracket'!R13="","",'Novice 15M - Bracket'!R13),"")</f>
        <v/>
      </c>
      <c r="N25" s="90" t="str">
        <f>IFERROR(IF('Novice 15M - Bracket'!Q13="","",'Novice 15M - Bracket'!Q13),"")</f>
        <v/>
      </c>
      <c r="O25" s="90" t="str">
        <f>IFERROR(IF('Novice 15M - Bracket'!P13="","",'Novice 15M - Bracket'!P13),"")</f>
        <v/>
      </c>
      <c r="P25" s="90" t="str">
        <f>IFERROR(IF('Novice 15M - Bracket'!O13="","",'Novice 15M - Bracket'!O13),"")</f>
        <v/>
      </c>
      <c r="Q25" s="84" t="s">
        <v>223</v>
      </c>
    </row>
    <row r="26" spans="1:17" ht="21.75" customHeight="1" x14ac:dyDescent="0.35">
      <c r="A26" s="84" t="s">
        <v>224</v>
      </c>
      <c r="B26" s="90" t="str">
        <f>IFERROR(IF('Novice 15M - Bracket'!V11="","",'Novice 15M - Bracket'!V11),"")</f>
        <v/>
      </c>
      <c r="C26" s="90" t="str">
        <f>IFERROR(IF('Novice 15M - Bracket'!W11="","",'Novice 15M - Bracket'!W11),"")</f>
        <v/>
      </c>
      <c r="D26" s="90" t="str">
        <f>IFERROR(IF('Novice 15M - Bracket'!X11="","",'Novice 15M - Bracket'!X11),"")</f>
        <v/>
      </c>
      <c r="E26" s="90" t="str">
        <f>IFERROR(IF('Novice 15M - Bracket'!Y11="","",'Novice 15M - Bracket'!Y11),"")</f>
        <v/>
      </c>
      <c r="F26" s="90" t="str">
        <f>IFERROR(IF('Novice 15M - Bracket'!Z11="","",'Novice 15M - Bracket'!Z11),"")</f>
        <v/>
      </c>
      <c r="G26" s="90" t="str">
        <f>IFERROR(IF('Novice 15M - Bracket'!AA11="","",'Novice 15M - Bracket'!AA11),"")</f>
        <v/>
      </c>
      <c r="H26" s="32">
        <f>IFERROR(IF(ISNUMBER('Novice 15M - Bracket'!AB11),'Novice 15M - Bracket'!AB11,0),0)</f>
        <v>0</v>
      </c>
      <c r="I26" s="91" t="str">
        <f>IF(AND(ISNUMBER('Novice 15M - Bracket'!AB11),ISNUMBER('Novice 15M - Bracket'!AB13)),IF('Novice 15M - Bracket'!AB11&gt;'Novice 15M - Bracket'!AB13,"2-0",IF('Novice 15M - Bracket'!AB11='Novice 15M - Bracket'!AB13,"1-1","0-2")),"—")</f>
        <v>—</v>
      </c>
      <c r="J26" s="32">
        <f>IFERROR(IF(ISNUMBER('Novice 15M - Bracket'!AB13),'Novice 15M - Bracket'!AB13,0),0)</f>
        <v>0</v>
      </c>
      <c r="K26" s="90" t="str">
        <f>IFERROR(IF('Novice 15M - Bracket'!AA13="","",'Novice 15M - Bracket'!AA13),"")</f>
        <v/>
      </c>
      <c r="L26" s="90" t="str">
        <f>IFERROR(IF('Novice 15M - Bracket'!Z13="","",'Novice 15M - Bracket'!Z13),"")</f>
        <v/>
      </c>
      <c r="M26" s="90" t="str">
        <f>IFERROR(IF('Novice 15M - Bracket'!Y13="","",'Novice 15M - Bracket'!Y13),"")</f>
        <v/>
      </c>
      <c r="N26" s="90" t="str">
        <f>IFERROR(IF('Novice 15M - Bracket'!X13="","",'Novice 15M - Bracket'!X13),"")</f>
        <v/>
      </c>
      <c r="O26" s="90" t="str">
        <f>IFERROR(IF('Novice 15M - Bracket'!W13="","",'Novice 15M - Bracket'!W13),"")</f>
        <v/>
      </c>
      <c r="P26" s="90" t="str">
        <f>IFERROR(IF('Novice 15M - Bracket'!V13="","",'Novice 15M - Bracket'!V13),"")</f>
        <v/>
      </c>
      <c r="Q26" s="84" t="s">
        <v>224</v>
      </c>
    </row>
    <row r="27" spans="1:17" ht="21.75" customHeight="1" x14ac:dyDescent="0.35">
      <c r="A27" s="84" t="s">
        <v>227</v>
      </c>
      <c r="B27" s="90" t="str">
        <f>IFERROR(IF('Novice 15M - Bracket'!AC11="","",'Novice 15M - Bracket'!AC11),"")</f>
        <v/>
      </c>
      <c r="C27" s="90" t="str">
        <f>IFERROR(IF('Novice 15M - Bracket'!AD11="","",'Novice 15M - Bracket'!AD11),"")</f>
        <v/>
      </c>
      <c r="D27" s="90" t="str">
        <f>IFERROR(IF('Novice 15M - Bracket'!AE11="","",'Novice 15M - Bracket'!AE11),"")</f>
        <v/>
      </c>
      <c r="E27" s="90" t="str">
        <f>IFERROR(IF('Novice 15M - Bracket'!AF11="","",'Novice 15M - Bracket'!AF11),"")</f>
        <v/>
      </c>
      <c r="F27" s="90" t="str">
        <f>IFERROR(IF('Novice 15M - Bracket'!AG11="","",'Novice 15M - Bracket'!AG11),"")</f>
        <v/>
      </c>
      <c r="G27" s="90" t="str">
        <f>IFERROR(IF('Novice 15M - Bracket'!AH11="","",'Novice 15M - Bracket'!AH11),"")</f>
        <v/>
      </c>
      <c r="H27" s="32">
        <f>IFERROR(IF(ISNUMBER('Novice 15M - Bracket'!AI11),'Novice 15M - Bracket'!AI11,0),0)</f>
        <v>0</v>
      </c>
      <c r="I27" s="91" t="str">
        <f>IF(AND(ISNUMBER('Novice 15M - Bracket'!AI11),ISNUMBER('Novice 15M - Bracket'!AI13)),IF('Novice 15M - Bracket'!AI11&gt;'Novice 15M - Bracket'!AI13,"2-0",IF('Novice 15M - Bracket'!AI11='Novice 15M - Bracket'!AI13,"1-1","0-2")),"—")</f>
        <v>—</v>
      </c>
      <c r="J27" s="32">
        <f>IFERROR(IF(ISNUMBER('Novice 15M - Bracket'!AI13),'Novice 15M - Bracket'!AI13,0),0)</f>
        <v>0</v>
      </c>
      <c r="K27" s="90" t="str">
        <f>IFERROR(IF('Novice 15M - Bracket'!AH13="","",'Novice 15M - Bracket'!AH13),"")</f>
        <v/>
      </c>
      <c r="L27" s="90" t="str">
        <f>IFERROR(IF('Novice 15M - Bracket'!AG13="","",'Novice 15M - Bracket'!AG13),"")</f>
        <v/>
      </c>
      <c r="M27" s="90" t="str">
        <f>IFERROR(IF('Novice 15M - Bracket'!AF13="","",'Novice 15M - Bracket'!AF13),"")</f>
        <v/>
      </c>
      <c r="N27" s="90" t="str">
        <f>IFERROR(IF('Novice 15M - Bracket'!AE13="","",'Novice 15M - Bracket'!AE13),"")</f>
        <v/>
      </c>
      <c r="O27" s="90" t="str">
        <f>IFERROR(IF('Novice 15M - Bracket'!AD13="","",'Novice 15M - Bracket'!AD13),"")</f>
        <v/>
      </c>
      <c r="P27" s="90" t="str">
        <f>IFERROR(IF('Novice 15M - Bracket'!AC13="","",'Novice 15M - Bracket'!AC13),"")</f>
        <v/>
      </c>
      <c r="Q27" s="84" t="s">
        <v>227</v>
      </c>
    </row>
    <row r="28" spans="1:17" ht="21.75" customHeight="1" x14ac:dyDescent="0.35">
      <c r="A28" s="84" t="s">
        <v>228</v>
      </c>
      <c r="B28" s="90" t="str">
        <f>IFERROR(IF('Novice 15M - Bracket'!AJ11="","",'Novice 15M - Bracket'!AJ11),"")</f>
        <v/>
      </c>
      <c r="C28" s="90" t="str">
        <f>IFERROR(IF('Novice 15M - Bracket'!AK11="","",'Novice 15M - Bracket'!AK11),"")</f>
        <v/>
      </c>
      <c r="D28" s="90" t="str">
        <f>IFERROR(IF('Novice 15M - Bracket'!AL11="","",'Novice 15M - Bracket'!AL11),"")</f>
        <v/>
      </c>
      <c r="E28" s="90" t="str">
        <f>IFERROR(IF('Novice 15M - Bracket'!AM11="","",'Novice 15M - Bracket'!AM11),"")</f>
        <v/>
      </c>
      <c r="F28" s="90" t="str">
        <f>IFERROR(IF('Novice 15M - Bracket'!AN11="","",'Novice 15M - Bracket'!AN11),"")</f>
        <v/>
      </c>
      <c r="G28" s="90" t="str">
        <f>IFERROR(IF('Novice 15M - Bracket'!AO11="","",'Novice 15M - Bracket'!AO11),"")</f>
        <v/>
      </c>
      <c r="H28" s="32">
        <f>IFERROR(IF(ISNUMBER('Novice 15M - Bracket'!AP11),'Novice 15M - Bracket'!AP11,0),0)</f>
        <v>0</v>
      </c>
      <c r="I28" s="91" t="str">
        <f>IF(AND(ISNUMBER('Novice 15M - Bracket'!AP11),ISNUMBER('Novice 15M - Bracket'!AP13)),IF('Novice 15M - Bracket'!AP11&gt;'Novice 15M - Bracket'!AP13,"2-0",IF('Novice 15M - Bracket'!AP11='Novice 15M - Bracket'!AP13,"1-1","0-2")),"—")</f>
        <v>—</v>
      </c>
      <c r="J28" s="32">
        <f>IFERROR(IF(ISNUMBER('Novice 15M - Bracket'!AP13),'Novice 15M - Bracket'!AP13,0),0)</f>
        <v>0</v>
      </c>
      <c r="K28" s="90" t="str">
        <f>IFERROR(IF('Novice 15M - Bracket'!AO13="","",'Novice 15M - Bracket'!AO13),"")</f>
        <v/>
      </c>
      <c r="L28" s="90" t="str">
        <f>IFERROR(IF('Novice 15M - Bracket'!AN13="","",'Novice 15M - Bracket'!AN13),"")</f>
        <v/>
      </c>
      <c r="M28" s="90" t="str">
        <f>IFERROR(IF('Novice 15M - Bracket'!AM13="","",'Novice 15M - Bracket'!AM13),"")</f>
        <v/>
      </c>
      <c r="N28" s="90" t="str">
        <f>IFERROR(IF('Novice 15M - Bracket'!AL13="","",'Novice 15M - Bracket'!AL13),"")</f>
        <v/>
      </c>
      <c r="O28" s="90" t="str">
        <f>IFERROR(IF('Novice 15M - Bracket'!AK13="","",'Novice 15M - Bracket'!AK13),"")</f>
        <v/>
      </c>
      <c r="P28" s="90" t="str">
        <f>IFERROR(IF('Novice 15M - Bracket'!AJ13="","",'Novice 15M - Bracket'!AJ13),"")</f>
        <v/>
      </c>
      <c r="Q28" s="84" t="s">
        <v>228</v>
      </c>
    </row>
    <row r="29" spans="1:17" ht="21.75" customHeight="1" x14ac:dyDescent="0.35">
      <c r="A29" s="92" t="s">
        <v>237</v>
      </c>
      <c r="B29" s="93" t="str">
        <f>IFERROR(IF('Novice 15M - Bracket'!AQ11="","",'Novice 15M - Bracket'!AQ11),"")</f>
        <v/>
      </c>
      <c r="C29" s="93" t="str">
        <f>IFERROR(IF('Novice 15M - Bracket'!AR11="","",'Novice 15M - Bracket'!AR11),"")</f>
        <v/>
      </c>
      <c r="D29" s="93" t="str">
        <f>IFERROR(IF('Novice 15M - Bracket'!AS11="","",'Novice 15M - Bracket'!AS11),"")</f>
        <v/>
      </c>
      <c r="E29" s="93" t="str">
        <f>IFERROR(IF('Novice 15M - Bracket'!AT11="","",'Novice 15M - Bracket'!AT11),"")</f>
        <v/>
      </c>
      <c r="F29" s="93" t="str">
        <f>IFERROR(IF('Novice 15M - Bracket'!AU11="","",'Novice 15M - Bracket'!AU11),"")</f>
        <v/>
      </c>
      <c r="G29" s="93" t="str">
        <f>IFERROR(IF('Novice 15M - Bracket'!AV11="","",'Novice 15M - Bracket'!AV11),"")</f>
        <v/>
      </c>
      <c r="H29" s="32">
        <f>IFERROR(IF(ISNUMBER('Novice 15M - Bracket'!AW11),'Novice 15M - Bracket'!AW11,0),0)</f>
        <v>0</v>
      </c>
      <c r="I29" s="91" t="str">
        <f>IF(AND(ISNUMBER('Novice 15M - Bracket'!AW11),ISNUMBER('Novice 15M - Bracket'!AW13)),IF('Novice 15M - Bracket'!AW11&gt;'Novice 15M - Bracket'!AW13,"2-0",IF('Novice 15M - Bracket'!AW11='Novice 15M - Bracket'!AW13,"1-1","0-2")),"—")</f>
        <v>—</v>
      </c>
      <c r="J29" s="32">
        <f>IFERROR(IF(ISNUMBER('Novice 15M - Bracket'!AW13),'Novice 15M - Bracket'!AW13,0),0)</f>
        <v>0</v>
      </c>
      <c r="K29" s="93" t="str">
        <f>IFERROR(IF('Novice 15M - Bracket'!AV13="","",'Novice 15M - Bracket'!AV13),"")</f>
        <v/>
      </c>
      <c r="L29" s="93" t="str">
        <f>IFERROR(IF('Novice 15M - Bracket'!AU13="","",'Novice 15M - Bracket'!AU13),"")</f>
        <v/>
      </c>
      <c r="M29" s="93" t="str">
        <f>IFERROR(IF('Novice 15M - Bracket'!AT13="","",'Novice 15M - Bracket'!AT13),"")</f>
        <v/>
      </c>
      <c r="N29" s="93" t="str">
        <f>IFERROR(IF('Novice 15M - Bracket'!AS13="","",'Novice 15M - Bracket'!AS13),"")</f>
        <v/>
      </c>
      <c r="O29" s="93" t="str">
        <f>IFERROR(IF('Novice 15M - Bracket'!AR13="","",'Novice 15M - Bracket'!AR13),"")</f>
        <v/>
      </c>
      <c r="P29" s="93" t="str">
        <f>IFERROR(IF('Novice 15M - Bracket'!AQ13="","",'Novice 15M - Bracket'!AQ13),"")</f>
        <v/>
      </c>
      <c r="Q29" s="92" t="s">
        <v>237</v>
      </c>
    </row>
    <row r="30" spans="1:17" ht="4.5" customHeight="1" x14ac:dyDescent="0.35"/>
    <row r="31" spans="1:17" ht="31.5" customHeight="1" x14ac:dyDescent="0.35">
      <c r="A31" s="130">
        <f>IFERROR(IF(ISNUMBER('Novice 15M - Bracket'!AX11),'Novice 15M - Bracket'!AX11,0),0)</f>
        <v>0</v>
      </c>
      <c r="B31" s="130"/>
      <c r="C31" s="130"/>
      <c r="D31" s="130"/>
      <c r="E31" s="130"/>
      <c r="F31" s="130"/>
      <c r="G31" s="130"/>
      <c r="H31" s="94" t="str">
        <f>IFERROR('Novice 15M - Bracket'!BA11,"")</f>
        <v>&gt;&gt; Advance</v>
      </c>
      <c r="I31" s="86"/>
      <c r="J31" s="94" t="str">
        <f>IFERROR('Novice 15M - Bracket'!BA13,"")</f>
        <v>&gt;&gt; Advance</v>
      </c>
      <c r="K31" s="130">
        <f>IFERROR(IF(ISNUMBER('Novice 15M - Bracket'!AX13),'Novice 15M - Bracket'!AX13,0),0)</f>
        <v>0</v>
      </c>
      <c r="L31" s="130"/>
      <c r="M31" s="130"/>
      <c r="N31" s="130"/>
      <c r="O31" s="130"/>
      <c r="P31" s="130"/>
      <c r="Q31" s="130"/>
    </row>
    <row r="32" spans="1:17" ht="21.75" customHeight="1" x14ac:dyDescent="0.35">
      <c r="A32" s="130"/>
      <c r="B32" s="130"/>
      <c r="C32" s="130"/>
      <c r="D32" s="130"/>
      <c r="E32" s="130"/>
      <c r="F32" s="130"/>
      <c r="G32" s="130"/>
      <c r="K32" s="130"/>
      <c r="L32" s="130"/>
      <c r="M32" s="130"/>
      <c r="N32" s="130"/>
      <c r="O32" s="130"/>
      <c r="P32" s="130"/>
      <c r="Q32" s="130"/>
    </row>
    <row r="33" spans="1:17" ht="4.5" customHeight="1" x14ac:dyDescent="0.35"/>
    <row r="34" spans="1:17" ht="12" customHeight="1" x14ac:dyDescent="0.35">
      <c r="A34" s="126"/>
      <c r="B34" s="126"/>
      <c r="C34" s="126"/>
      <c r="D34" s="126"/>
      <c r="E34" s="126"/>
      <c r="F34" s="126"/>
      <c r="G34" s="126"/>
      <c r="H34" s="126"/>
      <c r="I34" s="126"/>
      <c r="J34" s="126"/>
      <c r="K34" s="126"/>
      <c r="L34" s="126"/>
      <c r="M34" s="126"/>
      <c r="N34" s="126"/>
      <c r="O34" s="126"/>
      <c r="P34" s="126"/>
      <c r="Q34" s="126"/>
    </row>
    <row r="35" spans="1:17" ht="7.5" customHeight="1" x14ac:dyDescent="0.35"/>
    <row r="36" spans="1:17" ht="19.5" customHeight="1" x14ac:dyDescent="0.35">
      <c r="A36" s="127" t="s">
        <v>239</v>
      </c>
      <c r="B36" s="127"/>
      <c r="C36" s="127"/>
      <c r="D36" s="127"/>
      <c r="E36" s="127"/>
      <c r="F36" s="127"/>
      <c r="G36" s="127"/>
      <c r="H36" s="127"/>
      <c r="I36" s="127"/>
      <c r="J36" s="127"/>
      <c r="K36" s="127"/>
      <c r="L36" s="127"/>
      <c r="M36" s="127"/>
      <c r="N36" s="127"/>
      <c r="O36" s="127"/>
      <c r="P36" s="127"/>
      <c r="Q36" s="127"/>
    </row>
    <row r="37" spans="1:17" ht="4.5" customHeight="1" x14ac:dyDescent="0.35"/>
    <row r="38" spans="1:17" ht="21.75" customHeight="1" x14ac:dyDescent="0.35">
      <c r="A38" s="84" t="s">
        <v>232</v>
      </c>
      <c r="B38" s="128" t="str">
        <f>IFERROR(IF('Novice 15M - Bracket'!B16="","TBD",'Novice 15M - Bracket'!B16),"TBD")</f>
        <v>TBD</v>
      </c>
      <c r="C38" s="128"/>
      <c r="D38" s="128"/>
      <c r="E38" s="128"/>
      <c r="F38" s="128"/>
      <c r="G38" s="128"/>
      <c r="H38" s="128"/>
      <c r="I38" s="84" t="s">
        <v>233</v>
      </c>
      <c r="J38" s="128" t="str">
        <f>IFERROR(IF('Novice 15M - Bracket'!B18="","TBD",'Novice 15M - Bracket'!B18),"TBD")</f>
        <v>TBD</v>
      </c>
      <c r="K38" s="128"/>
      <c r="L38" s="128"/>
      <c r="M38" s="128"/>
      <c r="N38" s="128"/>
      <c r="O38" s="128"/>
      <c r="P38" s="128"/>
      <c r="Q38" s="84" t="s">
        <v>232</v>
      </c>
    </row>
    <row r="39" spans="1:17" ht="13.5" customHeight="1" x14ac:dyDescent="0.35">
      <c r="A39" s="85" t="s">
        <v>234</v>
      </c>
      <c r="B39" s="129" t="str">
        <f>IFERROR('Novice 15M - Bracket'!A16,"")</f>
        <v>BYE</v>
      </c>
      <c r="C39" s="129"/>
      <c r="D39" s="129"/>
      <c r="E39" s="129"/>
      <c r="F39" s="129"/>
      <c r="G39" s="129"/>
      <c r="H39" s="129"/>
      <c r="I39" s="86"/>
      <c r="J39" s="129" t="str">
        <f>IFERROR('Novice 15M - Bracket'!A18,"")</f>
        <v>BYE</v>
      </c>
      <c r="K39" s="129"/>
      <c r="L39" s="129"/>
      <c r="M39" s="129"/>
      <c r="N39" s="129"/>
      <c r="O39" s="129"/>
      <c r="P39" s="129"/>
      <c r="Q39" s="85" t="s">
        <v>234</v>
      </c>
    </row>
    <row r="40" spans="1:17" ht="19.5" customHeight="1" x14ac:dyDescent="0.35">
      <c r="A40" s="87" t="s">
        <v>235</v>
      </c>
      <c r="B40" s="88" t="s">
        <v>83</v>
      </c>
      <c r="C40" s="88" t="s">
        <v>84</v>
      </c>
      <c r="D40" s="88" t="s">
        <v>85</v>
      </c>
      <c r="E40" s="88" t="s">
        <v>86</v>
      </c>
      <c r="F40" s="88" t="s">
        <v>87</v>
      </c>
      <c r="G40" s="88" t="s">
        <v>88</v>
      </c>
      <c r="H40" s="24" t="s">
        <v>236</v>
      </c>
      <c r="I40" s="89"/>
      <c r="J40" s="24" t="s">
        <v>236</v>
      </c>
      <c r="K40" s="88" t="s">
        <v>88</v>
      </c>
      <c r="L40" s="88" t="s">
        <v>87</v>
      </c>
      <c r="M40" s="88" t="s">
        <v>86</v>
      </c>
      <c r="N40" s="88" t="s">
        <v>85</v>
      </c>
      <c r="O40" s="88" t="s">
        <v>84</v>
      </c>
      <c r="P40" s="88" t="s">
        <v>83</v>
      </c>
      <c r="Q40" s="87" t="s">
        <v>235</v>
      </c>
    </row>
    <row r="41" spans="1:17" ht="21.75" customHeight="1" x14ac:dyDescent="0.35">
      <c r="A41" s="84" t="s">
        <v>222</v>
      </c>
      <c r="B41" s="90" t="str">
        <f>IFERROR(IF('Novice 15M - Bracket'!H16="","",'Novice 15M - Bracket'!H16),"")</f>
        <v/>
      </c>
      <c r="C41" s="90" t="str">
        <f>IFERROR(IF('Novice 15M - Bracket'!I16="","",'Novice 15M - Bracket'!I16),"")</f>
        <v/>
      </c>
      <c r="D41" s="90" t="str">
        <f>IFERROR(IF('Novice 15M - Bracket'!J16="","",'Novice 15M - Bracket'!J16),"")</f>
        <v/>
      </c>
      <c r="E41" s="90" t="str">
        <f>IFERROR(IF('Novice 15M - Bracket'!K16="","",'Novice 15M - Bracket'!K16),"")</f>
        <v/>
      </c>
      <c r="F41" s="90" t="str">
        <f>IFERROR(IF('Novice 15M - Bracket'!L16="","",'Novice 15M - Bracket'!L16),"")</f>
        <v/>
      </c>
      <c r="G41" s="90" t="str">
        <f>IFERROR(IF('Novice 15M - Bracket'!M16="","",'Novice 15M - Bracket'!M16),"")</f>
        <v/>
      </c>
      <c r="H41" s="32">
        <f>IFERROR(IF(ISNUMBER('Novice 15M - Bracket'!N16),'Novice 15M - Bracket'!N16,0),0)</f>
        <v>0</v>
      </c>
      <c r="I41" s="91" t="str">
        <f>IF(AND(ISNUMBER('Novice 15M - Bracket'!N16),ISNUMBER('Novice 15M - Bracket'!N18)),IF('Novice 15M - Bracket'!N16&gt;'Novice 15M - Bracket'!N18,"2-0",IF('Novice 15M - Bracket'!N16='Novice 15M - Bracket'!N18,"1-1","0-2")),"—")</f>
        <v>—</v>
      </c>
      <c r="J41" s="32">
        <f>IFERROR(IF(ISNUMBER('Novice 15M - Bracket'!N18),'Novice 15M - Bracket'!N18,0),0)</f>
        <v>0</v>
      </c>
      <c r="K41" s="90" t="str">
        <f>IFERROR(IF('Novice 15M - Bracket'!M18="","",'Novice 15M - Bracket'!M18),"")</f>
        <v/>
      </c>
      <c r="L41" s="90" t="str">
        <f>IFERROR(IF('Novice 15M - Bracket'!L18="","",'Novice 15M - Bracket'!L18),"")</f>
        <v/>
      </c>
      <c r="M41" s="90" t="str">
        <f>IFERROR(IF('Novice 15M - Bracket'!K18="","",'Novice 15M - Bracket'!K18),"")</f>
        <v/>
      </c>
      <c r="N41" s="90" t="str">
        <f>IFERROR(IF('Novice 15M - Bracket'!J18="","",'Novice 15M - Bracket'!J18),"")</f>
        <v/>
      </c>
      <c r="O41" s="90" t="str">
        <f>IFERROR(IF('Novice 15M - Bracket'!I18="","",'Novice 15M - Bracket'!I18),"")</f>
        <v/>
      </c>
      <c r="P41" s="90" t="str">
        <f>IFERROR(IF('Novice 15M - Bracket'!H18="","",'Novice 15M - Bracket'!H18),"")</f>
        <v/>
      </c>
      <c r="Q41" s="84" t="s">
        <v>222</v>
      </c>
    </row>
    <row r="42" spans="1:17" ht="21.75" customHeight="1" x14ac:dyDescent="0.35">
      <c r="A42" s="84" t="s">
        <v>223</v>
      </c>
      <c r="B42" s="90" t="str">
        <f>IFERROR(IF('Novice 15M - Bracket'!O16="","",'Novice 15M - Bracket'!O16),"")</f>
        <v/>
      </c>
      <c r="C42" s="90" t="str">
        <f>IFERROR(IF('Novice 15M - Bracket'!P16="","",'Novice 15M - Bracket'!P16),"")</f>
        <v/>
      </c>
      <c r="D42" s="90" t="str">
        <f>IFERROR(IF('Novice 15M - Bracket'!Q16="","",'Novice 15M - Bracket'!Q16),"")</f>
        <v/>
      </c>
      <c r="E42" s="90" t="str">
        <f>IFERROR(IF('Novice 15M - Bracket'!R16="","",'Novice 15M - Bracket'!R16),"")</f>
        <v/>
      </c>
      <c r="F42" s="90" t="str">
        <f>IFERROR(IF('Novice 15M - Bracket'!S16="","",'Novice 15M - Bracket'!S16),"")</f>
        <v/>
      </c>
      <c r="G42" s="90" t="str">
        <f>IFERROR(IF('Novice 15M - Bracket'!T16="","",'Novice 15M - Bracket'!T16),"")</f>
        <v/>
      </c>
      <c r="H42" s="32">
        <f>IFERROR(IF(ISNUMBER('Novice 15M - Bracket'!U16),'Novice 15M - Bracket'!U16,0),0)</f>
        <v>0</v>
      </c>
      <c r="I42" s="91" t="str">
        <f>IF(AND(ISNUMBER('Novice 15M - Bracket'!U16),ISNUMBER('Novice 15M - Bracket'!U18)),IF('Novice 15M - Bracket'!U16&gt;'Novice 15M - Bracket'!U18,"2-0",IF('Novice 15M - Bracket'!U16='Novice 15M - Bracket'!U18,"1-1","0-2")),"—")</f>
        <v>—</v>
      </c>
      <c r="J42" s="32">
        <f>IFERROR(IF(ISNUMBER('Novice 15M - Bracket'!U18),'Novice 15M - Bracket'!U18,0),0)</f>
        <v>0</v>
      </c>
      <c r="K42" s="90" t="str">
        <f>IFERROR(IF('Novice 15M - Bracket'!T18="","",'Novice 15M - Bracket'!T18),"")</f>
        <v/>
      </c>
      <c r="L42" s="90" t="str">
        <f>IFERROR(IF('Novice 15M - Bracket'!S18="","",'Novice 15M - Bracket'!S18),"")</f>
        <v/>
      </c>
      <c r="M42" s="90" t="str">
        <f>IFERROR(IF('Novice 15M - Bracket'!R18="","",'Novice 15M - Bracket'!R18),"")</f>
        <v/>
      </c>
      <c r="N42" s="90" t="str">
        <f>IFERROR(IF('Novice 15M - Bracket'!Q18="","",'Novice 15M - Bracket'!Q18),"")</f>
        <v/>
      </c>
      <c r="O42" s="90" t="str">
        <f>IFERROR(IF('Novice 15M - Bracket'!P18="","",'Novice 15M - Bracket'!P18),"")</f>
        <v/>
      </c>
      <c r="P42" s="90" t="str">
        <f>IFERROR(IF('Novice 15M - Bracket'!O18="","",'Novice 15M - Bracket'!O18),"")</f>
        <v/>
      </c>
      <c r="Q42" s="84" t="s">
        <v>223</v>
      </c>
    </row>
    <row r="43" spans="1:17" ht="21.75" customHeight="1" x14ac:dyDescent="0.35">
      <c r="A43" s="84" t="s">
        <v>224</v>
      </c>
      <c r="B43" s="90" t="str">
        <f>IFERROR(IF('Novice 15M - Bracket'!V16="","",'Novice 15M - Bracket'!V16),"")</f>
        <v/>
      </c>
      <c r="C43" s="90" t="str">
        <f>IFERROR(IF('Novice 15M - Bracket'!W16="","",'Novice 15M - Bracket'!W16),"")</f>
        <v/>
      </c>
      <c r="D43" s="90" t="str">
        <f>IFERROR(IF('Novice 15M - Bracket'!X16="","",'Novice 15M - Bracket'!X16),"")</f>
        <v/>
      </c>
      <c r="E43" s="90" t="str">
        <f>IFERROR(IF('Novice 15M - Bracket'!Y16="","",'Novice 15M - Bracket'!Y16),"")</f>
        <v/>
      </c>
      <c r="F43" s="90" t="str">
        <f>IFERROR(IF('Novice 15M - Bracket'!Z16="","",'Novice 15M - Bracket'!Z16),"")</f>
        <v/>
      </c>
      <c r="G43" s="90" t="str">
        <f>IFERROR(IF('Novice 15M - Bracket'!AA16="","",'Novice 15M - Bracket'!AA16),"")</f>
        <v/>
      </c>
      <c r="H43" s="32">
        <f>IFERROR(IF(ISNUMBER('Novice 15M - Bracket'!AB16),'Novice 15M - Bracket'!AB16,0),0)</f>
        <v>0</v>
      </c>
      <c r="I43" s="91" t="str">
        <f>IF(AND(ISNUMBER('Novice 15M - Bracket'!AB16),ISNUMBER('Novice 15M - Bracket'!AB18)),IF('Novice 15M - Bracket'!AB16&gt;'Novice 15M - Bracket'!AB18,"2-0",IF('Novice 15M - Bracket'!AB16='Novice 15M - Bracket'!AB18,"1-1","0-2")),"—")</f>
        <v>—</v>
      </c>
      <c r="J43" s="32">
        <f>IFERROR(IF(ISNUMBER('Novice 15M - Bracket'!AB18),'Novice 15M - Bracket'!AB18,0),0)</f>
        <v>0</v>
      </c>
      <c r="K43" s="90" t="str">
        <f>IFERROR(IF('Novice 15M - Bracket'!AA18="","",'Novice 15M - Bracket'!AA18),"")</f>
        <v/>
      </c>
      <c r="L43" s="90" t="str">
        <f>IFERROR(IF('Novice 15M - Bracket'!Z18="","",'Novice 15M - Bracket'!Z18),"")</f>
        <v/>
      </c>
      <c r="M43" s="90" t="str">
        <f>IFERROR(IF('Novice 15M - Bracket'!Y18="","",'Novice 15M - Bracket'!Y18),"")</f>
        <v/>
      </c>
      <c r="N43" s="90" t="str">
        <f>IFERROR(IF('Novice 15M - Bracket'!X18="","",'Novice 15M - Bracket'!X18),"")</f>
        <v/>
      </c>
      <c r="O43" s="90" t="str">
        <f>IFERROR(IF('Novice 15M - Bracket'!W18="","",'Novice 15M - Bracket'!W18),"")</f>
        <v/>
      </c>
      <c r="P43" s="90" t="str">
        <f>IFERROR(IF('Novice 15M - Bracket'!V18="","",'Novice 15M - Bracket'!V18),"")</f>
        <v/>
      </c>
      <c r="Q43" s="84" t="s">
        <v>224</v>
      </c>
    </row>
    <row r="44" spans="1:17" ht="21.75" customHeight="1" x14ac:dyDescent="0.35">
      <c r="A44" s="84" t="s">
        <v>227</v>
      </c>
      <c r="B44" s="90" t="str">
        <f>IFERROR(IF('Novice 15M - Bracket'!AC16="","",'Novice 15M - Bracket'!AC16),"")</f>
        <v/>
      </c>
      <c r="C44" s="90" t="str">
        <f>IFERROR(IF('Novice 15M - Bracket'!AD16="","",'Novice 15M - Bracket'!AD16),"")</f>
        <v/>
      </c>
      <c r="D44" s="90" t="str">
        <f>IFERROR(IF('Novice 15M - Bracket'!AE16="","",'Novice 15M - Bracket'!AE16),"")</f>
        <v/>
      </c>
      <c r="E44" s="90" t="str">
        <f>IFERROR(IF('Novice 15M - Bracket'!AF16="","",'Novice 15M - Bracket'!AF16),"")</f>
        <v/>
      </c>
      <c r="F44" s="90" t="str">
        <f>IFERROR(IF('Novice 15M - Bracket'!AG16="","",'Novice 15M - Bracket'!AG16),"")</f>
        <v/>
      </c>
      <c r="G44" s="90" t="str">
        <f>IFERROR(IF('Novice 15M - Bracket'!AH16="","",'Novice 15M - Bracket'!AH16),"")</f>
        <v/>
      </c>
      <c r="H44" s="32">
        <f>IFERROR(IF(ISNUMBER('Novice 15M - Bracket'!AI16),'Novice 15M - Bracket'!AI16,0),0)</f>
        <v>0</v>
      </c>
      <c r="I44" s="91" t="str">
        <f>IF(AND(ISNUMBER('Novice 15M - Bracket'!AI16),ISNUMBER('Novice 15M - Bracket'!AI18)),IF('Novice 15M - Bracket'!AI16&gt;'Novice 15M - Bracket'!AI18,"2-0",IF('Novice 15M - Bracket'!AI16='Novice 15M - Bracket'!AI18,"1-1","0-2")),"—")</f>
        <v>—</v>
      </c>
      <c r="J44" s="32">
        <f>IFERROR(IF(ISNUMBER('Novice 15M - Bracket'!AI18),'Novice 15M - Bracket'!AI18,0),0)</f>
        <v>0</v>
      </c>
      <c r="K44" s="90" t="str">
        <f>IFERROR(IF('Novice 15M - Bracket'!AH18="","",'Novice 15M - Bracket'!AH18),"")</f>
        <v/>
      </c>
      <c r="L44" s="90" t="str">
        <f>IFERROR(IF('Novice 15M - Bracket'!AG18="","",'Novice 15M - Bracket'!AG18),"")</f>
        <v/>
      </c>
      <c r="M44" s="90" t="str">
        <f>IFERROR(IF('Novice 15M - Bracket'!AF18="","",'Novice 15M - Bracket'!AF18),"")</f>
        <v/>
      </c>
      <c r="N44" s="90" t="str">
        <f>IFERROR(IF('Novice 15M - Bracket'!AE18="","",'Novice 15M - Bracket'!AE18),"")</f>
        <v/>
      </c>
      <c r="O44" s="90" t="str">
        <f>IFERROR(IF('Novice 15M - Bracket'!AD18="","",'Novice 15M - Bracket'!AD18),"")</f>
        <v/>
      </c>
      <c r="P44" s="90" t="str">
        <f>IFERROR(IF('Novice 15M - Bracket'!AC18="","",'Novice 15M - Bracket'!AC18),"")</f>
        <v/>
      </c>
      <c r="Q44" s="84" t="s">
        <v>227</v>
      </c>
    </row>
    <row r="45" spans="1:17" ht="21.75" customHeight="1" x14ac:dyDescent="0.35">
      <c r="A45" s="84" t="s">
        <v>228</v>
      </c>
      <c r="B45" s="90" t="str">
        <f>IFERROR(IF('Novice 15M - Bracket'!AJ16="","",'Novice 15M - Bracket'!AJ16),"")</f>
        <v/>
      </c>
      <c r="C45" s="90" t="str">
        <f>IFERROR(IF('Novice 15M - Bracket'!AK16="","",'Novice 15M - Bracket'!AK16),"")</f>
        <v/>
      </c>
      <c r="D45" s="90" t="str">
        <f>IFERROR(IF('Novice 15M - Bracket'!AL16="","",'Novice 15M - Bracket'!AL16),"")</f>
        <v/>
      </c>
      <c r="E45" s="90" t="str">
        <f>IFERROR(IF('Novice 15M - Bracket'!AM16="","",'Novice 15M - Bracket'!AM16),"")</f>
        <v/>
      </c>
      <c r="F45" s="90" t="str">
        <f>IFERROR(IF('Novice 15M - Bracket'!AN16="","",'Novice 15M - Bracket'!AN16),"")</f>
        <v/>
      </c>
      <c r="G45" s="90" t="str">
        <f>IFERROR(IF('Novice 15M - Bracket'!AO16="","",'Novice 15M - Bracket'!AO16),"")</f>
        <v/>
      </c>
      <c r="H45" s="32">
        <f>IFERROR(IF(ISNUMBER('Novice 15M - Bracket'!AP16),'Novice 15M - Bracket'!AP16,0),0)</f>
        <v>0</v>
      </c>
      <c r="I45" s="91" t="str">
        <f>IF(AND(ISNUMBER('Novice 15M - Bracket'!AP16),ISNUMBER('Novice 15M - Bracket'!AP18)),IF('Novice 15M - Bracket'!AP16&gt;'Novice 15M - Bracket'!AP18,"2-0",IF('Novice 15M - Bracket'!AP16='Novice 15M - Bracket'!AP18,"1-1","0-2")),"—")</f>
        <v>—</v>
      </c>
      <c r="J45" s="32">
        <f>IFERROR(IF(ISNUMBER('Novice 15M - Bracket'!AP18),'Novice 15M - Bracket'!AP18,0),0)</f>
        <v>0</v>
      </c>
      <c r="K45" s="90" t="str">
        <f>IFERROR(IF('Novice 15M - Bracket'!AO18="","",'Novice 15M - Bracket'!AO18),"")</f>
        <v/>
      </c>
      <c r="L45" s="90" t="str">
        <f>IFERROR(IF('Novice 15M - Bracket'!AN18="","",'Novice 15M - Bracket'!AN18),"")</f>
        <v/>
      </c>
      <c r="M45" s="90" t="str">
        <f>IFERROR(IF('Novice 15M - Bracket'!AM18="","",'Novice 15M - Bracket'!AM18),"")</f>
        <v/>
      </c>
      <c r="N45" s="90" t="str">
        <f>IFERROR(IF('Novice 15M - Bracket'!AL18="","",'Novice 15M - Bracket'!AL18),"")</f>
        <v/>
      </c>
      <c r="O45" s="90" t="str">
        <f>IFERROR(IF('Novice 15M - Bracket'!AK18="","",'Novice 15M - Bracket'!AK18),"")</f>
        <v/>
      </c>
      <c r="P45" s="90" t="str">
        <f>IFERROR(IF('Novice 15M - Bracket'!AJ18="","",'Novice 15M - Bracket'!AJ18),"")</f>
        <v/>
      </c>
      <c r="Q45" s="84" t="s">
        <v>228</v>
      </c>
    </row>
    <row r="46" spans="1:17" ht="21.75" customHeight="1" x14ac:dyDescent="0.35">
      <c r="A46" s="92" t="s">
        <v>237</v>
      </c>
      <c r="B46" s="93" t="str">
        <f>IFERROR(IF('Novice 15M - Bracket'!AQ16="","",'Novice 15M - Bracket'!AQ16),"")</f>
        <v/>
      </c>
      <c r="C46" s="93" t="str">
        <f>IFERROR(IF('Novice 15M - Bracket'!AR16="","",'Novice 15M - Bracket'!AR16),"")</f>
        <v/>
      </c>
      <c r="D46" s="93" t="str">
        <f>IFERROR(IF('Novice 15M - Bracket'!AS16="","",'Novice 15M - Bracket'!AS16),"")</f>
        <v/>
      </c>
      <c r="E46" s="93" t="str">
        <f>IFERROR(IF('Novice 15M - Bracket'!AT16="","",'Novice 15M - Bracket'!AT16),"")</f>
        <v/>
      </c>
      <c r="F46" s="93" t="str">
        <f>IFERROR(IF('Novice 15M - Bracket'!AU16="","",'Novice 15M - Bracket'!AU16),"")</f>
        <v/>
      </c>
      <c r="G46" s="93" t="str">
        <f>IFERROR(IF('Novice 15M - Bracket'!AV16="","",'Novice 15M - Bracket'!AV16),"")</f>
        <v/>
      </c>
      <c r="H46" s="32">
        <f>IFERROR(IF(ISNUMBER('Novice 15M - Bracket'!AW16),'Novice 15M - Bracket'!AW16,0),0)</f>
        <v>0</v>
      </c>
      <c r="I46" s="91" t="str">
        <f>IF(AND(ISNUMBER('Novice 15M - Bracket'!AW16),ISNUMBER('Novice 15M - Bracket'!AW18)),IF('Novice 15M - Bracket'!AW16&gt;'Novice 15M - Bracket'!AW18,"2-0",IF('Novice 15M - Bracket'!AW16='Novice 15M - Bracket'!AW18,"1-1","0-2")),"—")</f>
        <v>—</v>
      </c>
      <c r="J46" s="32">
        <f>IFERROR(IF(ISNUMBER('Novice 15M - Bracket'!AW18),'Novice 15M - Bracket'!AW18,0),0)</f>
        <v>0</v>
      </c>
      <c r="K46" s="93" t="str">
        <f>IFERROR(IF('Novice 15M - Bracket'!AV18="","",'Novice 15M - Bracket'!AV18),"")</f>
        <v/>
      </c>
      <c r="L46" s="93" t="str">
        <f>IFERROR(IF('Novice 15M - Bracket'!AU18="","",'Novice 15M - Bracket'!AU18),"")</f>
        <v/>
      </c>
      <c r="M46" s="93" t="str">
        <f>IFERROR(IF('Novice 15M - Bracket'!AT18="","",'Novice 15M - Bracket'!AT18),"")</f>
        <v/>
      </c>
      <c r="N46" s="93" t="str">
        <f>IFERROR(IF('Novice 15M - Bracket'!AS18="","",'Novice 15M - Bracket'!AS18),"")</f>
        <v/>
      </c>
      <c r="O46" s="93" t="str">
        <f>IFERROR(IF('Novice 15M - Bracket'!AR18="","",'Novice 15M - Bracket'!AR18),"")</f>
        <v/>
      </c>
      <c r="P46" s="93" t="str">
        <f>IFERROR(IF('Novice 15M - Bracket'!AQ18="","",'Novice 15M - Bracket'!AQ18),"")</f>
        <v/>
      </c>
      <c r="Q46" s="92" t="s">
        <v>237</v>
      </c>
    </row>
    <row r="47" spans="1:17" ht="4.5" customHeight="1" x14ac:dyDescent="0.35"/>
    <row r="48" spans="1:17" ht="31.5" customHeight="1" x14ac:dyDescent="0.35">
      <c r="A48" s="130">
        <f>IFERROR(IF(ISNUMBER('Novice 15M - Bracket'!AX16),'Novice 15M - Bracket'!AX16,0),0)</f>
        <v>0</v>
      </c>
      <c r="B48" s="130"/>
      <c r="C48" s="130"/>
      <c r="D48" s="130"/>
      <c r="E48" s="130"/>
      <c r="F48" s="130"/>
      <c r="G48" s="130"/>
      <c r="H48" s="94" t="str">
        <f>IFERROR('Novice 15M - Bracket'!BA16,"")</f>
        <v>&gt;&gt; Advance</v>
      </c>
      <c r="I48" s="86"/>
      <c r="J48" s="94" t="str">
        <f>IFERROR('Novice 15M - Bracket'!BA18,"")</f>
        <v>&gt;&gt; Advance</v>
      </c>
      <c r="K48" s="130">
        <f>IFERROR(IF(ISNUMBER('Novice 15M - Bracket'!AX18),'Novice 15M - Bracket'!AX18,0),0)</f>
        <v>0</v>
      </c>
      <c r="L48" s="130"/>
      <c r="M48" s="130"/>
      <c r="N48" s="130"/>
      <c r="O48" s="130"/>
      <c r="P48" s="130"/>
      <c r="Q48" s="130"/>
    </row>
    <row r="49" spans="1:17" ht="21.75" customHeight="1" x14ac:dyDescent="0.35">
      <c r="A49" s="130"/>
      <c r="B49" s="130"/>
      <c r="C49" s="130"/>
      <c r="D49" s="130"/>
      <c r="E49" s="130"/>
      <c r="F49" s="130"/>
      <c r="G49" s="130"/>
      <c r="K49" s="130"/>
      <c r="L49" s="130"/>
      <c r="M49" s="130"/>
      <c r="N49" s="130"/>
      <c r="O49" s="130"/>
      <c r="P49" s="130"/>
      <c r="Q49" s="130"/>
    </row>
    <row r="50" spans="1:17" ht="4.5" customHeight="1" x14ac:dyDescent="0.35"/>
    <row r="51" spans="1:17" ht="12" customHeight="1" x14ac:dyDescent="0.35">
      <c r="A51" s="126"/>
      <c r="B51" s="126"/>
      <c r="C51" s="126"/>
      <c r="D51" s="126"/>
      <c r="E51" s="126"/>
      <c r="F51" s="126"/>
      <c r="G51" s="126"/>
      <c r="H51" s="126"/>
      <c r="I51" s="126"/>
      <c r="J51" s="126"/>
      <c r="K51" s="126"/>
      <c r="L51" s="126"/>
      <c r="M51" s="126"/>
      <c r="N51" s="126"/>
      <c r="O51" s="126"/>
      <c r="P51" s="126"/>
      <c r="Q51" s="126"/>
    </row>
    <row r="52" spans="1:17" ht="7.5" customHeight="1" x14ac:dyDescent="0.35"/>
    <row r="53" spans="1:17" ht="19.5" customHeight="1" x14ac:dyDescent="0.35">
      <c r="A53" s="127" t="s">
        <v>240</v>
      </c>
      <c r="B53" s="127"/>
      <c r="C53" s="127"/>
      <c r="D53" s="127"/>
      <c r="E53" s="127"/>
      <c r="F53" s="127"/>
      <c r="G53" s="127"/>
      <c r="H53" s="127"/>
      <c r="I53" s="127"/>
      <c r="J53" s="127"/>
      <c r="K53" s="127"/>
      <c r="L53" s="127"/>
      <c r="M53" s="127"/>
      <c r="N53" s="127"/>
      <c r="O53" s="127"/>
      <c r="P53" s="127"/>
      <c r="Q53" s="127"/>
    </row>
    <row r="54" spans="1:17" ht="4.5" customHeight="1" x14ac:dyDescent="0.35"/>
    <row r="55" spans="1:17" ht="21.75" customHeight="1" x14ac:dyDescent="0.35">
      <c r="A55" s="84" t="s">
        <v>232</v>
      </c>
      <c r="B55" s="128" t="str">
        <f>IFERROR(IF('Novice 15M - Bracket'!B21="","TBD",'Novice 15M - Bracket'!B21),"TBD")</f>
        <v>TBD</v>
      </c>
      <c r="C55" s="128"/>
      <c r="D55" s="128"/>
      <c r="E55" s="128"/>
      <c r="F55" s="128"/>
      <c r="G55" s="128"/>
      <c r="H55" s="128"/>
      <c r="I55" s="84" t="s">
        <v>233</v>
      </c>
      <c r="J55" s="128" t="str">
        <f>IFERROR(IF('Novice 15M - Bracket'!B23="","TBD",'Novice 15M - Bracket'!B23),"TBD")</f>
        <v>TBD</v>
      </c>
      <c r="K55" s="128"/>
      <c r="L55" s="128"/>
      <c r="M55" s="128"/>
      <c r="N55" s="128"/>
      <c r="O55" s="128"/>
      <c r="P55" s="128"/>
      <c r="Q55" s="84" t="s">
        <v>232</v>
      </c>
    </row>
    <row r="56" spans="1:17" ht="13.5" customHeight="1" x14ac:dyDescent="0.35">
      <c r="A56" s="85" t="s">
        <v>234</v>
      </c>
      <c r="B56" s="129" t="str">
        <f>IFERROR('Novice 15M - Bracket'!A21,"")</f>
        <v>BYE</v>
      </c>
      <c r="C56" s="129"/>
      <c r="D56" s="129"/>
      <c r="E56" s="129"/>
      <c r="F56" s="129"/>
      <c r="G56" s="129"/>
      <c r="H56" s="129"/>
      <c r="I56" s="86"/>
      <c r="J56" s="129" t="str">
        <f>IFERROR('Novice 15M - Bracket'!A23,"")</f>
        <v>BYE</v>
      </c>
      <c r="K56" s="129"/>
      <c r="L56" s="129"/>
      <c r="M56" s="129"/>
      <c r="N56" s="129"/>
      <c r="O56" s="129"/>
      <c r="P56" s="129"/>
      <c r="Q56" s="85" t="s">
        <v>234</v>
      </c>
    </row>
    <row r="57" spans="1:17" ht="19.5" customHeight="1" x14ac:dyDescent="0.35">
      <c r="A57" s="87" t="s">
        <v>235</v>
      </c>
      <c r="B57" s="88" t="s">
        <v>83</v>
      </c>
      <c r="C57" s="88" t="s">
        <v>84</v>
      </c>
      <c r="D57" s="88" t="s">
        <v>85</v>
      </c>
      <c r="E57" s="88" t="s">
        <v>86</v>
      </c>
      <c r="F57" s="88" t="s">
        <v>87</v>
      </c>
      <c r="G57" s="88" t="s">
        <v>88</v>
      </c>
      <c r="H57" s="24" t="s">
        <v>236</v>
      </c>
      <c r="I57" s="89"/>
      <c r="J57" s="24" t="s">
        <v>236</v>
      </c>
      <c r="K57" s="88" t="s">
        <v>88</v>
      </c>
      <c r="L57" s="88" t="s">
        <v>87</v>
      </c>
      <c r="M57" s="88" t="s">
        <v>86</v>
      </c>
      <c r="N57" s="88" t="s">
        <v>85</v>
      </c>
      <c r="O57" s="88" t="s">
        <v>84</v>
      </c>
      <c r="P57" s="88" t="s">
        <v>83</v>
      </c>
      <c r="Q57" s="87" t="s">
        <v>235</v>
      </c>
    </row>
    <row r="58" spans="1:17" ht="21.75" customHeight="1" x14ac:dyDescent="0.35">
      <c r="A58" s="84" t="s">
        <v>222</v>
      </c>
      <c r="B58" s="90" t="str">
        <f>IFERROR(IF('Novice 15M - Bracket'!H21="","",'Novice 15M - Bracket'!H21),"")</f>
        <v/>
      </c>
      <c r="C58" s="90" t="str">
        <f>IFERROR(IF('Novice 15M - Bracket'!I21="","",'Novice 15M - Bracket'!I21),"")</f>
        <v/>
      </c>
      <c r="D58" s="90" t="str">
        <f>IFERROR(IF('Novice 15M - Bracket'!J21="","",'Novice 15M - Bracket'!J21),"")</f>
        <v/>
      </c>
      <c r="E58" s="90" t="str">
        <f>IFERROR(IF('Novice 15M - Bracket'!K21="","",'Novice 15M - Bracket'!K21),"")</f>
        <v/>
      </c>
      <c r="F58" s="90" t="str">
        <f>IFERROR(IF('Novice 15M - Bracket'!L21="","",'Novice 15M - Bracket'!L21),"")</f>
        <v/>
      </c>
      <c r="G58" s="90" t="str">
        <f>IFERROR(IF('Novice 15M - Bracket'!M21="","",'Novice 15M - Bracket'!M21),"")</f>
        <v/>
      </c>
      <c r="H58" s="32">
        <f>IFERROR(IF(ISNUMBER('Novice 15M - Bracket'!N21),'Novice 15M - Bracket'!N21,0),0)</f>
        <v>0</v>
      </c>
      <c r="I58" s="91" t="str">
        <f>IF(AND(ISNUMBER('Novice 15M - Bracket'!N21),ISNUMBER('Novice 15M - Bracket'!N23)),IF('Novice 15M - Bracket'!N21&gt;'Novice 15M - Bracket'!N23,"2-0",IF('Novice 15M - Bracket'!N21='Novice 15M - Bracket'!N23,"1-1","0-2")),"—")</f>
        <v>—</v>
      </c>
      <c r="J58" s="32">
        <f>IFERROR(IF(ISNUMBER('Novice 15M - Bracket'!N23),'Novice 15M - Bracket'!N23,0),0)</f>
        <v>0</v>
      </c>
      <c r="K58" s="90" t="str">
        <f>IFERROR(IF('Novice 15M - Bracket'!M23="","",'Novice 15M - Bracket'!M23),"")</f>
        <v/>
      </c>
      <c r="L58" s="90" t="str">
        <f>IFERROR(IF('Novice 15M - Bracket'!L23="","",'Novice 15M - Bracket'!L23),"")</f>
        <v/>
      </c>
      <c r="M58" s="90" t="str">
        <f>IFERROR(IF('Novice 15M - Bracket'!K23="","",'Novice 15M - Bracket'!K23),"")</f>
        <v/>
      </c>
      <c r="N58" s="90" t="str">
        <f>IFERROR(IF('Novice 15M - Bracket'!J23="","",'Novice 15M - Bracket'!J23),"")</f>
        <v/>
      </c>
      <c r="O58" s="90" t="str">
        <f>IFERROR(IF('Novice 15M - Bracket'!I23="","",'Novice 15M - Bracket'!I23),"")</f>
        <v/>
      </c>
      <c r="P58" s="90" t="str">
        <f>IFERROR(IF('Novice 15M - Bracket'!H23="","",'Novice 15M - Bracket'!H23),"")</f>
        <v/>
      </c>
      <c r="Q58" s="84" t="s">
        <v>222</v>
      </c>
    </row>
    <row r="59" spans="1:17" ht="21.75" customHeight="1" x14ac:dyDescent="0.35">
      <c r="A59" s="84" t="s">
        <v>223</v>
      </c>
      <c r="B59" s="90" t="str">
        <f>IFERROR(IF('Novice 15M - Bracket'!O21="","",'Novice 15M - Bracket'!O21),"")</f>
        <v/>
      </c>
      <c r="C59" s="90" t="str">
        <f>IFERROR(IF('Novice 15M - Bracket'!P21="","",'Novice 15M - Bracket'!P21),"")</f>
        <v/>
      </c>
      <c r="D59" s="90" t="str">
        <f>IFERROR(IF('Novice 15M - Bracket'!Q21="","",'Novice 15M - Bracket'!Q21),"")</f>
        <v/>
      </c>
      <c r="E59" s="90" t="str">
        <f>IFERROR(IF('Novice 15M - Bracket'!R21="","",'Novice 15M - Bracket'!R21),"")</f>
        <v/>
      </c>
      <c r="F59" s="90" t="str">
        <f>IFERROR(IF('Novice 15M - Bracket'!S21="","",'Novice 15M - Bracket'!S21),"")</f>
        <v/>
      </c>
      <c r="G59" s="90" t="str">
        <f>IFERROR(IF('Novice 15M - Bracket'!T21="","",'Novice 15M - Bracket'!T21),"")</f>
        <v/>
      </c>
      <c r="H59" s="32">
        <f>IFERROR(IF(ISNUMBER('Novice 15M - Bracket'!U21),'Novice 15M - Bracket'!U21,0),0)</f>
        <v>0</v>
      </c>
      <c r="I59" s="91" t="str">
        <f>IF(AND(ISNUMBER('Novice 15M - Bracket'!U21),ISNUMBER('Novice 15M - Bracket'!U23)),IF('Novice 15M - Bracket'!U21&gt;'Novice 15M - Bracket'!U23,"2-0",IF('Novice 15M - Bracket'!U21='Novice 15M - Bracket'!U23,"1-1","0-2")),"—")</f>
        <v>—</v>
      </c>
      <c r="J59" s="32">
        <f>IFERROR(IF(ISNUMBER('Novice 15M - Bracket'!U23),'Novice 15M - Bracket'!U23,0),0)</f>
        <v>0</v>
      </c>
      <c r="K59" s="90" t="str">
        <f>IFERROR(IF('Novice 15M - Bracket'!T23="","",'Novice 15M - Bracket'!T23),"")</f>
        <v/>
      </c>
      <c r="L59" s="90" t="str">
        <f>IFERROR(IF('Novice 15M - Bracket'!S23="","",'Novice 15M - Bracket'!S23),"")</f>
        <v/>
      </c>
      <c r="M59" s="90" t="str">
        <f>IFERROR(IF('Novice 15M - Bracket'!R23="","",'Novice 15M - Bracket'!R23),"")</f>
        <v/>
      </c>
      <c r="N59" s="90" t="str">
        <f>IFERROR(IF('Novice 15M - Bracket'!Q23="","",'Novice 15M - Bracket'!Q23),"")</f>
        <v/>
      </c>
      <c r="O59" s="90" t="str">
        <f>IFERROR(IF('Novice 15M - Bracket'!P23="","",'Novice 15M - Bracket'!P23),"")</f>
        <v/>
      </c>
      <c r="P59" s="90" t="str">
        <f>IFERROR(IF('Novice 15M - Bracket'!O23="","",'Novice 15M - Bracket'!O23),"")</f>
        <v/>
      </c>
      <c r="Q59" s="84" t="s">
        <v>223</v>
      </c>
    </row>
    <row r="60" spans="1:17" ht="21.75" customHeight="1" x14ac:dyDescent="0.35">
      <c r="A60" s="84" t="s">
        <v>224</v>
      </c>
      <c r="B60" s="90" t="str">
        <f>IFERROR(IF('Novice 15M - Bracket'!V21="","",'Novice 15M - Bracket'!V21),"")</f>
        <v/>
      </c>
      <c r="C60" s="90" t="str">
        <f>IFERROR(IF('Novice 15M - Bracket'!W21="","",'Novice 15M - Bracket'!W21),"")</f>
        <v/>
      </c>
      <c r="D60" s="90" t="str">
        <f>IFERROR(IF('Novice 15M - Bracket'!X21="","",'Novice 15M - Bracket'!X21),"")</f>
        <v/>
      </c>
      <c r="E60" s="90" t="str">
        <f>IFERROR(IF('Novice 15M - Bracket'!Y21="","",'Novice 15M - Bracket'!Y21),"")</f>
        <v/>
      </c>
      <c r="F60" s="90" t="str">
        <f>IFERROR(IF('Novice 15M - Bracket'!Z21="","",'Novice 15M - Bracket'!Z21),"")</f>
        <v/>
      </c>
      <c r="G60" s="90" t="str">
        <f>IFERROR(IF('Novice 15M - Bracket'!AA21="","",'Novice 15M - Bracket'!AA21),"")</f>
        <v/>
      </c>
      <c r="H60" s="32">
        <f>IFERROR(IF(ISNUMBER('Novice 15M - Bracket'!AB21),'Novice 15M - Bracket'!AB21,0),0)</f>
        <v>0</v>
      </c>
      <c r="I60" s="91" t="str">
        <f>IF(AND(ISNUMBER('Novice 15M - Bracket'!AB21),ISNUMBER('Novice 15M - Bracket'!AB23)),IF('Novice 15M - Bracket'!AB21&gt;'Novice 15M - Bracket'!AB23,"2-0",IF('Novice 15M - Bracket'!AB21='Novice 15M - Bracket'!AB23,"1-1","0-2")),"—")</f>
        <v>—</v>
      </c>
      <c r="J60" s="32">
        <f>IFERROR(IF(ISNUMBER('Novice 15M - Bracket'!AB23),'Novice 15M - Bracket'!AB23,0),0)</f>
        <v>0</v>
      </c>
      <c r="K60" s="90" t="str">
        <f>IFERROR(IF('Novice 15M - Bracket'!AA23="","",'Novice 15M - Bracket'!AA23),"")</f>
        <v/>
      </c>
      <c r="L60" s="90" t="str">
        <f>IFERROR(IF('Novice 15M - Bracket'!Z23="","",'Novice 15M - Bracket'!Z23),"")</f>
        <v/>
      </c>
      <c r="M60" s="90" t="str">
        <f>IFERROR(IF('Novice 15M - Bracket'!Y23="","",'Novice 15M - Bracket'!Y23),"")</f>
        <v/>
      </c>
      <c r="N60" s="90" t="str">
        <f>IFERROR(IF('Novice 15M - Bracket'!X23="","",'Novice 15M - Bracket'!X23),"")</f>
        <v/>
      </c>
      <c r="O60" s="90" t="str">
        <f>IFERROR(IF('Novice 15M - Bracket'!W23="","",'Novice 15M - Bracket'!W23),"")</f>
        <v/>
      </c>
      <c r="P60" s="90" t="str">
        <f>IFERROR(IF('Novice 15M - Bracket'!V23="","",'Novice 15M - Bracket'!V23),"")</f>
        <v/>
      </c>
      <c r="Q60" s="84" t="s">
        <v>224</v>
      </c>
    </row>
    <row r="61" spans="1:17" ht="21.75" customHeight="1" x14ac:dyDescent="0.35">
      <c r="A61" s="84" t="s">
        <v>227</v>
      </c>
      <c r="B61" s="90" t="str">
        <f>IFERROR(IF('Novice 15M - Bracket'!AC21="","",'Novice 15M - Bracket'!AC21),"")</f>
        <v/>
      </c>
      <c r="C61" s="90" t="str">
        <f>IFERROR(IF('Novice 15M - Bracket'!AD21="","",'Novice 15M - Bracket'!AD21),"")</f>
        <v/>
      </c>
      <c r="D61" s="90" t="str">
        <f>IFERROR(IF('Novice 15M - Bracket'!AE21="","",'Novice 15M - Bracket'!AE21),"")</f>
        <v/>
      </c>
      <c r="E61" s="90" t="str">
        <f>IFERROR(IF('Novice 15M - Bracket'!AF21="","",'Novice 15M - Bracket'!AF21),"")</f>
        <v/>
      </c>
      <c r="F61" s="90" t="str">
        <f>IFERROR(IF('Novice 15M - Bracket'!AG21="","",'Novice 15M - Bracket'!AG21),"")</f>
        <v/>
      </c>
      <c r="G61" s="90" t="str">
        <f>IFERROR(IF('Novice 15M - Bracket'!AH21="","",'Novice 15M - Bracket'!AH21),"")</f>
        <v/>
      </c>
      <c r="H61" s="32">
        <f>IFERROR(IF(ISNUMBER('Novice 15M - Bracket'!AI21),'Novice 15M - Bracket'!AI21,0),0)</f>
        <v>0</v>
      </c>
      <c r="I61" s="91" t="str">
        <f>IF(AND(ISNUMBER('Novice 15M - Bracket'!AI21),ISNUMBER('Novice 15M - Bracket'!AI23)),IF('Novice 15M - Bracket'!AI21&gt;'Novice 15M - Bracket'!AI23,"2-0",IF('Novice 15M - Bracket'!AI21='Novice 15M - Bracket'!AI23,"1-1","0-2")),"—")</f>
        <v>—</v>
      </c>
      <c r="J61" s="32">
        <f>IFERROR(IF(ISNUMBER('Novice 15M - Bracket'!AI23),'Novice 15M - Bracket'!AI23,0),0)</f>
        <v>0</v>
      </c>
      <c r="K61" s="90" t="str">
        <f>IFERROR(IF('Novice 15M - Bracket'!AH23="","",'Novice 15M - Bracket'!AH23),"")</f>
        <v/>
      </c>
      <c r="L61" s="90" t="str">
        <f>IFERROR(IF('Novice 15M - Bracket'!AG23="","",'Novice 15M - Bracket'!AG23),"")</f>
        <v/>
      </c>
      <c r="M61" s="90" t="str">
        <f>IFERROR(IF('Novice 15M - Bracket'!AF23="","",'Novice 15M - Bracket'!AF23),"")</f>
        <v/>
      </c>
      <c r="N61" s="90" t="str">
        <f>IFERROR(IF('Novice 15M - Bracket'!AE23="","",'Novice 15M - Bracket'!AE23),"")</f>
        <v/>
      </c>
      <c r="O61" s="90" t="str">
        <f>IFERROR(IF('Novice 15M - Bracket'!AD23="","",'Novice 15M - Bracket'!AD23),"")</f>
        <v/>
      </c>
      <c r="P61" s="90" t="str">
        <f>IFERROR(IF('Novice 15M - Bracket'!AC23="","",'Novice 15M - Bracket'!AC23),"")</f>
        <v/>
      </c>
      <c r="Q61" s="84" t="s">
        <v>227</v>
      </c>
    </row>
    <row r="62" spans="1:17" ht="21.75" customHeight="1" x14ac:dyDescent="0.35">
      <c r="A62" s="84" t="s">
        <v>228</v>
      </c>
      <c r="B62" s="90" t="str">
        <f>IFERROR(IF('Novice 15M - Bracket'!AJ21="","",'Novice 15M - Bracket'!AJ21),"")</f>
        <v/>
      </c>
      <c r="C62" s="90" t="str">
        <f>IFERROR(IF('Novice 15M - Bracket'!AK21="","",'Novice 15M - Bracket'!AK21),"")</f>
        <v/>
      </c>
      <c r="D62" s="90" t="str">
        <f>IFERROR(IF('Novice 15M - Bracket'!AL21="","",'Novice 15M - Bracket'!AL21),"")</f>
        <v/>
      </c>
      <c r="E62" s="90" t="str">
        <f>IFERROR(IF('Novice 15M - Bracket'!AM21="","",'Novice 15M - Bracket'!AM21),"")</f>
        <v/>
      </c>
      <c r="F62" s="90" t="str">
        <f>IFERROR(IF('Novice 15M - Bracket'!AN21="","",'Novice 15M - Bracket'!AN21),"")</f>
        <v/>
      </c>
      <c r="G62" s="90" t="str">
        <f>IFERROR(IF('Novice 15M - Bracket'!AO21="","",'Novice 15M - Bracket'!AO21),"")</f>
        <v/>
      </c>
      <c r="H62" s="32">
        <f>IFERROR(IF(ISNUMBER('Novice 15M - Bracket'!AP21),'Novice 15M - Bracket'!AP21,0),0)</f>
        <v>0</v>
      </c>
      <c r="I62" s="91" t="str">
        <f>IF(AND(ISNUMBER('Novice 15M - Bracket'!AP21),ISNUMBER('Novice 15M - Bracket'!AP23)),IF('Novice 15M - Bracket'!AP21&gt;'Novice 15M - Bracket'!AP23,"2-0",IF('Novice 15M - Bracket'!AP21='Novice 15M - Bracket'!AP23,"1-1","0-2")),"—")</f>
        <v>—</v>
      </c>
      <c r="J62" s="32">
        <f>IFERROR(IF(ISNUMBER('Novice 15M - Bracket'!AP23),'Novice 15M - Bracket'!AP23,0),0)</f>
        <v>0</v>
      </c>
      <c r="K62" s="90" t="str">
        <f>IFERROR(IF('Novice 15M - Bracket'!AO23="","",'Novice 15M - Bracket'!AO23),"")</f>
        <v/>
      </c>
      <c r="L62" s="90" t="str">
        <f>IFERROR(IF('Novice 15M - Bracket'!AN23="","",'Novice 15M - Bracket'!AN23),"")</f>
        <v/>
      </c>
      <c r="M62" s="90" t="str">
        <f>IFERROR(IF('Novice 15M - Bracket'!AM23="","",'Novice 15M - Bracket'!AM23),"")</f>
        <v/>
      </c>
      <c r="N62" s="90" t="str">
        <f>IFERROR(IF('Novice 15M - Bracket'!AL23="","",'Novice 15M - Bracket'!AL23),"")</f>
        <v/>
      </c>
      <c r="O62" s="90" t="str">
        <f>IFERROR(IF('Novice 15M - Bracket'!AK23="","",'Novice 15M - Bracket'!AK23),"")</f>
        <v/>
      </c>
      <c r="P62" s="90" t="str">
        <f>IFERROR(IF('Novice 15M - Bracket'!AJ23="","",'Novice 15M - Bracket'!AJ23),"")</f>
        <v/>
      </c>
      <c r="Q62" s="84" t="s">
        <v>228</v>
      </c>
    </row>
    <row r="63" spans="1:17" ht="21.75" customHeight="1" x14ac:dyDescent="0.35">
      <c r="A63" s="92" t="s">
        <v>237</v>
      </c>
      <c r="B63" s="93" t="str">
        <f>IFERROR(IF('Novice 15M - Bracket'!AQ21="","",'Novice 15M - Bracket'!AQ21),"")</f>
        <v/>
      </c>
      <c r="C63" s="93" t="str">
        <f>IFERROR(IF('Novice 15M - Bracket'!AR21="","",'Novice 15M - Bracket'!AR21),"")</f>
        <v/>
      </c>
      <c r="D63" s="93" t="str">
        <f>IFERROR(IF('Novice 15M - Bracket'!AS21="","",'Novice 15M - Bracket'!AS21),"")</f>
        <v/>
      </c>
      <c r="E63" s="93" t="str">
        <f>IFERROR(IF('Novice 15M - Bracket'!AT21="","",'Novice 15M - Bracket'!AT21),"")</f>
        <v/>
      </c>
      <c r="F63" s="93" t="str">
        <f>IFERROR(IF('Novice 15M - Bracket'!AU21="","",'Novice 15M - Bracket'!AU21),"")</f>
        <v/>
      </c>
      <c r="G63" s="93" t="str">
        <f>IFERROR(IF('Novice 15M - Bracket'!AV21="","",'Novice 15M - Bracket'!AV21),"")</f>
        <v/>
      </c>
      <c r="H63" s="32">
        <f>IFERROR(IF(ISNUMBER('Novice 15M - Bracket'!AW21),'Novice 15M - Bracket'!AW21,0),0)</f>
        <v>0</v>
      </c>
      <c r="I63" s="91" t="str">
        <f>IF(AND(ISNUMBER('Novice 15M - Bracket'!AW21),ISNUMBER('Novice 15M - Bracket'!AW23)),IF('Novice 15M - Bracket'!AW21&gt;'Novice 15M - Bracket'!AW23,"2-0",IF('Novice 15M - Bracket'!AW21='Novice 15M - Bracket'!AW23,"1-1","0-2")),"—")</f>
        <v>—</v>
      </c>
      <c r="J63" s="32">
        <f>IFERROR(IF(ISNUMBER('Novice 15M - Bracket'!AW23),'Novice 15M - Bracket'!AW23,0),0)</f>
        <v>0</v>
      </c>
      <c r="K63" s="93" t="str">
        <f>IFERROR(IF('Novice 15M - Bracket'!AV23="","",'Novice 15M - Bracket'!AV23),"")</f>
        <v/>
      </c>
      <c r="L63" s="93" t="str">
        <f>IFERROR(IF('Novice 15M - Bracket'!AU23="","",'Novice 15M - Bracket'!AU23),"")</f>
        <v/>
      </c>
      <c r="M63" s="93" t="str">
        <f>IFERROR(IF('Novice 15M - Bracket'!AT23="","",'Novice 15M - Bracket'!AT23),"")</f>
        <v/>
      </c>
      <c r="N63" s="93" t="str">
        <f>IFERROR(IF('Novice 15M - Bracket'!AS23="","",'Novice 15M - Bracket'!AS23),"")</f>
        <v/>
      </c>
      <c r="O63" s="93" t="str">
        <f>IFERROR(IF('Novice 15M - Bracket'!AR23="","",'Novice 15M - Bracket'!AR23),"")</f>
        <v/>
      </c>
      <c r="P63" s="93" t="str">
        <f>IFERROR(IF('Novice 15M - Bracket'!AQ23="","",'Novice 15M - Bracket'!AQ23),"")</f>
        <v/>
      </c>
      <c r="Q63" s="92" t="s">
        <v>237</v>
      </c>
    </row>
    <row r="64" spans="1:17" ht="4.5" customHeight="1" x14ac:dyDescent="0.35"/>
    <row r="65" spans="1:17" ht="31.5" customHeight="1" x14ac:dyDescent="0.35">
      <c r="A65" s="130">
        <f>IFERROR(IF(ISNUMBER('Novice 15M - Bracket'!AX21),'Novice 15M - Bracket'!AX21,0),0)</f>
        <v>0</v>
      </c>
      <c r="B65" s="130"/>
      <c r="C65" s="130"/>
      <c r="D65" s="130"/>
      <c r="E65" s="130"/>
      <c r="F65" s="130"/>
      <c r="G65" s="130"/>
      <c r="H65" s="94" t="str">
        <f>IFERROR('Novice 15M - Bracket'!BA21,"")</f>
        <v>&gt;&gt; Advance</v>
      </c>
      <c r="I65" s="86"/>
      <c r="J65" s="94" t="str">
        <f>IFERROR('Novice 15M - Bracket'!BA23,"")</f>
        <v>&gt;&gt; Advance</v>
      </c>
      <c r="K65" s="130">
        <f>IFERROR(IF(ISNUMBER('Novice 15M - Bracket'!AX23),'Novice 15M - Bracket'!AX23,0),0)</f>
        <v>0</v>
      </c>
      <c r="L65" s="130"/>
      <c r="M65" s="130"/>
      <c r="N65" s="130"/>
      <c r="O65" s="130"/>
      <c r="P65" s="130"/>
      <c r="Q65" s="130"/>
    </row>
    <row r="66" spans="1:17" ht="21.75" customHeight="1" x14ac:dyDescent="0.35">
      <c r="A66" s="130"/>
      <c r="B66" s="130"/>
      <c r="C66" s="130"/>
      <c r="D66" s="130"/>
      <c r="E66" s="130"/>
      <c r="F66" s="130"/>
      <c r="G66" s="130"/>
      <c r="K66" s="130"/>
      <c r="L66" s="130"/>
      <c r="M66" s="130"/>
      <c r="N66" s="130"/>
      <c r="O66" s="130"/>
      <c r="P66" s="130"/>
      <c r="Q66" s="130"/>
    </row>
    <row r="67" spans="1:17" ht="4.5" customHeight="1" x14ac:dyDescent="0.35"/>
    <row r="68" spans="1:17" ht="12" customHeight="1" x14ac:dyDescent="0.35">
      <c r="A68" s="126"/>
      <c r="B68" s="126"/>
      <c r="C68" s="126"/>
      <c r="D68" s="126"/>
      <c r="E68" s="126"/>
      <c r="F68" s="126"/>
      <c r="G68" s="126"/>
      <c r="H68" s="126"/>
      <c r="I68" s="126"/>
      <c r="J68" s="126"/>
      <c r="K68" s="126"/>
      <c r="L68" s="126"/>
      <c r="M68" s="126"/>
      <c r="N68" s="126"/>
      <c r="O68" s="126"/>
      <c r="P68" s="126"/>
      <c r="Q68" s="126"/>
    </row>
    <row r="69" spans="1:17" ht="7.5" customHeight="1" x14ac:dyDescent="0.35"/>
    <row r="70" spans="1:17" ht="19.5" customHeight="1" x14ac:dyDescent="0.35">
      <c r="A70" s="127" t="s">
        <v>241</v>
      </c>
      <c r="B70" s="127"/>
      <c r="C70" s="127"/>
      <c r="D70" s="127"/>
      <c r="E70" s="127"/>
      <c r="F70" s="127"/>
      <c r="G70" s="127"/>
      <c r="H70" s="127"/>
      <c r="I70" s="127"/>
      <c r="J70" s="127"/>
      <c r="K70" s="127"/>
      <c r="L70" s="127"/>
      <c r="M70" s="127"/>
      <c r="N70" s="127"/>
      <c r="O70" s="127"/>
      <c r="P70" s="127"/>
      <c r="Q70" s="127"/>
    </row>
    <row r="71" spans="1:17" ht="4.5" customHeight="1" x14ac:dyDescent="0.35"/>
    <row r="72" spans="1:17" ht="21.75" customHeight="1" x14ac:dyDescent="0.35">
      <c r="A72" s="84" t="s">
        <v>232</v>
      </c>
      <c r="B72" s="128" t="str">
        <f>IFERROR(IF('Novice 15M - Bracket'!B26="","TBD",'Novice 15M - Bracket'!B26),"TBD")</f>
        <v>TBD</v>
      </c>
      <c r="C72" s="128"/>
      <c r="D72" s="128"/>
      <c r="E72" s="128"/>
      <c r="F72" s="128"/>
      <c r="G72" s="128"/>
      <c r="H72" s="128"/>
      <c r="I72" s="84" t="s">
        <v>233</v>
      </c>
      <c r="J72" s="128" t="str">
        <f>IFERROR(IF('Novice 15M - Bracket'!B28="","TBD",'Novice 15M - Bracket'!B28),"TBD")</f>
        <v>TBD</v>
      </c>
      <c r="K72" s="128"/>
      <c r="L72" s="128"/>
      <c r="M72" s="128"/>
      <c r="N72" s="128"/>
      <c r="O72" s="128"/>
      <c r="P72" s="128"/>
      <c r="Q72" s="84" t="s">
        <v>232</v>
      </c>
    </row>
    <row r="73" spans="1:17" ht="13.5" customHeight="1" x14ac:dyDescent="0.35">
      <c r="A73" s="85" t="s">
        <v>234</v>
      </c>
      <c r="B73" s="129" t="str">
        <f>IFERROR('Novice 15M - Bracket'!A26,"")</f>
        <v>BYE</v>
      </c>
      <c r="C73" s="129"/>
      <c r="D73" s="129"/>
      <c r="E73" s="129"/>
      <c r="F73" s="129"/>
      <c r="G73" s="129"/>
      <c r="H73" s="129"/>
      <c r="I73" s="86"/>
      <c r="J73" s="129" t="str">
        <f>IFERROR('Novice 15M - Bracket'!A28,"")</f>
        <v>BYE</v>
      </c>
      <c r="K73" s="129"/>
      <c r="L73" s="129"/>
      <c r="M73" s="129"/>
      <c r="N73" s="129"/>
      <c r="O73" s="129"/>
      <c r="P73" s="129"/>
      <c r="Q73" s="85" t="s">
        <v>234</v>
      </c>
    </row>
    <row r="74" spans="1:17" ht="19.5" customHeight="1" x14ac:dyDescent="0.35">
      <c r="A74" s="87" t="s">
        <v>235</v>
      </c>
      <c r="B74" s="88" t="s">
        <v>83</v>
      </c>
      <c r="C74" s="88" t="s">
        <v>84</v>
      </c>
      <c r="D74" s="88" t="s">
        <v>85</v>
      </c>
      <c r="E74" s="88" t="s">
        <v>86</v>
      </c>
      <c r="F74" s="88" t="s">
        <v>87</v>
      </c>
      <c r="G74" s="88" t="s">
        <v>88</v>
      </c>
      <c r="H74" s="24" t="s">
        <v>236</v>
      </c>
      <c r="I74" s="89"/>
      <c r="J74" s="24" t="s">
        <v>236</v>
      </c>
      <c r="K74" s="88" t="s">
        <v>88</v>
      </c>
      <c r="L74" s="88" t="s">
        <v>87</v>
      </c>
      <c r="M74" s="88" t="s">
        <v>86</v>
      </c>
      <c r="N74" s="88" t="s">
        <v>85</v>
      </c>
      <c r="O74" s="88" t="s">
        <v>84</v>
      </c>
      <c r="P74" s="88" t="s">
        <v>83</v>
      </c>
      <c r="Q74" s="87" t="s">
        <v>235</v>
      </c>
    </row>
    <row r="75" spans="1:17" ht="21.75" customHeight="1" x14ac:dyDescent="0.35">
      <c r="A75" s="84" t="s">
        <v>222</v>
      </c>
      <c r="B75" s="90" t="str">
        <f>IFERROR(IF('Novice 15M - Bracket'!H26="","",'Novice 15M - Bracket'!H26),"")</f>
        <v/>
      </c>
      <c r="C75" s="90" t="str">
        <f>IFERROR(IF('Novice 15M - Bracket'!I26="","",'Novice 15M - Bracket'!I26),"")</f>
        <v/>
      </c>
      <c r="D75" s="90" t="str">
        <f>IFERROR(IF('Novice 15M - Bracket'!J26="","",'Novice 15M - Bracket'!J26),"")</f>
        <v/>
      </c>
      <c r="E75" s="90" t="str">
        <f>IFERROR(IF('Novice 15M - Bracket'!K26="","",'Novice 15M - Bracket'!K26),"")</f>
        <v/>
      </c>
      <c r="F75" s="90" t="str">
        <f>IFERROR(IF('Novice 15M - Bracket'!L26="","",'Novice 15M - Bracket'!L26),"")</f>
        <v/>
      </c>
      <c r="G75" s="90" t="str">
        <f>IFERROR(IF('Novice 15M - Bracket'!M26="","",'Novice 15M - Bracket'!M26),"")</f>
        <v/>
      </c>
      <c r="H75" s="32">
        <f>IFERROR(IF(ISNUMBER('Novice 15M - Bracket'!N26),'Novice 15M - Bracket'!N26,0),0)</f>
        <v>0</v>
      </c>
      <c r="I75" s="91" t="str">
        <f>IF(AND(ISNUMBER('Novice 15M - Bracket'!N26),ISNUMBER('Novice 15M - Bracket'!N28)),IF('Novice 15M - Bracket'!N26&gt;'Novice 15M - Bracket'!N28,"2-0",IF('Novice 15M - Bracket'!N26='Novice 15M - Bracket'!N28,"1-1","0-2")),"—")</f>
        <v>—</v>
      </c>
      <c r="J75" s="32">
        <f>IFERROR(IF(ISNUMBER('Novice 15M - Bracket'!N28),'Novice 15M - Bracket'!N28,0),0)</f>
        <v>0</v>
      </c>
      <c r="K75" s="90" t="str">
        <f>IFERROR(IF('Novice 15M - Bracket'!M28="","",'Novice 15M - Bracket'!M28),"")</f>
        <v/>
      </c>
      <c r="L75" s="90" t="str">
        <f>IFERROR(IF('Novice 15M - Bracket'!L28="","",'Novice 15M - Bracket'!L28),"")</f>
        <v/>
      </c>
      <c r="M75" s="90" t="str">
        <f>IFERROR(IF('Novice 15M - Bracket'!K28="","",'Novice 15M - Bracket'!K28),"")</f>
        <v/>
      </c>
      <c r="N75" s="90" t="str">
        <f>IFERROR(IF('Novice 15M - Bracket'!J28="","",'Novice 15M - Bracket'!J28),"")</f>
        <v/>
      </c>
      <c r="O75" s="90" t="str">
        <f>IFERROR(IF('Novice 15M - Bracket'!I28="","",'Novice 15M - Bracket'!I28),"")</f>
        <v/>
      </c>
      <c r="P75" s="90" t="str">
        <f>IFERROR(IF('Novice 15M - Bracket'!H28="","",'Novice 15M - Bracket'!H28),"")</f>
        <v/>
      </c>
      <c r="Q75" s="84" t="s">
        <v>222</v>
      </c>
    </row>
    <row r="76" spans="1:17" ht="21.75" customHeight="1" x14ac:dyDescent="0.35">
      <c r="A76" s="84" t="s">
        <v>223</v>
      </c>
      <c r="B76" s="90" t="str">
        <f>IFERROR(IF('Novice 15M - Bracket'!O26="","",'Novice 15M - Bracket'!O26),"")</f>
        <v/>
      </c>
      <c r="C76" s="90" t="str">
        <f>IFERROR(IF('Novice 15M - Bracket'!P26="","",'Novice 15M - Bracket'!P26),"")</f>
        <v/>
      </c>
      <c r="D76" s="90" t="str">
        <f>IFERROR(IF('Novice 15M - Bracket'!Q26="","",'Novice 15M - Bracket'!Q26),"")</f>
        <v/>
      </c>
      <c r="E76" s="90" t="str">
        <f>IFERROR(IF('Novice 15M - Bracket'!R26="","",'Novice 15M - Bracket'!R26),"")</f>
        <v/>
      </c>
      <c r="F76" s="90" t="str">
        <f>IFERROR(IF('Novice 15M - Bracket'!S26="","",'Novice 15M - Bracket'!S26),"")</f>
        <v/>
      </c>
      <c r="G76" s="90" t="str">
        <f>IFERROR(IF('Novice 15M - Bracket'!T26="","",'Novice 15M - Bracket'!T26),"")</f>
        <v/>
      </c>
      <c r="H76" s="32">
        <f>IFERROR(IF(ISNUMBER('Novice 15M - Bracket'!U26),'Novice 15M - Bracket'!U26,0),0)</f>
        <v>0</v>
      </c>
      <c r="I76" s="91" t="str">
        <f>IF(AND(ISNUMBER('Novice 15M - Bracket'!U26),ISNUMBER('Novice 15M - Bracket'!U28)),IF('Novice 15M - Bracket'!U26&gt;'Novice 15M - Bracket'!U28,"2-0",IF('Novice 15M - Bracket'!U26='Novice 15M - Bracket'!U28,"1-1","0-2")),"—")</f>
        <v>—</v>
      </c>
      <c r="J76" s="32">
        <f>IFERROR(IF(ISNUMBER('Novice 15M - Bracket'!U28),'Novice 15M - Bracket'!U28,0),0)</f>
        <v>0</v>
      </c>
      <c r="K76" s="90" t="str">
        <f>IFERROR(IF('Novice 15M - Bracket'!T28="","",'Novice 15M - Bracket'!T28),"")</f>
        <v/>
      </c>
      <c r="L76" s="90" t="str">
        <f>IFERROR(IF('Novice 15M - Bracket'!S28="","",'Novice 15M - Bracket'!S28),"")</f>
        <v/>
      </c>
      <c r="M76" s="90" t="str">
        <f>IFERROR(IF('Novice 15M - Bracket'!R28="","",'Novice 15M - Bracket'!R28),"")</f>
        <v/>
      </c>
      <c r="N76" s="90" t="str">
        <f>IFERROR(IF('Novice 15M - Bracket'!Q28="","",'Novice 15M - Bracket'!Q28),"")</f>
        <v/>
      </c>
      <c r="O76" s="90" t="str">
        <f>IFERROR(IF('Novice 15M - Bracket'!P28="","",'Novice 15M - Bracket'!P28),"")</f>
        <v/>
      </c>
      <c r="P76" s="90" t="str">
        <f>IFERROR(IF('Novice 15M - Bracket'!O28="","",'Novice 15M - Bracket'!O28),"")</f>
        <v/>
      </c>
      <c r="Q76" s="84" t="s">
        <v>223</v>
      </c>
    </row>
    <row r="77" spans="1:17" ht="21.75" customHeight="1" x14ac:dyDescent="0.35">
      <c r="A77" s="84" t="s">
        <v>224</v>
      </c>
      <c r="B77" s="90" t="str">
        <f>IFERROR(IF('Novice 15M - Bracket'!V26="","",'Novice 15M - Bracket'!V26),"")</f>
        <v/>
      </c>
      <c r="C77" s="90" t="str">
        <f>IFERROR(IF('Novice 15M - Bracket'!W26="","",'Novice 15M - Bracket'!W26),"")</f>
        <v/>
      </c>
      <c r="D77" s="90" t="str">
        <f>IFERROR(IF('Novice 15M - Bracket'!X26="","",'Novice 15M - Bracket'!X26),"")</f>
        <v/>
      </c>
      <c r="E77" s="90" t="str">
        <f>IFERROR(IF('Novice 15M - Bracket'!Y26="","",'Novice 15M - Bracket'!Y26),"")</f>
        <v/>
      </c>
      <c r="F77" s="90" t="str">
        <f>IFERROR(IF('Novice 15M - Bracket'!Z26="","",'Novice 15M - Bracket'!Z26),"")</f>
        <v/>
      </c>
      <c r="G77" s="90" t="str">
        <f>IFERROR(IF('Novice 15M - Bracket'!AA26="","",'Novice 15M - Bracket'!AA26),"")</f>
        <v/>
      </c>
      <c r="H77" s="32">
        <f>IFERROR(IF(ISNUMBER('Novice 15M - Bracket'!AB26),'Novice 15M - Bracket'!AB26,0),0)</f>
        <v>0</v>
      </c>
      <c r="I77" s="91" t="str">
        <f>IF(AND(ISNUMBER('Novice 15M - Bracket'!AB26),ISNUMBER('Novice 15M - Bracket'!AB28)),IF('Novice 15M - Bracket'!AB26&gt;'Novice 15M - Bracket'!AB28,"2-0",IF('Novice 15M - Bracket'!AB26='Novice 15M - Bracket'!AB28,"1-1","0-2")),"—")</f>
        <v>—</v>
      </c>
      <c r="J77" s="32">
        <f>IFERROR(IF(ISNUMBER('Novice 15M - Bracket'!AB28),'Novice 15M - Bracket'!AB28,0),0)</f>
        <v>0</v>
      </c>
      <c r="K77" s="90" t="str">
        <f>IFERROR(IF('Novice 15M - Bracket'!AA28="","",'Novice 15M - Bracket'!AA28),"")</f>
        <v/>
      </c>
      <c r="L77" s="90" t="str">
        <f>IFERROR(IF('Novice 15M - Bracket'!Z28="","",'Novice 15M - Bracket'!Z28),"")</f>
        <v/>
      </c>
      <c r="M77" s="90" t="str">
        <f>IFERROR(IF('Novice 15M - Bracket'!Y28="","",'Novice 15M - Bracket'!Y28),"")</f>
        <v/>
      </c>
      <c r="N77" s="90" t="str">
        <f>IFERROR(IF('Novice 15M - Bracket'!X28="","",'Novice 15M - Bracket'!X28),"")</f>
        <v/>
      </c>
      <c r="O77" s="90" t="str">
        <f>IFERROR(IF('Novice 15M - Bracket'!W28="","",'Novice 15M - Bracket'!W28),"")</f>
        <v/>
      </c>
      <c r="P77" s="90" t="str">
        <f>IFERROR(IF('Novice 15M - Bracket'!V28="","",'Novice 15M - Bracket'!V28),"")</f>
        <v/>
      </c>
      <c r="Q77" s="84" t="s">
        <v>224</v>
      </c>
    </row>
    <row r="78" spans="1:17" ht="21.75" customHeight="1" x14ac:dyDescent="0.35">
      <c r="A78" s="84" t="s">
        <v>227</v>
      </c>
      <c r="B78" s="90" t="str">
        <f>IFERROR(IF('Novice 15M - Bracket'!AC26="","",'Novice 15M - Bracket'!AC26),"")</f>
        <v/>
      </c>
      <c r="C78" s="90" t="str">
        <f>IFERROR(IF('Novice 15M - Bracket'!AD26="","",'Novice 15M - Bracket'!AD26),"")</f>
        <v/>
      </c>
      <c r="D78" s="90" t="str">
        <f>IFERROR(IF('Novice 15M - Bracket'!AE26="","",'Novice 15M - Bracket'!AE26),"")</f>
        <v/>
      </c>
      <c r="E78" s="90" t="str">
        <f>IFERROR(IF('Novice 15M - Bracket'!AF26="","",'Novice 15M - Bracket'!AF26),"")</f>
        <v/>
      </c>
      <c r="F78" s="90" t="str">
        <f>IFERROR(IF('Novice 15M - Bracket'!AG26="","",'Novice 15M - Bracket'!AG26),"")</f>
        <v/>
      </c>
      <c r="G78" s="90" t="str">
        <f>IFERROR(IF('Novice 15M - Bracket'!AH26="","",'Novice 15M - Bracket'!AH26),"")</f>
        <v/>
      </c>
      <c r="H78" s="32">
        <f>IFERROR(IF(ISNUMBER('Novice 15M - Bracket'!AI26),'Novice 15M - Bracket'!AI26,0),0)</f>
        <v>0</v>
      </c>
      <c r="I78" s="91" t="str">
        <f>IF(AND(ISNUMBER('Novice 15M - Bracket'!AI26),ISNUMBER('Novice 15M - Bracket'!AI28)),IF('Novice 15M - Bracket'!AI26&gt;'Novice 15M - Bracket'!AI28,"2-0",IF('Novice 15M - Bracket'!AI26='Novice 15M - Bracket'!AI28,"1-1","0-2")),"—")</f>
        <v>—</v>
      </c>
      <c r="J78" s="32">
        <f>IFERROR(IF(ISNUMBER('Novice 15M - Bracket'!AI28),'Novice 15M - Bracket'!AI28,0),0)</f>
        <v>0</v>
      </c>
      <c r="K78" s="90" t="str">
        <f>IFERROR(IF('Novice 15M - Bracket'!AH28="","",'Novice 15M - Bracket'!AH28),"")</f>
        <v/>
      </c>
      <c r="L78" s="90" t="str">
        <f>IFERROR(IF('Novice 15M - Bracket'!AG28="","",'Novice 15M - Bracket'!AG28),"")</f>
        <v/>
      </c>
      <c r="M78" s="90" t="str">
        <f>IFERROR(IF('Novice 15M - Bracket'!AF28="","",'Novice 15M - Bracket'!AF28),"")</f>
        <v/>
      </c>
      <c r="N78" s="90" t="str">
        <f>IFERROR(IF('Novice 15M - Bracket'!AE28="","",'Novice 15M - Bracket'!AE28),"")</f>
        <v/>
      </c>
      <c r="O78" s="90" t="str">
        <f>IFERROR(IF('Novice 15M - Bracket'!AD28="","",'Novice 15M - Bracket'!AD28),"")</f>
        <v/>
      </c>
      <c r="P78" s="90" t="str">
        <f>IFERROR(IF('Novice 15M - Bracket'!AC28="","",'Novice 15M - Bracket'!AC28),"")</f>
        <v/>
      </c>
      <c r="Q78" s="84" t="s">
        <v>227</v>
      </c>
    </row>
    <row r="79" spans="1:17" ht="21.75" customHeight="1" x14ac:dyDescent="0.35">
      <c r="A79" s="84" t="s">
        <v>228</v>
      </c>
      <c r="B79" s="90" t="str">
        <f>IFERROR(IF('Novice 15M - Bracket'!AJ26="","",'Novice 15M - Bracket'!AJ26),"")</f>
        <v/>
      </c>
      <c r="C79" s="90" t="str">
        <f>IFERROR(IF('Novice 15M - Bracket'!AK26="","",'Novice 15M - Bracket'!AK26),"")</f>
        <v/>
      </c>
      <c r="D79" s="90" t="str">
        <f>IFERROR(IF('Novice 15M - Bracket'!AL26="","",'Novice 15M - Bracket'!AL26),"")</f>
        <v/>
      </c>
      <c r="E79" s="90" t="str">
        <f>IFERROR(IF('Novice 15M - Bracket'!AM26="","",'Novice 15M - Bracket'!AM26),"")</f>
        <v/>
      </c>
      <c r="F79" s="90" t="str">
        <f>IFERROR(IF('Novice 15M - Bracket'!AN26="","",'Novice 15M - Bracket'!AN26),"")</f>
        <v/>
      </c>
      <c r="G79" s="90" t="str">
        <f>IFERROR(IF('Novice 15M - Bracket'!AO26="","",'Novice 15M - Bracket'!AO26),"")</f>
        <v/>
      </c>
      <c r="H79" s="32">
        <f>IFERROR(IF(ISNUMBER('Novice 15M - Bracket'!AP26),'Novice 15M - Bracket'!AP26,0),0)</f>
        <v>0</v>
      </c>
      <c r="I79" s="91" t="str">
        <f>IF(AND(ISNUMBER('Novice 15M - Bracket'!AP26),ISNUMBER('Novice 15M - Bracket'!AP28)),IF('Novice 15M - Bracket'!AP26&gt;'Novice 15M - Bracket'!AP28,"2-0",IF('Novice 15M - Bracket'!AP26='Novice 15M - Bracket'!AP28,"1-1","0-2")),"—")</f>
        <v>—</v>
      </c>
      <c r="J79" s="32">
        <f>IFERROR(IF(ISNUMBER('Novice 15M - Bracket'!AP28),'Novice 15M - Bracket'!AP28,0),0)</f>
        <v>0</v>
      </c>
      <c r="K79" s="90" t="str">
        <f>IFERROR(IF('Novice 15M - Bracket'!AO28="","",'Novice 15M - Bracket'!AO28),"")</f>
        <v/>
      </c>
      <c r="L79" s="90" t="str">
        <f>IFERROR(IF('Novice 15M - Bracket'!AN28="","",'Novice 15M - Bracket'!AN28),"")</f>
        <v/>
      </c>
      <c r="M79" s="90" t="str">
        <f>IFERROR(IF('Novice 15M - Bracket'!AM28="","",'Novice 15M - Bracket'!AM28),"")</f>
        <v/>
      </c>
      <c r="N79" s="90" t="str">
        <f>IFERROR(IF('Novice 15M - Bracket'!AL28="","",'Novice 15M - Bracket'!AL28),"")</f>
        <v/>
      </c>
      <c r="O79" s="90" t="str">
        <f>IFERROR(IF('Novice 15M - Bracket'!AK28="","",'Novice 15M - Bracket'!AK28),"")</f>
        <v/>
      </c>
      <c r="P79" s="90" t="str">
        <f>IFERROR(IF('Novice 15M - Bracket'!AJ28="","",'Novice 15M - Bracket'!AJ28),"")</f>
        <v/>
      </c>
      <c r="Q79" s="84" t="s">
        <v>228</v>
      </c>
    </row>
    <row r="80" spans="1:17" ht="21.75" customHeight="1" x14ac:dyDescent="0.35">
      <c r="A80" s="92" t="s">
        <v>237</v>
      </c>
      <c r="B80" s="93" t="str">
        <f>IFERROR(IF('Novice 15M - Bracket'!AQ26="","",'Novice 15M - Bracket'!AQ26),"")</f>
        <v/>
      </c>
      <c r="C80" s="93" t="str">
        <f>IFERROR(IF('Novice 15M - Bracket'!AR26="","",'Novice 15M - Bracket'!AR26),"")</f>
        <v/>
      </c>
      <c r="D80" s="93" t="str">
        <f>IFERROR(IF('Novice 15M - Bracket'!AS26="","",'Novice 15M - Bracket'!AS26),"")</f>
        <v/>
      </c>
      <c r="E80" s="93" t="str">
        <f>IFERROR(IF('Novice 15M - Bracket'!AT26="","",'Novice 15M - Bracket'!AT26),"")</f>
        <v/>
      </c>
      <c r="F80" s="93" t="str">
        <f>IFERROR(IF('Novice 15M - Bracket'!AU26="","",'Novice 15M - Bracket'!AU26),"")</f>
        <v/>
      </c>
      <c r="G80" s="93" t="str">
        <f>IFERROR(IF('Novice 15M - Bracket'!AV26="","",'Novice 15M - Bracket'!AV26),"")</f>
        <v/>
      </c>
      <c r="H80" s="32">
        <f>IFERROR(IF(ISNUMBER('Novice 15M - Bracket'!AW26),'Novice 15M - Bracket'!AW26,0),0)</f>
        <v>0</v>
      </c>
      <c r="I80" s="91" t="str">
        <f>IF(AND(ISNUMBER('Novice 15M - Bracket'!AW26),ISNUMBER('Novice 15M - Bracket'!AW28)),IF('Novice 15M - Bracket'!AW26&gt;'Novice 15M - Bracket'!AW28,"2-0",IF('Novice 15M - Bracket'!AW26='Novice 15M - Bracket'!AW28,"1-1","0-2")),"—")</f>
        <v>—</v>
      </c>
      <c r="J80" s="32">
        <f>IFERROR(IF(ISNUMBER('Novice 15M - Bracket'!AW28),'Novice 15M - Bracket'!AW28,0),0)</f>
        <v>0</v>
      </c>
      <c r="K80" s="93" t="str">
        <f>IFERROR(IF('Novice 15M - Bracket'!AV28="","",'Novice 15M - Bracket'!AV28),"")</f>
        <v/>
      </c>
      <c r="L80" s="93" t="str">
        <f>IFERROR(IF('Novice 15M - Bracket'!AU28="","",'Novice 15M - Bracket'!AU28),"")</f>
        <v/>
      </c>
      <c r="M80" s="93" t="str">
        <f>IFERROR(IF('Novice 15M - Bracket'!AT28="","",'Novice 15M - Bracket'!AT28),"")</f>
        <v/>
      </c>
      <c r="N80" s="93" t="str">
        <f>IFERROR(IF('Novice 15M - Bracket'!AS28="","",'Novice 15M - Bracket'!AS28),"")</f>
        <v/>
      </c>
      <c r="O80" s="93" t="str">
        <f>IFERROR(IF('Novice 15M - Bracket'!AR28="","",'Novice 15M - Bracket'!AR28),"")</f>
        <v/>
      </c>
      <c r="P80" s="93" t="str">
        <f>IFERROR(IF('Novice 15M - Bracket'!AQ28="","",'Novice 15M - Bracket'!AQ28),"")</f>
        <v/>
      </c>
      <c r="Q80" s="92" t="s">
        <v>237</v>
      </c>
    </row>
    <row r="81" spans="1:17" ht="4.5" customHeight="1" x14ac:dyDescent="0.35"/>
    <row r="82" spans="1:17" ht="31.5" customHeight="1" x14ac:dyDescent="0.35">
      <c r="A82" s="130">
        <f>IFERROR(IF(ISNUMBER('Novice 15M - Bracket'!AX26),'Novice 15M - Bracket'!AX26,0),0)</f>
        <v>0</v>
      </c>
      <c r="B82" s="130"/>
      <c r="C82" s="130"/>
      <c r="D82" s="130"/>
      <c r="E82" s="130"/>
      <c r="F82" s="130"/>
      <c r="G82" s="130"/>
      <c r="H82" s="94" t="str">
        <f>IFERROR('Novice 15M - Bracket'!BA26,"")</f>
        <v>&gt;&gt; Advance</v>
      </c>
      <c r="I82" s="86"/>
      <c r="J82" s="94" t="str">
        <f>IFERROR('Novice 15M - Bracket'!BA28,"")</f>
        <v>&gt;&gt; Advance</v>
      </c>
      <c r="K82" s="130">
        <f>IFERROR(IF(ISNUMBER('Novice 15M - Bracket'!AX28),'Novice 15M - Bracket'!AX28,0),0)</f>
        <v>0</v>
      </c>
      <c r="L82" s="130"/>
      <c r="M82" s="130"/>
      <c r="N82" s="130"/>
      <c r="O82" s="130"/>
      <c r="P82" s="130"/>
      <c r="Q82" s="130"/>
    </row>
    <row r="83" spans="1:17" ht="21.75" customHeight="1" x14ac:dyDescent="0.35">
      <c r="A83" s="130"/>
      <c r="B83" s="130"/>
      <c r="C83" s="130"/>
      <c r="D83" s="130"/>
      <c r="E83" s="130"/>
      <c r="F83" s="130"/>
      <c r="G83" s="130"/>
      <c r="K83" s="130"/>
      <c r="L83" s="130"/>
      <c r="M83" s="130"/>
      <c r="N83" s="130"/>
      <c r="O83" s="130"/>
      <c r="P83" s="130"/>
      <c r="Q83" s="130"/>
    </row>
    <row r="84" spans="1:17" ht="4.5" customHeight="1" x14ac:dyDescent="0.35"/>
    <row r="85" spans="1:17" ht="12" customHeight="1" x14ac:dyDescent="0.35">
      <c r="A85" s="126"/>
      <c r="B85" s="126"/>
      <c r="C85" s="126"/>
      <c r="D85" s="126"/>
      <c r="E85" s="126"/>
      <c r="F85" s="126"/>
      <c r="G85" s="126"/>
      <c r="H85" s="126"/>
      <c r="I85" s="126"/>
      <c r="J85" s="126"/>
      <c r="K85" s="126"/>
      <c r="L85" s="126"/>
      <c r="M85" s="126"/>
      <c r="N85" s="126"/>
      <c r="O85" s="126"/>
      <c r="P85" s="126"/>
      <c r="Q85" s="126"/>
    </row>
    <row r="86" spans="1:17" ht="7.5" customHeight="1" x14ac:dyDescent="0.35"/>
    <row r="87" spans="1:17" ht="19.5" customHeight="1" x14ac:dyDescent="0.35">
      <c r="A87" s="127" t="s">
        <v>242</v>
      </c>
      <c r="B87" s="127"/>
      <c r="C87" s="127"/>
      <c r="D87" s="127"/>
      <c r="E87" s="127"/>
      <c r="F87" s="127"/>
      <c r="G87" s="127"/>
      <c r="H87" s="127"/>
      <c r="I87" s="127"/>
      <c r="J87" s="127"/>
      <c r="K87" s="127"/>
      <c r="L87" s="127"/>
      <c r="M87" s="127"/>
      <c r="N87" s="127"/>
      <c r="O87" s="127"/>
      <c r="P87" s="127"/>
      <c r="Q87" s="127"/>
    </row>
    <row r="88" spans="1:17" ht="4.5" customHeight="1" x14ac:dyDescent="0.35"/>
    <row r="89" spans="1:17" ht="21.75" customHeight="1" x14ac:dyDescent="0.35">
      <c r="A89" s="84" t="s">
        <v>232</v>
      </c>
      <c r="B89" s="128" t="str">
        <f>IFERROR(IF('Novice 15M - Bracket'!B31="","TBD",'Novice 15M - Bracket'!B31),"TBD")</f>
        <v>TBD</v>
      </c>
      <c r="C89" s="128"/>
      <c r="D89" s="128"/>
      <c r="E89" s="128"/>
      <c r="F89" s="128"/>
      <c r="G89" s="128"/>
      <c r="H89" s="128"/>
      <c r="I89" s="84" t="s">
        <v>233</v>
      </c>
      <c r="J89" s="128" t="str">
        <f>IFERROR(IF('Novice 15M - Bracket'!B33="","TBD",'Novice 15M - Bracket'!B33),"TBD")</f>
        <v>TBD</v>
      </c>
      <c r="K89" s="128"/>
      <c r="L89" s="128"/>
      <c r="M89" s="128"/>
      <c r="N89" s="128"/>
      <c r="O89" s="128"/>
      <c r="P89" s="128"/>
      <c r="Q89" s="84" t="s">
        <v>232</v>
      </c>
    </row>
    <row r="90" spans="1:17" ht="13.5" customHeight="1" x14ac:dyDescent="0.35">
      <c r="A90" s="85" t="s">
        <v>234</v>
      </c>
      <c r="B90" s="129" t="str">
        <f>IFERROR('Novice 15M - Bracket'!A31,"")</f>
        <v>BYE</v>
      </c>
      <c r="C90" s="129"/>
      <c r="D90" s="129"/>
      <c r="E90" s="129"/>
      <c r="F90" s="129"/>
      <c r="G90" s="129"/>
      <c r="H90" s="129"/>
      <c r="I90" s="86"/>
      <c r="J90" s="129" t="str">
        <f>IFERROR('Novice 15M - Bracket'!A33,"")</f>
        <v>BYE</v>
      </c>
      <c r="K90" s="129"/>
      <c r="L90" s="129"/>
      <c r="M90" s="129"/>
      <c r="N90" s="129"/>
      <c r="O90" s="129"/>
      <c r="P90" s="129"/>
      <c r="Q90" s="85" t="s">
        <v>234</v>
      </c>
    </row>
    <row r="91" spans="1:17" ht="19.5" customHeight="1" x14ac:dyDescent="0.35">
      <c r="A91" s="87" t="s">
        <v>235</v>
      </c>
      <c r="B91" s="88" t="s">
        <v>83</v>
      </c>
      <c r="C91" s="88" t="s">
        <v>84</v>
      </c>
      <c r="D91" s="88" t="s">
        <v>85</v>
      </c>
      <c r="E91" s="88" t="s">
        <v>86</v>
      </c>
      <c r="F91" s="88" t="s">
        <v>87</v>
      </c>
      <c r="G91" s="88" t="s">
        <v>88</v>
      </c>
      <c r="H91" s="24" t="s">
        <v>236</v>
      </c>
      <c r="I91" s="89"/>
      <c r="J91" s="24" t="s">
        <v>236</v>
      </c>
      <c r="K91" s="88" t="s">
        <v>88</v>
      </c>
      <c r="L91" s="88" t="s">
        <v>87</v>
      </c>
      <c r="M91" s="88" t="s">
        <v>86</v>
      </c>
      <c r="N91" s="88" t="s">
        <v>85</v>
      </c>
      <c r="O91" s="88" t="s">
        <v>84</v>
      </c>
      <c r="P91" s="88" t="s">
        <v>83</v>
      </c>
      <c r="Q91" s="87" t="s">
        <v>235</v>
      </c>
    </row>
    <row r="92" spans="1:17" ht="21.75" customHeight="1" x14ac:dyDescent="0.35">
      <c r="A92" s="84" t="s">
        <v>222</v>
      </c>
      <c r="B92" s="90" t="str">
        <f>IFERROR(IF('Novice 15M - Bracket'!H31="","",'Novice 15M - Bracket'!H31),"")</f>
        <v/>
      </c>
      <c r="C92" s="90" t="str">
        <f>IFERROR(IF('Novice 15M - Bracket'!I31="","",'Novice 15M - Bracket'!I31),"")</f>
        <v/>
      </c>
      <c r="D92" s="90" t="str">
        <f>IFERROR(IF('Novice 15M - Bracket'!J31="","",'Novice 15M - Bracket'!J31),"")</f>
        <v/>
      </c>
      <c r="E92" s="90" t="str">
        <f>IFERROR(IF('Novice 15M - Bracket'!K31="","",'Novice 15M - Bracket'!K31),"")</f>
        <v/>
      </c>
      <c r="F92" s="90" t="str">
        <f>IFERROR(IF('Novice 15M - Bracket'!L31="","",'Novice 15M - Bracket'!L31),"")</f>
        <v/>
      </c>
      <c r="G92" s="90" t="str">
        <f>IFERROR(IF('Novice 15M - Bracket'!M31="","",'Novice 15M - Bracket'!M31),"")</f>
        <v/>
      </c>
      <c r="H92" s="32">
        <f>IFERROR(IF(ISNUMBER('Novice 15M - Bracket'!N31),'Novice 15M - Bracket'!N31,0),0)</f>
        <v>0</v>
      </c>
      <c r="I92" s="91" t="str">
        <f>IF(AND(ISNUMBER('Novice 15M - Bracket'!N31),ISNUMBER('Novice 15M - Bracket'!N33)),IF('Novice 15M - Bracket'!N31&gt;'Novice 15M - Bracket'!N33,"2-0",IF('Novice 15M - Bracket'!N31='Novice 15M - Bracket'!N33,"1-1","0-2")),"—")</f>
        <v>—</v>
      </c>
      <c r="J92" s="32">
        <f>IFERROR(IF(ISNUMBER('Novice 15M - Bracket'!N33),'Novice 15M - Bracket'!N33,0),0)</f>
        <v>0</v>
      </c>
      <c r="K92" s="90" t="str">
        <f>IFERROR(IF('Novice 15M - Bracket'!M33="","",'Novice 15M - Bracket'!M33),"")</f>
        <v/>
      </c>
      <c r="L92" s="90" t="str">
        <f>IFERROR(IF('Novice 15M - Bracket'!L33="","",'Novice 15M - Bracket'!L33),"")</f>
        <v/>
      </c>
      <c r="M92" s="90" t="str">
        <f>IFERROR(IF('Novice 15M - Bracket'!K33="","",'Novice 15M - Bracket'!K33),"")</f>
        <v/>
      </c>
      <c r="N92" s="90" t="str">
        <f>IFERROR(IF('Novice 15M - Bracket'!J33="","",'Novice 15M - Bracket'!J33),"")</f>
        <v/>
      </c>
      <c r="O92" s="90" t="str">
        <f>IFERROR(IF('Novice 15M - Bracket'!I33="","",'Novice 15M - Bracket'!I33),"")</f>
        <v/>
      </c>
      <c r="P92" s="90" t="str">
        <f>IFERROR(IF('Novice 15M - Bracket'!H33="","",'Novice 15M - Bracket'!H33),"")</f>
        <v/>
      </c>
      <c r="Q92" s="84" t="s">
        <v>222</v>
      </c>
    </row>
    <row r="93" spans="1:17" ht="21.75" customHeight="1" x14ac:dyDescent="0.35">
      <c r="A93" s="84" t="s">
        <v>223</v>
      </c>
      <c r="B93" s="90" t="str">
        <f>IFERROR(IF('Novice 15M - Bracket'!O31="","",'Novice 15M - Bracket'!O31),"")</f>
        <v/>
      </c>
      <c r="C93" s="90" t="str">
        <f>IFERROR(IF('Novice 15M - Bracket'!P31="","",'Novice 15M - Bracket'!P31),"")</f>
        <v/>
      </c>
      <c r="D93" s="90" t="str">
        <f>IFERROR(IF('Novice 15M - Bracket'!Q31="","",'Novice 15M - Bracket'!Q31),"")</f>
        <v/>
      </c>
      <c r="E93" s="90" t="str">
        <f>IFERROR(IF('Novice 15M - Bracket'!R31="","",'Novice 15M - Bracket'!R31),"")</f>
        <v/>
      </c>
      <c r="F93" s="90" t="str">
        <f>IFERROR(IF('Novice 15M - Bracket'!S31="","",'Novice 15M - Bracket'!S31),"")</f>
        <v/>
      </c>
      <c r="G93" s="90" t="str">
        <f>IFERROR(IF('Novice 15M - Bracket'!T31="","",'Novice 15M - Bracket'!T31),"")</f>
        <v/>
      </c>
      <c r="H93" s="32">
        <f>IFERROR(IF(ISNUMBER('Novice 15M - Bracket'!U31),'Novice 15M - Bracket'!U31,0),0)</f>
        <v>0</v>
      </c>
      <c r="I93" s="91" t="str">
        <f>IF(AND(ISNUMBER('Novice 15M - Bracket'!U31),ISNUMBER('Novice 15M - Bracket'!U33)),IF('Novice 15M - Bracket'!U31&gt;'Novice 15M - Bracket'!U33,"2-0",IF('Novice 15M - Bracket'!U31='Novice 15M - Bracket'!U33,"1-1","0-2")),"—")</f>
        <v>—</v>
      </c>
      <c r="J93" s="32">
        <f>IFERROR(IF(ISNUMBER('Novice 15M - Bracket'!U33),'Novice 15M - Bracket'!U33,0),0)</f>
        <v>0</v>
      </c>
      <c r="K93" s="90" t="str">
        <f>IFERROR(IF('Novice 15M - Bracket'!T33="","",'Novice 15M - Bracket'!T33),"")</f>
        <v/>
      </c>
      <c r="L93" s="90" t="str">
        <f>IFERROR(IF('Novice 15M - Bracket'!S33="","",'Novice 15M - Bracket'!S33),"")</f>
        <v/>
      </c>
      <c r="M93" s="90" t="str">
        <f>IFERROR(IF('Novice 15M - Bracket'!R33="","",'Novice 15M - Bracket'!R33),"")</f>
        <v/>
      </c>
      <c r="N93" s="90" t="str">
        <f>IFERROR(IF('Novice 15M - Bracket'!Q33="","",'Novice 15M - Bracket'!Q33),"")</f>
        <v/>
      </c>
      <c r="O93" s="90" t="str">
        <f>IFERROR(IF('Novice 15M - Bracket'!P33="","",'Novice 15M - Bracket'!P33),"")</f>
        <v/>
      </c>
      <c r="P93" s="90" t="str">
        <f>IFERROR(IF('Novice 15M - Bracket'!O33="","",'Novice 15M - Bracket'!O33),"")</f>
        <v/>
      </c>
      <c r="Q93" s="84" t="s">
        <v>223</v>
      </c>
    </row>
    <row r="94" spans="1:17" ht="21.75" customHeight="1" x14ac:dyDescent="0.35">
      <c r="A94" s="84" t="s">
        <v>224</v>
      </c>
      <c r="B94" s="90" t="str">
        <f>IFERROR(IF('Novice 15M - Bracket'!V31="","",'Novice 15M - Bracket'!V31),"")</f>
        <v/>
      </c>
      <c r="C94" s="90" t="str">
        <f>IFERROR(IF('Novice 15M - Bracket'!W31="","",'Novice 15M - Bracket'!W31),"")</f>
        <v/>
      </c>
      <c r="D94" s="90" t="str">
        <f>IFERROR(IF('Novice 15M - Bracket'!X31="","",'Novice 15M - Bracket'!X31),"")</f>
        <v/>
      </c>
      <c r="E94" s="90" t="str">
        <f>IFERROR(IF('Novice 15M - Bracket'!Y31="","",'Novice 15M - Bracket'!Y31),"")</f>
        <v/>
      </c>
      <c r="F94" s="90" t="str">
        <f>IFERROR(IF('Novice 15M - Bracket'!Z31="","",'Novice 15M - Bracket'!Z31),"")</f>
        <v/>
      </c>
      <c r="G94" s="90" t="str">
        <f>IFERROR(IF('Novice 15M - Bracket'!AA31="","",'Novice 15M - Bracket'!AA31),"")</f>
        <v/>
      </c>
      <c r="H94" s="32">
        <f>IFERROR(IF(ISNUMBER('Novice 15M - Bracket'!AB31),'Novice 15M - Bracket'!AB31,0),0)</f>
        <v>0</v>
      </c>
      <c r="I94" s="91" t="str">
        <f>IF(AND(ISNUMBER('Novice 15M - Bracket'!AB31),ISNUMBER('Novice 15M - Bracket'!AB33)),IF('Novice 15M - Bracket'!AB31&gt;'Novice 15M - Bracket'!AB33,"2-0",IF('Novice 15M - Bracket'!AB31='Novice 15M - Bracket'!AB33,"1-1","0-2")),"—")</f>
        <v>—</v>
      </c>
      <c r="J94" s="32">
        <f>IFERROR(IF(ISNUMBER('Novice 15M - Bracket'!AB33),'Novice 15M - Bracket'!AB33,0),0)</f>
        <v>0</v>
      </c>
      <c r="K94" s="90" t="str">
        <f>IFERROR(IF('Novice 15M - Bracket'!AA33="","",'Novice 15M - Bracket'!AA33),"")</f>
        <v/>
      </c>
      <c r="L94" s="90" t="str">
        <f>IFERROR(IF('Novice 15M - Bracket'!Z33="","",'Novice 15M - Bracket'!Z33),"")</f>
        <v/>
      </c>
      <c r="M94" s="90" t="str">
        <f>IFERROR(IF('Novice 15M - Bracket'!Y33="","",'Novice 15M - Bracket'!Y33),"")</f>
        <v/>
      </c>
      <c r="N94" s="90" t="str">
        <f>IFERROR(IF('Novice 15M - Bracket'!X33="","",'Novice 15M - Bracket'!X33),"")</f>
        <v/>
      </c>
      <c r="O94" s="90" t="str">
        <f>IFERROR(IF('Novice 15M - Bracket'!W33="","",'Novice 15M - Bracket'!W33),"")</f>
        <v/>
      </c>
      <c r="P94" s="90" t="str">
        <f>IFERROR(IF('Novice 15M - Bracket'!V33="","",'Novice 15M - Bracket'!V33),"")</f>
        <v/>
      </c>
      <c r="Q94" s="84" t="s">
        <v>224</v>
      </c>
    </row>
    <row r="95" spans="1:17" ht="21.75" customHeight="1" x14ac:dyDescent="0.35">
      <c r="A95" s="84" t="s">
        <v>227</v>
      </c>
      <c r="B95" s="90" t="str">
        <f>IFERROR(IF('Novice 15M - Bracket'!AC31="","",'Novice 15M - Bracket'!AC31),"")</f>
        <v/>
      </c>
      <c r="C95" s="90" t="str">
        <f>IFERROR(IF('Novice 15M - Bracket'!AD31="","",'Novice 15M - Bracket'!AD31),"")</f>
        <v/>
      </c>
      <c r="D95" s="90" t="str">
        <f>IFERROR(IF('Novice 15M - Bracket'!AE31="","",'Novice 15M - Bracket'!AE31),"")</f>
        <v/>
      </c>
      <c r="E95" s="90" t="str">
        <f>IFERROR(IF('Novice 15M - Bracket'!AF31="","",'Novice 15M - Bracket'!AF31),"")</f>
        <v/>
      </c>
      <c r="F95" s="90" t="str">
        <f>IFERROR(IF('Novice 15M - Bracket'!AG31="","",'Novice 15M - Bracket'!AG31),"")</f>
        <v/>
      </c>
      <c r="G95" s="90" t="str">
        <f>IFERROR(IF('Novice 15M - Bracket'!AH31="","",'Novice 15M - Bracket'!AH31),"")</f>
        <v/>
      </c>
      <c r="H95" s="32">
        <f>IFERROR(IF(ISNUMBER('Novice 15M - Bracket'!AI31),'Novice 15M - Bracket'!AI31,0),0)</f>
        <v>0</v>
      </c>
      <c r="I95" s="91" t="str">
        <f>IF(AND(ISNUMBER('Novice 15M - Bracket'!AI31),ISNUMBER('Novice 15M - Bracket'!AI33)),IF('Novice 15M - Bracket'!AI31&gt;'Novice 15M - Bracket'!AI33,"2-0",IF('Novice 15M - Bracket'!AI31='Novice 15M - Bracket'!AI33,"1-1","0-2")),"—")</f>
        <v>—</v>
      </c>
      <c r="J95" s="32">
        <f>IFERROR(IF(ISNUMBER('Novice 15M - Bracket'!AI33),'Novice 15M - Bracket'!AI33,0),0)</f>
        <v>0</v>
      </c>
      <c r="K95" s="90" t="str">
        <f>IFERROR(IF('Novice 15M - Bracket'!AH33="","",'Novice 15M - Bracket'!AH33),"")</f>
        <v/>
      </c>
      <c r="L95" s="90" t="str">
        <f>IFERROR(IF('Novice 15M - Bracket'!AG33="","",'Novice 15M - Bracket'!AG33),"")</f>
        <v/>
      </c>
      <c r="M95" s="90" t="str">
        <f>IFERROR(IF('Novice 15M - Bracket'!AF33="","",'Novice 15M - Bracket'!AF33),"")</f>
        <v/>
      </c>
      <c r="N95" s="90" t="str">
        <f>IFERROR(IF('Novice 15M - Bracket'!AE33="","",'Novice 15M - Bracket'!AE33),"")</f>
        <v/>
      </c>
      <c r="O95" s="90" t="str">
        <f>IFERROR(IF('Novice 15M - Bracket'!AD33="","",'Novice 15M - Bracket'!AD33),"")</f>
        <v/>
      </c>
      <c r="P95" s="90" t="str">
        <f>IFERROR(IF('Novice 15M - Bracket'!AC33="","",'Novice 15M - Bracket'!AC33),"")</f>
        <v/>
      </c>
      <c r="Q95" s="84" t="s">
        <v>227</v>
      </c>
    </row>
    <row r="96" spans="1:17" ht="21.75" customHeight="1" x14ac:dyDescent="0.35">
      <c r="A96" s="84" t="s">
        <v>228</v>
      </c>
      <c r="B96" s="90" t="str">
        <f>IFERROR(IF('Novice 15M - Bracket'!AJ31="","",'Novice 15M - Bracket'!AJ31),"")</f>
        <v/>
      </c>
      <c r="C96" s="90" t="str">
        <f>IFERROR(IF('Novice 15M - Bracket'!AK31="","",'Novice 15M - Bracket'!AK31),"")</f>
        <v/>
      </c>
      <c r="D96" s="90" t="str">
        <f>IFERROR(IF('Novice 15M - Bracket'!AL31="","",'Novice 15M - Bracket'!AL31),"")</f>
        <v/>
      </c>
      <c r="E96" s="90" t="str">
        <f>IFERROR(IF('Novice 15M - Bracket'!AM31="","",'Novice 15M - Bracket'!AM31),"")</f>
        <v/>
      </c>
      <c r="F96" s="90" t="str">
        <f>IFERROR(IF('Novice 15M - Bracket'!AN31="","",'Novice 15M - Bracket'!AN31),"")</f>
        <v/>
      </c>
      <c r="G96" s="90" t="str">
        <f>IFERROR(IF('Novice 15M - Bracket'!AO31="","",'Novice 15M - Bracket'!AO31),"")</f>
        <v/>
      </c>
      <c r="H96" s="32">
        <f>IFERROR(IF(ISNUMBER('Novice 15M - Bracket'!AP31),'Novice 15M - Bracket'!AP31,0),0)</f>
        <v>0</v>
      </c>
      <c r="I96" s="91" t="str">
        <f>IF(AND(ISNUMBER('Novice 15M - Bracket'!AP31),ISNUMBER('Novice 15M - Bracket'!AP33)),IF('Novice 15M - Bracket'!AP31&gt;'Novice 15M - Bracket'!AP33,"2-0",IF('Novice 15M - Bracket'!AP31='Novice 15M - Bracket'!AP33,"1-1","0-2")),"—")</f>
        <v>—</v>
      </c>
      <c r="J96" s="32">
        <f>IFERROR(IF(ISNUMBER('Novice 15M - Bracket'!AP33),'Novice 15M - Bracket'!AP33,0),0)</f>
        <v>0</v>
      </c>
      <c r="K96" s="90" t="str">
        <f>IFERROR(IF('Novice 15M - Bracket'!AO33="","",'Novice 15M - Bracket'!AO33),"")</f>
        <v/>
      </c>
      <c r="L96" s="90" t="str">
        <f>IFERROR(IF('Novice 15M - Bracket'!AN33="","",'Novice 15M - Bracket'!AN33),"")</f>
        <v/>
      </c>
      <c r="M96" s="90" t="str">
        <f>IFERROR(IF('Novice 15M - Bracket'!AM33="","",'Novice 15M - Bracket'!AM33),"")</f>
        <v/>
      </c>
      <c r="N96" s="90" t="str">
        <f>IFERROR(IF('Novice 15M - Bracket'!AL33="","",'Novice 15M - Bracket'!AL33),"")</f>
        <v/>
      </c>
      <c r="O96" s="90" t="str">
        <f>IFERROR(IF('Novice 15M - Bracket'!AK33="","",'Novice 15M - Bracket'!AK33),"")</f>
        <v/>
      </c>
      <c r="P96" s="90" t="str">
        <f>IFERROR(IF('Novice 15M - Bracket'!AJ33="","",'Novice 15M - Bracket'!AJ33),"")</f>
        <v/>
      </c>
      <c r="Q96" s="84" t="s">
        <v>228</v>
      </c>
    </row>
    <row r="97" spans="1:17" ht="21.75" customHeight="1" x14ac:dyDescent="0.35">
      <c r="A97" s="92" t="s">
        <v>237</v>
      </c>
      <c r="B97" s="93" t="str">
        <f>IFERROR(IF('Novice 15M - Bracket'!AQ31="","",'Novice 15M - Bracket'!AQ31),"")</f>
        <v/>
      </c>
      <c r="C97" s="93" t="str">
        <f>IFERROR(IF('Novice 15M - Bracket'!AR31="","",'Novice 15M - Bracket'!AR31),"")</f>
        <v/>
      </c>
      <c r="D97" s="93" t="str">
        <f>IFERROR(IF('Novice 15M - Bracket'!AS31="","",'Novice 15M - Bracket'!AS31),"")</f>
        <v/>
      </c>
      <c r="E97" s="93" t="str">
        <f>IFERROR(IF('Novice 15M - Bracket'!AT31="","",'Novice 15M - Bracket'!AT31),"")</f>
        <v/>
      </c>
      <c r="F97" s="93" t="str">
        <f>IFERROR(IF('Novice 15M - Bracket'!AU31="","",'Novice 15M - Bracket'!AU31),"")</f>
        <v/>
      </c>
      <c r="G97" s="93" t="str">
        <f>IFERROR(IF('Novice 15M - Bracket'!AV31="","",'Novice 15M - Bracket'!AV31),"")</f>
        <v/>
      </c>
      <c r="H97" s="32">
        <f>IFERROR(IF(ISNUMBER('Novice 15M - Bracket'!AW31),'Novice 15M - Bracket'!AW31,0),0)</f>
        <v>0</v>
      </c>
      <c r="I97" s="91" t="str">
        <f>IF(AND(ISNUMBER('Novice 15M - Bracket'!AW31),ISNUMBER('Novice 15M - Bracket'!AW33)),IF('Novice 15M - Bracket'!AW31&gt;'Novice 15M - Bracket'!AW33,"2-0",IF('Novice 15M - Bracket'!AW31='Novice 15M - Bracket'!AW33,"1-1","0-2")),"—")</f>
        <v>—</v>
      </c>
      <c r="J97" s="32">
        <f>IFERROR(IF(ISNUMBER('Novice 15M - Bracket'!AW33),'Novice 15M - Bracket'!AW33,0),0)</f>
        <v>0</v>
      </c>
      <c r="K97" s="93" t="str">
        <f>IFERROR(IF('Novice 15M - Bracket'!AV33="","",'Novice 15M - Bracket'!AV33),"")</f>
        <v/>
      </c>
      <c r="L97" s="93" t="str">
        <f>IFERROR(IF('Novice 15M - Bracket'!AU33="","",'Novice 15M - Bracket'!AU33),"")</f>
        <v/>
      </c>
      <c r="M97" s="93" t="str">
        <f>IFERROR(IF('Novice 15M - Bracket'!AT33="","",'Novice 15M - Bracket'!AT33),"")</f>
        <v/>
      </c>
      <c r="N97" s="93" t="str">
        <f>IFERROR(IF('Novice 15M - Bracket'!AS33="","",'Novice 15M - Bracket'!AS33),"")</f>
        <v/>
      </c>
      <c r="O97" s="93" t="str">
        <f>IFERROR(IF('Novice 15M - Bracket'!AR33="","",'Novice 15M - Bracket'!AR33),"")</f>
        <v/>
      </c>
      <c r="P97" s="93" t="str">
        <f>IFERROR(IF('Novice 15M - Bracket'!AQ33="","",'Novice 15M - Bracket'!AQ33),"")</f>
        <v/>
      </c>
      <c r="Q97" s="92" t="s">
        <v>237</v>
      </c>
    </row>
    <row r="98" spans="1:17" ht="4.5" customHeight="1" x14ac:dyDescent="0.35"/>
    <row r="99" spans="1:17" ht="31.5" customHeight="1" x14ac:dyDescent="0.35">
      <c r="A99" s="130">
        <f>IFERROR(IF(ISNUMBER('Novice 15M - Bracket'!AX31),'Novice 15M - Bracket'!AX31,0),0)</f>
        <v>0</v>
      </c>
      <c r="B99" s="130"/>
      <c r="C99" s="130"/>
      <c r="D99" s="130"/>
      <c r="E99" s="130"/>
      <c r="F99" s="130"/>
      <c r="G99" s="130"/>
      <c r="H99" s="94" t="str">
        <f>IFERROR('Novice 15M - Bracket'!BA31,"")</f>
        <v>&gt;&gt; Advance</v>
      </c>
      <c r="I99" s="86"/>
      <c r="J99" s="94" t="str">
        <f>IFERROR('Novice 15M - Bracket'!BA33,"")</f>
        <v>&gt;&gt; Advance</v>
      </c>
      <c r="K99" s="130">
        <f>IFERROR(IF(ISNUMBER('Novice 15M - Bracket'!AX33),'Novice 15M - Bracket'!AX33,0),0)</f>
        <v>0</v>
      </c>
      <c r="L99" s="130"/>
      <c r="M99" s="130"/>
      <c r="N99" s="130"/>
      <c r="O99" s="130"/>
      <c r="P99" s="130"/>
      <c r="Q99" s="130"/>
    </row>
    <row r="100" spans="1:17" ht="21.75" customHeight="1" x14ac:dyDescent="0.35">
      <c r="A100" s="130"/>
      <c r="B100" s="130"/>
      <c r="C100" s="130"/>
      <c r="D100" s="130"/>
      <c r="E100" s="130"/>
      <c r="F100" s="130"/>
      <c r="G100" s="130"/>
      <c r="K100" s="130"/>
      <c r="L100" s="130"/>
      <c r="M100" s="130"/>
      <c r="N100" s="130"/>
      <c r="O100" s="130"/>
      <c r="P100" s="130"/>
      <c r="Q100" s="130"/>
    </row>
    <row r="101" spans="1:17" ht="4.5" customHeight="1" x14ac:dyDescent="0.35"/>
    <row r="102" spans="1:17" ht="12" customHeight="1" x14ac:dyDescent="0.35">
      <c r="A102" s="126"/>
      <c r="B102" s="126"/>
      <c r="C102" s="126"/>
      <c r="D102" s="126"/>
      <c r="E102" s="126"/>
      <c r="F102" s="126"/>
      <c r="G102" s="126"/>
      <c r="H102" s="126"/>
      <c r="I102" s="126"/>
      <c r="J102" s="126"/>
      <c r="K102" s="126"/>
      <c r="L102" s="126"/>
      <c r="M102" s="126"/>
      <c r="N102" s="126"/>
      <c r="O102" s="126"/>
      <c r="P102" s="126"/>
      <c r="Q102" s="126"/>
    </row>
    <row r="103" spans="1:17" ht="7.5" customHeight="1" x14ac:dyDescent="0.35"/>
    <row r="104" spans="1:17" ht="19.5" customHeight="1" x14ac:dyDescent="0.35">
      <c r="A104" s="127" t="s">
        <v>243</v>
      </c>
      <c r="B104" s="127"/>
      <c r="C104" s="127"/>
      <c r="D104" s="127"/>
      <c r="E104" s="127"/>
      <c r="F104" s="127"/>
      <c r="G104" s="127"/>
      <c r="H104" s="127"/>
      <c r="I104" s="127"/>
      <c r="J104" s="127"/>
      <c r="K104" s="127"/>
      <c r="L104" s="127"/>
      <c r="M104" s="127"/>
      <c r="N104" s="127"/>
      <c r="O104" s="127"/>
      <c r="P104" s="127"/>
      <c r="Q104" s="127"/>
    </row>
    <row r="105" spans="1:17" ht="4.5" customHeight="1" x14ac:dyDescent="0.35"/>
    <row r="106" spans="1:17" ht="21.75" customHeight="1" x14ac:dyDescent="0.35">
      <c r="A106" s="84" t="s">
        <v>232</v>
      </c>
      <c r="B106" s="128" t="str">
        <f>IFERROR(IF('Novice 15M - Bracket'!B36="","TBD",'Novice 15M - Bracket'!B36),"TBD")</f>
        <v>TBD</v>
      </c>
      <c r="C106" s="128"/>
      <c r="D106" s="128"/>
      <c r="E106" s="128"/>
      <c r="F106" s="128"/>
      <c r="G106" s="128"/>
      <c r="H106" s="128"/>
      <c r="I106" s="84" t="s">
        <v>233</v>
      </c>
      <c r="J106" s="128" t="str">
        <f>IFERROR(IF('Novice 15M - Bracket'!B38="","TBD",'Novice 15M - Bracket'!B38),"TBD")</f>
        <v>TBD</v>
      </c>
      <c r="K106" s="128"/>
      <c r="L106" s="128"/>
      <c r="M106" s="128"/>
      <c r="N106" s="128"/>
      <c r="O106" s="128"/>
      <c r="P106" s="128"/>
      <c r="Q106" s="84" t="s">
        <v>232</v>
      </c>
    </row>
    <row r="107" spans="1:17" ht="13.5" customHeight="1" x14ac:dyDescent="0.35">
      <c r="A107" s="85" t="s">
        <v>234</v>
      </c>
      <c r="B107" s="129" t="str">
        <f>IFERROR('Novice 15M - Bracket'!A36,"")</f>
        <v>BYE</v>
      </c>
      <c r="C107" s="129"/>
      <c r="D107" s="129"/>
      <c r="E107" s="129"/>
      <c r="F107" s="129"/>
      <c r="G107" s="129"/>
      <c r="H107" s="129"/>
      <c r="I107" s="86"/>
      <c r="J107" s="129" t="str">
        <f>IFERROR('Novice 15M - Bracket'!A38,"")</f>
        <v>BYE</v>
      </c>
      <c r="K107" s="129"/>
      <c r="L107" s="129"/>
      <c r="M107" s="129"/>
      <c r="N107" s="129"/>
      <c r="O107" s="129"/>
      <c r="P107" s="129"/>
      <c r="Q107" s="85" t="s">
        <v>234</v>
      </c>
    </row>
    <row r="108" spans="1:17" ht="19.5" customHeight="1" x14ac:dyDescent="0.35">
      <c r="A108" s="87" t="s">
        <v>235</v>
      </c>
      <c r="B108" s="88" t="s">
        <v>83</v>
      </c>
      <c r="C108" s="88" t="s">
        <v>84</v>
      </c>
      <c r="D108" s="88" t="s">
        <v>85</v>
      </c>
      <c r="E108" s="88" t="s">
        <v>86</v>
      </c>
      <c r="F108" s="88" t="s">
        <v>87</v>
      </c>
      <c r="G108" s="88" t="s">
        <v>88</v>
      </c>
      <c r="H108" s="24" t="s">
        <v>236</v>
      </c>
      <c r="I108" s="89"/>
      <c r="J108" s="24" t="s">
        <v>236</v>
      </c>
      <c r="K108" s="88" t="s">
        <v>88</v>
      </c>
      <c r="L108" s="88" t="s">
        <v>87</v>
      </c>
      <c r="M108" s="88" t="s">
        <v>86</v>
      </c>
      <c r="N108" s="88" t="s">
        <v>85</v>
      </c>
      <c r="O108" s="88" t="s">
        <v>84</v>
      </c>
      <c r="P108" s="88" t="s">
        <v>83</v>
      </c>
      <c r="Q108" s="87" t="s">
        <v>235</v>
      </c>
    </row>
    <row r="109" spans="1:17" ht="21.75" customHeight="1" x14ac:dyDescent="0.35">
      <c r="A109" s="84" t="s">
        <v>222</v>
      </c>
      <c r="B109" s="90" t="str">
        <f>IFERROR(IF('Novice 15M - Bracket'!H36="","",'Novice 15M - Bracket'!H36),"")</f>
        <v/>
      </c>
      <c r="C109" s="90" t="str">
        <f>IFERROR(IF('Novice 15M - Bracket'!I36="","",'Novice 15M - Bracket'!I36),"")</f>
        <v/>
      </c>
      <c r="D109" s="90" t="str">
        <f>IFERROR(IF('Novice 15M - Bracket'!J36="","",'Novice 15M - Bracket'!J36),"")</f>
        <v/>
      </c>
      <c r="E109" s="90" t="str">
        <f>IFERROR(IF('Novice 15M - Bracket'!K36="","",'Novice 15M - Bracket'!K36),"")</f>
        <v/>
      </c>
      <c r="F109" s="90" t="str">
        <f>IFERROR(IF('Novice 15M - Bracket'!L36="","",'Novice 15M - Bracket'!L36),"")</f>
        <v/>
      </c>
      <c r="G109" s="90" t="str">
        <f>IFERROR(IF('Novice 15M - Bracket'!M36="","",'Novice 15M - Bracket'!M36),"")</f>
        <v/>
      </c>
      <c r="H109" s="32">
        <f>IFERROR(IF(ISNUMBER('Novice 15M - Bracket'!N36),'Novice 15M - Bracket'!N36,0),0)</f>
        <v>0</v>
      </c>
      <c r="I109" s="91" t="str">
        <f>IF(AND(ISNUMBER('Novice 15M - Bracket'!N36),ISNUMBER('Novice 15M - Bracket'!N38)),IF('Novice 15M - Bracket'!N36&gt;'Novice 15M - Bracket'!N38,"2-0",IF('Novice 15M - Bracket'!N36='Novice 15M - Bracket'!N38,"1-1","0-2")),"—")</f>
        <v>—</v>
      </c>
      <c r="J109" s="32">
        <f>IFERROR(IF(ISNUMBER('Novice 15M - Bracket'!N38),'Novice 15M - Bracket'!N38,0),0)</f>
        <v>0</v>
      </c>
      <c r="K109" s="90" t="str">
        <f>IFERROR(IF('Novice 15M - Bracket'!M38="","",'Novice 15M - Bracket'!M38),"")</f>
        <v/>
      </c>
      <c r="L109" s="90" t="str">
        <f>IFERROR(IF('Novice 15M - Bracket'!L38="","",'Novice 15M - Bracket'!L38),"")</f>
        <v/>
      </c>
      <c r="M109" s="90" t="str">
        <f>IFERROR(IF('Novice 15M - Bracket'!K38="","",'Novice 15M - Bracket'!K38),"")</f>
        <v/>
      </c>
      <c r="N109" s="90" t="str">
        <f>IFERROR(IF('Novice 15M - Bracket'!J38="","",'Novice 15M - Bracket'!J38),"")</f>
        <v/>
      </c>
      <c r="O109" s="90" t="str">
        <f>IFERROR(IF('Novice 15M - Bracket'!I38="","",'Novice 15M - Bracket'!I38),"")</f>
        <v/>
      </c>
      <c r="P109" s="90" t="str">
        <f>IFERROR(IF('Novice 15M - Bracket'!H38="","",'Novice 15M - Bracket'!H38),"")</f>
        <v/>
      </c>
      <c r="Q109" s="84" t="s">
        <v>222</v>
      </c>
    </row>
    <row r="110" spans="1:17" ht="21.75" customHeight="1" x14ac:dyDescent="0.35">
      <c r="A110" s="84" t="s">
        <v>223</v>
      </c>
      <c r="B110" s="90" t="str">
        <f>IFERROR(IF('Novice 15M - Bracket'!O36="","",'Novice 15M - Bracket'!O36),"")</f>
        <v/>
      </c>
      <c r="C110" s="90" t="str">
        <f>IFERROR(IF('Novice 15M - Bracket'!P36="","",'Novice 15M - Bracket'!P36),"")</f>
        <v/>
      </c>
      <c r="D110" s="90" t="str">
        <f>IFERROR(IF('Novice 15M - Bracket'!Q36="","",'Novice 15M - Bracket'!Q36),"")</f>
        <v/>
      </c>
      <c r="E110" s="90" t="str">
        <f>IFERROR(IF('Novice 15M - Bracket'!R36="","",'Novice 15M - Bracket'!R36),"")</f>
        <v/>
      </c>
      <c r="F110" s="90" t="str">
        <f>IFERROR(IF('Novice 15M - Bracket'!S36="","",'Novice 15M - Bracket'!S36),"")</f>
        <v/>
      </c>
      <c r="G110" s="90" t="str">
        <f>IFERROR(IF('Novice 15M - Bracket'!T36="","",'Novice 15M - Bracket'!T36),"")</f>
        <v/>
      </c>
      <c r="H110" s="32">
        <f>IFERROR(IF(ISNUMBER('Novice 15M - Bracket'!U36),'Novice 15M - Bracket'!U36,0),0)</f>
        <v>0</v>
      </c>
      <c r="I110" s="91" t="str">
        <f>IF(AND(ISNUMBER('Novice 15M - Bracket'!U36),ISNUMBER('Novice 15M - Bracket'!U38)),IF('Novice 15M - Bracket'!U36&gt;'Novice 15M - Bracket'!U38,"2-0",IF('Novice 15M - Bracket'!U36='Novice 15M - Bracket'!U38,"1-1","0-2")),"—")</f>
        <v>—</v>
      </c>
      <c r="J110" s="32">
        <f>IFERROR(IF(ISNUMBER('Novice 15M - Bracket'!U38),'Novice 15M - Bracket'!U38,0),0)</f>
        <v>0</v>
      </c>
      <c r="K110" s="90" t="str">
        <f>IFERROR(IF('Novice 15M - Bracket'!T38="","",'Novice 15M - Bracket'!T38),"")</f>
        <v/>
      </c>
      <c r="L110" s="90" t="str">
        <f>IFERROR(IF('Novice 15M - Bracket'!S38="","",'Novice 15M - Bracket'!S38),"")</f>
        <v/>
      </c>
      <c r="M110" s="90" t="str">
        <f>IFERROR(IF('Novice 15M - Bracket'!R38="","",'Novice 15M - Bracket'!R38),"")</f>
        <v/>
      </c>
      <c r="N110" s="90" t="str">
        <f>IFERROR(IF('Novice 15M - Bracket'!Q38="","",'Novice 15M - Bracket'!Q38),"")</f>
        <v/>
      </c>
      <c r="O110" s="90" t="str">
        <f>IFERROR(IF('Novice 15M - Bracket'!P38="","",'Novice 15M - Bracket'!P38),"")</f>
        <v/>
      </c>
      <c r="P110" s="90" t="str">
        <f>IFERROR(IF('Novice 15M - Bracket'!O38="","",'Novice 15M - Bracket'!O38),"")</f>
        <v/>
      </c>
      <c r="Q110" s="84" t="s">
        <v>223</v>
      </c>
    </row>
    <row r="111" spans="1:17" ht="21.75" customHeight="1" x14ac:dyDescent="0.35">
      <c r="A111" s="84" t="s">
        <v>224</v>
      </c>
      <c r="B111" s="90" t="str">
        <f>IFERROR(IF('Novice 15M - Bracket'!V36="","",'Novice 15M - Bracket'!V36),"")</f>
        <v/>
      </c>
      <c r="C111" s="90" t="str">
        <f>IFERROR(IF('Novice 15M - Bracket'!W36="","",'Novice 15M - Bracket'!W36),"")</f>
        <v/>
      </c>
      <c r="D111" s="90" t="str">
        <f>IFERROR(IF('Novice 15M - Bracket'!X36="","",'Novice 15M - Bracket'!X36),"")</f>
        <v/>
      </c>
      <c r="E111" s="90" t="str">
        <f>IFERROR(IF('Novice 15M - Bracket'!Y36="","",'Novice 15M - Bracket'!Y36),"")</f>
        <v/>
      </c>
      <c r="F111" s="90" t="str">
        <f>IFERROR(IF('Novice 15M - Bracket'!Z36="","",'Novice 15M - Bracket'!Z36),"")</f>
        <v/>
      </c>
      <c r="G111" s="90" t="str">
        <f>IFERROR(IF('Novice 15M - Bracket'!AA36="","",'Novice 15M - Bracket'!AA36),"")</f>
        <v/>
      </c>
      <c r="H111" s="32">
        <f>IFERROR(IF(ISNUMBER('Novice 15M - Bracket'!AB36),'Novice 15M - Bracket'!AB36,0),0)</f>
        <v>0</v>
      </c>
      <c r="I111" s="91" t="str">
        <f>IF(AND(ISNUMBER('Novice 15M - Bracket'!AB36),ISNUMBER('Novice 15M - Bracket'!AB38)),IF('Novice 15M - Bracket'!AB36&gt;'Novice 15M - Bracket'!AB38,"2-0",IF('Novice 15M - Bracket'!AB36='Novice 15M - Bracket'!AB38,"1-1","0-2")),"—")</f>
        <v>—</v>
      </c>
      <c r="J111" s="32">
        <f>IFERROR(IF(ISNUMBER('Novice 15M - Bracket'!AB38),'Novice 15M - Bracket'!AB38,0),0)</f>
        <v>0</v>
      </c>
      <c r="K111" s="90" t="str">
        <f>IFERROR(IF('Novice 15M - Bracket'!AA38="","",'Novice 15M - Bracket'!AA38),"")</f>
        <v/>
      </c>
      <c r="L111" s="90" t="str">
        <f>IFERROR(IF('Novice 15M - Bracket'!Z38="","",'Novice 15M - Bracket'!Z38),"")</f>
        <v/>
      </c>
      <c r="M111" s="90" t="str">
        <f>IFERROR(IF('Novice 15M - Bracket'!Y38="","",'Novice 15M - Bracket'!Y38),"")</f>
        <v/>
      </c>
      <c r="N111" s="90" t="str">
        <f>IFERROR(IF('Novice 15M - Bracket'!X38="","",'Novice 15M - Bracket'!X38),"")</f>
        <v/>
      </c>
      <c r="O111" s="90" t="str">
        <f>IFERROR(IF('Novice 15M - Bracket'!W38="","",'Novice 15M - Bracket'!W38),"")</f>
        <v/>
      </c>
      <c r="P111" s="90" t="str">
        <f>IFERROR(IF('Novice 15M - Bracket'!V38="","",'Novice 15M - Bracket'!V38),"")</f>
        <v/>
      </c>
      <c r="Q111" s="84" t="s">
        <v>224</v>
      </c>
    </row>
    <row r="112" spans="1:17" ht="21.75" customHeight="1" x14ac:dyDescent="0.35">
      <c r="A112" s="84" t="s">
        <v>227</v>
      </c>
      <c r="B112" s="90" t="str">
        <f>IFERROR(IF('Novice 15M - Bracket'!AC36="","",'Novice 15M - Bracket'!AC36),"")</f>
        <v/>
      </c>
      <c r="C112" s="90" t="str">
        <f>IFERROR(IF('Novice 15M - Bracket'!AD36="","",'Novice 15M - Bracket'!AD36),"")</f>
        <v/>
      </c>
      <c r="D112" s="90" t="str">
        <f>IFERROR(IF('Novice 15M - Bracket'!AE36="","",'Novice 15M - Bracket'!AE36),"")</f>
        <v/>
      </c>
      <c r="E112" s="90" t="str">
        <f>IFERROR(IF('Novice 15M - Bracket'!AF36="","",'Novice 15M - Bracket'!AF36),"")</f>
        <v/>
      </c>
      <c r="F112" s="90" t="str">
        <f>IFERROR(IF('Novice 15M - Bracket'!AG36="","",'Novice 15M - Bracket'!AG36),"")</f>
        <v/>
      </c>
      <c r="G112" s="90" t="str">
        <f>IFERROR(IF('Novice 15M - Bracket'!AH36="","",'Novice 15M - Bracket'!AH36),"")</f>
        <v/>
      </c>
      <c r="H112" s="32">
        <f>IFERROR(IF(ISNUMBER('Novice 15M - Bracket'!AI36),'Novice 15M - Bracket'!AI36,0),0)</f>
        <v>0</v>
      </c>
      <c r="I112" s="91" t="str">
        <f>IF(AND(ISNUMBER('Novice 15M - Bracket'!AI36),ISNUMBER('Novice 15M - Bracket'!AI38)),IF('Novice 15M - Bracket'!AI36&gt;'Novice 15M - Bracket'!AI38,"2-0",IF('Novice 15M - Bracket'!AI36='Novice 15M - Bracket'!AI38,"1-1","0-2")),"—")</f>
        <v>—</v>
      </c>
      <c r="J112" s="32">
        <f>IFERROR(IF(ISNUMBER('Novice 15M - Bracket'!AI38),'Novice 15M - Bracket'!AI38,0),0)</f>
        <v>0</v>
      </c>
      <c r="K112" s="90" t="str">
        <f>IFERROR(IF('Novice 15M - Bracket'!AH38="","",'Novice 15M - Bracket'!AH38),"")</f>
        <v/>
      </c>
      <c r="L112" s="90" t="str">
        <f>IFERROR(IF('Novice 15M - Bracket'!AG38="","",'Novice 15M - Bracket'!AG38),"")</f>
        <v/>
      </c>
      <c r="M112" s="90" t="str">
        <f>IFERROR(IF('Novice 15M - Bracket'!AF38="","",'Novice 15M - Bracket'!AF38),"")</f>
        <v/>
      </c>
      <c r="N112" s="90" t="str">
        <f>IFERROR(IF('Novice 15M - Bracket'!AE38="","",'Novice 15M - Bracket'!AE38),"")</f>
        <v/>
      </c>
      <c r="O112" s="90" t="str">
        <f>IFERROR(IF('Novice 15M - Bracket'!AD38="","",'Novice 15M - Bracket'!AD38),"")</f>
        <v/>
      </c>
      <c r="P112" s="90" t="str">
        <f>IFERROR(IF('Novice 15M - Bracket'!AC38="","",'Novice 15M - Bracket'!AC38),"")</f>
        <v/>
      </c>
      <c r="Q112" s="84" t="s">
        <v>227</v>
      </c>
    </row>
    <row r="113" spans="1:17" ht="21.75" customHeight="1" x14ac:dyDescent="0.35">
      <c r="A113" s="84" t="s">
        <v>228</v>
      </c>
      <c r="B113" s="90" t="str">
        <f>IFERROR(IF('Novice 15M - Bracket'!AJ36="","",'Novice 15M - Bracket'!AJ36),"")</f>
        <v/>
      </c>
      <c r="C113" s="90" t="str">
        <f>IFERROR(IF('Novice 15M - Bracket'!AK36="","",'Novice 15M - Bracket'!AK36),"")</f>
        <v/>
      </c>
      <c r="D113" s="90" t="str">
        <f>IFERROR(IF('Novice 15M - Bracket'!AL36="","",'Novice 15M - Bracket'!AL36),"")</f>
        <v/>
      </c>
      <c r="E113" s="90" t="str">
        <f>IFERROR(IF('Novice 15M - Bracket'!AM36="","",'Novice 15M - Bracket'!AM36),"")</f>
        <v/>
      </c>
      <c r="F113" s="90" t="str">
        <f>IFERROR(IF('Novice 15M - Bracket'!AN36="","",'Novice 15M - Bracket'!AN36),"")</f>
        <v/>
      </c>
      <c r="G113" s="90" t="str">
        <f>IFERROR(IF('Novice 15M - Bracket'!AO36="","",'Novice 15M - Bracket'!AO36),"")</f>
        <v/>
      </c>
      <c r="H113" s="32">
        <f>IFERROR(IF(ISNUMBER('Novice 15M - Bracket'!AP36),'Novice 15M - Bracket'!AP36,0),0)</f>
        <v>0</v>
      </c>
      <c r="I113" s="91" t="str">
        <f>IF(AND(ISNUMBER('Novice 15M - Bracket'!AP36),ISNUMBER('Novice 15M - Bracket'!AP38)),IF('Novice 15M - Bracket'!AP36&gt;'Novice 15M - Bracket'!AP38,"2-0",IF('Novice 15M - Bracket'!AP36='Novice 15M - Bracket'!AP38,"1-1","0-2")),"—")</f>
        <v>—</v>
      </c>
      <c r="J113" s="32">
        <f>IFERROR(IF(ISNUMBER('Novice 15M - Bracket'!AP38),'Novice 15M - Bracket'!AP38,0),0)</f>
        <v>0</v>
      </c>
      <c r="K113" s="90" t="str">
        <f>IFERROR(IF('Novice 15M - Bracket'!AO38="","",'Novice 15M - Bracket'!AO38),"")</f>
        <v/>
      </c>
      <c r="L113" s="90" t="str">
        <f>IFERROR(IF('Novice 15M - Bracket'!AN38="","",'Novice 15M - Bracket'!AN38),"")</f>
        <v/>
      </c>
      <c r="M113" s="90" t="str">
        <f>IFERROR(IF('Novice 15M - Bracket'!AM38="","",'Novice 15M - Bracket'!AM38),"")</f>
        <v/>
      </c>
      <c r="N113" s="90" t="str">
        <f>IFERROR(IF('Novice 15M - Bracket'!AL38="","",'Novice 15M - Bracket'!AL38),"")</f>
        <v/>
      </c>
      <c r="O113" s="90" t="str">
        <f>IFERROR(IF('Novice 15M - Bracket'!AK38="","",'Novice 15M - Bracket'!AK38),"")</f>
        <v/>
      </c>
      <c r="P113" s="90" t="str">
        <f>IFERROR(IF('Novice 15M - Bracket'!AJ38="","",'Novice 15M - Bracket'!AJ38),"")</f>
        <v/>
      </c>
      <c r="Q113" s="84" t="s">
        <v>228</v>
      </c>
    </row>
    <row r="114" spans="1:17" ht="21.75" customHeight="1" x14ac:dyDescent="0.35">
      <c r="A114" s="92" t="s">
        <v>237</v>
      </c>
      <c r="B114" s="93" t="str">
        <f>IFERROR(IF('Novice 15M - Bracket'!AQ36="","",'Novice 15M - Bracket'!AQ36),"")</f>
        <v/>
      </c>
      <c r="C114" s="93" t="str">
        <f>IFERROR(IF('Novice 15M - Bracket'!AR36="","",'Novice 15M - Bracket'!AR36),"")</f>
        <v/>
      </c>
      <c r="D114" s="93" t="str">
        <f>IFERROR(IF('Novice 15M - Bracket'!AS36="","",'Novice 15M - Bracket'!AS36),"")</f>
        <v/>
      </c>
      <c r="E114" s="93" t="str">
        <f>IFERROR(IF('Novice 15M - Bracket'!AT36="","",'Novice 15M - Bracket'!AT36),"")</f>
        <v/>
      </c>
      <c r="F114" s="93" t="str">
        <f>IFERROR(IF('Novice 15M - Bracket'!AU36="","",'Novice 15M - Bracket'!AU36),"")</f>
        <v/>
      </c>
      <c r="G114" s="93" t="str">
        <f>IFERROR(IF('Novice 15M - Bracket'!AV36="","",'Novice 15M - Bracket'!AV36),"")</f>
        <v/>
      </c>
      <c r="H114" s="32">
        <f>IFERROR(IF(ISNUMBER('Novice 15M - Bracket'!AW36),'Novice 15M - Bracket'!AW36,0),0)</f>
        <v>0</v>
      </c>
      <c r="I114" s="91" t="str">
        <f>IF(AND(ISNUMBER('Novice 15M - Bracket'!AW36),ISNUMBER('Novice 15M - Bracket'!AW38)),IF('Novice 15M - Bracket'!AW36&gt;'Novice 15M - Bracket'!AW38,"2-0",IF('Novice 15M - Bracket'!AW36='Novice 15M - Bracket'!AW38,"1-1","0-2")),"—")</f>
        <v>—</v>
      </c>
      <c r="J114" s="32">
        <f>IFERROR(IF(ISNUMBER('Novice 15M - Bracket'!AW38),'Novice 15M - Bracket'!AW38,0),0)</f>
        <v>0</v>
      </c>
      <c r="K114" s="93" t="str">
        <f>IFERROR(IF('Novice 15M - Bracket'!AV38="","",'Novice 15M - Bracket'!AV38),"")</f>
        <v/>
      </c>
      <c r="L114" s="93" t="str">
        <f>IFERROR(IF('Novice 15M - Bracket'!AU38="","",'Novice 15M - Bracket'!AU38),"")</f>
        <v/>
      </c>
      <c r="M114" s="93" t="str">
        <f>IFERROR(IF('Novice 15M - Bracket'!AT38="","",'Novice 15M - Bracket'!AT38),"")</f>
        <v/>
      </c>
      <c r="N114" s="93" t="str">
        <f>IFERROR(IF('Novice 15M - Bracket'!AS38="","",'Novice 15M - Bracket'!AS38),"")</f>
        <v/>
      </c>
      <c r="O114" s="93" t="str">
        <f>IFERROR(IF('Novice 15M - Bracket'!AR38="","",'Novice 15M - Bracket'!AR38),"")</f>
        <v/>
      </c>
      <c r="P114" s="93" t="str">
        <f>IFERROR(IF('Novice 15M - Bracket'!AQ38="","",'Novice 15M - Bracket'!AQ38),"")</f>
        <v/>
      </c>
      <c r="Q114" s="92" t="s">
        <v>237</v>
      </c>
    </row>
    <row r="115" spans="1:17" ht="4.5" customHeight="1" x14ac:dyDescent="0.35"/>
    <row r="116" spans="1:17" ht="31.5" customHeight="1" x14ac:dyDescent="0.35">
      <c r="A116" s="130">
        <f>IFERROR(IF(ISNUMBER('Novice 15M - Bracket'!AX36),'Novice 15M - Bracket'!AX36,0),0)</f>
        <v>0</v>
      </c>
      <c r="B116" s="130"/>
      <c r="C116" s="130"/>
      <c r="D116" s="130"/>
      <c r="E116" s="130"/>
      <c r="F116" s="130"/>
      <c r="G116" s="130"/>
      <c r="H116" s="94" t="str">
        <f>IFERROR('Novice 15M - Bracket'!BA36,"")</f>
        <v>&gt;&gt; Advance</v>
      </c>
      <c r="I116" s="86"/>
      <c r="J116" s="94" t="str">
        <f>IFERROR('Novice 15M - Bracket'!BA38,"")</f>
        <v>&gt;&gt; Advance</v>
      </c>
      <c r="K116" s="130">
        <f>IFERROR(IF(ISNUMBER('Novice 15M - Bracket'!AX38),'Novice 15M - Bracket'!AX38,0),0)</f>
        <v>0</v>
      </c>
      <c r="L116" s="130"/>
      <c r="M116" s="130"/>
      <c r="N116" s="130"/>
      <c r="O116" s="130"/>
      <c r="P116" s="130"/>
      <c r="Q116" s="130"/>
    </row>
    <row r="117" spans="1:17" ht="21.75" customHeight="1" x14ac:dyDescent="0.35">
      <c r="A117" s="130"/>
      <c r="B117" s="130"/>
      <c r="C117" s="130"/>
      <c r="D117" s="130"/>
      <c r="E117" s="130"/>
      <c r="F117" s="130"/>
      <c r="G117" s="130"/>
      <c r="K117" s="130"/>
      <c r="L117" s="130"/>
      <c r="M117" s="130"/>
      <c r="N117" s="130"/>
      <c r="O117" s="130"/>
      <c r="P117" s="130"/>
      <c r="Q117" s="130"/>
    </row>
    <row r="118" spans="1:17" ht="4.5" customHeight="1" x14ac:dyDescent="0.35"/>
    <row r="119" spans="1:17" ht="12" customHeight="1" x14ac:dyDescent="0.35">
      <c r="A119" s="126"/>
      <c r="B119" s="126"/>
      <c r="C119" s="126"/>
      <c r="D119" s="126"/>
      <c r="E119" s="126"/>
      <c r="F119" s="126"/>
      <c r="G119" s="126"/>
      <c r="H119" s="126"/>
      <c r="I119" s="126"/>
      <c r="J119" s="126"/>
      <c r="K119" s="126"/>
      <c r="L119" s="126"/>
      <c r="M119" s="126"/>
      <c r="N119" s="126"/>
      <c r="O119" s="126"/>
      <c r="P119" s="126"/>
      <c r="Q119" s="126"/>
    </row>
    <row r="120" spans="1:17" ht="7.5" customHeight="1" x14ac:dyDescent="0.35"/>
    <row r="121" spans="1:17" ht="19.5" customHeight="1" x14ac:dyDescent="0.35">
      <c r="A121" s="127" t="s">
        <v>244</v>
      </c>
      <c r="B121" s="127"/>
      <c r="C121" s="127"/>
      <c r="D121" s="127"/>
      <c r="E121" s="127"/>
      <c r="F121" s="127"/>
      <c r="G121" s="127"/>
      <c r="H121" s="127"/>
      <c r="I121" s="127"/>
      <c r="J121" s="127"/>
      <c r="K121" s="127"/>
      <c r="L121" s="127"/>
      <c r="M121" s="127"/>
      <c r="N121" s="127"/>
      <c r="O121" s="127"/>
      <c r="P121" s="127"/>
      <c r="Q121" s="127"/>
    </row>
    <row r="122" spans="1:17" ht="4.5" customHeight="1" x14ac:dyDescent="0.35"/>
    <row r="123" spans="1:17" ht="21.75" customHeight="1" x14ac:dyDescent="0.35">
      <c r="A123" s="84" t="s">
        <v>232</v>
      </c>
      <c r="B123" s="128" t="str">
        <f>IFERROR(IF('Novice 15M - Bracket'!B41="","TBD",'Novice 15M - Bracket'!B41),"TBD")</f>
        <v>TBD</v>
      </c>
      <c r="C123" s="128"/>
      <c r="D123" s="128"/>
      <c r="E123" s="128"/>
      <c r="F123" s="128"/>
      <c r="G123" s="128"/>
      <c r="H123" s="128"/>
      <c r="I123" s="84" t="s">
        <v>233</v>
      </c>
      <c r="J123" s="128" t="str">
        <f>IFERROR(IF('Novice 15M - Bracket'!B43="","TBD",'Novice 15M - Bracket'!B43),"TBD")</f>
        <v>TBD</v>
      </c>
      <c r="K123" s="128"/>
      <c r="L123" s="128"/>
      <c r="M123" s="128"/>
      <c r="N123" s="128"/>
      <c r="O123" s="128"/>
      <c r="P123" s="128"/>
      <c r="Q123" s="84" t="s">
        <v>232</v>
      </c>
    </row>
    <row r="124" spans="1:17" ht="13.5" customHeight="1" x14ac:dyDescent="0.35">
      <c r="A124" s="85" t="s">
        <v>234</v>
      </c>
      <c r="B124" s="129" t="str">
        <f>IFERROR('Novice 15M - Bracket'!A41,"")</f>
        <v>BYE</v>
      </c>
      <c r="C124" s="129"/>
      <c r="D124" s="129"/>
      <c r="E124" s="129"/>
      <c r="F124" s="129"/>
      <c r="G124" s="129"/>
      <c r="H124" s="129"/>
      <c r="I124" s="86"/>
      <c r="J124" s="129" t="str">
        <f>IFERROR('Novice 15M - Bracket'!A43,"")</f>
        <v>BYE</v>
      </c>
      <c r="K124" s="129"/>
      <c r="L124" s="129"/>
      <c r="M124" s="129"/>
      <c r="N124" s="129"/>
      <c r="O124" s="129"/>
      <c r="P124" s="129"/>
      <c r="Q124" s="85" t="s">
        <v>234</v>
      </c>
    </row>
    <row r="125" spans="1:17" ht="19.5" customHeight="1" x14ac:dyDescent="0.35">
      <c r="A125" s="87" t="s">
        <v>235</v>
      </c>
      <c r="B125" s="88" t="s">
        <v>83</v>
      </c>
      <c r="C125" s="88" t="s">
        <v>84</v>
      </c>
      <c r="D125" s="88" t="s">
        <v>85</v>
      </c>
      <c r="E125" s="88" t="s">
        <v>86</v>
      </c>
      <c r="F125" s="88" t="s">
        <v>87</v>
      </c>
      <c r="G125" s="88" t="s">
        <v>88</v>
      </c>
      <c r="H125" s="24" t="s">
        <v>236</v>
      </c>
      <c r="I125" s="89"/>
      <c r="J125" s="24" t="s">
        <v>236</v>
      </c>
      <c r="K125" s="88" t="s">
        <v>88</v>
      </c>
      <c r="L125" s="88" t="s">
        <v>87</v>
      </c>
      <c r="M125" s="88" t="s">
        <v>86</v>
      </c>
      <c r="N125" s="88" t="s">
        <v>85</v>
      </c>
      <c r="O125" s="88" t="s">
        <v>84</v>
      </c>
      <c r="P125" s="88" t="s">
        <v>83</v>
      </c>
      <c r="Q125" s="87" t="s">
        <v>235</v>
      </c>
    </row>
    <row r="126" spans="1:17" ht="21.75" customHeight="1" x14ac:dyDescent="0.35">
      <c r="A126" s="84" t="s">
        <v>222</v>
      </c>
      <c r="B126" s="90" t="str">
        <f>IFERROR(IF('Novice 15M - Bracket'!H41="","",'Novice 15M - Bracket'!H41),"")</f>
        <v/>
      </c>
      <c r="C126" s="90" t="str">
        <f>IFERROR(IF('Novice 15M - Bracket'!I41="","",'Novice 15M - Bracket'!I41),"")</f>
        <v/>
      </c>
      <c r="D126" s="90" t="str">
        <f>IFERROR(IF('Novice 15M - Bracket'!J41="","",'Novice 15M - Bracket'!J41),"")</f>
        <v/>
      </c>
      <c r="E126" s="90" t="str">
        <f>IFERROR(IF('Novice 15M - Bracket'!K41="","",'Novice 15M - Bracket'!K41),"")</f>
        <v/>
      </c>
      <c r="F126" s="90" t="str">
        <f>IFERROR(IF('Novice 15M - Bracket'!L41="","",'Novice 15M - Bracket'!L41),"")</f>
        <v/>
      </c>
      <c r="G126" s="90" t="str">
        <f>IFERROR(IF('Novice 15M - Bracket'!M41="","",'Novice 15M - Bracket'!M41),"")</f>
        <v/>
      </c>
      <c r="H126" s="32">
        <f>IFERROR(IF(ISNUMBER('Novice 15M - Bracket'!N41),'Novice 15M - Bracket'!N41,0),0)</f>
        <v>0</v>
      </c>
      <c r="I126" s="91" t="str">
        <f>IF(AND(ISNUMBER('Novice 15M - Bracket'!N41),ISNUMBER('Novice 15M - Bracket'!N43)),IF('Novice 15M - Bracket'!N41&gt;'Novice 15M - Bracket'!N43,"2-0",IF('Novice 15M - Bracket'!N41='Novice 15M - Bracket'!N43,"1-1","0-2")),"—")</f>
        <v>—</v>
      </c>
      <c r="J126" s="32">
        <f>IFERROR(IF(ISNUMBER('Novice 15M - Bracket'!N43),'Novice 15M - Bracket'!N43,0),0)</f>
        <v>0</v>
      </c>
      <c r="K126" s="90" t="str">
        <f>IFERROR(IF('Novice 15M - Bracket'!M43="","",'Novice 15M - Bracket'!M43),"")</f>
        <v/>
      </c>
      <c r="L126" s="90" t="str">
        <f>IFERROR(IF('Novice 15M - Bracket'!L43="","",'Novice 15M - Bracket'!L43),"")</f>
        <v/>
      </c>
      <c r="M126" s="90" t="str">
        <f>IFERROR(IF('Novice 15M - Bracket'!K43="","",'Novice 15M - Bracket'!K43),"")</f>
        <v/>
      </c>
      <c r="N126" s="90" t="str">
        <f>IFERROR(IF('Novice 15M - Bracket'!J43="","",'Novice 15M - Bracket'!J43),"")</f>
        <v/>
      </c>
      <c r="O126" s="90" t="str">
        <f>IFERROR(IF('Novice 15M - Bracket'!I43="","",'Novice 15M - Bracket'!I43),"")</f>
        <v/>
      </c>
      <c r="P126" s="90" t="str">
        <f>IFERROR(IF('Novice 15M - Bracket'!H43="","",'Novice 15M - Bracket'!H43),"")</f>
        <v/>
      </c>
      <c r="Q126" s="84" t="s">
        <v>222</v>
      </c>
    </row>
    <row r="127" spans="1:17" ht="21.75" customHeight="1" x14ac:dyDescent="0.35">
      <c r="A127" s="84" t="s">
        <v>223</v>
      </c>
      <c r="B127" s="90" t="str">
        <f>IFERROR(IF('Novice 15M - Bracket'!O41="","",'Novice 15M - Bracket'!O41),"")</f>
        <v/>
      </c>
      <c r="C127" s="90" t="str">
        <f>IFERROR(IF('Novice 15M - Bracket'!P41="","",'Novice 15M - Bracket'!P41),"")</f>
        <v/>
      </c>
      <c r="D127" s="90" t="str">
        <f>IFERROR(IF('Novice 15M - Bracket'!Q41="","",'Novice 15M - Bracket'!Q41),"")</f>
        <v/>
      </c>
      <c r="E127" s="90" t="str">
        <f>IFERROR(IF('Novice 15M - Bracket'!R41="","",'Novice 15M - Bracket'!R41),"")</f>
        <v/>
      </c>
      <c r="F127" s="90" t="str">
        <f>IFERROR(IF('Novice 15M - Bracket'!S41="","",'Novice 15M - Bracket'!S41),"")</f>
        <v/>
      </c>
      <c r="G127" s="90" t="str">
        <f>IFERROR(IF('Novice 15M - Bracket'!T41="","",'Novice 15M - Bracket'!T41),"")</f>
        <v/>
      </c>
      <c r="H127" s="32">
        <f>IFERROR(IF(ISNUMBER('Novice 15M - Bracket'!U41),'Novice 15M - Bracket'!U41,0),0)</f>
        <v>0</v>
      </c>
      <c r="I127" s="91" t="str">
        <f>IF(AND(ISNUMBER('Novice 15M - Bracket'!U41),ISNUMBER('Novice 15M - Bracket'!U43)),IF('Novice 15M - Bracket'!U41&gt;'Novice 15M - Bracket'!U43,"2-0",IF('Novice 15M - Bracket'!U41='Novice 15M - Bracket'!U43,"1-1","0-2")),"—")</f>
        <v>—</v>
      </c>
      <c r="J127" s="32">
        <f>IFERROR(IF(ISNUMBER('Novice 15M - Bracket'!U43),'Novice 15M - Bracket'!U43,0),0)</f>
        <v>0</v>
      </c>
      <c r="K127" s="90" t="str">
        <f>IFERROR(IF('Novice 15M - Bracket'!T43="","",'Novice 15M - Bracket'!T43),"")</f>
        <v/>
      </c>
      <c r="L127" s="90" t="str">
        <f>IFERROR(IF('Novice 15M - Bracket'!S43="","",'Novice 15M - Bracket'!S43),"")</f>
        <v/>
      </c>
      <c r="M127" s="90" t="str">
        <f>IFERROR(IF('Novice 15M - Bracket'!R43="","",'Novice 15M - Bracket'!R43),"")</f>
        <v/>
      </c>
      <c r="N127" s="90" t="str">
        <f>IFERROR(IF('Novice 15M - Bracket'!Q43="","",'Novice 15M - Bracket'!Q43),"")</f>
        <v/>
      </c>
      <c r="O127" s="90" t="str">
        <f>IFERROR(IF('Novice 15M - Bracket'!P43="","",'Novice 15M - Bracket'!P43),"")</f>
        <v/>
      </c>
      <c r="P127" s="90" t="str">
        <f>IFERROR(IF('Novice 15M - Bracket'!O43="","",'Novice 15M - Bracket'!O43),"")</f>
        <v/>
      </c>
      <c r="Q127" s="84" t="s">
        <v>223</v>
      </c>
    </row>
    <row r="128" spans="1:17" ht="21.75" customHeight="1" x14ac:dyDescent="0.35">
      <c r="A128" s="84" t="s">
        <v>224</v>
      </c>
      <c r="B128" s="90" t="str">
        <f>IFERROR(IF('Novice 15M - Bracket'!V41="","",'Novice 15M - Bracket'!V41),"")</f>
        <v/>
      </c>
      <c r="C128" s="90" t="str">
        <f>IFERROR(IF('Novice 15M - Bracket'!W41="","",'Novice 15M - Bracket'!W41),"")</f>
        <v/>
      </c>
      <c r="D128" s="90" t="str">
        <f>IFERROR(IF('Novice 15M - Bracket'!X41="","",'Novice 15M - Bracket'!X41),"")</f>
        <v/>
      </c>
      <c r="E128" s="90" t="str">
        <f>IFERROR(IF('Novice 15M - Bracket'!Y41="","",'Novice 15M - Bracket'!Y41),"")</f>
        <v/>
      </c>
      <c r="F128" s="90" t="str">
        <f>IFERROR(IF('Novice 15M - Bracket'!Z41="","",'Novice 15M - Bracket'!Z41),"")</f>
        <v/>
      </c>
      <c r="G128" s="90" t="str">
        <f>IFERROR(IF('Novice 15M - Bracket'!AA41="","",'Novice 15M - Bracket'!AA41),"")</f>
        <v/>
      </c>
      <c r="H128" s="32">
        <f>IFERROR(IF(ISNUMBER('Novice 15M - Bracket'!AB41),'Novice 15M - Bracket'!AB41,0),0)</f>
        <v>0</v>
      </c>
      <c r="I128" s="91" t="str">
        <f>IF(AND(ISNUMBER('Novice 15M - Bracket'!AB41),ISNUMBER('Novice 15M - Bracket'!AB43)),IF('Novice 15M - Bracket'!AB41&gt;'Novice 15M - Bracket'!AB43,"2-0",IF('Novice 15M - Bracket'!AB41='Novice 15M - Bracket'!AB43,"1-1","0-2")),"—")</f>
        <v>—</v>
      </c>
      <c r="J128" s="32">
        <f>IFERROR(IF(ISNUMBER('Novice 15M - Bracket'!AB43),'Novice 15M - Bracket'!AB43,0),0)</f>
        <v>0</v>
      </c>
      <c r="K128" s="90" t="str">
        <f>IFERROR(IF('Novice 15M - Bracket'!AA43="","",'Novice 15M - Bracket'!AA43),"")</f>
        <v/>
      </c>
      <c r="L128" s="90" t="str">
        <f>IFERROR(IF('Novice 15M - Bracket'!Z43="","",'Novice 15M - Bracket'!Z43),"")</f>
        <v/>
      </c>
      <c r="M128" s="90" t="str">
        <f>IFERROR(IF('Novice 15M - Bracket'!Y43="","",'Novice 15M - Bracket'!Y43),"")</f>
        <v/>
      </c>
      <c r="N128" s="90" t="str">
        <f>IFERROR(IF('Novice 15M - Bracket'!X43="","",'Novice 15M - Bracket'!X43),"")</f>
        <v/>
      </c>
      <c r="O128" s="90" t="str">
        <f>IFERROR(IF('Novice 15M - Bracket'!W43="","",'Novice 15M - Bracket'!W43),"")</f>
        <v/>
      </c>
      <c r="P128" s="90" t="str">
        <f>IFERROR(IF('Novice 15M - Bracket'!V43="","",'Novice 15M - Bracket'!V43),"")</f>
        <v/>
      </c>
      <c r="Q128" s="84" t="s">
        <v>224</v>
      </c>
    </row>
    <row r="129" spans="1:17" ht="21.75" customHeight="1" x14ac:dyDescent="0.35">
      <c r="A129" s="84" t="s">
        <v>227</v>
      </c>
      <c r="B129" s="90" t="str">
        <f>IFERROR(IF('Novice 15M - Bracket'!AC41="","",'Novice 15M - Bracket'!AC41),"")</f>
        <v/>
      </c>
      <c r="C129" s="90" t="str">
        <f>IFERROR(IF('Novice 15M - Bracket'!AD41="","",'Novice 15M - Bracket'!AD41),"")</f>
        <v/>
      </c>
      <c r="D129" s="90" t="str">
        <f>IFERROR(IF('Novice 15M - Bracket'!AE41="","",'Novice 15M - Bracket'!AE41),"")</f>
        <v/>
      </c>
      <c r="E129" s="90" t="str">
        <f>IFERROR(IF('Novice 15M - Bracket'!AF41="","",'Novice 15M - Bracket'!AF41),"")</f>
        <v/>
      </c>
      <c r="F129" s="90" t="str">
        <f>IFERROR(IF('Novice 15M - Bracket'!AG41="","",'Novice 15M - Bracket'!AG41),"")</f>
        <v/>
      </c>
      <c r="G129" s="90" t="str">
        <f>IFERROR(IF('Novice 15M - Bracket'!AH41="","",'Novice 15M - Bracket'!AH41),"")</f>
        <v/>
      </c>
      <c r="H129" s="32">
        <f>IFERROR(IF(ISNUMBER('Novice 15M - Bracket'!AI41),'Novice 15M - Bracket'!AI41,0),0)</f>
        <v>0</v>
      </c>
      <c r="I129" s="91" t="str">
        <f>IF(AND(ISNUMBER('Novice 15M - Bracket'!AI41),ISNUMBER('Novice 15M - Bracket'!AI43)),IF('Novice 15M - Bracket'!AI41&gt;'Novice 15M - Bracket'!AI43,"2-0",IF('Novice 15M - Bracket'!AI41='Novice 15M - Bracket'!AI43,"1-1","0-2")),"—")</f>
        <v>—</v>
      </c>
      <c r="J129" s="32">
        <f>IFERROR(IF(ISNUMBER('Novice 15M - Bracket'!AI43),'Novice 15M - Bracket'!AI43,0),0)</f>
        <v>0</v>
      </c>
      <c r="K129" s="90" t="str">
        <f>IFERROR(IF('Novice 15M - Bracket'!AH43="","",'Novice 15M - Bracket'!AH43),"")</f>
        <v/>
      </c>
      <c r="L129" s="90" t="str">
        <f>IFERROR(IF('Novice 15M - Bracket'!AG43="","",'Novice 15M - Bracket'!AG43),"")</f>
        <v/>
      </c>
      <c r="M129" s="90" t="str">
        <f>IFERROR(IF('Novice 15M - Bracket'!AF43="","",'Novice 15M - Bracket'!AF43),"")</f>
        <v/>
      </c>
      <c r="N129" s="90" t="str">
        <f>IFERROR(IF('Novice 15M - Bracket'!AE43="","",'Novice 15M - Bracket'!AE43),"")</f>
        <v/>
      </c>
      <c r="O129" s="90" t="str">
        <f>IFERROR(IF('Novice 15M - Bracket'!AD43="","",'Novice 15M - Bracket'!AD43),"")</f>
        <v/>
      </c>
      <c r="P129" s="90" t="str">
        <f>IFERROR(IF('Novice 15M - Bracket'!AC43="","",'Novice 15M - Bracket'!AC43),"")</f>
        <v/>
      </c>
      <c r="Q129" s="84" t="s">
        <v>227</v>
      </c>
    </row>
    <row r="130" spans="1:17" ht="21.75" customHeight="1" x14ac:dyDescent="0.35">
      <c r="A130" s="84" t="s">
        <v>228</v>
      </c>
      <c r="B130" s="90" t="str">
        <f>IFERROR(IF('Novice 15M - Bracket'!AJ41="","",'Novice 15M - Bracket'!AJ41),"")</f>
        <v/>
      </c>
      <c r="C130" s="90" t="str">
        <f>IFERROR(IF('Novice 15M - Bracket'!AK41="","",'Novice 15M - Bracket'!AK41),"")</f>
        <v/>
      </c>
      <c r="D130" s="90" t="str">
        <f>IFERROR(IF('Novice 15M - Bracket'!AL41="","",'Novice 15M - Bracket'!AL41),"")</f>
        <v/>
      </c>
      <c r="E130" s="90" t="str">
        <f>IFERROR(IF('Novice 15M - Bracket'!AM41="","",'Novice 15M - Bracket'!AM41),"")</f>
        <v/>
      </c>
      <c r="F130" s="90" t="str">
        <f>IFERROR(IF('Novice 15M - Bracket'!AN41="","",'Novice 15M - Bracket'!AN41),"")</f>
        <v/>
      </c>
      <c r="G130" s="90" t="str">
        <f>IFERROR(IF('Novice 15M - Bracket'!AO41="","",'Novice 15M - Bracket'!AO41),"")</f>
        <v/>
      </c>
      <c r="H130" s="32">
        <f>IFERROR(IF(ISNUMBER('Novice 15M - Bracket'!AP41),'Novice 15M - Bracket'!AP41,0),0)</f>
        <v>0</v>
      </c>
      <c r="I130" s="91" t="str">
        <f>IF(AND(ISNUMBER('Novice 15M - Bracket'!AP41),ISNUMBER('Novice 15M - Bracket'!AP43)),IF('Novice 15M - Bracket'!AP41&gt;'Novice 15M - Bracket'!AP43,"2-0",IF('Novice 15M - Bracket'!AP41='Novice 15M - Bracket'!AP43,"1-1","0-2")),"—")</f>
        <v>—</v>
      </c>
      <c r="J130" s="32">
        <f>IFERROR(IF(ISNUMBER('Novice 15M - Bracket'!AP43),'Novice 15M - Bracket'!AP43,0),0)</f>
        <v>0</v>
      </c>
      <c r="K130" s="90" t="str">
        <f>IFERROR(IF('Novice 15M - Bracket'!AO43="","",'Novice 15M - Bracket'!AO43),"")</f>
        <v/>
      </c>
      <c r="L130" s="90" t="str">
        <f>IFERROR(IF('Novice 15M - Bracket'!AN43="","",'Novice 15M - Bracket'!AN43),"")</f>
        <v/>
      </c>
      <c r="M130" s="90" t="str">
        <f>IFERROR(IF('Novice 15M - Bracket'!AM43="","",'Novice 15M - Bracket'!AM43),"")</f>
        <v/>
      </c>
      <c r="N130" s="90" t="str">
        <f>IFERROR(IF('Novice 15M - Bracket'!AL43="","",'Novice 15M - Bracket'!AL43),"")</f>
        <v/>
      </c>
      <c r="O130" s="90" t="str">
        <f>IFERROR(IF('Novice 15M - Bracket'!AK43="","",'Novice 15M - Bracket'!AK43),"")</f>
        <v/>
      </c>
      <c r="P130" s="90" t="str">
        <f>IFERROR(IF('Novice 15M - Bracket'!AJ43="","",'Novice 15M - Bracket'!AJ43),"")</f>
        <v/>
      </c>
      <c r="Q130" s="84" t="s">
        <v>228</v>
      </c>
    </row>
    <row r="131" spans="1:17" ht="21.75" customHeight="1" x14ac:dyDescent="0.35">
      <c r="A131" s="92" t="s">
        <v>237</v>
      </c>
      <c r="B131" s="93" t="str">
        <f>IFERROR(IF('Novice 15M - Bracket'!AQ41="","",'Novice 15M - Bracket'!AQ41),"")</f>
        <v/>
      </c>
      <c r="C131" s="93" t="str">
        <f>IFERROR(IF('Novice 15M - Bracket'!AR41="","",'Novice 15M - Bracket'!AR41),"")</f>
        <v/>
      </c>
      <c r="D131" s="93" t="str">
        <f>IFERROR(IF('Novice 15M - Bracket'!AS41="","",'Novice 15M - Bracket'!AS41),"")</f>
        <v/>
      </c>
      <c r="E131" s="93" t="str">
        <f>IFERROR(IF('Novice 15M - Bracket'!AT41="","",'Novice 15M - Bracket'!AT41),"")</f>
        <v/>
      </c>
      <c r="F131" s="93" t="str">
        <f>IFERROR(IF('Novice 15M - Bracket'!AU41="","",'Novice 15M - Bracket'!AU41),"")</f>
        <v/>
      </c>
      <c r="G131" s="93" t="str">
        <f>IFERROR(IF('Novice 15M - Bracket'!AV41="","",'Novice 15M - Bracket'!AV41),"")</f>
        <v/>
      </c>
      <c r="H131" s="32">
        <f>IFERROR(IF(ISNUMBER('Novice 15M - Bracket'!AW41),'Novice 15M - Bracket'!AW41,0),0)</f>
        <v>0</v>
      </c>
      <c r="I131" s="91" t="str">
        <f>IF(AND(ISNUMBER('Novice 15M - Bracket'!AW41),ISNUMBER('Novice 15M - Bracket'!AW43)),IF('Novice 15M - Bracket'!AW41&gt;'Novice 15M - Bracket'!AW43,"2-0",IF('Novice 15M - Bracket'!AW41='Novice 15M - Bracket'!AW43,"1-1","0-2")),"—")</f>
        <v>—</v>
      </c>
      <c r="J131" s="32">
        <f>IFERROR(IF(ISNUMBER('Novice 15M - Bracket'!AW43),'Novice 15M - Bracket'!AW43,0),0)</f>
        <v>0</v>
      </c>
      <c r="K131" s="93" t="str">
        <f>IFERROR(IF('Novice 15M - Bracket'!AV43="","",'Novice 15M - Bracket'!AV43),"")</f>
        <v/>
      </c>
      <c r="L131" s="93" t="str">
        <f>IFERROR(IF('Novice 15M - Bracket'!AU43="","",'Novice 15M - Bracket'!AU43),"")</f>
        <v/>
      </c>
      <c r="M131" s="93" t="str">
        <f>IFERROR(IF('Novice 15M - Bracket'!AT43="","",'Novice 15M - Bracket'!AT43),"")</f>
        <v/>
      </c>
      <c r="N131" s="93" t="str">
        <f>IFERROR(IF('Novice 15M - Bracket'!AS43="","",'Novice 15M - Bracket'!AS43),"")</f>
        <v/>
      </c>
      <c r="O131" s="93" t="str">
        <f>IFERROR(IF('Novice 15M - Bracket'!AR43="","",'Novice 15M - Bracket'!AR43),"")</f>
        <v/>
      </c>
      <c r="P131" s="93" t="str">
        <f>IFERROR(IF('Novice 15M - Bracket'!AQ43="","",'Novice 15M - Bracket'!AQ43),"")</f>
        <v/>
      </c>
      <c r="Q131" s="92" t="s">
        <v>237</v>
      </c>
    </row>
    <row r="132" spans="1:17" ht="4.5" customHeight="1" x14ac:dyDescent="0.35"/>
    <row r="133" spans="1:17" ht="31.5" customHeight="1" x14ac:dyDescent="0.35">
      <c r="A133" s="130">
        <f>IFERROR(IF(ISNUMBER('Novice 15M - Bracket'!AX41),'Novice 15M - Bracket'!AX41,0),0)</f>
        <v>0</v>
      </c>
      <c r="B133" s="130"/>
      <c r="C133" s="130"/>
      <c r="D133" s="130"/>
      <c r="E133" s="130"/>
      <c r="F133" s="130"/>
      <c r="G133" s="130"/>
      <c r="H133" s="94" t="str">
        <f>IFERROR('Novice 15M - Bracket'!BA41,"")</f>
        <v>&gt;&gt; Advance</v>
      </c>
      <c r="I133" s="86"/>
      <c r="J133" s="94" t="str">
        <f>IFERROR('Novice 15M - Bracket'!BA43,"")</f>
        <v>&gt;&gt; Advance</v>
      </c>
      <c r="K133" s="130">
        <f>IFERROR(IF(ISNUMBER('Novice 15M - Bracket'!AX43),'Novice 15M - Bracket'!AX43,0),0)</f>
        <v>0</v>
      </c>
      <c r="L133" s="130"/>
      <c r="M133" s="130"/>
      <c r="N133" s="130"/>
      <c r="O133" s="130"/>
      <c r="P133" s="130"/>
      <c r="Q133" s="130"/>
    </row>
    <row r="134" spans="1:17" ht="21.75" customHeight="1" x14ac:dyDescent="0.35">
      <c r="A134" s="130"/>
      <c r="B134" s="130"/>
      <c r="C134" s="130"/>
      <c r="D134" s="130"/>
      <c r="E134" s="130"/>
      <c r="F134" s="130"/>
      <c r="G134" s="130"/>
      <c r="K134" s="130"/>
      <c r="L134" s="130"/>
      <c r="M134" s="130"/>
      <c r="N134" s="130"/>
      <c r="O134" s="130"/>
      <c r="P134" s="130"/>
      <c r="Q134" s="130"/>
    </row>
    <row r="135" spans="1:17" ht="4.5" customHeight="1" x14ac:dyDescent="0.35"/>
    <row r="136" spans="1:17" ht="12" customHeight="1" x14ac:dyDescent="0.35">
      <c r="A136" s="126"/>
      <c r="B136" s="126"/>
      <c r="C136" s="126"/>
      <c r="D136" s="126"/>
      <c r="E136" s="126"/>
      <c r="F136" s="126"/>
      <c r="G136" s="126"/>
      <c r="H136" s="126"/>
      <c r="I136" s="126"/>
      <c r="J136" s="126"/>
      <c r="K136" s="126"/>
      <c r="L136" s="126"/>
      <c r="M136" s="126"/>
      <c r="N136" s="126"/>
      <c r="O136" s="126"/>
      <c r="P136" s="126"/>
      <c r="Q136" s="126"/>
    </row>
    <row r="137" spans="1:17" ht="7.5" customHeight="1" x14ac:dyDescent="0.35"/>
    <row r="138" spans="1:17" ht="19.5" customHeight="1" x14ac:dyDescent="0.35">
      <c r="A138" s="131" t="s">
        <v>245</v>
      </c>
      <c r="B138" s="131"/>
      <c r="C138" s="131"/>
      <c r="D138" s="131"/>
      <c r="E138" s="131"/>
      <c r="F138" s="131"/>
      <c r="G138" s="131"/>
      <c r="H138" s="131"/>
      <c r="I138" s="131"/>
      <c r="J138" s="131"/>
      <c r="K138" s="131"/>
      <c r="L138" s="131"/>
      <c r="M138" s="131"/>
      <c r="N138" s="131"/>
      <c r="O138" s="131"/>
      <c r="P138" s="131"/>
      <c r="Q138" s="131"/>
    </row>
    <row r="139" spans="1:17" ht="4.5" customHeight="1" x14ac:dyDescent="0.35"/>
    <row r="140" spans="1:17" ht="21.75" customHeight="1" x14ac:dyDescent="0.35">
      <c r="A140" s="84" t="s">
        <v>232</v>
      </c>
      <c r="B140" s="128" t="str">
        <f>IFERROR(IF('Novice 15M - Bracket'!BE6="","TBD",'Novice 15M - Bracket'!BE6),"TBD")</f>
        <v>Michael Allan Corpuz</v>
      </c>
      <c r="C140" s="128"/>
      <c r="D140" s="128"/>
      <c r="E140" s="128"/>
      <c r="F140" s="128"/>
      <c r="G140" s="128"/>
      <c r="H140" s="128"/>
      <c r="I140" s="84" t="s">
        <v>233</v>
      </c>
      <c r="J140" s="128" t="str">
        <f>IFERROR(IF('Novice 15M - Bracket'!BE8="","TBD",'Novice 15M - Bracket'!BE8),"TBD")</f>
        <v>TBD</v>
      </c>
      <c r="K140" s="128"/>
      <c r="L140" s="128"/>
      <c r="M140" s="128"/>
      <c r="N140" s="128"/>
      <c r="O140" s="128"/>
      <c r="P140" s="128"/>
      <c r="Q140" s="84" t="s">
        <v>232</v>
      </c>
    </row>
    <row r="141" spans="1:17" ht="13.5" customHeight="1" x14ac:dyDescent="0.35">
      <c r="A141" s="85" t="s">
        <v>234</v>
      </c>
      <c r="B141" s="129" t="str">
        <f>IFERROR('Novice 15M - Bracket'!BD6,"")</f>
        <v>"W-R16M1"</v>
      </c>
      <c r="C141" s="129"/>
      <c r="D141" s="129"/>
      <c r="E141" s="129"/>
      <c r="F141" s="129"/>
      <c r="G141" s="129"/>
      <c r="H141" s="129"/>
      <c r="I141" s="86"/>
      <c r="J141" s="129" t="str">
        <f>IFERROR('Novice 15M - Bracket'!BD8,"")</f>
        <v>"W-R16M2"</v>
      </c>
      <c r="K141" s="129"/>
      <c r="L141" s="129"/>
      <c r="M141" s="129"/>
      <c r="N141" s="129"/>
      <c r="O141" s="129"/>
      <c r="P141" s="129"/>
      <c r="Q141" s="85" t="s">
        <v>234</v>
      </c>
    </row>
    <row r="142" spans="1:17" ht="19.5" customHeight="1" x14ac:dyDescent="0.35">
      <c r="A142" s="87" t="s">
        <v>235</v>
      </c>
      <c r="B142" s="88" t="s">
        <v>83</v>
      </c>
      <c r="C142" s="88" t="s">
        <v>84</v>
      </c>
      <c r="D142" s="88" t="s">
        <v>85</v>
      </c>
      <c r="E142" s="88" t="s">
        <v>86</v>
      </c>
      <c r="F142" s="88" t="s">
        <v>87</v>
      </c>
      <c r="G142" s="88" t="s">
        <v>88</v>
      </c>
      <c r="H142" s="24" t="s">
        <v>236</v>
      </c>
      <c r="I142" s="89"/>
      <c r="J142" s="24" t="s">
        <v>236</v>
      </c>
      <c r="K142" s="88" t="s">
        <v>88</v>
      </c>
      <c r="L142" s="88" t="s">
        <v>87</v>
      </c>
      <c r="M142" s="88" t="s">
        <v>86</v>
      </c>
      <c r="N142" s="88" t="s">
        <v>85</v>
      </c>
      <c r="O142" s="88" t="s">
        <v>84</v>
      </c>
      <c r="P142" s="88" t="s">
        <v>83</v>
      </c>
      <c r="Q142" s="87" t="s">
        <v>235</v>
      </c>
    </row>
    <row r="143" spans="1:17" ht="21.75" customHeight="1" x14ac:dyDescent="0.35">
      <c r="A143" s="84" t="s">
        <v>222</v>
      </c>
      <c r="B143" s="90" t="str">
        <f>IFERROR(IF('Novice 15M - Bracket'!BK6="","",'Novice 15M - Bracket'!BK6),"")</f>
        <v/>
      </c>
      <c r="C143" s="90" t="str">
        <f>IFERROR(IF('Novice 15M - Bracket'!BL6="","",'Novice 15M - Bracket'!BL6),"")</f>
        <v/>
      </c>
      <c r="D143" s="90" t="str">
        <f>IFERROR(IF('Novice 15M - Bracket'!BM6="","",'Novice 15M - Bracket'!BM6),"")</f>
        <v/>
      </c>
      <c r="E143" s="90" t="str">
        <f>IFERROR(IF('Novice 15M - Bracket'!BN6="","",'Novice 15M - Bracket'!BN6),"")</f>
        <v/>
      </c>
      <c r="F143" s="90" t="str">
        <f>IFERROR(IF('Novice 15M - Bracket'!BO6="","",'Novice 15M - Bracket'!BO6),"")</f>
        <v/>
      </c>
      <c r="G143" s="90" t="str">
        <f>IFERROR(IF('Novice 15M - Bracket'!BP6="","",'Novice 15M - Bracket'!BP6),"")</f>
        <v/>
      </c>
      <c r="H143" s="32">
        <f>IFERROR(IF(ISNUMBER('Novice 15M - Bracket'!BQ6),'Novice 15M - Bracket'!BQ6,0),0)</f>
        <v>0</v>
      </c>
      <c r="I143" s="91" t="str">
        <f>IF(AND(ISNUMBER('Novice 15M - Bracket'!BQ6),ISNUMBER('Novice 15M - Bracket'!BQ8)),IF('Novice 15M - Bracket'!BQ6&gt;'Novice 15M - Bracket'!BQ8,"2-0",IF('Novice 15M - Bracket'!BQ6='Novice 15M - Bracket'!BQ8,"1-1","0-2")),"—")</f>
        <v>—</v>
      </c>
      <c r="J143" s="32">
        <f>IFERROR(IF(ISNUMBER('Novice 15M - Bracket'!BQ8),'Novice 15M - Bracket'!BQ8,0),0)</f>
        <v>0</v>
      </c>
      <c r="K143" s="90" t="str">
        <f>IFERROR(IF('Novice 15M - Bracket'!BP8="","",'Novice 15M - Bracket'!BP8),"")</f>
        <v/>
      </c>
      <c r="L143" s="90" t="str">
        <f>IFERROR(IF('Novice 15M - Bracket'!BO8="","",'Novice 15M - Bracket'!BO8),"")</f>
        <v/>
      </c>
      <c r="M143" s="90" t="str">
        <f>IFERROR(IF('Novice 15M - Bracket'!BN8="","",'Novice 15M - Bracket'!BN8),"")</f>
        <v/>
      </c>
      <c r="N143" s="90" t="str">
        <f>IFERROR(IF('Novice 15M - Bracket'!BM8="","",'Novice 15M - Bracket'!BM8),"")</f>
        <v/>
      </c>
      <c r="O143" s="90" t="str">
        <f>IFERROR(IF('Novice 15M - Bracket'!BL8="","",'Novice 15M - Bracket'!BL8),"")</f>
        <v/>
      </c>
      <c r="P143" s="90" t="str">
        <f>IFERROR(IF('Novice 15M - Bracket'!BK8="","",'Novice 15M - Bracket'!BK8),"")</f>
        <v/>
      </c>
      <c r="Q143" s="84" t="s">
        <v>222</v>
      </c>
    </row>
    <row r="144" spans="1:17" ht="21.75" customHeight="1" x14ac:dyDescent="0.35">
      <c r="A144" s="84" t="s">
        <v>223</v>
      </c>
      <c r="B144" s="90" t="str">
        <f>IFERROR(IF('Novice 15M - Bracket'!BR6="","",'Novice 15M - Bracket'!BR6),"")</f>
        <v/>
      </c>
      <c r="C144" s="90" t="str">
        <f>IFERROR(IF('Novice 15M - Bracket'!BS6="","",'Novice 15M - Bracket'!BS6),"")</f>
        <v/>
      </c>
      <c r="D144" s="90" t="str">
        <f>IFERROR(IF('Novice 15M - Bracket'!BT6="","",'Novice 15M - Bracket'!BT6),"")</f>
        <v/>
      </c>
      <c r="E144" s="90" t="str">
        <f>IFERROR(IF('Novice 15M - Bracket'!BU6="","",'Novice 15M - Bracket'!BU6),"")</f>
        <v/>
      </c>
      <c r="F144" s="90" t="str">
        <f>IFERROR(IF('Novice 15M - Bracket'!BV6="","",'Novice 15M - Bracket'!BV6),"")</f>
        <v/>
      </c>
      <c r="G144" s="90" t="str">
        <f>IFERROR(IF('Novice 15M - Bracket'!BW6="","",'Novice 15M - Bracket'!BW6),"")</f>
        <v/>
      </c>
      <c r="H144" s="32">
        <f>IFERROR(IF(ISNUMBER('Novice 15M - Bracket'!BX6),'Novice 15M - Bracket'!BX6,0),0)</f>
        <v>0</v>
      </c>
      <c r="I144" s="91" t="str">
        <f>IF(AND(ISNUMBER('Novice 15M - Bracket'!BX6),ISNUMBER('Novice 15M - Bracket'!BX8)),IF('Novice 15M - Bracket'!BX6&gt;'Novice 15M - Bracket'!BX8,"2-0",IF('Novice 15M - Bracket'!BX6='Novice 15M - Bracket'!BX8,"1-1","0-2")),"—")</f>
        <v>—</v>
      </c>
      <c r="J144" s="32">
        <f>IFERROR(IF(ISNUMBER('Novice 15M - Bracket'!BX8),'Novice 15M - Bracket'!BX8,0),0)</f>
        <v>0</v>
      </c>
      <c r="K144" s="90" t="str">
        <f>IFERROR(IF('Novice 15M - Bracket'!BW8="","",'Novice 15M - Bracket'!BW8),"")</f>
        <v/>
      </c>
      <c r="L144" s="90" t="str">
        <f>IFERROR(IF('Novice 15M - Bracket'!BV8="","",'Novice 15M - Bracket'!BV8),"")</f>
        <v/>
      </c>
      <c r="M144" s="90" t="str">
        <f>IFERROR(IF('Novice 15M - Bracket'!BU8="","",'Novice 15M - Bracket'!BU8),"")</f>
        <v/>
      </c>
      <c r="N144" s="90" t="str">
        <f>IFERROR(IF('Novice 15M - Bracket'!BT8="","",'Novice 15M - Bracket'!BT8),"")</f>
        <v/>
      </c>
      <c r="O144" s="90" t="str">
        <f>IFERROR(IF('Novice 15M - Bracket'!BS8="","",'Novice 15M - Bracket'!BS8),"")</f>
        <v/>
      </c>
      <c r="P144" s="90" t="str">
        <f>IFERROR(IF('Novice 15M - Bracket'!BR8="","",'Novice 15M - Bracket'!BR8),"")</f>
        <v/>
      </c>
      <c r="Q144" s="84" t="s">
        <v>223</v>
      </c>
    </row>
    <row r="145" spans="1:17" ht="21.75" customHeight="1" x14ac:dyDescent="0.35">
      <c r="A145" s="84" t="s">
        <v>224</v>
      </c>
      <c r="B145" s="90" t="str">
        <f>IFERROR(IF('Novice 15M - Bracket'!BY6="","",'Novice 15M - Bracket'!BY6),"")</f>
        <v/>
      </c>
      <c r="C145" s="90" t="str">
        <f>IFERROR(IF('Novice 15M - Bracket'!BZ6="","",'Novice 15M - Bracket'!BZ6),"")</f>
        <v/>
      </c>
      <c r="D145" s="90" t="str">
        <f>IFERROR(IF('Novice 15M - Bracket'!CA6="","",'Novice 15M - Bracket'!CA6),"")</f>
        <v/>
      </c>
      <c r="E145" s="90" t="str">
        <f>IFERROR(IF('Novice 15M - Bracket'!CB6="","",'Novice 15M - Bracket'!CB6),"")</f>
        <v/>
      </c>
      <c r="F145" s="90" t="str">
        <f>IFERROR(IF('Novice 15M - Bracket'!CC6="","",'Novice 15M - Bracket'!CC6),"")</f>
        <v/>
      </c>
      <c r="G145" s="90" t="str">
        <f>IFERROR(IF('Novice 15M - Bracket'!CD6="","",'Novice 15M - Bracket'!CD6),"")</f>
        <v/>
      </c>
      <c r="H145" s="32">
        <f>IFERROR(IF(ISNUMBER('Novice 15M - Bracket'!CE6),'Novice 15M - Bracket'!CE6,0),0)</f>
        <v>0</v>
      </c>
      <c r="I145" s="91" t="str">
        <f>IF(AND(ISNUMBER('Novice 15M - Bracket'!CE6),ISNUMBER('Novice 15M - Bracket'!CE8)),IF('Novice 15M - Bracket'!CE6&gt;'Novice 15M - Bracket'!CE8,"2-0",IF('Novice 15M - Bracket'!CE6='Novice 15M - Bracket'!CE8,"1-1","0-2")),"—")</f>
        <v>—</v>
      </c>
      <c r="J145" s="32">
        <f>IFERROR(IF(ISNUMBER('Novice 15M - Bracket'!CE8),'Novice 15M - Bracket'!CE8,0),0)</f>
        <v>0</v>
      </c>
      <c r="K145" s="90" t="str">
        <f>IFERROR(IF('Novice 15M - Bracket'!CD8="","",'Novice 15M - Bracket'!CD8),"")</f>
        <v/>
      </c>
      <c r="L145" s="90" t="str">
        <f>IFERROR(IF('Novice 15M - Bracket'!CC8="","",'Novice 15M - Bracket'!CC8),"")</f>
        <v/>
      </c>
      <c r="M145" s="90" t="str">
        <f>IFERROR(IF('Novice 15M - Bracket'!CB8="","",'Novice 15M - Bracket'!CB8),"")</f>
        <v/>
      </c>
      <c r="N145" s="90" t="str">
        <f>IFERROR(IF('Novice 15M - Bracket'!CA8="","",'Novice 15M - Bracket'!CA8),"")</f>
        <v/>
      </c>
      <c r="O145" s="90" t="str">
        <f>IFERROR(IF('Novice 15M - Bracket'!BZ8="","",'Novice 15M - Bracket'!BZ8),"")</f>
        <v/>
      </c>
      <c r="P145" s="90" t="str">
        <f>IFERROR(IF('Novice 15M - Bracket'!BY8="","",'Novice 15M - Bracket'!BY8),"")</f>
        <v/>
      </c>
      <c r="Q145" s="84" t="s">
        <v>224</v>
      </c>
    </row>
    <row r="146" spans="1:17" ht="21.75" customHeight="1" x14ac:dyDescent="0.35">
      <c r="A146" s="84" t="s">
        <v>227</v>
      </c>
      <c r="B146" s="90" t="str">
        <f>IFERROR(IF('Novice 15M - Bracket'!CF6="","",'Novice 15M - Bracket'!CF6),"")</f>
        <v/>
      </c>
      <c r="C146" s="90" t="str">
        <f>IFERROR(IF('Novice 15M - Bracket'!CG6="","",'Novice 15M - Bracket'!CG6),"")</f>
        <v/>
      </c>
      <c r="D146" s="90" t="str">
        <f>IFERROR(IF('Novice 15M - Bracket'!CH6="","",'Novice 15M - Bracket'!CH6),"")</f>
        <v/>
      </c>
      <c r="E146" s="90" t="str">
        <f>IFERROR(IF('Novice 15M - Bracket'!CI6="","",'Novice 15M - Bracket'!CI6),"")</f>
        <v/>
      </c>
      <c r="F146" s="90" t="str">
        <f>IFERROR(IF('Novice 15M - Bracket'!CJ6="","",'Novice 15M - Bracket'!CJ6),"")</f>
        <v/>
      </c>
      <c r="G146" s="90" t="str">
        <f>IFERROR(IF('Novice 15M - Bracket'!CK6="","",'Novice 15M - Bracket'!CK6),"")</f>
        <v/>
      </c>
      <c r="H146" s="32">
        <f>IFERROR(IF(ISNUMBER('Novice 15M - Bracket'!CL6),'Novice 15M - Bracket'!CL6,0),0)</f>
        <v>0</v>
      </c>
      <c r="I146" s="91" t="str">
        <f>IF(AND(ISNUMBER('Novice 15M - Bracket'!CL6),ISNUMBER('Novice 15M - Bracket'!CL8)),IF('Novice 15M - Bracket'!CL6&gt;'Novice 15M - Bracket'!CL8,"2-0",IF('Novice 15M - Bracket'!CL6='Novice 15M - Bracket'!CL8,"1-1","0-2")),"—")</f>
        <v>—</v>
      </c>
      <c r="J146" s="32">
        <f>IFERROR(IF(ISNUMBER('Novice 15M - Bracket'!CL8),'Novice 15M - Bracket'!CL8,0),0)</f>
        <v>0</v>
      </c>
      <c r="K146" s="90" t="str">
        <f>IFERROR(IF('Novice 15M - Bracket'!CK8="","",'Novice 15M - Bracket'!CK8),"")</f>
        <v/>
      </c>
      <c r="L146" s="90" t="str">
        <f>IFERROR(IF('Novice 15M - Bracket'!CJ8="","",'Novice 15M - Bracket'!CJ8),"")</f>
        <v/>
      </c>
      <c r="M146" s="90" t="str">
        <f>IFERROR(IF('Novice 15M - Bracket'!CI8="","",'Novice 15M - Bracket'!CI8),"")</f>
        <v/>
      </c>
      <c r="N146" s="90" t="str">
        <f>IFERROR(IF('Novice 15M - Bracket'!CH8="","",'Novice 15M - Bracket'!CH8),"")</f>
        <v/>
      </c>
      <c r="O146" s="90" t="str">
        <f>IFERROR(IF('Novice 15M - Bracket'!CG8="","",'Novice 15M - Bracket'!CG8),"")</f>
        <v/>
      </c>
      <c r="P146" s="90" t="str">
        <f>IFERROR(IF('Novice 15M - Bracket'!CF8="","",'Novice 15M - Bracket'!CF8),"")</f>
        <v/>
      </c>
      <c r="Q146" s="84" t="s">
        <v>227</v>
      </c>
    </row>
    <row r="147" spans="1:17" ht="21.75" customHeight="1" x14ac:dyDescent="0.35">
      <c r="A147" s="84" t="s">
        <v>228</v>
      </c>
      <c r="B147" s="90" t="str">
        <f>IFERROR(IF('Novice 15M - Bracket'!CM6="","",'Novice 15M - Bracket'!CM6),"")</f>
        <v/>
      </c>
      <c r="C147" s="90" t="str">
        <f>IFERROR(IF('Novice 15M - Bracket'!CN6="","",'Novice 15M - Bracket'!CN6),"")</f>
        <v/>
      </c>
      <c r="D147" s="90" t="str">
        <f>IFERROR(IF('Novice 15M - Bracket'!CO6="","",'Novice 15M - Bracket'!CO6),"")</f>
        <v/>
      </c>
      <c r="E147" s="90" t="str">
        <f>IFERROR(IF('Novice 15M - Bracket'!CP6="","",'Novice 15M - Bracket'!CP6),"")</f>
        <v/>
      </c>
      <c r="F147" s="90" t="str">
        <f>IFERROR(IF('Novice 15M - Bracket'!CQ6="","",'Novice 15M - Bracket'!CQ6),"")</f>
        <v/>
      </c>
      <c r="G147" s="90" t="str">
        <f>IFERROR(IF('Novice 15M - Bracket'!CR6="","",'Novice 15M - Bracket'!CR6),"")</f>
        <v/>
      </c>
      <c r="H147" s="32">
        <f>IFERROR(IF(ISNUMBER('Novice 15M - Bracket'!CS6),'Novice 15M - Bracket'!CS6,0),0)</f>
        <v>0</v>
      </c>
      <c r="I147" s="91" t="str">
        <f>IF(AND(ISNUMBER('Novice 15M - Bracket'!CS6),ISNUMBER('Novice 15M - Bracket'!CS8)),IF('Novice 15M - Bracket'!CS6&gt;'Novice 15M - Bracket'!CS8,"2-0",IF('Novice 15M - Bracket'!CS6='Novice 15M - Bracket'!CS8,"1-1","0-2")),"—")</f>
        <v>—</v>
      </c>
      <c r="J147" s="32">
        <f>IFERROR(IF(ISNUMBER('Novice 15M - Bracket'!CS8),'Novice 15M - Bracket'!CS8,0),0)</f>
        <v>0</v>
      </c>
      <c r="K147" s="90" t="str">
        <f>IFERROR(IF('Novice 15M - Bracket'!CR8="","",'Novice 15M - Bracket'!CR8),"")</f>
        <v/>
      </c>
      <c r="L147" s="90" t="str">
        <f>IFERROR(IF('Novice 15M - Bracket'!CQ8="","",'Novice 15M - Bracket'!CQ8),"")</f>
        <v/>
      </c>
      <c r="M147" s="90" t="str">
        <f>IFERROR(IF('Novice 15M - Bracket'!CP8="","",'Novice 15M - Bracket'!CP8),"")</f>
        <v/>
      </c>
      <c r="N147" s="90" t="str">
        <f>IFERROR(IF('Novice 15M - Bracket'!CO8="","",'Novice 15M - Bracket'!CO8),"")</f>
        <v/>
      </c>
      <c r="O147" s="90" t="str">
        <f>IFERROR(IF('Novice 15M - Bracket'!CN8="","",'Novice 15M - Bracket'!CN8),"")</f>
        <v/>
      </c>
      <c r="P147" s="90" t="str">
        <f>IFERROR(IF('Novice 15M - Bracket'!CM8="","",'Novice 15M - Bracket'!CM8),"")</f>
        <v/>
      </c>
      <c r="Q147" s="84" t="s">
        <v>228</v>
      </c>
    </row>
    <row r="148" spans="1:17" ht="21.75" customHeight="1" x14ac:dyDescent="0.35">
      <c r="A148" s="92" t="s">
        <v>237</v>
      </c>
      <c r="B148" s="93" t="str">
        <f>IFERROR(IF('Novice 15M - Bracket'!CT6="","",'Novice 15M - Bracket'!CT6),"")</f>
        <v/>
      </c>
      <c r="C148" s="93" t="str">
        <f>IFERROR(IF('Novice 15M - Bracket'!CU6="","",'Novice 15M - Bracket'!CU6),"")</f>
        <v/>
      </c>
      <c r="D148" s="93" t="str">
        <f>IFERROR(IF('Novice 15M - Bracket'!CV6="","",'Novice 15M - Bracket'!CV6),"")</f>
        <v/>
      </c>
      <c r="E148" s="93" t="str">
        <f>IFERROR(IF('Novice 15M - Bracket'!CW6="","",'Novice 15M - Bracket'!CW6),"")</f>
        <v/>
      </c>
      <c r="F148" s="93" t="str">
        <f>IFERROR(IF('Novice 15M - Bracket'!CX6="","",'Novice 15M - Bracket'!CX6),"")</f>
        <v/>
      </c>
      <c r="G148" s="93" t="str">
        <f>IFERROR(IF('Novice 15M - Bracket'!CY6="","",'Novice 15M - Bracket'!CY6),"")</f>
        <v/>
      </c>
      <c r="H148" s="32">
        <f>IFERROR(IF(ISNUMBER('Novice 15M - Bracket'!CZ6),'Novice 15M - Bracket'!CZ6,0),0)</f>
        <v>0</v>
      </c>
      <c r="I148" s="91" t="str">
        <f>IF(AND(ISNUMBER('Novice 15M - Bracket'!CZ6),ISNUMBER('Novice 15M - Bracket'!CZ8)),IF('Novice 15M - Bracket'!CZ6&gt;'Novice 15M - Bracket'!CZ8,"2-0",IF('Novice 15M - Bracket'!CZ6='Novice 15M - Bracket'!CZ8,"1-1","0-2")),"—")</f>
        <v>—</v>
      </c>
      <c r="J148" s="32">
        <f>IFERROR(IF(ISNUMBER('Novice 15M - Bracket'!CZ8),'Novice 15M - Bracket'!CZ8,0),0)</f>
        <v>0</v>
      </c>
      <c r="K148" s="93" t="str">
        <f>IFERROR(IF('Novice 15M - Bracket'!CY8="","",'Novice 15M - Bracket'!CY8),"")</f>
        <v/>
      </c>
      <c r="L148" s="93" t="str">
        <f>IFERROR(IF('Novice 15M - Bracket'!CX8="","",'Novice 15M - Bracket'!CX8),"")</f>
        <v/>
      </c>
      <c r="M148" s="93" t="str">
        <f>IFERROR(IF('Novice 15M - Bracket'!CW8="","",'Novice 15M - Bracket'!CW8),"")</f>
        <v/>
      </c>
      <c r="N148" s="93" t="str">
        <f>IFERROR(IF('Novice 15M - Bracket'!CV8="","",'Novice 15M - Bracket'!CV8),"")</f>
        <v/>
      </c>
      <c r="O148" s="93" t="str">
        <f>IFERROR(IF('Novice 15M - Bracket'!CU8="","",'Novice 15M - Bracket'!CU8),"")</f>
        <v/>
      </c>
      <c r="P148" s="93" t="str">
        <f>IFERROR(IF('Novice 15M - Bracket'!CT8="","",'Novice 15M - Bracket'!CT8),"")</f>
        <v/>
      </c>
      <c r="Q148" s="92" t="s">
        <v>237</v>
      </c>
    </row>
    <row r="149" spans="1:17" ht="4.5" customHeight="1" x14ac:dyDescent="0.35"/>
    <row r="150" spans="1:17" ht="31.5" customHeight="1" x14ac:dyDescent="0.35">
      <c r="A150" s="130">
        <f>IFERROR(IF(ISNUMBER('Novice 15M - Bracket'!DA6),'Novice 15M - Bracket'!DA6,0),0)</f>
        <v>0</v>
      </c>
      <c r="B150" s="130"/>
      <c r="C150" s="130"/>
      <c r="D150" s="130"/>
      <c r="E150" s="130"/>
      <c r="F150" s="130"/>
      <c r="G150" s="130"/>
      <c r="H150" s="94" t="str">
        <f>IFERROR('Novice 15M - Bracket'!DD6,"")</f>
        <v>&gt;&gt; Advance</v>
      </c>
      <c r="I150" s="86"/>
      <c r="J150" s="94" t="str">
        <f>IFERROR('Novice 15M - Bracket'!DD8,"")</f>
        <v>BYE</v>
      </c>
      <c r="K150" s="130">
        <f>IFERROR(IF(ISNUMBER('Novice 15M - Bracket'!DA8),'Novice 15M - Bracket'!DA8,0),0)</f>
        <v>0</v>
      </c>
      <c r="L150" s="130"/>
      <c r="M150" s="130"/>
      <c r="N150" s="130"/>
      <c r="O150" s="130"/>
      <c r="P150" s="130"/>
      <c r="Q150" s="130"/>
    </row>
    <row r="151" spans="1:17" ht="21.75" customHeight="1" x14ac:dyDescent="0.35">
      <c r="A151" s="130"/>
      <c r="B151" s="130"/>
      <c r="C151" s="130"/>
      <c r="D151" s="130"/>
      <c r="E151" s="130"/>
      <c r="F151" s="130"/>
      <c r="G151" s="130"/>
      <c r="K151" s="130"/>
      <c r="L151" s="130"/>
      <c r="M151" s="130"/>
      <c r="N151" s="130"/>
      <c r="O151" s="130"/>
      <c r="P151" s="130"/>
      <c r="Q151" s="130"/>
    </row>
    <row r="152" spans="1:17" ht="4.5" customHeight="1" x14ac:dyDescent="0.35"/>
    <row r="153" spans="1:17" ht="12" customHeight="1" x14ac:dyDescent="0.35">
      <c r="A153" s="126"/>
      <c r="B153" s="126"/>
      <c r="C153" s="126"/>
      <c r="D153" s="126"/>
      <c r="E153" s="126"/>
      <c r="F153" s="126"/>
      <c r="G153" s="126"/>
      <c r="H153" s="126"/>
      <c r="I153" s="126"/>
      <c r="J153" s="126"/>
      <c r="K153" s="126"/>
      <c r="L153" s="126"/>
      <c r="M153" s="126"/>
      <c r="N153" s="126"/>
      <c r="O153" s="126"/>
      <c r="P153" s="126"/>
      <c r="Q153" s="126"/>
    </row>
    <row r="154" spans="1:17" ht="7.5" customHeight="1" x14ac:dyDescent="0.35"/>
    <row r="155" spans="1:17" ht="19.5" customHeight="1" x14ac:dyDescent="0.35">
      <c r="A155" s="131" t="s">
        <v>246</v>
      </c>
      <c r="B155" s="131"/>
      <c r="C155" s="131"/>
      <c r="D155" s="131"/>
      <c r="E155" s="131"/>
      <c r="F155" s="131"/>
      <c r="G155" s="131"/>
      <c r="H155" s="131"/>
      <c r="I155" s="131"/>
      <c r="J155" s="131"/>
      <c r="K155" s="131"/>
      <c r="L155" s="131"/>
      <c r="M155" s="131"/>
      <c r="N155" s="131"/>
      <c r="O155" s="131"/>
      <c r="P155" s="131"/>
      <c r="Q155" s="131"/>
    </row>
    <row r="156" spans="1:17" ht="4.5" customHeight="1" x14ac:dyDescent="0.35"/>
    <row r="157" spans="1:17" ht="21.75" customHeight="1" x14ac:dyDescent="0.35">
      <c r="A157" s="84" t="s">
        <v>232</v>
      </c>
      <c r="B157" s="128" t="str">
        <f>IFERROR(IF('Novice 15M - Bracket'!BE11="","TBD",'Novice 15M - Bracket'!BE11),"TBD")</f>
        <v>TBD</v>
      </c>
      <c r="C157" s="128"/>
      <c r="D157" s="128"/>
      <c r="E157" s="128"/>
      <c r="F157" s="128"/>
      <c r="G157" s="128"/>
      <c r="H157" s="128"/>
      <c r="I157" s="84" t="s">
        <v>233</v>
      </c>
      <c r="J157" s="128" t="str">
        <f>IFERROR(IF('Novice 15M - Bracket'!BE13="","TBD",'Novice 15M - Bracket'!BE13),"TBD")</f>
        <v>TBD</v>
      </c>
      <c r="K157" s="128"/>
      <c r="L157" s="128"/>
      <c r="M157" s="128"/>
      <c r="N157" s="128"/>
      <c r="O157" s="128"/>
      <c r="P157" s="128"/>
      <c r="Q157" s="84" t="s">
        <v>232</v>
      </c>
    </row>
    <row r="158" spans="1:17" ht="13.5" customHeight="1" x14ac:dyDescent="0.35">
      <c r="A158" s="85" t="s">
        <v>234</v>
      </c>
      <c r="B158" s="129" t="str">
        <f>IFERROR('Novice 15M - Bracket'!BD11,"")</f>
        <v>"W-R16M3"</v>
      </c>
      <c r="C158" s="129"/>
      <c r="D158" s="129"/>
      <c r="E158" s="129"/>
      <c r="F158" s="129"/>
      <c r="G158" s="129"/>
      <c r="H158" s="129"/>
      <c r="I158" s="86"/>
      <c r="J158" s="129" t="str">
        <f>IFERROR('Novice 15M - Bracket'!BD13,"")</f>
        <v>"W-R16M4"</v>
      </c>
      <c r="K158" s="129"/>
      <c r="L158" s="129"/>
      <c r="M158" s="129"/>
      <c r="N158" s="129"/>
      <c r="O158" s="129"/>
      <c r="P158" s="129"/>
      <c r="Q158" s="85" t="s">
        <v>234</v>
      </c>
    </row>
    <row r="159" spans="1:17" ht="19.5" customHeight="1" x14ac:dyDescent="0.35">
      <c r="A159" s="87" t="s">
        <v>235</v>
      </c>
      <c r="B159" s="88" t="s">
        <v>83</v>
      </c>
      <c r="C159" s="88" t="s">
        <v>84</v>
      </c>
      <c r="D159" s="88" t="s">
        <v>85</v>
      </c>
      <c r="E159" s="88" t="s">
        <v>86</v>
      </c>
      <c r="F159" s="88" t="s">
        <v>87</v>
      </c>
      <c r="G159" s="88" t="s">
        <v>88</v>
      </c>
      <c r="H159" s="24" t="s">
        <v>236</v>
      </c>
      <c r="I159" s="89"/>
      <c r="J159" s="24" t="s">
        <v>236</v>
      </c>
      <c r="K159" s="88" t="s">
        <v>88</v>
      </c>
      <c r="L159" s="88" t="s">
        <v>87</v>
      </c>
      <c r="M159" s="88" t="s">
        <v>86</v>
      </c>
      <c r="N159" s="88" t="s">
        <v>85</v>
      </c>
      <c r="O159" s="88" t="s">
        <v>84</v>
      </c>
      <c r="P159" s="88" t="s">
        <v>83</v>
      </c>
      <c r="Q159" s="87" t="s">
        <v>235</v>
      </c>
    </row>
    <row r="160" spans="1:17" ht="21.75" customHeight="1" x14ac:dyDescent="0.35">
      <c r="A160" s="84" t="s">
        <v>222</v>
      </c>
      <c r="B160" s="90" t="str">
        <f>IFERROR(IF('Novice 15M - Bracket'!BK11="","",'Novice 15M - Bracket'!BK11),"")</f>
        <v/>
      </c>
      <c r="C160" s="90" t="str">
        <f>IFERROR(IF('Novice 15M - Bracket'!BL11="","",'Novice 15M - Bracket'!BL11),"")</f>
        <v/>
      </c>
      <c r="D160" s="90" t="str">
        <f>IFERROR(IF('Novice 15M - Bracket'!BM11="","",'Novice 15M - Bracket'!BM11),"")</f>
        <v/>
      </c>
      <c r="E160" s="90" t="str">
        <f>IFERROR(IF('Novice 15M - Bracket'!BN11="","",'Novice 15M - Bracket'!BN11),"")</f>
        <v/>
      </c>
      <c r="F160" s="90" t="str">
        <f>IFERROR(IF('Novice 15M - Bracket'!BO11="","",'Novice 15M - Bracket'!BO11),"")</f>
        <v/>
      </c>
      <c r="G160" s="90" t="str">
        <f>IFERROR(IF('Novice 15M - Bracket'!BP11="","",'Novice 15M - Bracket'!BP11),"")</f>
        <v/>
      </c>
      <c r="H160" s="32">
        <f>IFERROR(IF(ISNUMBER('Novice 15M - Bracket'!BQ11),'Novice 15M - Bracket'!BQ11,0),0)</f>
        <v>0</v>
      </c>
      <c r="I160" s="91" t="str">
        <f>IF(AND(ISNUMBER('Novice 15M - Bracket'!BQ11),ISNUMBER('Novice 15M - Bracket'!BQ13)),IF('Novice 15M - Bracket'!BQ11&gt;'Novice 15M - Bracket'!BQ13,"2-0",IF('Novice 15M - Bracket'!BQ11='Novice 15M - Bracket'!BQ13,"1-1","0-2")),"—")</f>
        <v>—</v>
      </c>
      <c r="J160" s="32">
        <f>IFERROR(IF(ISNUMBER('Novice 15M - Bracket'!BQ13),'Novice 15M - Bracket'!BQ13,0),0)</f>
        <v>0</v>
      </c>
      <c r="K160" s="90" t="str">
        <f>IFERROR(IF('Novice 15M - Bracket'!BP13="","",'Novice 15M - Bracket'!BP13),"")</f>
        <v/>
      </c>
      <c r="L160" s="90" t="str">
        <f>IFERROR(IF('Novice 15M - Bracket'!BO13="","",'Novice 15M - Bracket'!BO13),"")</f>
        <v/>
      </c>
      <c r="M160" s="90" t="str">
        <f>IFERROR(IF('Novice 15M - Bracket'!BN13="","",'Novice 15M - Bracket'!BN13),"")</f>
        <v/>
      </c>
      <c r="N160" s="90" t="str">
        <f>IFERROR(IF('Novice 15M - Bracket'!BM13="","",'Novice 15M - Bracket'!BM13),"")</f>
        <v/>
      </c>
      <c r="O160" s="90" t="str">
        <f>IFERROR(IF('Novice 15M - Bracket'!BL13="","",'Novice 15M - Bracket'!BL13),"")</f>
        <v/>
      </c>
      <c r="P160" s="90" t="str">
        <f>IFERROR(IF('Novice 15M - Bracket'!BK13="","",'Novice 15M - Bracket'!BK13),"")</f>
        <v/>
      </c>
      <c r="Q160" s="84" t="s">
        <v>222</v>
      </c>
    </row>
    <row r="161" spans="1:17" ht="21.75" customHeight="1" x14ac:dyDescent="0.35">
      <c r="A161" s="84" t="s">
        <v>223</v>
      </c>
      <c r="B161" s="90" t="str">
        <f>IFERROR(IF('Novice 15M - Bracket'!BR11="","",'Novice 15M - Bracket'!BR11),"")</f>
        <v/>
      </c>
      <c r="C161" s="90" t="str">
        <f>IFERROR(IF('Novice 15M - Bracket'!BS11="","",'Novice 15M - Bracket'!BS11),"")</f>
        <v/>
      </c>
      <c r="D161" s="90" t="str">
        <f>IFERROR(IF('Novice 15M - Bracket'!BT11="","",'Novice 15M - Bracket'!BT11),"")</f>
        <v/>
      </c>
      <c r="E161" s="90" t="str">
        <f>IFERROR(IF('Novice 15M - Bracket'!BU11="","",'Novice 15M - Bracket'!BU11),"")</f>
        <v/>
      </c>
      <c r="F161" s="90" t="str">
        <f>IFERROR(IF('Novice 15M - Bracket'!BV11="","",'Novice 15M - Bracket'!BV11),"")</f>
        <v/>
      </c>
      <c r="G161" s="90" t="str">
        <f>IFERROR(IF('Novice 15M - Bracket'!BW11="","",'Novice 15M - Bracket'!BW11),"")</f>
        <v/>
      </c>
      <c r="H161" s="32">
        <f>IFERROR(IF(ISNUMBER('Novice 15M - Bracket'!BX11),'Novice 15M - Bracket'!BX11,0),0)</f>
        <v>0</v>
      </c>
      <c r="I161" s="91" t="str">
        <f>IF(AND(ISNUMBER('Novice 15M - Bracket'!BX11),ISNUMBER('Novice 15M - Bracket'!BX13)),IF('Novice 15M - Bracket'!BX11&gt;'Novice 15M - Bracket'!BX13,"2-0",IF('Novice 15M - Bracket'!BX11='Novice 15M - Bracket'!BX13,"1-1","0-2")),"—")</f>
        <v>—</v>
      </c>
      <c r="J161" s="32">
        <f>IFERROR(IF(ISNUMBER('Novice 15M - Bracket'!BX13),'Novice 15M - Bracket'!BX13,0),0)</f>
        <v>0</v>
      </c>
      <c r="K161" s="90" t="str">
        <f>IFERROR(IF('Novice 15M - Bracket'!BW13="","",'Novice 15M - Bracket'!BW13),"")</f>
        <v/>
      </c>
      <c r="L161" s="90" t="str">
        <f>IFERROR(IF('Novice 15M - Bracket'!BV13="","",'Novice 15M - Bracket'!BV13),"")</f>
        <v/>
      </c>
      <c r="M161" s="90" t="str">
        <f>IFERROR(IF('Novice 15M - Bracket'!BU13="","",'Novice 15M - Bracket'!BU13),"")</f>
        <v/>
      </c>
      <c r="N161" s="90" t="str">
        <f>IFERROR(IF('Novice 15M - Bracket'!BT13="","",'Novice 15M - Bracket'!BT13),"")</f>
        <v/>
      </c>
      <c r="O161" s="90" t="str">
        <f>IFERROR(IF('Novice 15M - Bracket'!BS13="","",'Novice 15M - Bracket'!BS13),"")</f>
        <v/>
      </c>
      <c r="P161" s="90" t="str">
        <f>IFERROR(IF('Novice 15M - Bracket'!BR13="","",'Novice 15M - Bracket'!BR13),"")</f>
        <v/>
      </c>
      <c r="Q161" s="84" t="s">
        <v>223</v>
      </c>
    </row>
    <row r="162" spans="1:17" ht="21.75" customHeight="1" x14ac:dyDescent="0.35">
      <c r="A162" s="84" t="s">
        <v>224</v>
      </c>
      <c r="B162" s="90" t="str">
        <f>IFERROR(IF('Novice 15M - Bracket'!BY11="","",'Novice 15M - Bracket'!BY11),"")</f>
        <v/>
      </c>
      <c r="C162" s="90" t="str">
        <f>IFERROR(IF('Novice 15M - Bracket'!BZ11="","",'Novice 15M - Bracket'!BZ11),"")</f>
        <v/>
      </c>
      <c r="D162" s="90" t="str">
        <f>IFERROR(IF('Novice 15M - Bracket'!CA11="","",'Novice 15M - Bracket'!CA11),"")</f>
        <v/>
      </c>
      <c r="E162" s="90" t="str">
        <f>IFERROR(IF('Novice 15M - Bracket'!CB11="","",'Novice 15M - Bracket'!CB11),"")</f>
        <v/>
      </c>
      <c r="F162" s="90" t="str">
        <f>IFERROR(IF('Novice 15M - Bracket'!CC11="","",'Novice 15M - Bracket'!CC11),"")</f>
        <v/>
      </c>
      <c r="G162" s="90" t="str">
        <f>IFERROR(IF('Novice 15M - Bracket'!CD11="","",'Novice 15M - Bracket'!CD11),"")</f>
        <v/>
      </c>
      <c r="H162" s="32">
        <f>IFERROR(IF(ISNUMBER('Novice 15M - Bracket'!CE11),'Novice 15M - Bracket'!CE11,0),0)</f>
        <v>0</v>
      </c>
      <c r="I162" s="91" t="str">
        <f>IF(AND(ISNUMBER('Novice 15M - Bracket'!CE11),ISNUMBER('Novice 15M - Bracket'!CE13)),IF('Novice 15M - Bracket'!CE11&gt;'Novice 15M - Bracket'!CE13,"2-0",IF('Novice 15M - Bracket'!CE11='Novice 15M - Bracket'!CE13,"1-1","0-2")),"—")</f>
        <v>—</v>
      </c>
      <c r="J162" s="32">
        <f>IFERROR(IF(ISNUMBER('Novice 15M - Bracket'!CE13),'Novice 15M - Bracket'!CE13,0),0)</f>
        <v>0</v>
      </c>
      <c r="K162" s="90" t="str">
        <f>IFERROR(IF('Novice 15M - Bracket'!CD13="","",'Novice 15M - Bracket'!CD13),"")</f>
        <v/>
      </c>
      <c r="L162" s="90" t="str">
        <f>IFERROR(IF('Novice 15M - Bracket'!CC13="","",'Novice 15M - Bracket'!CC13),"")</f>
        <v/>
      </c>
      <c r="M162" s="90" t="str">
        <f>IFERROR(IF('Novice 15M - Bracket'!CB13="","",'Novice 15M - Bracket'!CB13),"")</f>
        <v/>
      </c>
      <c r="N162" s="90" t="str">
        <f>IFERROR(IF('Novice 15M - Bracket'!CA13="","",'Novice 15M - Bracket'!CA13),"")</f>
        <v/>
      </c>
      <c r="O162" s="90" t="str">
        <f>IFERROR(IF('Novice 15M - Bracket'!BZ13="","",'Novice 15M - Bracket'!BZ13),"")</f>
        <v/>
      </c>
      <c r="P162" s="90" t="str">
        <f>IFERROR(IF('Novice 15M - Bracket'!BY13="","",'Novice 15M - Bracket'!BY13),"")</f>
        <v/>
      </c>
      <c r="Q162" s="84" t="s">
        <v>224</v>
      </c>
    </row>
    <row r="163" spans="1:17" ht="21.75" customHeight="1" x14ac:dyDescent="0.35">
      <c r="A163" s="84" t="s">
        <v>227</v>
      </c>
      <c r="B163" s="90" t="str">
        <f>IFERROR(IF('Novice 15M - Bracket'!CF11="","",'Novice 15M - Bracket'!CF11),"")</f>
        <v/>
      </c>
      <c r="C163" s="90" t="str">
        <f>IFERROR(IF('Novice 15M - Bracket'!CG11="","",'Novice 15M - Bracket'!CG11),"")</f>
        <v/>
      </c>
      <c r="D163" s="90" t="str">
        <f>IFERROR(IF('Novice 15M - Bracket'!CH11="","",'Novice 15M - Bracket'!CH11),"")</f>
        <v/>
      </c>
      <c r="E163" s="90" t="str">
        <f>IFERROR(IF('Novice 15M - Bracket'!CI11="","",'Novice 15M - Bracket'!CI11),"")</f>
        <v/>
      </c>
      <c r="F163" s="90" t="str">
        <f>IFERROR(IF('Novice 15M - Bracket'!CJ11="","",'Novice 15M - Bracket'!CJ11),"")</f>
        <v/>
      </c>
      <c r="G163" s="90" t="str">
        <f>IFERROR(IF('Novice 15M - Bracket'!CK11="","",'Novice 15M - Bracket'!CK11),"")</f>
        <v/>
      </c>
      <c r="H163" s="32">
        <f>IFERROR(IF(ISNUMBER('Novice 15M - Bracket'!CL11),'Novice 15M - Bracket'!CL11,0),0)</f>
        <v>0</v>
      </c>
      <c r="I163" s="91" t="str">
        <f>IF(AND(ISNUMBER('Novice 15M - Bracket'!CL11),ISNUMBER('Novice 15M - Bracket'!CL13)),IF('Novice 15M - Bracket'!CL11&gt;'Novice 15M - Bracket'!CL13,"2-0",IF('Novice 15M - Bracket'!CL11='Novice 15M - Bracket'!CL13,"1-1","0-2")),"—")</f>
        <v>—</v>
      </c>
      <c r="J163" s="32">
        <f>IFERROR(IF(ISNUMBER('Novice 15M - Bracket'!CL13),'Novice 15M - Bracket'!CL13,0),0)</f>
        <v>0</v>
      </c>
      <c r="K163" s="90" t="str">
        <f>IFERROR(IF('Novice 15M - Bracket'!CK13="","",'Novice 15M - Bracket'!CK13),"")</f>
        <v/>
      </c>
      <c r="L163" s="90" t="str">
        <f>IFERROR(IF('Novice 15M - Bracket'!CJ13="","",'Novice 15M - Bracket'!CJ13),"")</f>
        <v/>
      </c>
      <c r="M163" s="90" t="str">
        <f>IFERROR(IF('Novice 15M - Bracket'!CI13="","",'Novice 15M - Bracket'!CI13),"")</f>
        <v/>
      </c>
      <c r="N163" s="90" t="str">
        <f>IFERROR(IF('Novice 15M - Bracket'!CH13="","",'Novice 15M - Bracket'!CH13),"")</f>
        <v/>
      </c>
      <c r="O163" s="90" t="str">
        <f>IFERROR(IF('Novice 15M - Bracket'!CG13="","",'Novice 15M - Bracket'!CG13),"")</f>
        <v/>
      </c>
      <c r="P163" s="90" t="str">
        <f>IFERROR(IF('Novice 15M - Bracket'!CF13="","",'Novice 15M - Bracket'!CF13),"")</f>
        <v/>
      </c>
      <c r="Q163" s="84" t="s">
        <v>227</v>
      </c>
    </row>
    <row r="164" spans="1:17" ht="21.75" customHeight="1" x14ac:dyDescent="0.35">
      <c r="A164" s="84" t="s">
        <v>228</v>
      </c>
      <c r="B164" s="90" t="str">
        <f>IFERROR(IF('Novice 15M - Bracket'!CM11="","",'Novice 15M - Bracket'!CM11),"")</f>
        <v/>
      </c>
      <c r="C164" s="90" t="str">
        <f>IFERROR(IF('Novice 15M - Bracket'!CN11="","",'Novice 15M - Bracket'!CN11),"")</f>
        <v/>
      </c>
      <c r="D164" s="90" t="str">
        <f>IFERROR(IF('Novice 15M - Bracket'!CO11="","",'Novice 15M - Bracket'!CO11),"")</f>
        <v/>
      </c>
      <c r="E164" s="90" t="str">
        <f>IFERROR(IF('Novice 15M - Bracket'!CP11="","",'Novice 15M - Bracket'!CP11),"")</f>
        <v/>
      </c>
      <c r="F164" s="90" t="str">
        <f>IFERROR(IF('Novice 15M - Bracket'!CQ11="","",'Novice 15M - Bracket'!CQ11),"")</f>
        <v/>
      </c>
      <c r="G164" s="90" t="str">
        <f>IFERROR(IF('Novice 15M - Bracket'!CR11="","",'Novice 15M - Bracket'!CR11),"")</f>
        <v/>
      </c>
      <c r="H164" s="32">
        <f>IFERROR(IF(ISNUMBER('Novice 15M - Bracket'!CS11),'Novice 15M - Bracket'!CS11,0),0)</f>
        <v>0</v>
      </c>
      <c r="I164" s="91" t="str">
        <f>IF(AND(ISNUMBER('Novice 15M - Bracket'!CS11),ISNUMBER('Novice 15M - Bracket'!CS13)),IF('Novice 15M - Bracket'!CS11&gt;'Novice 15M - Bracket'!CS13,"2-0",IF('Novice 15M - Bracket'!CS11='Novice 15M - Bracket'!CS13,"1-1","0-2")),"—")</f>
        <v>—</v>
      </c>
      <c r="J164" s="32">
        <f>IFERROR(IF(ISNUMBER('Novice 15M - Bracket'!CS13),'Novice 15M - Bracket'!CS13,0),0)</f>
        <v>0</v>
      </c>
      <c r="K164" s="90" t="str">
        <f>IFERROR(IF('Novice 15M - Bracket'!CR13="","",'Novice 15M - Bracket'!CR13),"")</f>
        <v/>
      </c>
      <c r="L164" s="90" t="str">
        <f>IFERROR(IF('Novice 15M - Bracket'!CQ13="","",'Novice 15M - Bracket'!CQ13),"")</f>
        <v/>
      </c>
      <c r="M164" s="90" t="str">
        <f>IFERROR(IF('Novice 15M - Bracket'!CP13="","",'Novice 15M - Bracket'!CP13),"")</f>
        <v/>
      </c>
      <c r="N164" s="90" t="str">
        <f>IFERROR(IF('Novice 15M - Bracket'!CO13="","",'Novice 15M - Bracket'!CO13),"")</f>
        <v/>
      </c>
      <c r="O164" s="90" t="str">
        <f>IFERROR(IF('Novice 15M - Bracket'!CN13="","",'Novice 15M - Bracket'!CN13),"")</f>
        <v/>
      </c>
      <c r="P164" s="90" t="str">
        <f>IFERROR(IF('Novice 15M - Bracket'!CM13="","",'Novice 15M - Bracket'!CM13),"")</f>
        <v/>
      </c>
      <c r="Q164" s="84" t="s">
        <v>228</v>
      </c>
    </row>
    <row r="165" spans="1:17" ht="21.75" customHeight="1" x14ac:dyDescent="0.35">
      <c r="A165" s="92" t="s">
        <v>237</v>
      </c>
      <c r="B165" s="93" t="str">
        <f>IFERROR(IF('Novice 15M - Bracket'!CT11="","",'Novice 15M - Bracket'!CT11),"")</f>
        <v/>
      </c>
      <c r="C165" s="93" t="str">
        <f>IFERROR(IF('Novice 15M - Bracket'!CU11="","",'Novice 15M - Bracket'!CU11),"")</f>
        <v/>
      </c>
      <c r="D165" s="93" t="str">
        <f>IFERROR(IF('Novice 15M - Bracket'!CV11="","",'Novice 15M - Bracket'!CV11),"")</f>
        <v/>
      </c>
      <c r="E165" s="93" t="str">
        <f>IFERROR(IF('Novice 15M - Bracket'!CW11="","",'Novice 15M - Bracket'!CW11),"")</f>
        <v/>
      </c>
      <c r="F165" s="93" t="str">
        <f>IFERROR(IF('Novice 15M - Bracket'!CX11="","",'Novice 15M - Bracket'!CX11),"")</f>
        <v/>
      </c>
      <c r="G165" s="93" t="str">
        <f>IFERROR(IF('Novice 15M - Bracket'!CY11="","",'Novice 15M - Bracket'!CY11),"")</f>
        <v/>
      </c>
      <c r="H165" s="32">
        <f>IFERROR(IF(ISNUMBER('Novice 15M - Bracket'!CZ11),'Novice 15M - Bracket'!CZ11,0),0)</f>
        <v>0</v>
      </c>
      <c r="I165" s="91" t="str">
        <f>IF(AND(ISNUMBER('Novice 15M - Bracket'!CZ11),ISNUMBER('Novice 15M - Bracket'!CZ13)),IF('Novice 15M - Bracket'!CZ11&gt;'Novice 15M - Bracket'!CZ13,"2-0",IF('Novice 15M - Bracket'!CZ11='Novice 15M - Bracket'!CZ13,"1-1","0-2")),"—")</f>
        <v>—</v>
      </c>
      <c r="J165" s="32">
        <f>IFERROR(IF(ISNUMBER('Novice 15M - Bracket'!CZ13),'Novice 15M - Bracket'!CZ13,0),0)</f>
        <v>0</v>
      </c>
      <c r="K165" s="93" t="str">
        <f>IFERROR(IF('Novice 15M - Bracket'!CY13="","",'Novice 15M - Bracket'!CY13),"")</f>
        <v/>
      </c>
      <c r="L165" s="93" t="str">
        <f>IFERROR(IF('Novice 15M - Bracket'!CX13="","",'Novice 15M - Bracket'!CX13),"")</f>
        <v/>
      </c>
      <c r="M165" s="93" t="str">
        <f>IFERROR(IF('Novice 15M - Bracket'!CW13="","",'Novice 15M - Bracket'!CW13),"")</f>
        <v/>
      </c>
      <c r="N165" s="93" t="str">
        <f>IFERROR(IF('Novice 15M - Bracket'!CV13="","",'Novice 15M - Bracket'!CV13),"")</f>
        <v/>
      </c>
      <c r="O165" s="93" t="str">
        <f>IFERROR(IF('Novice 15M - Bracket'!CU13="","",'Novice 15M - Bracket'!CU13),"")</f>
        <v/>
      </c>
      <c r="P165" s="93" t="str">
        <f>IFERROR(IF('Novice 15M - Bracket'!CT13="","",'Novice 15M - Bracket'!CT13),"")</f>
        <v/>
      </c>
      <c r="Q165" s="92" t="s">
        <v>237</v>
      </c>
    </row>
    <row r="166" spans="1:17" ht="4.5" customHeight="1" x14ac:dyDescent="0.35"/>
    <row r="167" spans="1:17" ht="31.5" customHeight="1" x14ac:dyDescent="0.35">
      <c r="A167" s="130">
        <f>IFERROR(IF(ISNUMBER('Novice 15M - Bracket'!DA11),'Novice 15M - Bracket'!DA11,0),0)</f>
        <v>0</v>
      </c>
      <c r="B167" s="130"/>
      <c r="C167" s="130"/>
      <c r="D167" s="130"/>
      <c r="E167" s="130"/>
      <c r="F167" s="130"/>
      <c r="G167" s="130"/>
      <c r="H167" s="94" t="str">
        <f>IFERROR('Novice 15M - Bracket'!DD11,"")</f>
        <v>&gt;&gt; Advance</v>
      </c>
      <c r="I167" s="86"/>
      <c r="J167" s="94" t="str">
        <f>IFERROR('Novice 15M - Bracket'!DD13,"")</f>
        <v>&gt;&gt; Advance</v>
      </c>
      <c r="K167" s="130">
        <f>IFERROR(IF(ISNUMBER('Novice 15M - Bracket'!DA13),'Novice 15M - Bracket'!DA13,0),0)</f>
        <v>0</v>
      </c>
      <c r="L167" s="130"/>
      <c r="M167" s="130"/>
      <c r="N167" s="130"/>
      <c r="O167" s="130"/>
      <c r="P167" s="130"/>
      <c r="Q167" s="130"/>
    </row>
    <row r="168" spans="1:17" ht="21.75" customHeight="1" x14ac:dyDescent="0.35">
      <c r="A168" s="130"/>
      <c r="B168" s="130"/>
      <c r="C168" s="130"/>
      <c r="D168" s="130"/>
      <c r="E168" s="130"/>
      <c r="F168" s="130"/>
      <c r="G168" s="130"/>
      <c r="K168" s="130"/>
      <c r="L168" s="130"/>
      <c r="M168" s="130"/>
      <c r="N168" s="130"/>
      <c r="O168" s="130"/>
      <c r="P168" s="130"/>
      <c r="Q168" s="130"/>
    </row>
    <row r="169" spans="1:17" ht="4.5" customHeight="1" x14ac:dyDescent="0.35"/>
    <row r="170" spans="1:17" ht="12" customHeight="1" x14ac:dyDescent="0.35">
      <c r="A170" s="126"/>
      <c r="B170" s="126"/>
      <c r="C170" s="126"/>
      <c r="D170" s="126"/>
      <c r="E170" s="126"/>
      <c r="F170" s="126"/>
      <c r="G170" s="126"/>
      <c r="H170" s="126"/>
      <c r="I170" s="126"/>
      <c r="J170" s="126"/>
      <c r="K170" s="126"/>
      <c r="L170" s="126"/>
      <c r="M170" s="126"/>
      <c r="N170" s="126"/>
      <c r="O170" s="126"/>
      <c r="P170" s="126"/>
      <c r="Q170" s="126"/>
    </row>
    <row r="171" spans="1:17" ht="7.5" customHeight="1" x14ac:dyDescent="0.35"/>
    <row r="172" spans="1:17" ht="19.5" customHeight="1" x14ac:dyDescent="0.35">
      <c r="A172" s="131" t="s">
        <v>247</v>
      </c>
      <c r="B172" s="131"/>
      <c r="C172" s="131"/>
      <c r="D172" s="131"/>
      <c r="E172" s="131"/>
      <c r="F172" s="131"/>
      <c r="G172" s="131"/>
      <c r="H172" s="131"/>
      <c r="I172" s="131"/>
      <c r="J172" s="131"/>
      <c r="K172" s="131"/>
      <c r="L172" s="131"/>
      <c r="M172" s="131"/>
      <c r="N172" s="131"/>
      <c r="O172" s="131"/>
      <c r="P172" s="131"/>
      <c r="Q172" s="131"/>
    </row>
    <row r="173" spans="1:17" ht="4.5" customHeight="1" x14ac:dyDescent="0.35"/>
    <row r="174" spans="1:17" ht="21.75" customHeight="1" x14ac:dyDescent="0.35">
      <c r="A174" s="84" t="s">
        <v>232</v>
      </c>
      <c r="B174" s="128" t="str">
        <f>IFERROR(IF('Novice 15M - Bracket'!BE16="","TBD",'Novice 15M - Bracket'!BE16),"TBD")</f>
        <v>TBD</v>
      </c>
      <c r="C174" s="128"/>
      <c r="D174" s="128"/>
      <c r="E174" s="128"/>
      <c r="F174" s="128"/>
      <c r="G174" s="128"/>
      <c r="H174" s="128"/>
      <c r="I174" s="84" t="s">
        <v>233</v>
      </c>
      <c r="J174" s="128" t="str">
        <f>IFERROR(IF('Novice 15M - Bracket'!BE18="","TBD",'Novice 15M - Bracket'!BE18),"TBD")</f>
        <v>TBD</v>
      </c>
      <c r="K174" s="128"/>
      <c r="L174" s="128"/>
      <c r="M174" s="128"/>
      <c r="N174" s="128"/>
      <c r="O174" s="128"/>
      <c r="P174" s="128"/>
      <c r="Q174" s="84" t="s">
        <v>232</v>
      </c>
    </row>
    <row r="175" spans="1:17" ht="13.5" customHeight="1" x14ac:dyDescent="0.35">
      <c r="A175" s="85" t="s">
        <v>234</v>
      </c>
      <c r="B175" s="129" t="str">
        <f>IFERROR('Novice 15M - Bracket'!BD16,"")</f>
        <v>"W-R16M5"</v>
      </c>
      <c r="C175" s="129"/>
      <c r="D175" s="129"/>
      <c r="E175" s="129"/>
      <c r="F175" s="129"/>
      <c r="G175" s="129"/>
      <c r="H175" s="129"/>
      <c r="I175" s="86"/>
      <c r="J175" s="129" t="str">
        <f>IFERROR('Novice 15M - Bracket'!BD18,"")</f>
        <v>"W-R16M6"</v>
      </c>
      <c r="K175" s="129"/>
      <c r="L175" s="129"/>
      <c r="M175" s="129"/>
      <c r="N175" s="129"/>
      <c r="O175" s="129"/>
      <c r="P175" s="129"/>
      <c r="Q175" s="85" t="s">
        <v>234</v>
      </c>
    </row>
    <row r="176" spans="1:17" ht="19.5" customHeight="1" x14ac:dyDescent="0.35">
      <c r="A176" s="87" t="s">
        <v>235</v>
      </c>
      <c r="B176" s="88" t="s">
        <v>83</v>
      </c>
      <c r="C176" s="88" t="s">
        <v>84</v>
      </c>
      <c r="D176" s="88" t="s">
        <v>85</v>
      </c>
      <c r="E176" s="88" t="s">
        <v>86</v>
      </c>
      <c r="F176" s="88" t="s">
        <v>87</v>
      </c>
      <c r="G176" s="88" t="s">
        <v>88</v>
      </c>
      <c r="H176" s="24" t="s">
        <v>236</v>
      </c>
      <c r="I176" s="89"/>
      <c r="J176" s="24" t="s">
        <v>236</v>
      </c>
      <c r="K176" s="88" t="s">
        <v>88</v>
      </c>
      <c r="L176" s="88" t="s">
        <v>87</v>
      </c>
      <c r="M176" s="88" t="s">
        <v>86</v>
      </c>
      <c r="N176" s="88" t="s">
        <v>85</v>
      </c>
      <c r="O176" s="88" t="s">
        <v>84</v>
      </c>
      <c r="P176" s="88" t="s">
        <v>83</v>
      </c>
      <c r="Q176" s="87" t="s">
        <v>235</v>
      </c>
    </row>
    <row r="177" spans="1:17" ht="21.75" customHeight="1" x14ac:dyDescent="0.35">
      <c r="A177" s="84" t="s">
        <v>222</v>
      </c>
      <c r="B177" s="90" t="str">
        <f>IFERROR(IF('Novice 15M - Bracket'!BK16="","",'Novice 15M - Bracket'!BK16),"")</f>
        <v/>
      </c>
      <c r="C177" s="90" t="str">
        <f>IFERROR(IF('Novice 15M - Bracket'!BL16="","",'Novice 15M - Bracket'!BL16),"")</f>
        <v/>
      </c>
      <c r="D177" s="90" t="str">
        <f>IFERROR(IF('Novice 15M - Bracket'!BM16="","",'Novice 15M - Bracket'!BM16),"")</f>
        <v/>
      </c>
      <c r="E177" s="90" t="str">
        <f>IFERROR(IF('Novice 15M - Bracket'!BN16="","",'Novice 15M - Bracket'!BN16),"")</f>
        <v/>
      </c>
      <c r="F177" s="90" t="str">
        <f>IFERROR(IF('Novice 15M - Bracket'!BO16="","",'Novice 15M - Bracket'!BO16),"")</f>
        <v/>
      </c>
      <c r="G177" s="90" t="str">
        <f>IFERROR(IF('Novice 15M - Bracket'!BP16="","",'Novice 15M - Bracket'!BP16),"")</f>
        <v/>
      </c>
      <c r="H177" s="32">
        <f>IFERROR(IF(ISNUMBER('Novice 15M - Bracket'!BQ16),'Novice 15M - Bracket'!BQ16,0),0)</f>
        <v>0</v>
      </c>
      <c r="I177" s="91" t="str">
        <f>IF(AND(ISNUMBER('Novice 15M - Bracket'!BQ16),ISNUMBER('Novice 15M - Bracket'!BQ18)),IF('Novice 15M - Bracket'!BQ16&gt;'Novice 15M - Bracket'!BQ18,"2-0",IF('Novice 15M - Bracket'!BQ16='Novice 15M - Bracket'!BQ18,"1-1","0-2")),"—")</f>
        <v>—</v>
      </c>
      <c r="J177" s="32">
        <f>IFERROR(IF(ISNUMBER('Novice 15M - Bracket'!BQ18),'Novice 15M - Bracket'!BQ18,0),0)</f>
        <v>0</v>
      </c>
      <c r="K177" s="90" t="str">
        <f>IFERROR(IF('Novice 15M - Bracket'!BP18="","",'Novice 15M - Bracket'!BP18),"")</f>
        <v/>
      </c>
      <c r="L177" s="90" t="str">
        <f>IFERROR(IF('Novice 15M - Bracket'!BO18="","",'Novice 15M - Bracket'!BO18),"")</f>
        <v/>
      </c>
      <c r="M177" s="90" t="str">
        <f>IFERROR(IF('Novice 15M - Bracket'!BN18="","",'Novice 15M - Bracket'!BN18),"")</f>
        <v/>
      </c>
      <c r="N177" s="90" t="str">
        <f>IFERROR(IF('Novice 15M - Bracket'!BM18="","",'Novice 15M - Bracket'!BM18),"")</f>
        <v/>
      </c>
      <c r="O177" s="90" t="str">
        <f>IFERROR(IF('Novice 15M - Bracket'!BL18="","",'Novice 15M - Bracket'!BL18),"")</f>
        <v/>
      </c>
      <c r="P177" s="90" t="str">
        <f>IFERROR(IF('Novice 15M - Bracket'!BK18="","",'Novice 15M - Bracket'!BK18),"")</f>
        <v/>
      </c>
      <c r="Q177" s="84" t="s">
        <v>222</v>
      </c>
    </row>
    <row r="178" spans="1:17" ht="21.75" customHeight="1" x14ac:dyDescent="0.35">
      <c r="A178" s="84" t="s">
        <v>223</v>
      </c>
      <c r="B178" s="90" t="str">
        <f>IFERROR(IF('Novice 15M - Bracket'!BR16="","",'Novice 15M - Bracket'!BR16),"")</f>
        <v/>
      </c>
      <c r="C178" s="90" t="str">
        <f>IFERROR(IF('Novice 15M - Bracket'!BS16="","",'Novice 15M - Bracket'!BS16),"")</f>
        <v/>
      </c>
      <c r="D178" s="90" t="str">
        <f>IFERROR(IF('Novice 15M - Bracket'!BT16="","",'Novice 15M - Bracket'!BT16),"")</f>
        <v/>
      </c>
      <c r="E178" s="90" t="str">
        <f>IFERROR(IF('Novice 15M - Bracket'!BU16="","",'Novice 15M - Bracket'!BU16),"")</f>
        <v/>
      </c>
      <c r="F178" s="90" t="str">
        <f>IFERROR(IF('Novice 15M - Bracket'!BV16="","",'Novice 15M - Bracket'!BV16),"")</f>
        <v/>
      </c>
      <c r="G178" s="90" t="str">
        <f>IFERROR(IF('Novice 15M - Bracket'!BW16="","",'Novice 15M - Bracket'!BW16),"")</f>
        <v/>
      </c>
      <c r="H178" s="32">
        <f>IFERROR(IF(ISNUMBER('Novice 15M - Bracket'!BX16),'Novice 15M - Bracket'!BX16,0),0)</f>
        <v>0</v>
      </c>
      <c r="I178" s="91" t="str">
        <f>IF(AND(ISNUMBER('Novice 15M - Bracket'!BX16),ISNUMBER('Novice 15M - Bracket'!BX18)),IF('Novice 15M - Bracket'!BX16&gt;'Novice 15M - Bracket'!BX18,"2-0",IF('Novice 15M - Bracket'!BX16='Novice 15M - Bracket'!BX18,"1-1","0-2")),"—")</f>
        <v>—</v>
      </c>
      <c r="J178" s="32">
        <f>IFERROR(IF(ISNUMBER('Novice 15M - Bracket'!BX18),'Novice 15M - Bracket'!BX18,0),0)</f>
        <v>0</v>
      </c>
      <c r="K178" s="90" t="str">
        <f>IFERROR(IF('Novice 15M - Bracket'!BW18="","",'Novice 15M - Bracket'!BW18),"")</f>
        <v/>
      </c>
      <c r="L178" s="90" t="str">
        <f>IFERROR(IF('Novice 15M - Bracket'!BV18="","",'Novice 15M - Bracket'!BV18),"")</f>
        <v/>
      </c>
      <c r="M178" s="90" t="str">
        <f>IFERROR(IF('Novice 15M - Bracket'!BU18="","",'Novice 15M - Bracket'!BU18),"")</f>
        <v/>
      </c>
      <c r="N178" s="90" t="str">
        <f>IFERROR(IF('Novice 15M - Bracket'!BT18="","",'Novice 15M - Bracket'!BT18),"")</f>
        <v/>
      </c>
      <c r="O178" s="90" t="str">
        <f>IFERROR(IF('Novice 15M - Bracket'!BS18="","",'Novice 15M - Bracket'!BS18),"")</f>
        <v/>
      </c>
      <c r="P178" s="90" t="str">
        <f>IFERROR(IF('Novice 15M - Bracket'!BR18="","",'Novice 15M - Bracket'!BR18),"")</f>
        <v/>
      </c>
      <c r="Q178" s="84" t="s">
        <v>223</v>
      </c>
    </row>
    <row r="179" spans="1:17" ht="21.75" customHeight="1" x14ac:dyDescent="0.35">
      <c r="A179" s="84" t="s">
        <v>224</v>
      </c>
      <c r="B179" s="90" t="str">
        <f>IFERROR(IF('Novice 15M - Bracket'!BY16="","",'Novice 15M - Bracket'!BY16),"")</f>
        <v/>
      </c>
      <c r="C179" s="90" t="str">
        <f>IFERROR(IF('Novice 15M - Bracket'!BZ16="","",'Novice 15M - Bracket'!BZ16),"")</f>
        <v/>
      </c>
      <c r="D179" s="90" t="str">
        <f>IFERROR(IF('Novice 15M - Bracket'!CA16="","",'Novice 15M - Bracket'!CA16),"")</f>
        <v/>
      </c>
      <c r="E179" s="90" t="str">
        <f>IFERROR(IF('Novice 15M - Bracket'!CB16="","",'Novice 15M - Bracket'!CB16),"")</f>
        <v/>
      </c>
      <c r="F179" s="90" t="str">
        <f>IFERROR(IF('Novice 15M - Bracket'!CC16="","",'Novice 15M - Bracket'!CC16),"")</f>
        <v/>
      </c>
      <c r="G179" s="90" t="str">
        <f>IFERROR(IF('Novice 15M - Bracket'!CD16="","",'Novice 15M - Bracket'!CD16),"")</f>
        <v/>
      </c>
      <c r="H179" s="32">
        <f>IFERROR(IF(ISNUMBER('Novice 15M - Bracket'!CE16),'Novice 15M - Bracket'!CE16,0),0)</f>
        <v>0</v>
      </c>
      <c r="I179" s="91" t="str">
        <f>IF(AND(ISNUMBER('Novice 15M - Bracket'!CE16),ISNUMBER('Novice 15M - Bracket'!CE18)),IF('Novice 15M - Bracket'!CE16&gt;'Novice 15M - Bracket'!CE18,"2-0",IF('Novice 15M - Bracket'!CE16='Novice 15M - Bracket'!CE18,"1-1","0-2")),"—")</f>
        <v>—</v>
      </c>
      <c r="J179" s="32">
        <f>IFERROR(IF(ISNUMBER('Novice 15M - Bracket'!CE18),'Novice 15M - Bracket'!CE18,0),0)</f>
        <v>0</v>
      </c>
      <c r="K179" s="90" t="str">
        <f>IFERROR(IF('Novice 15M - Bracket'!CD18="","",'Novice 15M - Bracket'!CD18),"")</f>
        <v/>
      </c>
      <c r="L179" s="90" t="str">
        <f>IFERROR(IF('Novice 15M - Bracket'!CC18="","",'Novice 15M - Bracket'!CC18),"")</f>
        <v/>
      </c>
      <c r="M179" s="90" t="str">
        <f>IFERROR(IF('Novice 15M - Bracket'!CB18="","",'Novice 15M - Bracket'!CB18),"")</f>
        <v/>
      </c>
      <c r="N179" s="90" t="str">
        <f>IFERROR(IF('Novice 15M - Bracket'!CA18="","",'Novice 15M - Bracket'!CA18),"")</f>
        <v/>
      </c>
      <c r="O179" s="90" t="str">
        <f>IFERROR(IF('Novice 15M - Bracket'!BZ18="","",'Novice 15M - Bracket'!BZ18),"")</f>
        <v/>
      </c>
      <c r="P179" s="90" t="str">
        <f>IFERROR(IF('Novice 15M - Bracket'!BY18="","",'Novice 15M - Bracket'!BY18),"")</f>
        <v/>
      </c>
      <c r="Q179" s="84" t="s">
        <v>224</v>
      </c>
    </row>
    <row r="180" spans="1:17" ht="21.75" customHeight="1" x14ac:dyDescent="0.35">
      <c r="A180" s="84" t="s">
        <v>227</v>
      </c>
      <c r="B180" s="90" t="str">
        <f>IFERROR(IF('Novice 15M - Bracket'!CF16="","",'Novice 15M - Bracket'!CF16),"")</f>
        <v/>
      </c>
      <c r="C180" s="90" t="str">
        <f>IFERROR(IF('Novice 15M - Bracket'!CG16="","",'Novice 15M - Bracket'!CG16),"")</f>
        <v/>
      </c>
      <c r="D180" s="90" t="str">
        <f>IFERROR(IF('Novice 15M - Bracket'!CH16="","",'Novice 15M - Bracket'!CH16),"")</f>
        <v/>
      </c>
      <c r="E180" s="90" t="str">
        <f>IFERROR(IF('Novice 15M - Bracket'!CI16="","",'Novice 15M - Bracket'!CI16),"")</f>
        <v/>
      </c>
      <c r="F180" s="90" t="str">
        <f>IFERROR(IF('Novice 15M - Bracket'!CJ16="","",'Novice 15M - Bracket'!CJ16),"")</f>
        <v/>
      </c>
      <c r="G180" s="90" t="str">
        <f>IFERROR(IF('Novice 15M - Bracket'!CK16="","",'Novice 15M - Bracket'!CK16),"")</f>
        <v/>
      </c>
      <c r="H180" s="32">
        <f>IFERROR(IF(ISNUMBER('Novice 15M - Bracket'!CL16),'Novice 15M - Bracket'!CL16,0),0)</f>
        <v>0</v>
      </c>
      <c r="I180" s="91" t="str">
        <f>IF(AND(ISNUMBER('Novice 15M - Bracket'!CL16),ISNUMBER('Novice 15M - Bracket'!CL18)),IF('Novice 15M - Bracket'!CL16&gt;'Novice 15M - Bracket'!CL18,"2-0",IF('Novice 15M - Bracket'!CL16='Novice 15M - Bracket'!CL18,"1-1","0-2")),"—")</f>
        <v>—</v>
      </c>
      <c r="J180" s="32">
        <f>IFERROR(IF(ISNUMBER('Novice 15M - Bracket'!CL18),'Novice 15M - Bracket'!CL18,0),0)</f>
        <v>0</v>
      </c>
      <c r="K180" s="90" t="str">
        <f>IFERROR(IF('Novice 15M - Bracket'!CK18="","",'Novice 15M - Bracket'!CK18),"")</f>
        <v/>
      </c>
      <c r="L180" s="90" t="str">
        <f>IFERROR(IF('Novice 15M - Bracket'!CJ18="","",'Novice 15M - Bracket'!CJ18),"")</f>
        <v/>
      </c>
      <c r="M180" s="90" t="str">
        <f>IFERROR(IF('Novice 15M - Bracket'!CI18="","",'Novice 15M - Bracket'!CI18),"")</f>
        <v/>
      </c>
      <c r="N180" s="90" t="str">
        <f>IFERROR(IF('Novice 15M - Bracket'!CH18="","",'Novice 15M - Bracket'!CH18),"")</f>
        <v/>
      </c>
      <c r="O180" s="90" t="str">
        <f>IFERROR(IF('Novice 15M - Bracket'!CG18="","",'Novice 15M - Bracket'!CG18),"")</f>
        <v/>
      </c>
      <c r="P180" s="90" t="str">
        <f>IFERROR(IF('Novice 15M - Bracket'!CF18="","",'Novice 15M - Bracket'!CF18),"")</f>
        <v/>
      </c>
      <c r="Q180" s="84" t="s">
        <v>227</v>
      </c>
    </row>
    <row r="181" spans="1:17" ht="21.75" customHeight="1" x14ac:dyDescent="0.35">
      <c r="A181" s="84" t="s">
        <v>228</v>
      </c>
      <c r="B181" s="90" t="str">
        <f>IFERROR(IF('Novice 15M - Bracket'!CM16="","",'Novice 15M - Bracket'!CM16),"")</f>
        <v/>
      </c>
      <c r="C181" s="90" t="str">
        <f>IFERROR(IF('Novice 15M - Bracket'!CN16="","",'Novice 15M - Bracket'!CN16),"")</f>
        <v/>
      </c>
      <c r="D181" s="90" t="str">
        <f>IFERROR(IF('Novice 15M - Bracket'!CO16="","",'Novice 15M - Bracket'!CO16),"")</f>
        <v/>
      </c>
      <c r="E181" s="90" t="str">
        <f>IFERROR(IF('Novice 15M - Bracket'!CP16="","",'Novice 15M - Bracket'!CP16),"")</f>
        <v/>
      </c>
      <c r="F181" s="90" t="str">
        <f>IFERROR(IF('Novice 15M - Bracket'!CQ16="","",'Novice 15M - Bracket'!CQ16),"")</f>
        <v/>
      </c>
      <c r="G181" s="90" t="str">
        <f>IFERROR(IF('Novice 15M - Bracket'!CR16="","",'Novice 15M - Bracket'!CR16),"")</f>
        <v/>
      </c>
      <c r="H181" s="32">
        <f>IFERROR(IF(ISNUMBER('Novice 15M - Bracket'!CS16),'Novice 15M - Bracket'!CS16,0),0)</f>
        <v>0</v>
      </c>
      <c r="I181" s="91" t="str">
        <f>IF(AND(ISNUMBER('Novice 15M - Bracket'!CS16),ISNUMBER('Novice 15M - Bracket'!CS18)),IF('Novice 15M - Bracket'!CS16&gt;'Novice 15M - Bracket'!CS18,"2-0",IF('Novice 15M - Bracket'!CS16='Novice 15M - Bracket'!CS18,"1-1","0-2")),"—")</f>
        <v>—</v>
      </c>
      <c r="J181" s="32">
        <f>IFERROR(IF(ISNUMBER('Novice 15M - Bracket'!CS18),'Novice 15M - Bracket'!CS18,0),0)</f>
        <v>0</v>
      </c>
      <c r="K181" s="90" t="str">
        <f>IFERROR(IF('Novice 15M - Bracket'!CR18="","",'Novice 15M - Bracket'!CR18),"")</f>
        <v/>
      </c>
      <c r="L181" s="90" t="str">
        <f>IFERROR(IF('Novice 15M - Bracket'!CQ18="","",'Novice 15M - Bracket'!CQ18),"")</f>
        <v/>
      </c>
      <c r="M181" s="90" t="str">
        <f>IFERROR(IF('Novice 15M - Bracket'!CP18="","",'Novice 15M - Bracket'!CP18),"")</f>
        <v/>
      </c>
      <c r="N181" s="90" t="str">
        <f>IFERROR(IF('Novice 15M - Bracket'!CO18="","",'Novice 15M - Bracket'!CO18),"")</f>
        <v/>
      </c>
      <c r="O181" s="90" t="str">
        <f>IFERROR(IF('Novice 15M - Bracket'!CN18="","",'Novice 15M - Bracket'!CN18),"")</f>
        <v/>
      </c>
      <c r="P181" s="90" t="str">
        <f>IFERROR(IF('Novice 15M - Bracket'!CM18="","",'Novice 15M - Bracket'!CM18),"")</f>
        <v/>
      </c>
      <c r="Q181" s="84" t="s">
        <v>228</v>
      </c>
    </row>
    <row r="182" spans="1:17" ht="21.75" customHeight="1" x14ac:dyDescent="0.35">
      <c r="A182" s="92" t="s">
        <v>237</v>
      </c>
      <c r="B182" s="93" t="str">
        <f>IFERROR(IF('Novice 15M - Bracket'!CT16="","",'Novice 15M - Bracket'!CT16),"")</f>
        <v/>
      </c>
      <c r="C182" s="93" t="str">
        <f>IFERROR(IF('Novice 15M - Bracket'!CU16="","",'Novice 15M - Bracket'!CU16),"")</f>
        <v/>
      </c>
      <c r="D182" s="93" t="str">
        <f>IFERROR(IF('Novice 15M - Bracket'!CV16="","",'Novice 15M - Bracket'!CV16),"")</f>
        <v/>
      </c>
      <c r="E182" s="93" t="str">
        <f>IFERROR(IF('Novice 15M - Bracket'!CW16="","",'Novice 15M - Bracket'!CW16),"")</f>
        <v/>
      </c>
      <c r="F182" s="93" t="str">
        <f>IFERROR(IF('Novice 15M - Bracket'!CX16="","",'Novice 15M - Bracket'!CX16),"")</f>
        <v/>
      </c>
      <c r="G182" s="93" t="str">
        <f>IFERROR(IF('Novice 15M - Bracket'!CY16="","",'Novice 15M - Bracket'!CY16),"")</f>
        <v/>
      </c>
      <c r="H182" s="32">
        <f>IFERROR(IF(ISNUMBER('Novice 15M - Bracket'!CZ16),'Novice 15M - Bracket'!CZ16,0),0)</f>
        <v>0</v>
      </c>
      <c r="I182" s="91" t="str">
        <f>IF(AND(ISNUMBER('Novice 15M - Bracket'!CZ16),ISNUMBER('Novice 15M - Bracket'!CZ18)),IF('Novice 15M - Bracket'!CZ16&gt;'Novice 15M - Bracket'!CZ18,"2-0",IF('Novice 15M - Bracket'!CZ16='Novice 15M - Bracket'!CZ18,"1-1","0-2")),"—")</f>
        <v>—</v>
      </c>
      <c r="J182" s="32">
        <f>IFERROR(IF(ISNUMBER('Novice 15M - Bracket'!CZ18),'Novice 15M - Bracket'!CZ18,0),0)</f>
        <v>0</v>
      </c>
      <c r="K182" s="93" t="str">
        <f>IFERROR(IF('Novice 15M - Bracket'!CY18="","",'Novice 15M - Bracket'!CY18),"")</f>
        <v/>
      </c>
      <c r="L182" s="93" t="str">
        <f>IFERROR(IF('Novice 15M - Bracket'!CX18="","",'Novice 15M - Bracket'!CX18),"")</f>
        <v/>
      </c>
      <c r="M182" s="93" t="str">
        <f>IFERROR(IF('Novice 15M - Bracket'!CW18="","",'Novice 15M - Bracket'!CW18),"")</f>
        <v/>
      </c>
      <c r="N182" s="93" t="str">
        <f>IFERROR(IF('Novice 15M - Bracket'!CV18="","",'Novice 15M - Bracket'!CV18),"")</f>
        <v/>
      </c>
      <c r="O182" s="93" t="str">
        <f>IFERROR(IF('Novice 15M - Bracket'!CU18="","",'Novice 15M - Bracket'!CU18),"")</f>
        <v/>
      </c>
      <c r="P182" s="93" t="str">
        <f>IFERROR(IF('Novice 15M - Bracket'!CT18="","",'Novice 15M - Bracket'!CT18),"")</f>
        <v/>
      </c>
      <c r="Q182" s="92" t="s">
        <v>237</v>
      </c>
    </row>
    <row r="183" spans="1:17" ht="4.5" customHeight="1" x14ac:dyDescent="0.35"/>
    <row r="184" spans="1:17" ht="31.5" customHeight="1" x14ac:dyDescent="0.35">
      <c r="A184" s="130">
        <f>IFERROR(IF(ISNUMBER('Novice 15M - Bracket'!DA16),'Novice 15M - Bracket'!DA16,0),0)</f>
        <v>0</v>
      </c>
      <c r="B184" s="130"/>
      <c r="C184" s="130"/>
      <c r="D184" s="130"/>
      <c r="E184" s="130"/>
      <c r="F184" s="130"/>
      <c r="G184" s="130"/>
      <c r="H184" s="94" t="str">
        <f>IFERROR('Novice 15M - Bracket'!DD16,"")</f>
        <v>&gt;&gt; Advance</v>
      </c>
      <c r="I184" s="86"/>
      <c r="J184" s="94" t="str">
        <f>IFERROR('Novice 15M - Bracket'!DD18,"")</f>
        <v>&gt;&gt; Advance</v>
      </c>
      <c r="K184" s="130">
        <f>IFERROR(IF(ISNUMBER('Novice 15M - Bracket'!DA18),'Novice 15M - Bracket'!DA18,0),0)</f>
        <v>0</v>
      </c>
      <c r="L184" s="130"/>
      <c r="M184" s="130"/>
      <c r="N184" s="130"/>
      <c r="O184" s="130"/>
      <c r="P184" s="130"/>
      <c r="Q184" s="130"/>
    </row>
    <row r="185" spans="1:17" ht="21.75" customHeight="1" x14ac:dyDescent="0.35">
      <c r="A185" s="130"/>
      <c r="B185" s="130"/>
      <c r="C185" s="130"/>
      <c r="D185" s="130"/>
      <c r="E185" s="130"/>
      <c r="F185" s="130"/>
      <c r="G185" s="130"/>
      <c r="K185" s="130"/>
      <c r="L185" s="130"/>
      <c r="M185" s="130"/>
      <c r="N185" s="130"/>
      <c r="O185" s="130"/>
      <c r="P185" s="130"/>
      <c r="Q185" s="130"/>
    </row>
    <row r="186" spans="1:17" ht="4.5" customHeight="1" x14ac:dyDescent="0.35"/>
    <row r="187" spans="1:17" ht="12" customHeight="1" x14ac:dyDescent="0.35">
      <c r="A187" s="126"/>
      <c r="B187" s="126"/>
      <c r="C187" s="126"/>
      <c r="D187" s="126"/>
      <c r="E187" s="126"/>
      <c r="F187" s="126"/>
      <c r="G187" s="126"/>
      <c r="H187" s="126"/>
      <c r="I187" s="126"/>
      <c r="J187" s="126"/>
      <c r="K187" s="126"/>
      <c r="L187" s="126"/>
      <c r="M187" s="126"/>
      <c r="N187" s="126"/>
      <c r="O187" s="126"/>
      <c r="P187" s="126"/>
      <c r="Q187" s="126"/>
    </row>
    <row r="188" spans="1:17" ht="7.5" customHeight="1" x14ac:dyDescent="0.35"/>
    <row r="189" spans="1:17" ht="19.5" customHeight="1" x14ac:dyDescent="0.35">
      <c r="A189" s="131" t="s">
        <v>248</v>
      </c>
      <c r="B189" s="131"/>
      <c r="C189" s="131"/>
      <c r="D189" s="131"/>
      <c r="E189" s="131"/>
      <c r="F189" s="131"/>
      <c r="G189" s="131"/>
      <c r="H189" s="131"/>
      <c r="I189" s="131"/>
      <c r="J189" s="131"/>
      <c r="K189" s="131"/>
      <c r="L189" s="131"/>
      <c r="M189" s="131"/>
      <c r="N189" s="131"/>
      <c r="O189" s="131"/>
      <c r="P189" s="131"/>
      <c r="Q189" s="131"/>
    </row>
    <row r="190" spans="1:17" ht="4.5" customHeight="1" x14ac:dyDescent="0.35"/>
    <row r="191" spans="1:17" ht="21.75" customHeight="1" x14ac:dyDescent="0.35">
      <c r="A191" s="84" t="s">
        <v>232</v>
      </c>
      <c r="B191" s="128" t="str">
        <f>IFERROR(IF('Novice 15M - Bracket'!BE21="","TBD",'Novice 15M - Bracket'!BE21),"TBD")</f>
        <v>TBD</v>
      </c>
      <c r="C191" s="128"/>
      <c r="D191" s="128"/>
      <c r="E191" s="128"/>
      <c r="F191" s="128"/>
      <c r="G191" s="128"/>
      <c r="H191" s="128"/>
      <c r="I191" s="84" t="s">
        <v>233</v>
      </c>
      <c r="J191" s="128" t="str">
        <f>IFERROR(IF('Novice 15M - Bracket'!BE23="","TBD",'Novice 15M - Bracket'!BE23),"TBD")</f>
        <v>TBD</v>
      </c>
      <c r="K191" s="128"/>
      <c r="L191" s="128"/>
      <c r="M191" s="128"/>
      <c r="N191" s="128"/>
      <c r="O191" s="128"/>
      <c r="P191" s="128"/>
      <c r="Q191" s="84" t="s">
        <v>232</v>
      </c>
    </row>
    <row r="192" spans="1:17" ht="13.5" customHeight="1" x14ac:dyDescent="0.35">
      <c r="A192" s="85" t="s">
        <v>234</v>
      </c>
      <c r="B192" s="129" t="str">
        <f>IFERROR('Novice 15M - Bracket'!BD21,"")</f>
        <v>"W-R16M7"</v>
      </c>
      <c r="C192" s="129"/>
      <c r="D192" s="129"/>
      <c r="E192" s="129"/>
      <c r="F192" s="129"/>
      <c r="G192" s="129"/>
      <c r="H192" s="129"/>
      <c r="I192" s="86"/>
      <c r="J192" s="129" t="str">
        <f>IFERROR('Novice 15M - Bracket'!BD23,"")</f>
        <v>"W-R16M8"</v>
      </c>
      <c r="K192" s="129"/>
      <c r="L192" s="129"/>
      <c r="M192" s="129"/>
      <c r="N192" s="129"/>
      <c r="O192" s="129"/>
      <c r="P192" s="129"/>
      <c r="Q192" s="85" t="s">
        <v>234</v>
      </c>
    </row>
    <row r="193" spans="1:17" ht="19.5" customHeight="1" x14ac:dyDescent="0.35">
      <c r="A193" s="87" t="s">
        <v>235</v>
      </c>
      <c r="B193" s="88" t="s">
        <v>83</v>
      </c>
      <c r="C193" s="88" t="s">
        <v>84</v>
      </c>
      <c r="D193" s="88" t="s">
        <v>85</v>
      </c>
      <c r="E193" s="88" t="s">
        <v>86</v>
      </c>
      <c r="F193" s="88" t="s">
        <v>87</v>
      </c>
      <c r="G193" s="88" t="s">
        <v>88</v>
      </c>
      <c r="H193" s="24" t="s">
        <v>236</v>
      </c>
      <c r="I193" s="89"/>
      <c r="J193" s="24" t="s">
        <v>236</v>
      </c>
      <c r="K193" s="88" t="s">
        <v>88</v>
      </c>
      <c r="L193" s="88" t="s">
        <v>87</v>
      </c>
      <c r="M193" s="88" t="s">
        <v>86</v>
      </c>
      <c r="N193" s="88" t="s">
        <v>85</v>
      </c>
      <c r="O193" s="88" t="s">
        <v>84</v>
      </c>
      <c r="P193" s="88" t="s">
        <v>83</v>
      </c>
      <c r="Q193" s="87" t="s">
        <v>235</v>
      </c>
    </row>
    <row r="194" spans="1:17" ht="21.75" customHeight="1" x14ac:dyDescent="0.35">
      <c r="A194" s="84" t="s">
        <v>222</v>
      </c>
      <c r="B194" s="90" t="str">
        <f>IFERROR(IF('Novice 15M - Bracket'!BK21="","",'Novice 15M - Bracket'!BK21),"")</f>
        <v/>
      </c>
      <c r="C194" s="90" t="str">
        <f>IFERROR(IF('Novice 15M - Bracket'!BL21="","",'Novice 15M - Bracket'!BL21),"")</f>
        <v/>
      </c>
      <c r="D194" s="90" t="str">
        <f>IFERROR(IF('Novice 15M - Bracket'!BM21="","",'Novice 15M - Bracket'!BM21),"")</f>
        <v/>
      </c>
      <c r="E194" s="90" t="str">
        <f>IFERROR(IF('Novice 15M - Bracket'!BN21="","",'Novice 15M - Bracket'!BN21),"")</f>
        <v/>
      </c>
      <c r="F194" s="90" t="str">
        <f>IFERROR(IF('Novice 15M - Bracket'!BO21="","",'Novice 15M - Bracket'!BO21),"")</f>
        <v/>
      </c>
      <c r="G194" s="90" t="str">
        <f>IFERROR(IF('Novice 15M - Bracket'!BP21="","",'Novice 15M - Bracket'!BP21),"")</f>
        <v/>
      </c>
      <c r="H194" s="32">
        <f>IFERROR(IF(ISNUMBER('Novice 15M - Bracket'!BQ21),'Novice 15M - Bracket'!BQ21,0),0)</f>
        <v>0</v>
      </c>
      <c r="I194" s="91" t="str">
        <f>IF(AND(ISNUMBER('Novice 15M - Bracket'!BQ21),ISNUMBER('Novice 15M - Bracket'!BQ23)),IF('Novice 15M - Bracket'!BQ21&gt;'Novice 15M - Bracket'!BQ23,"2-0",IF('Novice 15M - Bracket'!BQ21='Novice 15M - Bracket'!BQ23,"1-1","0-2")),"—")</f>
        <v>—</v>
      </c>
      <c r="J194" s="32">
        <f>IFERROR(IF(ISNUMBER('Novice 15M - Bracket'!BQ23),'Novice 15M - Bracket'!BQ23,0),0)</f>
        <v>0</v>
      </c>
      <c r="K194" s="90" t="str">
        <f>IFERROR(IF('Novice 15M - Bracket'!BP23="","",'Novice 15M - Bracket'!BP23),"")</f>
        <v/>
      </c>
      <c r="L194" s="90" t="str">
        <f>IFERROR(IF('Novice 15M - Bracket'!BO23="","",'Novice 15M - Bracket'!BO23),"")</f>
        <v/>
      </c>
      <c r="M194" s="90" t="str">
        <f>IFERROR(IF('Novice 15M - Bracket'!BN23="","",'Novice 15M - Bracket'!BN23),"")</f>
        <v/>
      </c>
      <c r="N194" s="90" t="str">
        <f>IFERROR(IF('Novice 15M - Bracket'!BM23="","",'Novice 15M - Bracket'!BM23),"")</f>
        <v/>
      </c>
      <c r="O194" s="90" t="str">
        <f>IFERROR(IF('Novice 15M - Bracket'!BL23="","",'Novice 15M - Bracket'!BL23),"")</f>
        <v/>
      </c>
      <c r="P194" s="90" t="str">
        <f>IFERROR(IF('Novice 15M - Bracket'!BK23="","",'Novice 15M - Bracket'!BK23),"")</f>
        <v/>
      </c>
      <c r="Q194" s="84" t="s">
        <v>222</v>
      </c>
    </row>
    <row r="195" spans="1:17" ht="21.75" customHeight="1" x14ac:dyDescent="0.35">
      <c r="A195" s="84" t="s">
        <v>223</v>
      </c>
      <c r="B195" s="90" t="str">
        <f>IFERROR(IF('Novice 15M - Bracket'!BR21="","",'Novice 15M - Bracket'!BR21),"")</f>
        <v/>
      </c>
      <c r="C195" s="90" t="str">
        <f>IFERROR(IF('Novice 15M - Bracket'!BS21="","",'Novice 15M - Bracket'!BS21),"")</f>
        <v/>
      </c>
      <c r="D195" s="90" t="str">
        <f>IFERROR(IF('Novice 15M - Bracket'!BT21="","",'Novice 15M - Bracket'!BT21),"")</f>
        <v/>
      </c>
      <c r="E195" s="90" t="str">
        <f>IFERROR(IF('Novice 15M - Bracket'!BU21="","",'Novice 15M - Bracket'!BU21),"")</f>
        <v/>
      </c>
      <c r="F195" s="90" t="str">
        <f>IFERROR(IF('Novice 15M - Bracket'!BV21="","",'Novice 15M - Bracket'!BV21),"")</f>
        <v/>
      </c>
      <c r="G195" s="90" t="str">
        <f>IFERROR(IF('Novice 15M - Bracket'!BW21="","",'Novice 15M - Bracket'!BW21),"")</f>
        <v/>
      </c>
      <c r="H195" s="32">
        <f>IFERROR(IF(ISNUMBER('Novice 15M - Bracket'!BX21),'Novice 15M - Bracket'!BX21,0),0)</f>
        <v>0</v>
      </c>
      <c r="I195" s="91" t="str">
        <f>IF(AND(ISNUMBER('Novice 15M - Bracket'!BX21),ISNUMBER('Novice 15M - Bracket'!BX23)),IF('Novice 15M - Bracket'!BX21&gt;'Novice 15M - Bracket'!BX23,"2-0",IF('Novice 15M - Bracket'!BX21='Novice 15M - Bracket'!BX23,"1-1","0-2")),"—")</f>
        <v>—</v>
      </c>
      <c r="J195" s="32">
        <f>IFERROR(IF(ISNUMBER('Novice 15M - Bracket'!BX23),'Novice 15M - Bracket'!BX23,0),0)</f>
        <v>0</v>
      </c>
      <c r="K195" s="90" t="str">
        <f>IFERROR(IF('Novice 15M - Bracket'!BW23="","",'Novice 15M - Bracket'!BW23),"")</f>
        <v/>
      </c>
      <c r="L195" s="90" t="str">
        <f>IFERROR(IF('Novice 15M - Bracket'!BV23="","",'Novice 15M - Bracket'!BV23),"")</f>
        <v/>
      </c>
      <c r="M195" s="90" t="str">
        <f>IFERROR(IF('Novice 15M - Bracket'!BU23="","",'Novice 15M - Bracket'!BU23),"")</f>
        <v/>
      </c>
      <c r="N195" s="90" t="str">
        <f>IFERROR(IF('Novice 15M - Bracket'!BT23="","",'Novice 15M - Bracket'!BT23),"")</f>
        <v/>
      </c>
      <c r="O195" s="90" t="str">
        <f>IFERROR(IF('Novice 15M - Bracket'!BS23="","",'Novice 15M - Bracket'!BS23),"")</f>
        <v/>
      </c>
      <c r="P195" s="90" t="str">
        <f>IFERROR(IF('Novice 15M - Bracket'!BR23="","",'Novice 15M - Bracket'!BR23),"")</f>
        <v/>
      </c>
      <c r="Q195" s="84" t="s">
        <v>223</v>
      </c>
    </row>
    <row r="196" spans="1:17" ht="21.75" customHeight="1" x14ac:dyDescent="0.35">
      <c r="A196" s="84" t="s">
        <v>224</v>
      </c>
      <c r="B196" s="90" t="str">
        <f>IFERROR(IF('Novice 15M - Bracket'!BY21="","",'Novice 15M - Bracket'!BY21),"")</f>
        <v/>
      </c>
      <c r="C196" s="90" t="str">
        <f>IFERROR(IF('Novice 15M - Bracket'!BZ21="","",'Novice 15M - Bracket'!BZ21),"")</f>
        <v/>
      </c>
      <c r="D196" s="90" t="str">
        <f>IFERROR(IF('Novice 15M - Bracket'!CA21="","",'Novice 15M - Bracket'!CA21),"")</f>
        <v/>
      </c>
      <c r="E196" s="90" t="str">
        <f>IFERROR(IF('Novice 15M - Bracket'!CB21="","",'Novice 15M - Bracket'!CB21),"")</f>
        <v/>
      </c>
      <c r="F196" s="90" t="str">
        <f>IFERROR(IF('Novice 15M - Bracket'!CC21="","",'Novice 15M - Bracket'!CC21),"")</f>
        <v/>
      </c>
      <c r="G196" s="90" t="str">
        <f>IFERROR(IF('Novice 15M - Bracket'!CD21="","",'Novice 15M - Bracket'!CD21),"")</f>
        <v/>
      </c>
      <c r="H196" s="32">
        <f>IFERROR(IF(ISNUMBER('Novice 15M - Bracket'!CE21),'Novice 15M - Bracket'!CE21,0),0)</f>
        <v>0</v>
      </c>
      <c r="I196" s="91" t="str">
        <f>IF(AND(ISNUMBER('Novice 15M - Bracket'!CE21),ISNUMBER('Novice 15M - Bracket'!CE23)),IF('Novice 15M - Bracket'!CE21&gt;'Novice 15M - Bracket'!CE23,"2-0",IF('Novice 15M - Bracket'!CE21='Novice 15M - Bracket'!CE23,"1-1","0-2")),"—")</f>
        <v>—</v>
      </c>
      <c r="J196" s="32">
        <f>IFERROR(IF(ISNUMBER('Novice 15M - Bracket'!CE23),'Novice 15M - Bracket'!CE23,0),0)</f>
        <v>0</v>
      </c>
      <c r="K196" s="90" t="str">
        <f>IFERROR(IF('Novice 15M - Bracket'!CD23="","",'Novice 15M - Bracket'!CD23),"")</f>
        <v/>
      </c>
      <c r="L196" s="90" t="str">
        <f>IFERROR(IF('Novice 15M - Bracket'!CC23="","",'Novice 15M - Bracket'!CC23),"")</f>
        <v/>
      </c>
      <c r="M196" s="90" t="str">
        <f>IFERROR(IF('Novice 15M - Bracket'!CB23="","",'Novice 15M - Bracket'!CB23),"")</f>
        <v/>
      </c>
      <c r="N196" s="90" t="str">
        <f>IFERROR(IF('Novice 15M - Bracket'!CA23="","",'Novice 15M - Bracket'!CA23),"")</f>
        <v/>
      </c>
      <c r="O196" s="90" t="str">
        <f>IFERROR(IF('Novice 15M - Bracket'!BZ23="","",'Novice 15M - Bracket'!BZ23),"")</f>
        <v/>
      </c>
      <c r="P196" s="90" t="str">
        <f>IFERROR(IF('Novice 15M - Bracket'!BY23="","",'Novice 15M - Bracket'!BY23),"")</f>
        <v/>
      </c>
      <c r="Q196" s="84" t="s">
        <v>224</v>
      </c>
    </row>
    <row r="197" spans="1:17" ht="21.75" customHeight="1" x14ac:dyDescent="0.35">
      <c r="A197" s="84" t="s">
        <v>227</v>
      </c>
      <c r="B197" s="90" t="str">
        <f>IFERROR(IF('Novice 15M - Bracket'!CF21="","",'Novice 15M - Bracket'!CF21),"")</f>
        <v/>
      </c>
      <c r="C197" s="90" t="str">
        <f>IFERROR(IF('Novice 15M - Bracket'!CG21="","",'Novice 15M - Bracket'!CG21),"")</f>
        <v/>
      </c>
      <c r="D197" s="90" t="str">
        <f>IFERROR(IF('Novice 15M - Bracket'!CH21="","",'Novice 15M - Bracket'!CH21),"")</f>
        <v/>
      </c>
      <c r="E197" s="90" t="str">
        <f>IFERROR(IF('Novice 15M - Bracket'!CI21="","",'Novice 15M - Bracket'!CI21),"")</f>
        <v/>
      </c>
      <c r="F197" s="90" t="str">
        <f>IFERROR(IF('Novice 15M - Bracket'!CJ21="","",'Novice 15M - Bracket'!CJ21),"")</f>
        <v/>
      </c>
      <c r="G197" s="90" t="str">
        <f>IFERROR(IF('Novice 15M - Bracket'!CK21="","",'Novice 15M - Bracket'!CK21),"")</f>
        <v/>
      </c>
      <c r="H197" s="32">
        <f>IFERROR(IF(ISNUMBER('Novice 15M - Bracket'!CL21),'Novice 15M - Bracket'!CL21,0),0)</f>
        <v>0</v>
      </c>
      <c r="I197" s="91" t="str">
        <f>IF(AND(ISNUMBER('Novice 15M - Bracket'!CL21),ISNUMBER('Novice 15M - Bracket'!CL23)),IF('Novice 15M - Bracket'!CL21&gt;'Novice 15M - Bracket'!CL23,"2-0",IF('Novice 15M - Bracket'!CL21='Novice 15M - Bracket'!CL23,"1-1","0-2")),"—")</f>
        <v>—</v>
      </c>
      <c r="J197" s="32">
        <f>IFERROR(IF(ISNUMBER('Novice 15M - Bracket'!CL23),'Novice 15M - Bracket'!CL23,0),0)</f>
        <v>0</v>
      </c>
      <c r="K197" s="90" t="str">
        <f>IFERROR(IF('Novice 15M - Bracket'!CK23="","",'Novice 15M - Bracket'!CK23),"")</f>
        <v/>
      </c>
      <c r="L197" s="90" t="str">
        <f>IFERROR(IF('Novice 15M - Bracket'!CJ23="","",'Novice 15M - Bracket'!CJ23),"")</f>
        <v/>
      </c>
      <c r="M197" s="90" t="str">
        <f>IFERROR(IF('Novice 15M - Bracket'!CI23="","",'Novice 15M - Bracket'!CI23),"")</f>
        <v/>
      </c>
      <c r="N197" s="90" t="str">
        <f>IFERROR(IF('Novice 15M - Bracket'!CH23="","",'Novice 15M - Bracket'!CH23),"")</f>
        <v/>
      </c>
      <c r="O197" s="90" t="str">
        <f>IFERROR(IF('Novice 15M - Bracket'!CG23="","",'Novice 15M - Bracket'!CG23),"")</f>
        <v/>
      </c>
      <c r="P197" s="90" t="str">
        <f>IFERROR(IF('Novice 15M - Bracket'!CF23="","",'Novice 15M - Bracket'!CF23),"")</f>
        <v/>
      </c>
      <c r="Q197" s="84" t="s">
        <v>227</v>
      </c>
    </row>
    <row r="198" spans="1:17" ht="21.75" customHeight="1" x14ac:dyDescent="0.35">
      <c r="A198" s="84" t="s">
        <v>228</v>
      </c>
      <c r="B198" s="90" t="str">
        <f>IFERROR(IF('Novice 15M - Bracket'!CM21="","",'Novice 15M - Bracket'!CM21),"")</f>
        <v/>
      </c>
      <c r="C198" s="90" t="str">
        <f>IFERROR(IF('Novice 15M - Bracket'!CN21="","",'Novice 15M - Bracket'!CN21),"")</f>
        <v/>
      </c>
      <c r="D198" s="90" t="str">
        <f>IFERROR(IF('Novice 15M - Bracket'!CO21="","",'Novice 15M - Bracket'!CO21),"")</f>
        <v/>
      </c>
      <c r="E198" s="90" t="str">
        <f>IFERROR(IF('Novice 15M - Bracket'!CP21="","",'Novice 15M - Bracket'!CP21),"")</f>
        <v/>
      </c>
      <c r="F198" s="90" t="str">
        <f>IFERROR(IF('Novice 15M - Bracket'!CQ21="","",'Novice 15M - Bracket'!CQ21),"")</f>
        <v/>
      </c>
      <c r="G198" s="90" t="str">
        <f>IFERROR(IF('Novice 15M - Bracket'!CR21="","",'Novice 15M - Bracket'!CR21),"")</f>
        <v/>
      </c>
      <c r="H198" s="32">
        <f>IFERROR(IF(ISNUMBER('Novice 15M - Bracket'!CS21),'Novice 15M - Bracket'!CS21,0),0)</f>
        <v>0</v>
      </c>
      <c r="I198" s="91" t="str">
        <f>IF(AND(ISNUMBER('Novice 15M - Bracket'!CS21),ISNUMBER('Novice 15M - Bracket'!CS23)),IF('Novice 15M - Bracket'!CS21&gt;'Novice 15M - Bracket'!CS23,"2-0",IF('Novice 15M - Bracket'!CS21='Novice 15M - Bracket'!CS23,"1-1","0-2")),"—")</f>
        <v>—</v>
      </c>
      <c r="J198" s="32">
        <f>IFERROR(IF(ISNUMBER('Novice 15M - Bracket'!CS23),'Novice 15M - Bracket'!CS23,0),0)</f>
        <v>0</v>
      </c>
      <c r="K198" s="90" t="str">
        <f>IFERROR(IF('Novice 15M - Bracket'!CR23="","",'Novice 15M - Bracket'!CR23),"")</f>
        <v/>
      </c>
      <c r="L198" s="90" t="str">
        <f>IFERROR(IF('Novice 15M - Bracket'!CQ23="","",'Novice 15M - Bracket'!CQ23),"")</f>
        <v/>
      </c>
      <c r="M198" s="90" t="str">
        <f>IFERROR(IF('Novice 15M - Bracket'!CP23="","",'Novice 15M - Bracket'!CP23),"")</f>
        <v/>
      </c>
      <c r="N198" s="90" t="str">
        <f>IFERROR(IF('Novice 15M - Bracket'!CO23="","",'Novice 15M - Bracket'!CO23),"")</f>
        <v/>
      </c>
      <c r="O198" s="90" t="str">
        <f>IFERROR(IF('Novice 15M - Bracket'!CN23="","",'Novice 15M - Bracket'!CN23),"")</f>
        <v/>
      </c>
      <c r="P198" s="90" t="str">
        <f>IFERROR(IF('Novice 15M - Bracket'!CM23="","",'Novice 15M - Bracket'!CM23),"")</f>
        <v/>
      </c>
      <c r="Q198" s="84" t="s">
        <v>228</v>
      </c>
    </row>
    <row r="199" spans="1:17" ht="21.75" customHeight="1" x14ac:dyDescent="0.35">
      <c r="A199" s="92" t="s">
        <v>237</v>
      </c>
      <c r="B199" s="93" t="str">
        <f>IFERROR(IF('Novice 15M - Bracket'!CT21="","",'Novice 15M - Bracket'!CT21),"")</f>
        <v/>
      </c>
      <c r="C199" s="93" t="str">
        <f>IFERROR(IF('Novice 15M - Bracket'!CU21="","",'Novice 15M - Bracket'!CU21),"")</f>
        <v/>
      </c>
      <c r="D199" s="93" t="str">
        <f>IFERROR(IF('Novice 15M - Bracket'!CV21="","",'Novice 15M - Bracket'!CV21),"")</f>
        <v/>
      </c>
      <c r="E199" s="93" t="str">
        <f>IFERROR(IF('Novice 15M - Bracket'!CW21="","",'Novice 15M - Bracket'!CW21),"")</f>
        <v/>
      </c>
      <c r="F199" s="93" t="str">
        <f>IFERROR(IF('Novice 15M - Bracket'!CX21="","",'Novice 15M - Bracket'!CX21),"")</f>
        <v/>
      </c>
      <c r="G199" s="93" t="str">
        <f>IFERROR(IF('Novice 15M - Bracket'!CY21="","",'Novice 15M - Bracket'!CY21),"")</f>
        <v/>
      </c>
      <c r="H199" s="32">
        <f>IFERROR(IF(ISNUMBER('Novice 15M - Bracket'!CZ21),'Novice 15M - Bracket'!CZ21,0),0)</f>
        <v>0</v>
      </c>
      <c r="I199" s="91" t="str">
        <f>IF(AND(ISNUMBER('Novice 15M - Bracket'!CZ21),ISNUMBER('Novice 15M - Bracket'!CZ23)),IF('Novice 15M - Bracket'!CZ21&gt;'Novice 15M - Bracket'!CZ23,"2-0",IF('Novice 15M - Bracket'!CZ21='Novice 15M - Bracket'!CZ23,"1-1","0-2")),"—")</f>
        <v>—</v>
      </c>
      <c r="J199" s="32">
        <f>IFERROR(IF(ISNUMBER('Novice 15M - Bracket'!CZ23),'Novice 15M - Bracket'!CZ23,0),0)</f>
        <v>0</v>
      </c>
      <c r="K199" s="93" t="str">
        <f>IFERROR(IF('Novice 15M - Bracket'!CY23="","",'Novice 15M - Bracket'!CY23),"")</f>
        <v/>
      </c>
      <c r="L199" s="93" t="str">
        <f>IFERROR(IF('Novice 15M - Bracket'!CX23="","",'Novice 15M - Bracket'!CX23),"")</f>
        <v/>
      </c>
      <c r="M199" s="93" t="str">
        <f>IFERROR(IF('Novice 15M - Bracket'!CW23="","",'Novice 15M - Bracket'!CW23),"")</f>
        <v/>
      </c>
      <c r="N199" s="93" t="str">
        <f>IFERROR(IF('Novice 15M - Bracket'!CV23="","",'Novice 15M - Bracket'!CV23),"")</f>
        <v/>
      </c>
      <c r="O199" s="93" t="str">
        <f>IFERROR(IF('Novice 15M - Bracket'!CU23="","",'Novice 15M - Bracket'!CU23),"")</f>
        <v/>
      </c>
      <c r="P199" s="93" t="str">
        <f>IFERROR(IF('Novice 15M - Bracket'!CT23="","",'Novice 15M - Bracket'!CT23),"")</f>
        <v/>
      </c>
      <c r="Q199" s="92" t="s">
        <v>237</v>
      </c>
    </row>
    <row r="200" spans="1:17" ht="4.5" customHeight="1" x14ac:dyDescent="0.35"/>
    <row r="201" spans="1:17" ht="31.5" customHeight="1" x14ac:dyDescent="0.35">
      <c r="A201" s="130">
        <f>IFERROR(IF(ISNUMBER('Novice 15M - Bracket'!DA21),'Novice 15M - Bracket'!DA21,0),0)</f>
        <v>0</v>
      </c>
      <c r="B201" s="130"/>
      <c r="C201" s="130"/>
      <c r="D201" s="130"/>
      <c r="E201" s="130"/>
      <c r="F201" s="130"/>
      <c r="G201" s="130"/>
      <c r="H201" s="94" t="str">
        <f>IFERROR('Novice 15M - Bracket'!DD21,"")</f>
        <v>&gt;&gt; Advance</v>
      </c>
      <c r="I201" s="86"/>
      <c r="J201" s="94" t="str">
        <f>IFERROR('Novice 15M - Bracket'!DD23,"")</f>
        <v>&gt;&gt; Advance</v>
      </c>
      <c r="K201" s="130">
        <f>IFERROR(IF(ISNUMBER('Novice 15M - Bracket'!DA23),'Novice 15M - Bracket'!DA23,0),0)</f>
        <v>0</v>
      </c>
      <c r="L201" s="130"/>
      <c r="M201" s="130"/>
      <c r="N201" s="130"/>
      <c r="O201" s="130"/>
      <c r="P201" s="130"/>
      <c r="Q201" s="130"/>
    </row>
    <row r="202" spans="1:17" ht="21.75" customHeight="1" x14ac:dyDescent="0.35">
      <c r="A202" s="130"/>
      <c r="B202" s="130"/>
      <c r="C202" s="130"/>
      <c r="D202" s="130"/>
      <c r="E202" s="130"/>
      <c r="F202" s="130"/>
      <c r="G202" s="130"/>
      <c r="K202" s="130"/>
      <c r="L202" s="130"/>
      <c r="M202" s="130"/>
      <c r="N202" s="130"/>
      <c r="O202" s="130"/>
      <c r="P202" s="130"/>
      <c r="Q202" s="130"/>
    </row>
    <row r="203" spans="1:17" ht="4.5" customHeight="1" x14ac:dyDescent="0.35"/>
    <row r="204" spans="1:17" ht="12" customHeight="1" x14ac:dyDescent="0.35">
      <c r="A204" s="126"/>
      <c r="B204" s="126"/>
      <c r="C204" s="126"/>
      <c r="D204" s="126"/>
      <c r="E204" s="126"/>
      <c r="F204" s="126"/>
      <c r="G204" s="126"/>
      <c r="H204" s="126"/>
      <c r="I204" s="126"/>
      <c r="J204" s="126"/>
      <c r="K204" s="126"/>
      <c r="L204" s="126"/>
      <c r="M204" s="126"/>
      <c r="N204" s="126"/>
      <c r="O204" s="126"/>
      <c r="P204" s="126"/>
      <c r="Q204" s="126"/>
    </row>
    <row r="205" spans="1:17" ht="7.5" customHeight="1" x14ac:dyDescent="0.35"/>
    <row r="206" spans="1:17" ht="19.5" customHeight="1" x14ac:dyDescent="0.35">
      <c r="A206" s="132" t="s">
        <v>249</v>
      </c>
      <c r="B206" s="132"/>
      <c r="C206" s="132"/>
      <c r="D206" s="132"/>
      <c r="E206" s="132"/>
      <c r="F206" s="132"/>
      <c r="G206" s="132"/>
      <c r="H206" s="132"/>
      <c r="I206" s="132"/>
      <c r="J206" s="132"/>
      <c r="K206" s="132"/>
      <c r="L206" s="132"/>
      <c r="M206" s="132"/>
      <c r="N206" s="132"/>
      <c r="O206" s="132"/>
      <c r="P206" s="132"/>
      <c r="Q206" s="132"/>
    </row>
    <row r="207" spans="1:17" ht="4.5" customHeight="1" x14ac:dyDescent="0.35"/>
    <row r="208" spans="1:17" ht="21.75" customHeight="1" x14ac:dyDescent="0.35">
      <c r="A208" s="84" t="s">
        <v>232</v>
      </c>
      <c r="B208" s="128" t="str">
        <f>IFERROR(IF('Novice 15M - Bracket'!DH6="","TBD",'Novice 15M - Bracket'!DH6),"TBD")</f>
        <v>Michael Allan Corpuz</v>
      </c>
      <c r="C208" s="128"/>
      <c r="D208" s="128"/>
      <c r="E208" s="128"/>
      <c r="F208" s="128"/>
      <c r="G208" s="128"/>
      <c r="H208" s="128"/>
      <c r="I208" s="84" t="s">
        <v>233</v>
      </c>
      <c r="J208" s="128" t="str">
        <f>IFERROR(IF('Novice 15M - Bracket'!DH8="","TBD",'Novice 15M - Bracket'!DH8),"TBD")</f>
        <v>TBD</v>
      </c>
      <c r="K208" s="128"/>
      <c r="L208" s="128"/>
      <c r="M208" s="128"/>
      <c r="N208" s="128"/>
      <c r="O208" s="128"/>
      <c r="P208" s="128"/>
      <c r="Q208" s="84" t="s">
        <v>232</v>
      </c>
    </row>
    <row r="209" spans="1:17" ht="13.5" customHeight="1" x14ac:dyDescent="0.35">
      <c r="A209" s="85" t="s">
        <v>234</v>
      </c>
      <c r="B209" s="129" t="str">
        <f>IFERROR('Novice 15M - Bracket'!DG6,"")</f>
        <v>"W-QF1"</v>
      </c>
      <c r="C209" s="129"/>
      <c r="D209" s="129"/>
      <c r="E209" s="129"/>
      <c r="F209" s="129"/>
      <c r="G209" s="129"/>
      <c r="H209" s="129"/>
      <c r="I209" s="86"/>
      <c r="J209" s="129" t="str">
        <f>IFERROR('Novice 15M - Bracket'!DG8,"")</f>
        <v>"W-QF2"</v>
      </c>
      <c r="K209" s="129"/>
      <c r="L209" s="129"/>
      <c r="M209" s="129"/>
      <c r="N209" s="129"/>
      <c r="O209" s="129"/>
      <c r="P209" s="129"/>
      <c r="Q209" s="85" t="s">
        <v>234</v>
      </c>
    </row>
    <row r="210" spans="1:17" ht="19.5" customHeight="1" x14ac:dyDescent="0.35">
      <c r="A210" s="87" t="s">
        <v>235</v>
      </c>
      <c r="B210" s="88" t="s">
        <v>83</v>
      </c>
      <c r="C210" s="88" t="s">
        <v>84</v>
      </c>
      <c r="D210" s="88" t="s">
        <v>85</v>
      </c>
      <c r="E210" s="88" t="s">
        <v>86</v>
      </c>
      <c r="F210" s="88" t="s">
        <v>87</v>
      </c>
      <c r="G210" s="88" t="s">
        <v>88</v>
      </c>
      <c r="H210" s="24" t="s">
        <v>236</v>
      </c>
      <c r="I210" s="89"/>
      <c r="J210" s="24" t="s">
        <v>236</v>
      </c>
      <c r="K210" s="88" t="s">
        <v>88</v>
      </c>
      <c r="L210" s="88" t="s">
        <v>87</v>
      </c>
      <c r="M210" s="88" t="s">
        <v>86</v>
      </c>
      <c r="N210" s="88" t="s">
        <v>85</v>
      </c>
      <c r="O210" s="88" t="s">
        <v>84</v>
      </c>
      <c r="P210" s="88" t="s">
        <v>83</v>
      </c>
      <c r="Q210" s="87" t="s">
        <v>235</v>
      </c>
    </row>
    <row r="211" spans="1:17" ht="21.75" customHeight="1" x14ac:dyDescent="0.35">
      <c r="A211" s="84" t="s">
        <v>222</v>
      </c>
      <c r="B211" s="90" t="str">
        <f>IFERROR(IF('Novice 15M - Bracket'!DN6="","",'Novice 15M - Bracket'!DN6),"")</f>
        <v/>
      </c>
      <c r="C211" s="90" t="str">
        <f>IFERROR(IF('Novice 15M - Bracket'!DO6="","",'Novice 15M - Bracket'!DO6),"")</f>
        <v/>
      </c>
      <c r="D211" s="90" t="str">
        <f>IFERROR(IF('Novice 15M - Bracket'!DP6="","",'Novice 15M - Bracket'!DP6),"")</f>
        <v/>
      </c>
      <c r="E211" s="90" t="str">
        <f>IFERROR(IF('Novice 15M - Bracket'!DQ6="","",'Novice 15M - Bracket'!DQ6),"")</f>
        <v/>
      </c>
      <c r="F211" s="90" t="str">
        <f>IFERROR(IF('Novice 15M - Bracket'!DR6="","",'Novice 15M - Bracket'!DR6),"")</f>
        <v/>
      </c>
      <c r="G211" s="90" t="str">
        <f>IFERROR(IF('Novice 15M - Bracket'!DS6="","",'Novice 15M - Bracket'!DS6),"")</f>
        <v/>
      </c>
      <c r="H211" s="32">
        <f>IFERROR(IF(ISNUMBER('Novice 15M - Bracket'!DT6),'Novice 15M - Bracket'!DT6,0),0)</f>
        <v>0</v>
      </c>
      <c r="I211" s="91" t="str">
        <f>IF(AND(ISNUMBER('Novice 15M - Bracket'!DT6),ISNUMBER('Novice 15M - Bracket'!DT8)),IF('Novice 15M - Bracket'!DT6&gt;'Novice 15M - Bracket'!DT8,"2-0",IF('Novice 15M - Bracket'!DT6='Novice 15M - Bracket'!DT8,"1-1","0-2")),"—")</f>
        <v>—</v>
      </c>
      <c r="J211" s="32">
        <f>IFERROR(IF(ISNUMBER('Novice 15M - Bracket'!DT8),'Novice 15M - Bracket'!DT8,0),0)</f>
        <v>0</v>
      </c>
      <c r="K211" s="90" t="str">
        <f>IFERROR(IF('Novice 15M - Bracket'!DS8="","",'Novice 15M - Bracket'!DS8),"")</f>
        <v/>
      </c>
      <c r="L211" s="90" t="str">
        <f>IFERROR(IF('Novice 15M - Bracket'!DR8="","",'Novice 15M - Bracket'!DR8),"")</f>
        <v/>
      </c>
      <c r="M211" s="90" t="str">
        <f>IFERROR(IF('Novice 15M - Bracket'!DQ8="","",'Novice 15M - Bracket'!DQ8),"")</f>
        <v/>
      </c>
      <c r="N211" s="90" t="str">
        <f>IFERROR(IF('Novice 15M - Bracket'!DP8="","",'Novice 15M - Bracket'!DP8),"")</f>
        <v/>
      </c>
      <c r="O211" s="90" t="str">
        <f>IFERROR(IF('Novice 15M - Bracket'!DO8="","",'Novice 15M - Bracket'!DO8),"")</f>
        <v/>
      </c>
      <c r="P211" s="90" t="str">
        <f>IFERROR(IF('Novice 15M - Bracket'!DN8="","",'Novice 15M - Bracket'!DN8),"")</f>
        <v/>
      </c>
      <c r="Q211" s="84" t="s">
        <v>222</v>
      </c>
    </row>
    <row r="212" spans="1:17" ht="21.75" customHeight="1" x14ac:dyDescent="0.35">
      <c r="A212" s="84" t="s">
        <v>223</v>
      </c>
      <c r="B212" s="90" t="str">
        <f>IFERROR(IF('Novice 15M - Bracket'!DU6="","",'Novice 15M - Bracket'!DU6),"")</f>
        <v/>
      </c>
      <c r="C212" s="90" t="str">
        <f>IFERROR(IF('Novice 15M - Bracket'!DV6="","",'Novice 15M - Bracket'!DV6),"")</f>
        <v/>
      </c>
      <c r="D212" s="90" t="str">
        <f>IFERROR(IF('Novice 15M - Bracket'!DW6="","",'Novice 15M - Bracket'!DW6),"")</f>
        <v/>
      </c>
      <c r="E212" s="90" t="str">
        <f>IFERROR(IF('Novice 15M - Bracket'!DX6="","",'Novice 15M - Bracket'!DX6),"")</f>
        <v/>
      </c>
      <c r="F212" s="90" t="str">
        <f>IFERROR(IF('Novice 15M - Bracket'!DY6="","",'Novice 15M - Bracket'!DY6),"")</f>
        <v/>
      </c>
      <c r="G212" s="90" t="str">
        <f>IFERROR(IF('Novice 15M - Bracket'!DZ6="","",'Novice 15M - Bracket'!DZ6),"")</f>
        <v/>
      </c>
      <c r="H212" s="32">
        <f>IFERROR(IF(ISNUMBER('Novice 15M - Bracket'!EA6),'Novice 15M - Bracket'!EA6,0),0)</f>
        <v>0</v>
      </c>
      <c r="I212" s="91" t="str">
        <f>IF(AND(ISNUMBER('Novice 15M - Bracket'!EA6),ISNUMBER('Novice 15M - Bracket'!EA8)),IF('Novice 15M - Bracket'!EA6&gt;'Novice 15M - Bracket'!EA8,"2-0",IF('Novice 15M - Bracket'!EA6='Novice 15M - Bracket'!EA8,"1-1","0-2")),"—")</f>
        <v>—</v>
      </c>
      <c r="J212" s="32">
        <f>IFERROR(IF(ISNUMBER('Novice 15M - Bracket'!EA8),'Novice 15M - Bracket'!EA8,0),0)</f>
        <v>0</v>
      </c>
      <c r="K212" s="90" t="str">
        <f>IFERROR(IF('Novice 15M - Bracket'!DZ8="","",'Novice 15M - Bracket'!DZ8),"")</f>
        <v/>
      </c>
      <c r="L212" s="90" t="str">
        <f>IFERROR(IF('Novice 15M - Bracket'!DY8="","",'Novice 15M - Bracket'!DY8),"")</f>
        <v/>
      </c>
      <c r="M212" s="90" t="str">
        <f>IFERROR(IF('Novice 15M - Bracket'!DX8="","",'Novice 15M - Bracket'!DX8),"")</f>
        <v/>
      </c>
      <c r="N212" s="90" t="str">
        <f>IFERROR(IF('Novice 15M - Bracket'!DW8="","",'Novice 15M - Bracket'!DW8),"")</f>
        <v/>
      </c>
      <c r="O212" s="90" t="str">
        <f>IFERROR(IF('Novice 15M - Bracket'!DV8="","",'Novice 15M - Bracket'!DV8),"")</f>
        <v/>
      </c>
      <c r="P212" s="90" t="str">
        <f>IFERROR(IF('Novice 15M - Bracket'!DU8="","",'Novice 15M - Bracket'!DU8),"")</f>
        <v/>
      </c>
      <c r="Q212" s="84" t="s">
        <v>223</v>
      </c>
    </row>
    <row r="213" spans="1:17" ht="21.75" customHeight="1" x14ac:dyDescent="0.35">
      <c r="A213" s="84" t="s">
        <v>224</v>
      </c>
      <c r="B213" s="90" t="str">
        <f>IFERROR(IF('Novice 15M - Bracket'!EB6="","",'Novice 15M - Bracket'!EB6),"")</f>
        <v/>
      </c>
      <c r="C213" s="90" t="str">
        <f>IFERROR(IF('Novice 15M - Bracket'!EC6="","",'Novice 15M - Bracket'!EC6),"")</f>
        <v/>
      </c>
      <c r="D213" s="90" t="str">
        <f>IFERROR(IF('Novice 15M - Bracket'!ED6="","",'Novice 15M - Bracket'!ED6),"")</f>
        <v/>
      </c>
      <c r="E213" s="90" t="str">
        <f>IFERROR(IF('Novice 15M - Bracket'!EE6="","",'Novice 15M - Bracket'!EE6),"")</f>
        <v/>
      </c>
      <c r="F213" s="90" t="str">
        <f>IFERROR(IF('Novice 15M - Bracket'!EF6="","",'Novice 15M - Bracket'!EF6),"")</f>
        <v/>
      </c>
      <c r="G213" s="90" t="str">
        <f>IFERROR(IF('Novice 15M - Bracket'!EG6="","",'Novice 15M - Bracket'!EG6),"")</f>
        <v/>
      </c>
      <c r="H213" s="32">
        <f>IFERROR(IF(ISNUMBER('Novice 15M - Bracket'!EH6),'Novice 15M - Bracket'!EH6,0),0)</f>
        <v>0</v>
      </c>
      <c r="I213" s="91" t="str">
        <f>IF(AND(ISNUMBER('Novice 15M - Bracket'!EH6),ISNUMBER('Novice 15M - Bracket'!EH8)),IF('Novice 15M - Bracket'!EH6&gt;'Novice 15M - Bracket'!EH8,"2-0",IF('Novice 15M - Bracket'!EH6='Novice 15M - Bracket'!EH8,"1-1","0-2")),"—")</f>
        <v>—</v>
      </c>
      <c r="J213" s="32">
        <f>IFERROR(IF(ISNUMBER('Novice 15M - Bracket'!EH8),'Novice 15M - Bracket'!EH8,0),0)</f>
        <v>0</v>
      </c>
      <c r="K213" s="90" t="str">
        <f>IFERROR(IF('Novice 15M - Bracket'!EG8="","",'Novice 15M - Bracket'!EG8),"")</f>
        <v/>
      </c>
      <c r="L213" s="90" t="str">
        <f>IFERROR(IF('Novice 15M - Bracket'!EF8="","",'Novice 15M - Bracket'!EF8),"")</f>
        <v/>
      </c>
      <c r="M213" s="90" t="str">
        <f>IFERROR(IF('Novice 15M - Bracket'!EE8="","",'Novice 15M - Bracket'!EE8),"")</f>
        <v/>
      </c>
      <c r="N213" s="90" t="str">
        <f>IFERROR(IF('Novice 15M - Bracket'!ED8="","",'Novice 15M - Bracket'!ED8),"")</f>
        <v/>
      </c>
      <c r="O213" s="90" t="str">
        <f>IFERROR(IF('Novice 15M - Bracket'!EC8="","",'Novice 15M - Bracket'!EC8),"")</f>
        <v/>
      </c>
      <c r="P213" s="90" t="str">
        <f>IFERROR(IF('Novice 15M - Bracket'!EB8="","",'Novice 15M - Bracket'!EB8),"")</f>
        <v/>
      </c>
      <c r="Q213" s="84" t="s">
        <v>224</v>
      </c>
    </row>
    <row r="214" spans="1:17" ht="21.75" customHeight="1" x14ac:dyDescent="0.35">
      <c r="A214" s="84" t="s">
        <v>227</v>
      </c>
      <c r="B214" s="90" t="str">
        <f>IFERROR(IF('Novice 15M - Bracket'!EI6="","",'Novice 15M - Bracket'!EI6),"")</f>
        <v/>
      </c>
      <c r="C214" s="90" t="str">
        <f>IFERROR(IF('Novice 15M - Bracket'!EJ6="","",'Novice 15M - Bracket'!EJ6),"")</f>
        <v/>
      </c>
      <c r="D214" s="90" t="str">
        <f>IFERROR(IF('Novice 15M - Bracket'!EK6="","",'Novice 15M - Bracket'!EK6),"")</f>
        <v/>
      </c>
      <c r="E214" s="90" t="str">
        <f>IFERROR(IF('Novice 15M - Bracket'!EL6="","",'Novice 15M - Bracket'!EL6),"")</f>
        <v/>
      </c>
      <c r="F214" s="90" t="str">
        <f>IFERROR(IF('Novice 15M - Bracket'!EM6="","",'Novice 15M - Bracket'!EM6),"")</f>
        <v/>
      </c>
      <c r="G214" s="90" t="str">
        <f>IFERROR(IF('Novice 15M - Bracket'!EN6="","",'Novice 15M - Bracket'!EN6),"")</f>
        <v/>
      </c>
      <c r="H214" s="32">
        <f>IFERROR(IF(ISNUMBER('Novice 15M - Bracket'!EO6),'Novice 15M - Bracket'!EO6,0),0)</f>
        <v>0</v>
      </c>
      <c r="I214" s="91" t="str">
        <f>IF(AND(ISNUMBER('Novice 15M - Bracket'!EO6),ISNUMBER('Novice 15M - Bracket'!EO8)),IF('Novice 15M - Bracket'!EO6&gt;'Novice 15M - Bracket'!EO8,"2-0",IF('Novice 15M - Bracket'!EO6='Novice 15M - Bracket'!EO8,"1-1","0-2")),"—")</f>
        <v>—</v>
      </c>
      <c r="J214" s="32">
        <f>IFERROR(IF(ISNUMBER('Novice 15M - Bracket'!EO8),'Novice 15M - Bracket'!EO8,0),0)</f>
        <v>0</v>
      </c>
      <c r="K214" s="90" t="str">
        <f>IFERROR(IF('Novice 15M - Bracket'!EN8="","",'Novice 15M - Bracket'!EN8),"")</f>
        <v/>
      </c>
      <c r="L214" s="90" t="str">
        <f>IFERROR(IF('Novice 15M - Bracket'!EM8="","",'Novice 15M - Bracket'!EM8),"")</f>
        <v/>
      </c>
      <c r="M214" s="90" t="str">
        <f>IFERROR(IF('Novice 15M - Bracket'!EL8="","",'Novice 15M - Bracket'!EL8),"")</f>
        <v/>
      </c>
      <c r="N214" s="90" t="str">
        <f>IFERROR(IF('Novice 15M - Bracket'!EK8="","",'Novice 15M - Bracket'!EK8),"")</f>
        <v/>
      </c>
      <c r="O214" s="90" t="str">
        <f>IFERROR(IF('Novice 15M - Bracket'!EJ8="","",'Novice 15M - Bracket'!EJ8),"")</f>
        <v/>
      </c>
      <c r="P214" s="90" t="str">
        <f>IFERROR(IF('Novice 15M - Bracket'!EI8="","",'Novice 15M - Bracket'!EI8),"")</f>
        <v/>
      </c>
      <c r="Q214" s="84" t="s">
        <v>227</v>
      </c>
    </row>
    <row r="215" spans="1:17" ht="21.75" customHeight="1" x14ac:dyDescent="0.35">
      <c r="A215" s="84" t="s">
        <v>228</v>
      </c>
      <c r="B215" s="90" t="str">
        <f>IFERROR(IF('Novice 15M - Bracket'!EP6="","",'Novice 15M - Bracket'!EP6),"")</f>
        <v/>
      </c>
      <c r="C215" s="90" t="str">
        <f>IFERROR(IF('Novice 15M - Bracket'!EQ6="","",'Novice 15M - Bracket'!EQ6),"")</f>
        <v/>
      </c>
      <c r="D215" s="90" t="str">
        <f>IFERROR(IF('Novice 15M - Bracket'!ER6="","",'Novice 15M - Bracket'!ER6),"")</f>
        <v/>
      </c>
      <c r="E215" s="90" t="str">
        <f>IFERROR(IF('Novice 15M - Bracket'!ES6="","",'Novice 15M - Bracket'!ES6),"")</f>
        <v/>
      </c>
      <c r="F215" s="90" t="str">
        <f>IFERROR(IF('Novice 15M - Bracket'!ET6="","",'Novice 15M - Bracket'!ET6),"")</f>
        <v/>
      </c>
      <c r="G215" s="90" t="str">
        <f>IFERROR(IF('Novice 15M - Bracket'!EU6="","",'Novice 15M - Bracket'!EU6),"")</f>
        <v/>
      </c>
      <c r="H215" s="32">
        <f>IFERROR(IF(ISNUMBER('Novice 15M - Bracket'!EV6),'Novice 15M - Bracket'!EV6,0),0)</f>
        <v>0</v>
      </c>
      <c r="I215" s="91" t="str">
        <f>IF(AND(ISNUMBER('Novice 15M - Bracket'!EV6),ISNUMBER('Novice 15M - Bracket'!EV8)),IF('Novice 15M - Bracket'!EV6&gt;'Novice 15M - Bracket'!EV8,"2-0",IF('Novice 15M - Bracket'!EV6='Novice 15M - Bracket'!EV8,"1-1","0-2")),"—")</f>
        <v>—</v>
      </c>
      <c r="J215" s="32">
        <f>IFERROR(IF(ISNUMBER('Novice 15M - Bracket'!EV8),'Novice 15M - Bracket'!EV8,0),0)</f>
        <v>0</v>
      </c>
      <c r="K215" s="90" t="str">
        <f>IFERROR(IF('Novice 15M - Bracket'!EU8="","",'Novice 15M - Bracket'!EU8),"")</f>
        <v/>
      </c>
      <c r="L215" s="90" t="str">
        <f>IFERROR(IF('Novice 15M - Bracket'!ET8="","",'Novice 15M - Bracket'!ET8),"")</f>
        <v/>
      </c>
      <c r="M215" s="90" t="str">
        <f>IFERROR(IF('Novice 15M - Bracket'!ES8="","",'Novice 15M - Bracket'!ES8),"")</f>
        <v/>
      </c>
      <c r="N215" s="90" t="str">
        <f>IFERROR(IF('Novice 15M - Bracket'!ER8="","",'Novice 15M - Bracket'!ER8),"")</f>
        <v/>
      </c>
      <c r="O215" s="90" t="str">
        <f>IFERROR(IF('Novice 15M - Bracket'!EQ8="","",'Novice 15M - Bracket'!EQ8),"")</f>
        <v/>
      </c>
      <c r="P215" s="90" t="str">
        <f>IFERROR(IF('Novice 15M - Bracket'!EP8="","",'Novice 15M - Bracket'!EP8),"")</f>
        <v/>
      </c>
      <c r="Q215" s="84" t="s">
        <v>228</v>
      </c>
    </row>
    <row r="216" spans="1:17" ht="21.75" customHeight="1" x14ac:dyDescent="0.35">
      <c r="A216" s="92" t="s">
        <v>237</v>
      </c>
      <c r="B216" s="93" t="str">
        <f>IFERROR(IF('Novice 15M - Bracket'!EW6="","",'Novice 15M - Bracket'!EW6),"")</f>
        <v/>
      </c>
      <c r="C216" s="93" t="str">
        <f>IFERROR(IF('Novice 15M - Bracket'!EX6="","",'Novice 15M - Bracket'!EX6),"")</f>
        <v/>
      </c>
      <c r="D216" s="93" t="str">
        <f>IFERROR(IF('Novice 15M - Bracket'!EY6="","",'Novice 15M - Bracket'!EY6),"")</f>
        <v/>
      </c>
      <c r="E216" s="93" t="str">
        <f>IFERROR(IF('Novice 15M - Bracket'!EZ6="","",'Novice 15M - Bracket'!EZ6),"")</f>
        <v/>
      </c>
      <c r="F216" s="93" t="str">
        <f>IFERROR(IF('Novice 15M - Bracket'!FA6="","",'Novice 15M - Bracket'!FA6),"")</f>
        <v/>
      </c>
      <c r="G216" s="93" t="str">
        <f>IFERROR(IF('Novice 15M - Bracket'!FB6="","",'Novice 15M - Bracket'!FB6),"")</f>
        <v/>
      </c>
      <c r="H216" s="32">
        <f>IFERROR(IF(ISNUMBER('Novice 15M - Bracket'!FC6),'Novice 15M - Bracket'!FC6,0),0)</f>
        <v>0</v>
      </c>
      <c r="I216" s="91" t="str">
        <f>IF(AND(ISNUMBER('Novice 15M - Bracket'!FC6),ISNUMBER('Novice 15M - Bracket'!FC8)),IF('Novice 15M - Bracket'!FC6&gt;'Novice 15M - Bracket'!FC8,"2-0",IF('Novice 15M - Bracket'!FC6='Novice 15M - Bracket'!FC8,"1-1","0-2")),"—")</f>
        <v>—</v>
      </c>
      <c r="J216" s="32">
        <f>IFERROR(IF(ISNUMBER('Novice 15M - Bracket'!FC8),'Novice 15M - Bracket'!FC8,0),0)</f>
        <v>0</v>
      </c>
      <c r="K216" s="93" t="str">
        <f>IFERROR(IF('Novice 15M - Bracket'!FB8="","",'Novice 15M - Bracket'!FB8),"")</f>
        <v/>
      </c>
      <c r="L216" s="93" t="str">
        <f>IFERROR(IF('Novice 15M - Bracket'!FA8="","",'Novice 15M - Bracket'!FA8),"")</f>
        <v/>
      </c>
      <c r="M216" s="93" t="str">
        <f>IFERROR(IF('Novice 15M - Bracket'!EZ8="","",'Novice 15M - Bracket'!EZ8),"")</f>
        <v/>
      </c>
      <c r="N216" s="93" t="str">
        <f>IFERROR(IF('Novice 15M - Bracket'!EY8="","",'Novice 15M - Bracket'!EY8),"")</f>
        <v/>
      </c>
      <c r="O216" s="93" t="str">
        <f>IFERROR(IF('Novice 15M - Bracket'!EX8="","",'Novice 15M - Bracket'!EX8),"")</f>
        <v/>
      </c>
      <c r="P216" s="93" t="str">
        <f>IFERROR(IF('Novice 15M - Bracket'!EW8="","",'Novice 15M - Bracket'!EW8),"")</f>
        <v/>
      </c>
      <c r="Q216" s="92" t="s">
        <v>237</v>
      </c>
    </row>
    <row r="217" spans="1:17" ht="4.5" customHeight="1" x14ac:dyDescent="0.35"/>
    <row r="218" spans="1:17" ht="31.5" customHeight="1" x14ac:dyDescent="0.35">
      <c r="A218" s="130">
        <f>IFERROR(IF(ISNUMBER('Novice 15M - Bracket'!FD6),'Novice 15M - Bracket'!FD6,0),0)</f>
        <v>0</v>
      </c>
      <c r="B218" s="130"/>
      <c r="C218" s="130"/>
      <c r="D218" s="130"/>
      <c r="E218" s="130"/>
      <c r="F218" s="130"/>
      <c r="G218" s="130"/>
      <c r="H218" s="94" t="str">
        <f>IFERROR('Novice 15M - Bracket'!FG6,"")</f>
        <v>&gt;&gt; Advance</v>
      </c>
      <c r="I218" s="86"/>
      <c r="J218" s="94" t="str">
        <f>IFERROR('Novice 15M - Bracket'!FG8,"")</f>
        <v>BYE</v>
      </c>
      <c r="K218" s="130">
        <f>IFERROR(IF(ISNUMBER('Novice 15M - Bracket'!FD8),'Novice 15M - Bracket'!FD8,0),0)</f>
        <v>0</v>
      </c>
      <c r="L218" s="130"/>
      <c r="M218" s="130"/>
      <c r="N218" s="130"/>
      <c r="O218" s="130"/>
      <c r="P218" s="130"/>
      <c r="Q218" s="130"/>
    </row>
    <row r="219" spans="1:17" ht="21.75" customHeight="1" x14ac:dyDescent="0.35">
      <c r="A219" s="130"/>
      <c r="B219" s="130"/>
      <c r="C219" s="130"/>
      <c r="D219" s="130"/>
      <c r="E219" s="130"/>
      <c r="F219" s="130"/>
      <c r="G219" s="130"/>
      <c r="K219" s="130"/>
      <c r="L219" s="130"/>
      <c r="M219" s="130"/>
      <c r="N219" s="130"/>
      <c r="O219" s="130"/>
      <c r="P219" s="130"/>
      <c r="Q219" s="130"/>
    </row>
    <row r="220" spans="1:17" ht="4.5" customHeight="1" x14ac:dyDescent="0.35"/>
    <row r="221" spans="1:17" ht="12" customHeight="1" x14ac:dyDescent="0.35">
      <c r="A221" s="126"/>
      <c r="B221" s="126"/>
      <c r="C221" s="126"/>
      <c r="D221" s="126"/>
      <c r="E221" s="126"/>
      <c r="F221" s="126"/>
      <c r="G221" s="126"/>
      <c r="H221" s="126"/>
      <c r="I221" s="126"/>
      <c r="J221" s="126"/>
      <c r="K221" s="126"/>
      <c r="L221" s="126"/>
      <c r="M221" s="126"/>
      <c r="N221" s="126"/>
      <c r="O221" s="126"/>
      <c r="P221" s="126"/>
      <c r="Q221" s="126"/>
    </row>
    <row r="222" spans="1:17" ht="7.5" customHeight="1" x14ac:dyDescent="0.35"/>
    <row r="223" spans="1:17" ht="19.5" customHeight="1" x14ac:dyDescent="0.35">
      <c r="A223" s="132" t="s">
        <v>250</v>
      </c>
      <c r="B223" s="132"/>
      <c r="C223" s="132"/>
      <c r="D223" s="132"/>
      <c r="E223" s="132"/>
      <c r="F223" s="132"/>
      <c r="G223" s="132"/>
      <c r="H223" s="132"/>
      <c r="I223" s="132"/>
      <c r="J223" s="132"/>
      <c r="K223" s="132"/>
      <c r="L223" s="132"/>
      <c r="M223" s="132"/>
      <c r="N223" s="132"/>
      <c r="O223" s="132"/>
      <c r="P223" s="132"/>
      <c r="Q223" s="132"/>
    </row>
    <row r="224" spans="1:17" ht="4.5" customHeight="1" x14ac:dyDescent="0.35"/>
    <row r="225" spans="1:17" ht="21.75" customHeight="1" x14ac:dyDescent="0.35">
      <c r="A225" s="84" t="s">
        <v>232</v>
      </c>
      <c r="B225" s="128" t="str">
        <f>IFERROR(IF('Novice 15M - Bracket'!DH11="","TBD",'Novice 15M - Bracket'!DH11),"TBD")</f>
        <v>TBD</v>
      </c>
      <c r="C225" s="128"/>
      <c r="D225" s="128"/>
      <c r="E225" s="128"/>
      <c r="F225" s="128"/>
      <c r="G225" s="128"/>
      <c r="H225" s="128"/>
      <c r="I225" s="84" t="s">
        <v>233</v>
      </c>
      <c r="J225" s="128" t="str">
        <f>IFERROR(IF('Novice 15M - Bracket'!DH13="","TBD",'Novice 15M - Bracket'!DH13),"TBD")</f>
        <v>TBD</v>
      </c>
      <c r="K225" s="128"/>
      <c r="L225" s="128"/>
      <c r="M225" s="128"/>
      <c r="N225" s="128"/>
      <c r="O225" s="128"/>
      <c r="P225" s="128"/>
      <c r="Q225" s="84" t="s">
        <v>232</v>
      </c>
    </row>
    <row r="226" spans="1:17" ht="13.5" customHeight="1" x14ac:dyDescent="0.35">
      <c r="A226" s="85" t="s">
        <v>234</v>
      </c>
      <c r="B226" s="129" t="str">
        <f>IFERROR('Novice 15M - Bracket'!DG11,"")</f>
        <v>"W-QF3"</v>
      </c>
      <c r="C226" s="129"/>
      <c r="D226" s="129"/>
      <c r="E226" s="129"/>
      <c r="F226" s="129"/>
      <c r="G226" s="129"/>
      <c r="H226" s="129"/>
      <c r="I226" s="86"/>
      <c r="J226" s="129" t="str">
        <f>IFERROR('Novice 15M - Bracket'!DG13,"")</f>
        <v>"W-QF4"</v>
      </c>
      <c r="K226" s="129"/>
      <c r="L226" s="129"/>
      <c r="M226" s="129"/>
      <c r="N226" s="129"/>
      <c r="O226" s="129"/>
      <c r="P226" s="129"/>
      <c r="Q226" s="85" t="s">
        <v>234</v>
      </c>
    </row>
    <row r="227" spans="1:17" ht="19.5" customHeight="1" x14ac:dyDescent="0.35">
      <c r="A227" s="87" t="s">
        <v>235</v>
      </c>
      <c r="B227" s="88" t="s">
        <v>83</v>
      </c>
      <c r="C227" s="88" t="s">
        <v>84</v>
      </c>
      <c r="D227" s="88" t="s">
        <v>85</v>
      </c>
      <c r="E227" s="88" t="s">
        <v>86</v>
      </c>
      <c r="F227" s="88" t="s">
        <v>87</v>
      </c>
      <c r="G227" s="88" t="s">
        <v>88</v>
      </c>
      <c r="H227" s="24" t="s">
        <v>236</v>
      </c>
      <c r="I227" s="89"/>
      <c r="J227" s="24" t="s">
        <v>236</v>
      </c>
      <c r="K227" s="88" t="s">
        <v>88</v>
      </c>
      <c r="L227" s="88" t="s">
        <v>87</v>
      </c>
      <c r="M227" s="88" t="s">
        <v>86</v>
      </c>
      <c r="N227" s="88" t="s">
        <v>85</v>
      </c>
      <c r="O227" s="88" t="s">
        <v>84</v>
      </c>
      <c r="P227" s="88" t="s">
        <v>83</v>
      </c>
      <c r="Q227" s="87" t="s">
        <v>235</v>
      </c>
    </row>
    <row r="228" spans="1:17" ht="21.75" customHeight="1" x14ac:dyDescent="0.35">
      <c r="A228" s="84" t="s">
        <v>222</v>
      </c>
      <c r="B228" s="90" t="str">
        <f>IFERROR(IF('Novice 15M - Bracket'!DN11="","",'Novice 15M - Bracket'!DN11),"")</f>
        <v/>
      </c>
      <c r="C228" s="90" t="str">
        <f>IFERROR(IF('Novice 15M - Bracket'!DO11="","",'Novice 15M - Bracket'!DO11),"")</f>
        <v/>
      </c>
      <c r="D228" s="90" t="str">
        <f>IFERROR(IF('Novice 15M - Bracket'!DP11="","",'Novice 15M - Bracket'!DP11),"")</f>
        <v/>
      </c>
      <c r="E228" s="90" t="str">
        <f>IFERROR(IF('Novice 15M - Bracket'!DQ11="","",'Novice 15M - Bracket'!DQ11),"")</f>
        <v/>
      </c>
      <c r="F228" s="90" t="str">
        <f>IFERROR(IF('Novice 15M - Bracket'!DR11="","",'Novice 15M - Bracket'!DR11),"")</f>
        <v/>
      </c>
      <c r="G228" s="90" t="str">
        <f>IFERROR(IF('Novice 15M - Bracket'!DS11="","",'Novice 15M - Bracket'!DS11),"")</f>
        <v/>
      </c>
      <c r="H228" s="32">
        <f>IFERROR(IF(ISNUMBER('Novice 15M - Bracket'!DT11),'Novice 15M - Bracket'!DT11,0),0)</f>
        <v>0</v>
      </c>
      <c r="I228" s="91" t="str">
        <f>IF(AND(ISNUMBER('Novice 15M - Bracket'!DT11),ISNUMBER('Novice 15M - Bracket'!DT13)),IF('Novice 15M - Bracket'!DT11&gt;'Novice 15M - Bracket'!DT13,"2-0",IF('Novice 15M - Bracket'!DT11='Novice 15M - Bracket'!DT13,"1-1","0-2")),"—")</f>
        <v>—</v>
      </c>
      <c r="J228" s="32">
        <f>IFERROR(IF(ISNUMBER('Novice 15M - Bracket'!DT13),'Novice 15M - Bracket'!DT13,0),0)</f>
        <v>0</v>
      </c>
      <c r="K228" s="90" t="str">
        <f>IFERROR(IF('Novice 15M - Bracket'!DS13="","",'Novice 15M - Bracket'!DS13),"")</f>
        <v/>
      </c>
      <c r="L228" s="90" t="str">
        <f>IFERROR(IF('Novice 15M - Bracket'!DR13="","",'Novice 15M - Bracket'!DR13),"")</f>
        <v/>
      </c>
      <c r="M228" s="90" t="str">
        <f>IFERROR(IF('Novice 15M - Bracket'!DQ13="","",'Novice 15M - Bracket'!DQ13),"")</f>
        <v/>
      </c>
      <c r="N228" s="90" t="str">
        <f>IFERROR(IF('Novice 15M - Bracket'!DP13="","",'Novice 15M - Bracket'!DP13),"")</f>
        <v/>
      </c>
      <c r="O228" s="90" t="str">
        <f>IFERROR(IF('Novice 15M - Bracket'!DO13="","",'Novice 15M - Bracket'!DO13),"")</f>
        <v/>
      </c>
      <c r="P228" s="90" t="str">
        <f>IFERROR(IF('Novice 15M - Bracket'!DN13="","",'Novice 15M - Bracket'!DN13),"")</f>
        <v/>
      </c>
      <c r="Q228" s="84" t="s">
        <v>222</v>
      </c>
    </row>
    <row r="229" spans="1:17" ht="21.75" customHeight="1" x14ac:dyDescent="0.35">
      <c r="A229" s="84" t="s">
        <v>223</v>
      </c>
      <c r="B229" s="90" t="str">
        <f>IFERROR(IF('Novice 15M - Bracket'!DU11="","",'Novice 15M - Bracket'!DU11),"")</f>
        <v/>
      </c>
      <c r="C229" s="90" t="str">
        <f>IFERROR(IF('Novice 15M - Bracket'!DV11="","",'Novice 15M - Bracket'!DV11),"")</f>
        <v/>
      </c>
      <c r="D229" s="90" t="str">
        <f>IFERROR(IF('Novice 15M - Bracket'!DW11="","",'Novice 15M - Bracket'!DW11),"")</f>
        <v/>
      </c>
      <c r="E229" s="90" t="str">
        <f>IFERROR(IF('Novice 15M - Bracket'!DX11="","",'Novice 15M - Bracket'!DX11),"")</f>
        <v/>
      </c>
      <c r="F229" s="90" t="str">
        <f>IFERROR(IF('Novice 15M - Bracket'!DY11="","",'Novice 15M - Bracket'!DY11),"")</f>
        <v/>
      </c>
      <c r="G229" s="90" t="str">
        <f>IFERROR(IF('Novice 15M - Bracket'!DZ11="","",'Novice 15M - Bracket'!DZ11),"")</f>
        <v/>
      </c>
      <c r="H229" s="32">
        <f>IFERROR(IF(ISNUMBER('Novice 15M - Bracket'!EA11),'Novice 15M - Bracket'!EA11,0),0)</f>
        <v>0</v>
      </c>
      <c r="I229" s="91" t="str">
        <f>IF(AND(ISNUMBER('Novice 15M - Bracket'!EA11),ISNUMBER('Novice 15M - Bracket'!EA13)),IF('Novice 15M - Bracket'!EA11&gt;'Novice 15M - Bracket'!EA13,"2-0",IF('Novice 15M - Bracket'!EA11='Novice 15M - Bracket'!EA13,"1-1","0-2")),"—")</f>
        <v>—</v>
      </c>
      <c r="J229" s="32">
        <f>IFERROR(IF(ISNUMBER('Novice 15M - Bracket'!EA13),'Novice 15M - Bracket'!EA13,0),0)</f>
        <v>0</v>
      </c>
      <c r="K229" s="90" t="str">
        <f>IFERROR(IF('Novice 15M - Bracket'!DZ13="","",'Novice 15M - Bracket'!DZ13),"")</f>
        <v/>
      </c>
      <c r="L229" s="90" t="str">
        <f>IFERROR(IF('Novice 15M - Bracket'!DY13="","",'Novice 15M - Bracket'!DY13),"")</f>
        <v/>
      </c>
      <c r="M229" s="90" t="str">
        <f>IFERROR(IF('Novice 15M - Bracket'!DX13="","",'Novice 15M - Bracket'!DX13),"")</f>
        <v/>
      </c>
      <c r="N229" s="90" t="str">
        <f>IFERROR(IF('Novice 15M - Bracket'!DW13="","",'Novice 15M - Bracket'!DW13),"")</f>
        <v/>
      </c>
      <c r="O229" s="90" t="str">
        <f>IFERROR(IF('Novice 15M - Bracket'!DV13="","",'Novice 15M - Bracket'!DV13),"")</f>
        <v/>
      </c>
      <c r="P229" s="90" t="str">
        <f>IFERROR(IF('Novice 15M - Bracket'!DU13="","",'Novice 15M - Bracket'!DU13),"")</f>
        <v/>
      </c>
      <c r="Q229" s="84" t="s">
        <v>223</v>
      </c>
    </row>
    <row r="230" spans="1:17" ht="21.75" customHeight="1" x14ac:dyDescent="0.35">
      <c r="A230" s="84" t="s">
        <v>224</v>
      </c>
      <c r="B230" s="90" t="str">
        <f>IFERROR(IF('Novice 15M - Bracket'!EB11="","",'Novice 15M - Bracket'!EB11),"")</f>
        <v/>
      </c>
      <c r="C230" s="90" t="str">
        <f>IFERROR(IF('Novice 15M - Bracket'!EC11="","",'Novice 15M - Bracket'!EC11),"")</f>
        <v/>
      </c>
      <c r="D230" s="90" t="str">
        <f>IFERROR(IF('Novice 15M - Bracket'!ED11="","",'Novice 15M - Bracket'!ED11),"")</f>
        <v/>
      </c>
      <c r="E230" s="90" t="str">
        <f>IFERROR(IF('Novice 15M - Bracket'!EE11="","",'Novice 15M - Bracket'!EE11),"")</f>
        <v/>
      </c>
      <c r="F230" s="90" t="str">
        <f>IFERROR(IF('Novice 15M - Bracket'!EF11="","",'Novice 15M - Bracket'!EF11),"")</f>
        <v/>
      </c>
      <c r="G230" s="90" t="str">
        <f>IFERROR(IF('Novice 15M - Bracket'!EG11="","",'Novice 15M - Bracket'!EG11),"")</f>
        <v/>
      </c>
      <c r="H230" s="32">
        <f>IFERROR(IF(ISNUMBER('Novice 15M - Bracket'!EH11),'Novice 15M - Bracket'!EH11,0),0)</f>
        <v>0</v>
      </c>
      <c r="I230" s="91" t="str">
        <f>IF(AND(ISNUMBER('Novice 15M - Bracket'!EH11),ISNUMBER('Novice 15M - Bracket'!EH13)),IF('Novice 15M - Bracket'!EH11&gt;'Novice 15M - Bracket'!EH13,"2-0",IF('Novice 15M - Bracket'!EH11='Novice 15M - Bracket'!EH13,"1-1","0-2")),"—")</f>
        <v>—</v>
      </c>
      <c r="J230" s="32">
        <f>IFERROR(IF(ISNUMBER('Novice 15M - Bracket'!EH13),'Novice 15M - Bracket'!EH13,0),0)</f>
        <v>0</v>
      </c>
      <c r="K230" s="90" t="str">
        <f>IFERROR(IF('Novice 15M - Bracket'!EG13="","",'Novice 15M - Bracket'!EG13),"")</f>
        <v/>
      </c>
      <c r="L230" s="90" t="str">
        <f>IFERROR(IF('Novice 15M - Bracket'!EF13="","",'Novice 15M - Bracket'!EF13),"")</f>
        <v/>
      </c>
      <c r="M230" s="90" t="str">
        <f>IFERROR(IF('Novice 15M - Bracket'!EE13="","",'Novice 15M - Bracket'!EE13),"")</f>
        <v/>
      </c>
      <c r="N230" s="90" t="str">
        <f>IFERROR(IF('Novice 15M - Bracket'!ED13="","",'Novice 15M - Bracket'!ED13),"")</f>
        <v/>
      </c>
      <c r="O230" s="90" t="str">
        <f>IFERROR(IF('Novice 15M - Bracket'!EC13="","",'Novice 15M - Bracket'!EC13),"")</f>
        <v/>
      </c>
      <c r="P230" s="90" t="str">
        <f>IFERROR(IF('Novice 15M - Bracket'!EB13="","",'Novice 15M - Bracket'!EB13),"")</f>
        <v/>
      </c>
      <c r="Q230" s="84" t="s">
        <v>224</v>
      </c>
    </row>
    <row r="231" spans="1:17" ht="21.75" customHeight="1" x14ac:dyDescent="0.35">
      <c r="A231" s="84" t="s">
        <v>227</v>
      </c>
      <c r="B231" s="90" t="str">
        <f>IFERROR(IF('Novice 15M - Bracket'!EI11="","",'Novice 15M - Bracket'!EI11),"")</f>
        <v/>
      </c>
      <c r="C231" s="90" t="str">
        <f>IFERROR(IF('Novice 15M - Bracket'!EJ11="","",'Novice 15M - Bracket'!EJ11),"")</f>
        <v/>
      </c>
      <c r="D231" s="90" t="str">
        <f>IFERROR(IF('Novice 15M - Bracket'!EK11="","",'Novice 15M - Bracket'!EK11),"")</f>
        <v/>
      </c>
      <c r="E231" s="90" t="str">
        <f>IFERROR(IF('Novice 15M - Bracket'!EL11="","",'Novice 15M - Bracket'!EL11),"")</f>
        <v/>
      </c>
      <c r="F231" s="90" t="str">
        <f>IFERROR(IF('Novice 15M - Bracket'!EM11="","",'Novice 15M - Bracket'!EM11),"")</f>
        <v/>
      </c>
      <c r="G231" s="90" t="str">
        <f>IFERROR(IF('Novice 15M - Bracket'!EN11="","",'Novice 15M - Bracket'!EN11),"")</f>
        <v/>
      </c>
      <c r="H231" s="32">
        <f>IFERROR(IF(ISNUMBER('Novice 15M - Bracket'!EO11),'Novice 15M - Bracket'!EO11,0),0)</f>
        <v>0</v>
      </c>
      <c r="I231" s="91" t="str">
        <f>IF(AND(ISNUMBER('Novice 15M - Bracket'!EO11),ISNUMBER('Novice 15M - Bracket'!EO13)),IF('Novice 15M - Bracket'!EO11&gt;'Novice 15M - Bracket'!EO13,"2-0",IF('Novice 15M - Bracket'!EO11='Novice 15M - Bracket'!EO13,"1-1","0-2")),"—")</f>
        <v>—</v>
      </c>
      <c r="J231" s="32">
        <f>IFERROR(IF(ISNUMBER('Novice 15M - Bracket'!EO13),'Novice 15M - Bracket'!EO13,0),0)</f>
        <v>0</v>
      </c>
      <c r="K231" s="90" t="str">
        <f>IFERROR(IF('Novice 15M - Bracket'!EN13="","",'Novice 15M - Bracket'!EN13),"")</f>
        <v/>
      </c>
      <c r="L231" s="90" t="str">
        <f>IFERROR(IF('Novice 15M - Bracket'!EM13="","",'Novice 15M - Bracket'!EM13),"")</f>
        <v/>
      </c>
      <c r="M231" s="90" t="str">
        <f>IFERROR(IF('Novice 15M - Bracket'!EL13="","",'Novice 15M - Bracket'!EL13),"")</f>
        <v/>
      </c>
      <c r="N231" s="90" t="str">
        <f>IFERROR(IF('Novice 15M - Bracket'!EK13="","",'Novice 15M - Bracket'!EK13),"")</f>
        <v/>
      </c>
      <c r="O231" s="90" t="str">
        <f>IFERROR(IF('Novice 15M - Bracket'!EJ13="","",'Novice 15M - Bracket'!EJ13),"")</f>
        <v/>
      </c>
      <c r="P231" s="90" t="str">
        <f>IFERROR(IF('Novice 15M - Bracket'!EI13="","",'Novice 15M - Bracket'!EI13),"")</f>
        <v/>
      </c>
      <c r="Q231" s="84" t="s">
        <v>227</v>
      </c>
    </row>
    <row r="232" spans="1:17" ht="21.75" customHeight="1" x14ac:dyDescent="0.35">
      <c r="A232" s="84" t="s">
        <v>228</v>
      </c>
      <c r="B232" s="90" t="str">
        <f>IFERROR(IF('Novice 15M - Bracket'!EP11="","",'Novice 15M - Bracket'!EP11),"")</f>
        <v/>
      </c>
      <c r="C232" s="90" t="str">
        <f>IFERROR(IF('Novice 15M - Bracket'!EQ11="","",'Novice 15M - Bracket'!EQ11),"")</f>
        <v/>
      </c>
      <c r="D232" s="90" t="str">
        <f>IFERROR(IF('Novice 15M - Bracket'!ER11="","",'Novice 15M - Bracket'!ER11),"")</f>
        <v/>
      </c>
      <c r="E232" s="90" t="str">
        <f>IFERROR(IF('Novice 15M - Bracket'!ES11="","",'Novice 15M - Bracket'!ES11),"")</f>
        <v/>
      </c>
      <c r="F232" s="90" t="str">
        <f>IFERROR(IF('Novice 15M - Bracket'!ET11="","",'Novice 15M - Bracket'!ET11),"")</f>
        <v/>
      </c>
      <c r="G232" s="90" t="str">
        <f>IFERROR(IF('Novice 15M - Bracket'!EU11="","",'Novice 15M - Bracket'!EU11),"")</f>
        <v/>
      </c>
      <c r="H232" s="32">
        <f>IFERROR(IF(ISNUMBER('Novice 15M - Bracket'!EV11),'Novice 15M - Bracket'!EV11,0),0)</f>
        <v>0</v>
      </c>
      <c r="I232" s="91" t="str">
        <f>IF(AND(ISNUMBER('Novice 15M - Bracket'!EV11),ISNUMBER('Novice 15M - Bracket'!EV13)),IF('Novice 15M - Bracket'!EV11&gt;'Novice 15M - Bracket'!EV13,"2-0",IF('Novice 15M - Bracket'!EV11='Novice 15M - Bracket'!EV13,"1-1","0-2")),"—")</f>
        <v>—</v>
      </c>
      <c r="J232" s="32">
        <f>IFERROR(IF(ISNUMBER('Novice 15M - Bracket'!EV13),'Novice 15M - Bracket'!EV13,0),0)</f>
        <v>0</v>
      </c>
      <c r="K232" s="90" t="str">
        <f>IFERROR(IF('Novice 15M - Bracket'!EU13="","",'Novice 15M - Bracket'!EU13),"")</f>
        <v/>
      </c>
      <c r="L232" s="90" t="str">
        <f>IFERROR(IF('Novice 15M - Bracket'!ET13="","",'Novice 15M - Bracket'!ET13),"")</f>
        <v/>
      </c>
      <c r="M232" s="90" t="str">
        <f>IFERROR(IF('Novice 15M - Bracket'!ES13="","",'Novice 15M - Bracket'!ES13),"")</f>
        <v/>
      </c>
      <c r="N232" s="90" t="str">
        <f>IFERROR(IF('Novice 15M - Bracket'!ER13="","",'Novice 15M - Bracket'!ER13),"")</f>
        <v/>
      </c>
      <c r="O232" s="90" t="str">
        <f>IFERROR(IF('Novice 15M - Bracket'!EQ13="","",'Novice 15M - Bracket'!EQ13),"")</f>
        <v/>
      </c>
      <c r="P232" s="90" t="str">
        <f>IFERROR(IF('Novice 15M - Bracket'!EP13="","",'Novice 15M - Bracket'!EP13),"")</f>
        <v/>
      </c>
      <c r="Q232" s="84" t="s">
        <v>228</v>
      </c>
    </row>
    <row r="233" spans="1:17" ht="21.75" customHeight="1" x14ac:dyDescent="0.35">
      <c r="A233" s="92" t="s">
        <v>237</v>
      </c>
      <c r="B233" s="93" t="str">
        <f>IFERROR(IF('Novice 15M - Bracket'!EW11="","",'Novice 15M - Bracket'!EW11),"")</f>
        <v/>
      </c>
      <c r="C233" s="93" t="str">
        <f>IFERROR(IF('Novice 15M - Bracket'!EX11="","",'Novice 15M - Bracket'!EX11),"")</f>
        <v/>
      </c>
      <c r="D233" s="93" t="str">
        <f>IFERROR(IF('Novice 15M - Bracket'!EY11="","",'Novice 15M - Bracket'!EY11),"")</f>
        <v/>
      </c>
      <c r="E233" s="93" t="str">
        <f>IFERROR(IF('Novice 15M - Bracket'!EZ11="","",'Novice 15M - Bracket'!EZ11),"")</f>
        <v/>
      </c>
      <c r="F233" s="93" t="str">
        <f>IFERROR(IF('Novice 15M - Bracket'!FA11="","",'Novice 15M - Bracket'!FA11),"")</f>
        <v/>
      </c>
      <c r="G233" s="93" t="str">
        <f>IFERROR(IF('Novice 15M - Bracket'!FB11="","",'Novice 15M - Bracket'!FB11),"")</f>
        <v/>
      </c>
      <c r="H233" s="32">
        <f>IFERROR(IF(ISNUMBER('Novice 15M - Bracket'!FC11),'Novice 15M - Bracket'!FC11,0),0)</f>
        <v>0</v>
      </c>
      <c r="I233" s="91" t="str">
        <f>IF(AND(ISNUMBER('Novice 15M - Bracket'!FC11),ISNUMBER('Novice 15M - Bracket'!FC13)),IF('Novice 15M - Bracket'!FC11&gt;'Novice 15M - Bracket'!FC13,"2-0",IF('Novice 15M - Bracket'!FC11='Novice 15M - Bracket'!FC13,"1-1","0-2")),"—")</f>
        <v>—</v>
      </c>
      <c r="J233" s="32">
        <f>IFERROR(IF(ISNUMBER('Novice 15M - Bracket'!FC13),'Novice 15M - Bracket'!FC13,0),0)</f>
        <v>0</v>
      </c>
      <c r="K233" s="93" t="str">
        <f>IFERROR(IF('Novice 15M - Bracket'!FB13="","",'Novice 15M - Bracket'!FB13),"")</f>
        <v/>
      </c>
      <c r="L233" s="93" t="str">
        <f>IFERROR(IF('Novice 15M - Bracket'!FA13="","",'Novice 15M - Bracket'!FA13),"")</f>
        <v/>
      </c>
      <c r="M233" s="93" t="str">
        <f>IFERROR(IF('Novice 15M - Bracket'!EZ13="","",'Novice 15M - Bracket'!EZ13),"")</f>
        <v/>
      </c>
      <c r="N233" s="93" t="str">
        <f>IFERROR(IF('Novice 15M - Bracket'!EY13="","",'Novice 15M - Bracket'!EY13),"")</f>
        <v/>
      </c>
      <c r="O233" s="93" t="str">
        <f>IFERROR(IF('Novice 15M - Bracket'!EX13="","",'Novice 15M - Bracket'!EX13),"")</f>
        <v/>
      </c>
      <c r="P233" s="93" t="str">
        <f>IFERROR(IF('Novice 15M - Bracket'!EW13="","",'Novice 15M - Bracket'!EW13),"")</f>
        <v/>
      </c>
      <c r="Q233" s="92" t="s">
        <v>237</v>
      </c>
    </row>
    <row r="234" spans="1:17" ht="4.5" customHeight="1" x14ac:dyDescent="0.35"/>
    <row r="235" spans="1:17" ht="31.5" customHeight="1" x14ac:dyDescent="0.35">
      <c r="A235" s="130">
        <f>IFERROR(IF(ISNUMBER('Novice 15M - Bracket'!FD11),'Novice 15M - Bracket'!FD11,0),0)</f>
        <v>0</v>
      </c>
      <c r="B235" s="130"/>
      <c r="C235" s="130"/>
      <c r="D235" s="130"/>
      <c r="E235" s="130"/>
      <c r="F235" s="130"/>
      <c r="G235" s="130"/>
      <c r="H235" s="94" t="str">
        <f>IFERROR('Novice 15M - Bracket'!FG11,"")</f>
        <v>&gt;&gt; Advance</v>
      </c>
      <c r="I235" s="86"/>
      <c r="J235" s="94" t="str">
        <f>IFERROR('Novice 15M - Bracket'!FG13,"")</f>
        <v>&gt;&gt; Advance</v>
      </c>
      <c r="K235" s="130">
        <f>IFERROR(IF(ISNUMBER('Novice 15M - Bracket'!FD13),'Novice 15M - Bracket'!FD13,0),0)</f>
        <v>0</v>
      </c>
      <c r="L235" s="130"/>
      <c r="M235" s="130"/>
      <c r="N235" s="130"/>
      <c r="O235" s="130"/>
      <c r="P235" s="130"/>
      <c r="Q235" s="130"/>
    </row>
    <row r="236" spans="1:17" ht="21.75" customHeight="1" x14ac:dyDescent="0.35">
      <c r="A236" s="130"/>
      <c r="B236" s="130"/>
      <c r="C236" s="130"/>
      <c r="D236" s="130"/>
      <c r="E236" s="130"/>
      <c r="F236" s="130"/>
      <c r="G236" s="130"/>
      <c r="K236" s="130"/>
      <c r="L236" s="130"/>
      <c r="M236" s="130"/>
      <c r="N236" s="130"/>
      <c r="O236" s="130"/>
      <c r="P236" s="130"/>
      <c r="Q236" s="130"/>
    </row>
    <row r="237" spans="1:17" ht="4.5" customHeight="1" x14ac:dyDescent="0.35"/>
    <row r="238" spans="1:17" ht="12" customHeight="1" x14ac:dyDescent="0.35">
      <c r="A238" s="126"/>
      <c r="B238" s="126"/>
      <c r="C238" s="126"/>
      <c r="D238" s="126"/>
      <c r="E238" s="126"/>
      <c r="F238" s="126"/>
      <c r="G238" s="126"/>
      <c r="H238" s="126"/>
      <c r="I238" s="126"/>
      <c r="J238" s="126"/>
      <c r="K238" s="126"/>
      <c r="L238" s="126"/>
      <c r="M238" s="126"/>
      <c r="N238" s="126"/>
      <c r="O238" s="126"/>
      <c r="P238" s="126"/>
      <c r="Q238" s="126"/>
    </row>
    <row r="239" spans="1:17" ht="7.5" customHeight="1" x14ac:dyDescent="0.35"/>
    <row r="240" spans="1:17" ht="19.5" customHeight="1" x14ac:dyDescent="0.35">
      <c r="A240" s="133" t="s">
        <v>251</v>
      </c>
      <c r="B240" s="133"/>
      <c r="C240" s="133"/>
      <c r="D240" s="133"/>
      <c r="E240" s="133"/>
      <c r="F240" s="133"/>
      <c r="G240" s="133"/>
      <c r="H240" s="133"/>
      <c r="I240" s="133"/>
      <c r="J240" s="133"/>
      <c r="K240" s="133"/>
      <c r="L240" s="133"/>
      <c r="M240" s="133"/>
      <c r="N240" s="133"/>
      <c r="O240" s="133"/>
      <c r="P240" s="133"/>
      <c r="Q240" s="133"/>
    </row>
    <row r="241" spans="1:17" ht="4.5" customHeight="1" x14ac:dyDescent="0.35"/>
    <row r="242" spans="1:17" ht="21.75" customHeight="1" x14ac:dyDescent="0.35">
      <c r="A242" s="84" t="s">
        <v>232</v>
      </c>
      <c r="B242" s="128" t="str">
        <f>IFERROR(IF('Novice 15M - Bracket'!FK6="","TBD",'Novice 15M - Bracket'!FK6),"TBD")</f>
        <v>Michael Allan Corpuz</v>
      </c>
      <c r="C242" s="128"/>
      <c r="D242" s="128"/>
      <c r="E242" s="128"/>
      <c r="F242" s="128"/>
      <c r="G242" s="128"/>
      <c r="H242" s="128"/>
      <c r="I242" s="84" t="s">
        <v>233</v>
      </c>
      <c r="J242" s="128" t="str">
        <f>IFERROR(IF('Novice 15M - Bracket'!FK8="","TBD",'Novice 15M - Bracket'!FK8),"TBD")</f>
        <v>TBD</v>
      </c>
      <c r="K242" s="128"/>
      <c r="L242" s="128"/>
      <c r="M242" s="128"/>
      <c r="N242" s="128"/>
      <c r="O242" s="128"/>
      <c r="P242" s="128"/>
      <c r="Q242" s="84" t="s">
        <v>232</v>
      </c>
    </row>
    <row r="243" spans="1:17" ht="13.5" customHeight="1" x14ac:dyDescent="0.35">
      <c r="A243" s="85" t="s">
        <v>234</v>
      </c>
      <c r="B243" s="129" t="str">
        <f>IFERROR('Novice 15M - Bracket'!FJ6,"")</f>
        <v>"W-SF1"</v>
      </c>
      <c r="C243" s="129"/>
      <c r="D243" s="129"/>
      <c r="E243" s="129"/>
      <c r="F243" s="129"/>
      <c r="G243" s="129"/>
      <c r="H243" s="129"/>
      <c r="I243" s="86"/>
      <c r="J243" s="129" t="str">
        <f>IFERROR('Novice 15M - Bracket'!FJ8,"")</f>
        <v>"W-SF2"</v>
      </c>
      <c r="K243" s="129"/>
      <c r="L243" s="129"/>
      <c r="M243" s="129"/>
      <c r="N243" s="129"/>
      <c r="O243" s="129"/>
      <c r="P243" s="129"/>
      <c r="Q243" s="85" t="s">
        <v>234</v>
      </c>
    </row>
    <row r="244" spans="1:17" ht="19.5" customHeight="1" x14ac:dyDescent="0.35">
      <c r="A244" s="87" t="s">
        <v>235</v>
      </c>
      <c r="B244" s="88" t="s">
        <v>83</v>
      </c>
      <c r="C244" s="88" t="s">
        <v>84</v>
      </c>
      <c r="D244" s="88" t="s">
        <v>85</v>
      </c>
      <c r="E244" s="88" t="s">
        <v>86</v>
      </c>
      <c r="F244" s="88" t="s">
        <v>87</v>
      </c>
      <c r="G244" s="88" t="s">
        <v>88</v>
      </c>
      <c r="H244" s="24" t="s">
        <v>236</v>
      </c>
      <c r="I244" s="89"/>
      <c r="J244" s="24" t="s">
        <v>236</v>
      </c>
      <c r="K244" s="88" t="s">
        <v>88</v>
      </c>
      <c r="L244" s="88" t="s">
        <v>87</v>
      </c>
      <c r="M244" s="88" t="s">
        <v>86</v>
      </c>
      <c r="N244" s="88" t="s">
        <v>85</v>
      </c>
      <c r="O244" s="88" t="s">
        <v>84</v>
      </c>
      <c r="P244" s="88" t="s">
        <v>83</v>
      </c>
      <c r="Q244" s="87" t="s">
        <v>235</v>
      </c>
    </row>
    <row r="245" spans="1:17" ht="21.75" customHeight="1" x14ac:dyDescent="0.35">
      <c r="A245" s="84" t="s">
        <v>222</v>
      </c>
      <c r="B245" s="90" t="str">
        <f>IFERROR(IF('Novice 15M - Bracket'!FQ6="","",'Novice 15M - Bracket'!FQ6),"")</f>
        <v/>
      </c>
      <c r="C245" s="90" t="str">
        <f>IFERROR(IF('Novice 15M - Bracket'!FR6="","",'Novice 15M - Bracket'!FR6),"")</f>
        <v/>
      </c>
      <c r="D245" s="90" t="str">
        <f>IFERROR(IF('Novice 15M - Bracket'!FS6="","",'Novice 15M - Bracket'!FS6),"")</f>
        <v/>
      </c>
      <c r="E245" s="90" t="str">
        <f>IFERROR(IF('Novice 15M - Bracket'!FT6="","",'Novice 15M - Bracket'!FT6),"")</f>
        <v/>
      </c>
      <c r="F245" s="90" t="str">
        <f>IFERROR(IF('Novice 15M - Bracket'!FU6="","",'Novice 15M - Bracket'!FU6),"")</f>
        <v/>
      </c>
      <c r="G245" s="90" t="str">
        <f>IFERROR(IF('Novice 15M - Bracket'!FV6="","",'Novice 15M - Bracket'!FV6),"")</f>
        <v/>
      </c>
      <c r="H245" s="32">
        <f>IFERROR(IF(ISNUMBER('Novice 15M - Bracket'!FW6),'Novice 15M - Bracket'!FW6,0),0)</f>
        <v>0</v>
      </c>
      <c r="I245" s="91" t="str">
        <f>IF(AND(ISNUMBER('Novice 15M - Bracket'!FW6),ISNUMBER('Novice 15M - Bracket'!FW8)),IF('Novice 15M - Bracket'!FW6&gt;'Novice 15M - Bracket'!FW8,"2-0",IF('Novice 15M - Bracket'!FW6='Novice 15M - Bracket'!FW8,"1-1","0-2")),"—")</f>
        <v>—</v>
      </c>
      <c r="J245" s="32">
        <f>IFERROR(IF(ISNUMBER('Novice 15M - Bracket'!FW8),'Novice 15M - Bracket'!FW8,0),0)</f>
        <v>0</v>
      </c>
      <c r="K245" s="90" t="str">
        <f>IFERROR(IF('Novice 15M - Bracket'!FV8="","",'Novice 15M - Bracket'!FV8),"")</f>
        <v/>
      </c>
      <c r="L245" s="90" t="str">
        <f>IFERROR(IF('Novice 15M - Bracket'!FU8="","",'Novice 15M - Bracket'!FU8),"")</f>
        <v/>
      </c>
      <c r="M245" s="90" t="str">
        <f>IFERROR(IF('Novice 15M - Bracket'!FT8="","",'Novice 15M - Bracket'!FT8),"")</f>
        <v/>
      </c>
      <c r="N245" s="90" t="str">
        <f>IFERROR(IF('Novice 15M - Bracket'!FS8="","",'Novice 15M - Bracket'!FS8),"")</f>
        <v/>
      </c>
      <c r="O245" s="90" t="str">
        <f>IFERROR(IF('Novice 15M - Bracket'!FR8="","",'Novice 15M - Bracket'!FR8),"")</f>
        <v/>
      </c>
      <c r="P245" s="90" t="str">
        <f>IFERROR(IF('Novice 15M - Bracket'!FQ8="","",'Novice 15M - Bracket'!FQ8),"")</f>
        <v/>
      </c>
      <c r="Q245" s="84" t="s">
        <v>222</v>
      </c>
    </row>
    <row r="246" spans="1:17" ht="21.75" customHeight="1" x14ac:dyDescent="0.35">
      <c r="A246" s="84" t="s">
        <v>223</v>
      </c>
      <c r="B246" s="90" t="str">
        <f>IFERROR(IF('Novice 15M - Bracket'!FX6="","",'Novice 15M - Bracket'!FX6),"")</f>
        <v/>
      </c>
      <c r="C246" s="90" t="str">
        <f>IFERROR(IF('Novice 15M - Bracket'!FY6="","",'Novice 15M - Bracket'!FY6),"")</f>
        <v/>
      </c>
      <c r="D246" s="90" t="str">
        <f>IFERROR(IF('Novice 15M - Bracket'!FZ6="","",'Novice 15M - Bracket'!FZ6),"")</f>
        <v/>
      </c>
      <c r="E246" s="90" t="str">
        <f>IFERROR(IF('Novice 15M - Bracket'!GA6="","",'Novice 15M - Bracket'!GA6),"")</f>
        <v/>
      </c>
      <c r="F246" s="90" t="str">
        <f>IFERROR(IF('Novice 15M - Bracket'!GB6="","",'Novice 15M - Bracket'!GB6),"")</f>
        <v/>
      </c>
      <c r="G246" s="90" t="str">
        <f>IFERROR(IF('Novice 15M - Bracket'!GC6="","",'Novice 15M - Bracket'!GC6),"")</f>
        <v/>
      </c>
      <c r="H246" s="32">
        <f>IFERROR(IF(ISNUMBER('Novice 15M - Bracket'!GD6),'Novice 15M - Bracket'!GD6,0),0)</f>
        <v>0</v>
      </c>
      <c r="I246" s="91" t="str">
        <f>IF(AND(ISNUMBER('Novice 15M - Bracket'!GD6),ISNUMBER('Novice 15M - Bracket'!GD8)),IF('Novice 15M - Bracket'!GD6&gt;'Novice 15M - Bracket'!GD8,"2-0",IF('Novice 15M - Bracket'!GD6='Novice 15M - Bracket'!GD8,"1-1","0-2")),"—")</f>
        <v>—</v>
      </c>
      <c r="J246" s="32">
        <f>IFERROR(IF(ISNUMBER('Novice 15M - Bracket'!GD8),'Novice 15M - Bracket'!GD8,0),0)</f>
        <v>0</v>
      </c>
      <c r="K246" s="90" t="str">
        <f>IFERROR(IF('Novice 15M - Bracket'!GC8="","",'Novice 15M - Bracket'!GC8),"")</f>
        <v/>
      </c>
      <c r="L246" s="90" t="str">
        <f>IFERROR(IF('Novice 15M - Bracket'!GB8="","",'Novice 15M - Bracket'!GB8),"")</f>
        <v/>
      </c>
      <c r="M246" s="90" t="str">
        <f>IFERROR(IF('Novice 15M - Bracket'!GA8="","",'Novice 15M - Bracket'!GA8),"")</f>
        <v/>
      </c>
      <c r="N246" s="90" t="str">
        <f>IFERROR(IF('Novice 15M - Bracket'!FZ8="","",'Novice 15M - Bracket'!FZ8),"")</f>
        <v/>
      </c>
      <c r="O246" s="90" t="str">
        <f>IFERROR(IF('Novice 15M - Bracket'!FY8="","",'Novice 15M - Bracket'!FY8),"")</f>
        <v/>
      </c>
      <c r="P246" s="90" t="str">
        <f>IFERROR(IF('Novice 15M - Bracket'!FX8="","",'Novice 15M - Bracket'!FX8),"")</f>
        <v/>
      </c>
      <c r="Q246" s="84" t="s">
        <v>223</v>
      </c>
    </row>
    <row r="247" spans="1:17" ht="21.75" customHeight="1" x14ac:dyDescent="0.35">
      <c r="A247" s="84" t="s">
        <v>224</v>
      </c>
      <c r="B247" s="90" t="str">
        <f>IFERROR(IF('Novice 15M - Bracket'!GE6="","",'Novice 15M - Bracket'!GE6),"")</f>
        <v/>
      </c>
      <c r="C247" s="90" t="str">
        <f>IFERROR(IF('Novice 15M - Bracket'!GF6="","",'Novice 15M - Bracket'!GF6),"")</f>
        <v/>
      </c>
      <c r="D247" s="90" t="str">
        <f>IFERROR(IF('Novice 15M - Bracket'!GG6="","",'Novice 15M - Bracket'!GG6),"")</f>
        <v/>
      </c>
      <c r="E247" s="90" t="str">
        <f>IFERROR(IF('Novice 15M - Bracket'!GH6="","",'Novice 15M - Bracket'!GH6),"")</f>
        <v/>
      </c>
      <c r="F247" s="90" t="str">
        <f>IFERROR(IF('Novice 15M - Bracket'!GI6="","",'Novice 15M - Bracket'!GI6),"")</f>
        <v/>
      </c>
      <c r="G247" s="90" t="str">
        <f>IFERROR(IF('Novice 15M - Bracket'!GJ6="","",'Novice 15M - Bracket'!GJ6),"")</f>
        <v/>
      </c>
      <c r="H247" s="32">
        <f>IFERROR(IF(ISNUMBER('Novice 15M - Bracket'!GK6),'Novice 15M - Bracket'!GK6,0),0)</f>
        <v>0</v>
      </c>
      <c r="I247" s="91" t="str">
        <f>IF(AND(ISNUMBER('Novice 15M - Bracket'!GK6),ISNUMBER('Novice 15M - Bracket'!GK8)),IF('Novice 15M - Bracket'!GK6&gt;'Novice 15M - Bracket'!GK8,"2-0",IF('Novice 15M - Bracket'!GK6='Novice 15M - Bracket'!GK8,"1-1","0-2")),"—")</f>
        <v>—</v>
      </c>
      <c r="J247" s="32">
        <f>IFERROR(IF(ISNUMBER('Novice 15M - Bracket'!GK8),'Novice 15M - Bracket'!GK8,0),0)</f>
        <v>0</v>
      </c>
      <c r="K247" s="90" t="str">
        <f>IFERROR(IF('Novice 15M - Bracket'!GJ8="","",'Novice 15M - Bracket'!GJ8),"")</f>
        <v/>
      </c>
      <c r="L247" s="90" t="str">
        <f>IFERROR(IF('Novice 15M - Bracket'!GI8="","",'Novice 15M - Bracket'!GI8),"")</f>
        <v/>
      </c>
      <c r="M247" s="90" t="str">
        <f>IFERROR(IF('Novice 15M - Bracket'!GH8="","",'Novice 15M - Bracket'!GH8),"")</f>
        <v/>
      </c>
      <c r="N247" s="90" t="str">
        <f>IFERROR(IF('Novice 15M - Bracket'!GG8="","",'Novice 15M - Bracket'!GG8),"")</f>
        <v/>
      </c>
      <c r="O247" s="90" t="str">
        <f>IFERROR(IF('Novice 15M - Bracket'!GF8="","",'Novice 15M - Bracket'!GF8),"")</f>
        <v/>
      </c>
      <c r="P247" s="90" t="str">
        <f>IFERROR(IF('Novice 15M - Bracket'!GE8="","",'Novice 15M - Bracket'!GE8),"")</f>
        <v/>
      </c>
      <c r="Q247" s="84" t="s">
        <v>224</v>
      </c>
    </row>
    <row r="248" spans="1:17" ht="21.75" customHeight="1" x14ac:dyDescent="0.35">
      <c r="A248" s="84" t="s">
        <v>227</v>
      </c>
      <c r="B248" s="90" t="str">
        <f>IFERROR(IF('Novice 15M - Bracket'!GL6="","",'Novice 15M - Bracket'!GL6),"")</f>
        <v/>
      </c>
      <c r="C248" s="90" t="str">
        <f>IFERROR(IF('Novice 15M - Bracket'!GM6="","",'Novice 15M - Bracket'!GM6),"")</f>
        <v/>
      </c>
      <c r="D248" s="90" t="str">
        <f>IFERROR(IF('Novice 15M - Bracket'!GN6="","",'Novice 15M - Bracket'!GN6),"")</f>
        <v/>
      </c>
      <c r="E248" s="90" t="str">
        <f>IFERROR(IF('Novice 15M - Bracket'!GO6="","",'Novice 15M - Bracket'!GO6),"")</f>
        <v/>
      </c>
      <c r="F248" s="90" t="str">
        <f>IFERROR(IF('Novice 15M - Bracket'!GP6="","",'Novice 15M - Bracket'!GP6),"")</f>
        <v/>
      </c>
      <c r="G248" s="90" t="str">
        <f>IFERROR(IF('Novice 15M - Bracket'!GQ6="","",'Novice 15M - Bracket'!GQ6),"")</f>
        <v/>
      </c>
      <c r="H248" s="32">
        <f>IFERROR(IF(ISNUMBER('Novice 15M - Bracket'!GR6),'Novice 15M - Bracket'!GR6,0),0)</f>
        <v>0</v>
      </c>
      <c r="I248" s="91" t="str">
        <f>IF(AND(ISNUMBER('Novice 15M - Bracket'!GR6),ISNUMBER('Novice 15M - Bracket'!GR8)),IF('Novice 15M - Bracket'!GR6&gt;'Novice 15M - Bracket'!GR8,"2-0",IF('Novice 15M - Bracket'!GR6='Novice 15M - Bracket'!GR8,"1-1","0-2")),"—")</f>
        <v>—</v>
      </c>
      <c r="J248" s="32">
        <f>IFERROR(IF(ISNUMBER('Novice 15M - Bracket'!GR8),'Novice 15M - Bracket'!GR8,0),0)</f>
        <v>0</v>
      </c>
      <c r="K248" s="90" t="str">
        <f>IFERROR(IF('Novice 15M - Bracket'!GQ8="","",'Novice 15M - Bracket'!GQ8),"")</f>
        <v/>
      </c>
      <c r="L248" s="90" t="str">
        <f>IFERROR(IF('Novice 15M - Bracket'!GP8="","",'Novice 15M - Bracket'!GP8),"")</f>
        <v/>
      </c>
      <c r="M248" s="90" t="str">
        <f>IFERROR(IF('Novice 15M - Bracket'!GO8="","",'Novice 15M - Bracket'!GO8),"")</f>
        <v/>
      </c>
      <c r="N248" s="90" t="str">
        <f>IFERROR(IF('Novice 15M - Bracket'!GN8="","",'Novice 15M - Bracket'!GN8),"")</f>
        <v/>
      </c>
      <c r="O248" s="90" t="str">
        <f>IFERROR(IF('Novice 15M - Bracket'!GM8="","",'Novice 15M - Bracket'!GM8),"")</f>
        <v/>
      </c>
      <c r="P248" s="90" t="str">
        <f>IFERROR(IF('Novice 15M - Bracket'!GL8="","",'Novice 15M - Bracket'!GL8),"")</f>
        <v/>
      </c>
      <c r="Q248" s="84" t="s">
        <v>227</v>
      </c>
    </row>
    <row r="249" spans="1:17" ht="21.75" customHeight="1" x14ac:dyDescent="0.35">
      <c r="A249" s="84" t="s">
        <v>228</v>
      </c>
      <c r="B249" s="90" t="str">
        <f>IFERROR(IF('Novice 15M - Bracket'!GS6="","",'Novice 15M - Bracket'!GS6),"")</f>
        <v/>
      </c>
      <c r="C249" s="90" t="str">
        <f>IFERROR(IF('Novice 15M - Bracket'!GT6="","",'Novice 15M - Bracket'!GT6),"")</f>
        <v/>
      </c>
      <c r="D249" s="90" t="str">
        <f>IFERROR(IF('Novice 15M - Bracket'!GU6="","",'Novice 15M - Bracket'!GU6),"")</f>
        <v/>
      </c>
      <c r="E249" s="90" t="str">
        <f>IFERROR(IF('Novice 15M - Bracket'!GV6="","",'Novice 15M - Bracket'!GV6),"")</f>
        <v/>
      </c>
      <c r="F249" s="90" t="str">
        <f>IFERROR(IF('Novice 15M - Bracket'!GW6="","",'Novice 15M - Bracket'!GW6),"")</f>
        <v/>
      </c>
      <c r="G249" s="90" t="str">
        <f>IFERROR(IF('Novice 15M - Bracket'!GX6="","",'Novice 15M - Bracket'!GX6),"")</f>
        <v/>
      </c>
      <c r="H249" s="32">
        <f>IFERROR(IF(ISNUMBER('Novice 15M - Bracket'!GY6),'Novice 15M - Bracket'!GY6,0),0)</f>
        <v>0</v>
      </c>
      <c r="I249" s="91" t="str">
        <f>IF(AND(ISNUMBER('Novice 15M - Bracket'!GY6),ISNUMBER('Novice 15M - Bracket'!GY8)),IF('Novice 15M - Bracket'!GY6&gt;'Novice 15M - Bracket'!GY8,"2-0",IF('Novice 15M - Bracket'!GY6='Novice 15M - Bracket'!GY8,"1-1","0-2")),"—")</f>
        <v>—</v>
      </c>
      <c r="J249" s="32">
        <f>IFERROR(IF(ISNUMBER('Novice 15M - Bracket'!GY8),'Novice 15M - Bracket'!GY8,0),0)</f>
        <v>0</v>
      </c>
      <c r="K249" s="90" t="str">
        <f>IFERROR(IF('Novice 15M - Bracket'!GX8="","",'Novice 15M - Bracket'!GX8),"")</f>
        <v/>
      </c>
      <c r="L249" s="90" t="str">
        <f>IFERROR(IF('Novice 15M - Bracket'!GW8="","",'Novice 15M - Bracket'!GW8),"")</f>
        <v/>
      </c>
      <c r="M249" s="90" t="str">
        <f>IFERROR(IF('Novice 15M - Bracket'!GV8="","",'Novice 15M - Bracket'!GV8),"")</f>
        <v/>
      </c>
      <c r="N249" s="90" t="str">
        <f>IFERROR(IF('Novice 15M - Bracket'!GU8="","",'Novice 15M - Bracket'!GU8),"")</f>
        <v/>
      </c>
      <c r="O249" s="90" t="str">
        <f>IFERROR(IF('Novice 15M - Bracket'!GT8="","",'Novice 15M - Bracket'!GT8),"")</f>
        <v/>
      </c>
      <c r="P249" s="90" t="str">
        <f>IFERROR(IF('Novice 15M - Bracket'!GS8="","",'Novice 15M - Bracket'!GS8),"")</f>
        <v/>
      </c>
      <c r="Q249" s="84" t="s">
        <v>228</v>
      </c>
    </row>
    <row r="250" spans="1:17" ht="21.75" customHeight="1" x14ac:dyDescent="0.35">
      <c r="A250" s="92" t="s">
        <v>237</v>
      </c>
      <c r="B250" s="93" t="str">
        <f>IFERROR(IF('Novice 15M - Bracket'!GZ6="","",'Novice 15M - Bracket'!GZ6),"")</f>
        <v/>
      </c>
      <c r="C250" s="93" t="str">
        <f>IFERROR(IF('Novice 15M - Bracket'!HA6="","",'Novice 15M - Bracket'!HA6),"")</f>
        <v/>
      </c>
      <c r="D250" s="93" t="str">
        <f>IFERROR(IF('Novice 15M - Bracket'!HB6="","",'Novice 15M - Bracket'!HB6),"")</f>
        <v/>
      </c>
      <c r="E250" s="93" t="str">
        <f>IFERROR(IF('Novice 15M - Bracket'!HC6="","",'Novice 15M - Bracket'!HC6),"")</f>
        <v/>
      </c>
      <c r="F250" s="93" t="str">
        <f>IFERROR(IF('Novice 15M - Bracket'!HD6="","",'Novice 15M - Bracket'!HD6),"")</f>
        <v/>
      </c>
      <c r="G250" s="93" t="str">
        <f>IFERROR(IF('Novice 15M - Bracket'!HE6="","",'Novice 15M - Bracket'!HE6),"")</f>
        <v/>
      </c>
      <c r="H250" s="32">
        <f>IFERROR(IF(ISNUMBER('Novice 15M - Bracket'!HF6),'Novice 15M - Bracket'!HF6,0),0)</f>
        <v>0</v>
      </c>
      <c r="I250" s="91" t="str">
        <f>IF(AND(ISNUMBER('Novice 15M - Bracket'!HF6),ISNUMBER('Novice 15M - Bracket'!HF8)),IF('Novice 15M - Bracket'!HF6&gt;'Novice 15M - Bracket'!HF8,"2-0",IF('Novice 15M - Bracket'!HF6='Novice 15M - Bracket'!HF8,"1-1","0-2")),"—")</f>
        <v>—</v>
      </c>
      <c r="J250" s="32">
        <f>IFERROR(IF(ISNUMBER('Novice 15M - Bracket'!HF8),'Novice 15M - Bracket'!HF8,0),0)</f>
        <v>0</v>
      </c>
      <c r="K250" s="93" t="str">
        <f>IFERROR(IF('Novice 15M - Bracket'!HE8="","",'Novice 15M - Bracket'!HE8),"")</f>
        <v/>
      </c>
      <c r="L250" s="93" t="str">
        <f>IFERROR(IF('Novice 15M - Bracket'!HD8="","",'Novice 15M - Bracket'!HD8),"")</f>
        <v/>
      </c>
      <c r="M250" s="93" t="str">
        <f>IFERROR(IF('Novice 15M - Bracket'!HC8="","",'Novice 15M - Bracket'!HC8),"")</f>
        <v/>
      </c>
      <c r="N250" s="93" t="str">
        <f>IFERROR(IF('Novice 15M - Bracket'!HB8="","",'Novice 15M - Bracket'!HB8),"")</f>
        <v/>
      </c>
      <c r="O250" s="93" t="str">
        <f>IFERROR(IF('Novice 15M - Bracket'!HA8="","",'Novice 15M - Bracket'!HA8),"")</f>
        <v/>
      </c>
      <c r="P250" s="93" t="str">
        <f>IFERROR(IF('Novice 15M - Bracket'!GZ8="","",'Novice 15M - Bracket'!GZ8),"")</f>
        <v/>
      </c>
      <c r="Q250" s="92" t="s">
        <v>237</v>
      </c>
    </row>
    <row r="251" spans="1:17" ht="4.5" customHeight="1" x14ac:dyDescent="0.35"/>
    <row r="252" spans="1:17" ht="31.5" customHeight="1" x14ac:dyDescent="0.35">
      <c r="A252" s="130">
        <f>IFERROR(IF(ISNUMBER('Novice 15M - Bracket'!HG6),'Novice 15M - Bracket'!HG6,0),0)</f>
        <v>0</v>
      </c>
      <c r="B252" s="130"/>
      <c r="C252" s="130"/>
      <c r="D252" s="130"/>
      <c r="E252" s="130"/>
      <c r="F252" s="130"/>
      <c r="G252" s="130"/>
      <c r="H252" s="94" t="str">
        <f>IFERROR('Novice 15M - Bracket'!HJ6,"")</f>
        <v>&gt;&gt; Advance</v>
      </c>
      <c r="I252" s="86"/>
      <c r="J252" s="94" t="str">
        <f>IFERROR('Novice 15M - Bracket'!HJ8,"")</f>
        <v>BYE</v>
      </c>
      <c r="K252" s="130">
        <f>IFERROR(IF(ISNUMBER('Novice 15M - Bracket'!HG8),'Novice 15M - Bracket'!HG8,0),0)</f>
        <v>0</v>
      </c>
      <c r="L252" s="130"/>
      <c r="M252" s="130"/>
      <c r="N252" s="130"/>
      <c r="O252" s="130"/>
      <c r="P252" s="130"/>
      <c r="Q252" s="130"/>
    </row>
    <row r="253" spans="1:17" ht="21.75" customHeight="1" x14ac:dyDescent="0.35">
      <c r="A253" s="130"/>
      <c r="B253" s="130"/>
      <c r="C253" s="130"/>
      <c r="D253" s="130"/>
      <c r="E253" s="130"/>
      <c r="F253" s="130"/>
      <c r="G253" s="130"/>
      <c r="K253" s="130"/>
      <c r="L253" s="130"/>
      <c r="M253" s="130"/>
      <c r="N253" s="130"/>
      <c r="O253" s="130"/>
      <c r="P253" s="130"/>
      <c r="Q253" s="130"/>
    </row>
    <row r="254" spans="1:17" ht="4.5" customHeight="1" x14ac:dyDescent="0.35"/>
    <row r="255" spans="1:17" ht="12" customHeight="1" x14ac:dyDescent="0.35">
      <c r="A255" s="126"/>
      <c r="B255" s="126"/>
      <c r="C255" s="126"/>
      <c r="D255" s="126"/>
      <c r="E255" s="126"/>
      <c r="F255" s="126"/>
      <c r="G255" s="126"/>
      <c r="H255" s="126"/>
      <c r="I255" s="126"/>
      <c r="J255" s="126"/>
      <c r="K255" s="126"/>
      <c r="L255" s="126"/>
      <c r="M255" s="126"/>
      <c r="N255" s="126"/>
      <c r="O255" s="126"/>
      <c r="P255" s="126"/>
      <c r="Q255" s="126"/>
    </row>
    <row r="256" spans="1:17" ht="7.5" customHeight="1" x14ac:dyDescent="0.35"/>
    <row r="257" spans="1:17" ht="19.5" customHeight="1" x14ac:dyDescent="0.35">
      <c r="A257" s="134" t="s">
        <v>252</v>
      </c>
      <c r="B257" s="134"/>
      <c r="C257" s="134"/>
      <c r="D257" s="134"/>
      <c r="E257" s="134"/>
      <c r="F257" s="134"/>
      <c r="G257" s="134"/>
      <c r="H257" s="134"/>
      <c r="I257" s="134"/>
      <c r="J257" s="134"/>
      <c r="K257" s="134"/>
      <c r="L257" s="134"/>
      <c r="M257" s="134"/>
      <c r="N257" s="134"/>
      <c r="O257" s="134"/>
      <c r="P257" s="134"/>
      <c r="Q257" s="134"/>
    </row>
    <row r="258" spans="1:17" ht="4.5" customHeight="1" x14ac:dyDescent="0.35"/>
    <row r="259" spans="1:17" ht="21.75" customHeight="1" x14ac:dyDescent="0.35">
      <c r="A259" s="84" t="s">
        <v>232</v>
      </c>
      <c r="B259" s="128" t="str">
        <f>IFERROR(IF('Novice 15M - Bracket'!B11="","TBD",'Novice 15M - Bracket'!B11),"TBD")</f>
        <v>TBD</v>
      </c>
      <c r="C259" s="128"/>
      <c r="D259" s="128"/>
      <c r="E259" s="128"/>
      <c r="F259" s="128"/>
      <c r="G259" s="128"/>
      <c r="H259" s="128"/>
      <c r="I259" s="84" t="s">
        <v>233</v>
      </c>
      <c r="J259" s="128" t="str">
        <f>IFERROR(IF('Novice 15M - Bracket'!B13="","TBD",'Novice 15M - Bracket'!B13),"TBD")</f>
        <v>TBD</v>
      </c>
      <c r="K259" s="128"/>
      <c r="L259" s="128"/>
      <c r="M259" s="128"/>
      <c r="N259" s="128"/>
      <c r="O259" s="128"/>
      <c r="P259" s="128"/>
      <c r="Q259" s="84" t="s">
        <v>232</v>
      </c>
    </row>
    <row r="260" spans="1:17" ht="13.5" customHeight="1" x14ac:dyDescent="0.35">
      <c r="A260" s="85" t="s">
        <v>234</v>
      </c>
      <c r="B260" s="129" t="str">
        <f>IFERROR('Novice 15M - Bracket'!A11,"")</f>
        <v>BYE</v>
      </c>
      <c r="C260" s="129"/>
      <c r="D260" s="129"/>
      <c r="E260" s="129"/>
      <c r="F260" s="129"/>
      <c r="G260" s="129"/>
      <c r="H260" s="129"/>
      <c r="I260" s="86"/>
      <c r="J260" s="129" t="str">
        <f>IFERROR('Novice 15M - Bracket'!A13,"")</f>
        <v>BYE</v>
      </c>
      <c r="K260" s="129"/>
      <c r="L260" s="129"/>
      <c r="M260" s="129"/>
      <c r="N260" s="129"/>
      <c r="O260" s="129"/>
      <c r="P260" s="129"/>
      <c r="Q260" s="85" t="s">
        <v>234</v>
      </c>
    </row>
    <row r="261" spans="1:17" ht="19.5" customHeight="1" x14ac:dyDescent="0.35">
      <c r="A261" s="87" t="s">
        <v>235</v>
      </c>
      <c r="B261" s="88" t="s">
        <v>83</v>
      </c>
      <c r="C261" s="88" t="s">
        <v>84</v>
      </c>
      <c r="D261" s="88" t="s">
        <v>85</v>
      </c>
      <c r="E261" s="88" t="s">
        <v>86</v>
      </c>
      <c r="F261" s="88" t="s">
        <v>87</v>
      </c>
      <c r="G261" s="88" t="s">
        <v>88</v>
      </c>
      <c r="H261" s="24" t="s">
        <v>236</v>
      </c>
      <c r="I261" s="89"/>
      <c r="J261" s="24" t="s">
        <v>236</v>
      </c>
      <c r="K261" s="88" t="s">
        <v>88</v>
      </c>
      <c r="L261" s="88" t="s">
        <v>87</v>
      </c>
      <c r="M261" s="88" t="s">
        <v>86</v>
      </c>
      <c r="N261" s="88" t="s">
        <v>85</v>
      </c>
      <c r="O261" s="88" t="s">
        <v>84</v>
      </c>
      <c r="P261" s="88" t="s">
        <v>83</v>
      </c>
      <c r="Q261" s="87" t="s">
        <v>235</v>
      </c>
    </row>
    <row r="262" spans="1:17" ht="21.75" customHeight="1" x14ac:dyDescent="0.35">
      <c r="A262" s="84" t="s">
        <v>222</v>
      </c>
      <c r="B262" s="90" t="str">
        <f>IFERROR(IF('Novice 15M - Bracket'!H11="","",'Novice 15M - Bracket'!H11),"")</f>
        <v/>
      </c>
      <c r="C262" s="90" t="str">
        <f>IFERROR(IF('Novice 15M - Bracket'!I11="","",'Novice 15M - Bracket'!I11),"")</f>
        <v/>
      </c>
      <c r="D262" s="90" t="str">
        <f>IFERROR(IF('Novice 15M - Bracket'!J11="","",'Novice 15M - Bracket'!J11),"")</f>
        <v/>
      </c>
      <c r="E262" s="90" t="str">
        <f>IFERROR(IF('Novice 15M - Bracket'!K11="","",'Novice 15M - Bracket'!K11),"")</f>
        <v/>
      </c>
      <c r="F262" s="90" t="str">
        <f>IFERROR(IF('Novice 15M - Bracket'!L11="","",'Novice 15M - Bracket'!L11),"")</f>
        <v/>
      </c>
      <c r="G262" s="90" t="str">
        <f>IFERROR(IF('Novice 15M - Bracket'!M11="","",'Novice 15M - Bracket'!M11),"")</f>
        <v/>
      </c>
      <c r="H262" s="32">
        <f>IFERROR(IF(ISNUMBER('Novice 15M - Bracket'!N11),'Novice 15M - Bracket'!N11,0),0)</f>
        <v>0</v>
      </c>
      <c r="I262" s="91" t="str">
        <f>IF(AND(ISNUMBER('Novice 15M - Bracket'!N11),ISNUMBER('Novice 15M - Bracket'!N13)),IF('Novice 15M - Bracket'!N11&gt;'Novice 15M - Bracket'!N13,"2-0",IF('Novice 15M - Bracket'!N11='Novice 15M - Bracket'!N13,"1-1","0-2")),"—")</f>
        <v>—</v>
      </c>
      <c r="J262" s="32">
        <f>IFERROR(IF(ISNUMBER('Novice 15M - Bracket'!N13),'Novice 15M - Bracket'!N13,0),0)</f>
        <v>0</v>
      </c>
      <c r="K262" s="90" t="str">
        <f>IFERROR(IF('Novice 15M - Bracket'!M13="","",'Novice 15M - Bracket'!M13),"")</f>
        <v/>
      </c>
      <c r="L262" s="90" t="str">
        <f>IFERROR(IF('Novice 15M - Bracket'!L13="","",'Novice 15M - Bracket'!L13),"")</f>
        <v/>
      </c>
      <c r="M262" s="90" t="str">
        <f>IFERROR(IF('Novice 15M - Bracket'!K13="","",'Novice 15M - Bracket'!K13),"")</f>
        <v/>
      </c>
      <c r="N262" s="90" t="str">
        <f>IFERROR(IF('Novice 15M - Bracket'!J13="","",'Novice 15M - Bracket'!J13),"")</f>
        <v/>
      </c>
      <c r="O262" s="90" t="str">
        <f>IFERROR(IF('Novice 15M - Bracket'!I13="","",'Novice 15M - Bracket'!I13),"")</f>
        <v/>
      </c>
      <c r="P262" s="90" t="str">
        <f>IFERROR(IF('Novice 15M - Bracket'!H13="","",'Novice 15M - Bracket'!H13),"")</f>
        <v/>
      </c>
      <c r="Q262" s="84" t="s">
        <v>222</v>
      </c>
    </row>
    <row r="263" spans="1:17" ht="21.75" customHeight="1" x14ac:dyDescent="0.35">
      <c r="A263" s="84" t="s">
        <v>223</v>
      </c>
      <c r="B263" s="90" t="str">
        <f>IFERROR(IF('Novice 15M - Bracket'!O11="","",'Novice 15M - Bracket'!O11),"")</f>
        <v/>
      </c>
      <c r="C263" s="90" t="str">
        <f>IFERROR(IF('Novice 15M - Bracket'!P11="","",'Novice 15M - Bracket'!P11),"")</f>
        <v/>
      </c>
      <c r="D263" s="90" t="str">
        <f>IFERROR(IF('Novice 15M - Bracket'!Q11="","",'Novice 15M - Bracket'!Q11),"")</f>
        <v/>
      </c>
      <c r="E263" s="90" t="str">
        <f>IFERROR(IF('Novice 15M - Bracket'!R11="","",'Novice 15M - Bracket'!R11),"")</f>
        <v/>
      </c>
      <c r="F263" s="90" t="str">
        <f>IFERROR(IF('Novice 15M - Bracket'!S11="","",'Novice 15M - Bracket'!S11),"")</f>
        <v/>
      </c>
      <c r="G263" s="90" t="str">
        <f>IFERROR(IF('Novice 15M - Bracket'!T11="","",'Novice 15M - Bracket'!T11),"")</f>
        <v/>
      </c>
      <c r="H263" s="32">
        <f>IFERROR(IF(ISNUMBER('Novice 15M - Bracket'!U11),'Novice 15M - Bracket'!U11,0),0)</f>
        <v>0</v>
      </c>
      <c r="I263" s="91" t="str">
        <f>IF(AND(ISNUMBER('Novice 15M - Bracket'!U11),ISNUMBER('Novice 15M - Bracket'!U13)),IF('Novice 15M - Bracket'!U11&gt;'Novice 15M - Bracket'!U13,"2-0",IF('Novice 15M - Bracket'!U11='Novice 15M - Bracket'!U13,"1-1","0-2")),"—")</f>
        <v>—</v>
      </c>
      <c r="J263" s="32">
        <f>IFERROR(IF(ISNUMBER('Novice 15M - Bracket'!U13),'Novice 15M - Bracket'!U13,0),0)</f>
        <v>0</v>
      </c>
      <c r="K263" s="90" t="str">
        <f>IFERROR(IF('Novice 15M - Bracket'!T13="","",'Novice 15M - Bracket'!T13),"")</f>
        <v/>
      </c>
      <c r="L263" s="90" t="str">
        <f>IFERROR(IF('Novice 15M - Bracket'!S13="","",'Novice 15M - Bracket'!S13),"")</f>
        <v/>
      </c>
      <c r="M263" s="90" t="str">
        <f>IFERROR(IF('Novice 15M - Bracket'!R13="","",'Novice 15M - Bracket'!R13),"")</f>
        <v/>
      </c>
      <c r="N263" s="90" t="str">
        <f>IFERROR(IF('Novice 15M - Bracket'!Q13="","",'Novice 15M - Bracket'!Q13),"")</f>
        <v/>
      </c>
      <c r="O263" s="90" t="str">
        <f>IFERROR(IF('Novice 15M - Bracket'!P13="","",'Novice 15M - Bracket'!P13),"")</f>
        <v/>
      </c>
      <c r="P263" s="90" t="str">
        <f>IFERROR(IF('Novice 15M - Bracket'!O13="","",'Novice 15M - Bracket'!O13),"")</f>
        <v/>
      </c>
      <c r="Q263" s="84" t="s">
        <v>223</v>
      </c>
    </row>
    <row r="264" spans="1:17" ht="21.75" customHeight="1" x14ac:dyDescent="0.35">
      <c r="A264" s="84" t="s">
        <v>224</v>
      </c>
      <c r="B264" s="90" t="str">
        <f>IFERROR(IF('Novice 15M - Bracket'!V11="","",'Novice 15M - Bracket'!V11),"")</f>
        <v/>
      </c>
      <c r="C264" s="90" t="str">
        <f>IFERROR(IF('Novice 15M - Bracket'!W11="","",'Novice 15M - Bracket'!W11),"")</f>
        <v/>
      </c>
      <c r="D264" s="90" t="str">
        <f>IFERROR(IF('Novice 15M - Bracket'!X11="","",'Novice 15M - Bracket'!X11),"")</f>
        <v/>
      </c>
      <c r="E264" s="90" t="str">
        <f>IFERROR(IF('Novice 15M - Bracket'!Y11="","",'Novice 15M - Bracket'!Y11),"")</f>
        <v/>
      </c>
      <c r="F264" s="90" t="str">
        <f>IFERROR(IF('Novice 15M - Bracket'!Z11="","",'Novice 15M - Bracket'!Z11),"")</f>
        <v/>
      </c>
      <c r="G264" s="90" t="str">
        <f>IFERROR(IF('Novice 15M - Bracket'!AA11="","",'Novice 15M - Bracket'!AA11),"")</f>
        <v/>
      </c>
      <c r="H264" s="32">
        <f>IFERROR(IF(ISNUMBER('Novice 15M - Bracket'!AB11),'Novice 15M - Bracket'!AB11,0),0)</f>
        <v>0</v>
      </c>
      <c r="I264" s="91" t="str">
        <f>IF(AND(ISNUMBER('Novice 15M - Bracket'!AB11),ISNUMBER('Novice 15M - Bracket'!AB13)),IF('Novice 15M - Bracket'!AB11&gt;'Novice 15M - Bracket'!AB13,"2-0",IF('Novice 15M - Bracket'!AB11='Novice 15M - Bracket'!AB13,"1-1","0-2")),"—")</f>
        <v>—</v>
      </c>
      <c r="J264" s="32">
        <f>IFERROR(IF(ISNUMBER('Novice 15M - Bracket'!AB13),'Novice 15M - Bracket'!AB13,0),0)</f>
        <v>0</v>
      </c>
      <c r="K264" s="90" t="str">
        <f>IFERROR(IF('Novice 15M - Bracket'!AA13="","",'Novice 15M - Bracket'!AA13),"")</f>
        <v/>
      </c>
      <c r="L264" s="90" t="str">
        <f>IFERROR(IF('Novice 15M - Bracket'!Z13="","",'Novice 15M - Bracket'!Z13),"")</f>
        <v/>
      </c>
      <c r="M264" s="90" t="str">
        <f>IFERROR(IF('Novice 15M - Bracket'!Y13="","",'Novice 15M - Bracket'!Y13),"")</f>
        <v/>
      </c>
      <c r="N264" s="90" t="str">
        <f>IFERROR(IF('Novice 15M - Bracket'!X13="","",'Novice 15M - Bracket'!X13),"")</f>
        <v/>
      </c>
      <c r="O264" s="90" t="str">
        <f>IFERROR(IF('Novice 15M - Bracket'!W13="","",'Novice 15M - Bracket'!W13),"")</f>
        <v/>
      </c>
      <c r="P264" s="90" t="str">
        <f>IFERROR(IF('Novice 15M - Bracket'!V13="","",'Novice 15M - Bracket'!V13),"")</f>
        <v/>
      </c>
      <c r="Q264" s="84" t="s">
        <v>224</v>
      </c>
    </row>
    <row r="265" spans="1:17" ht="21.75" customHeight="1" x14ac:dyDescent="0.35">
      <c r="A265" s="84" t="s">
        <v>227</v>
      </c>
      <c r="B265" s="90" t="str">
        <f>IFERROR(IF('Novice 15M - Bracket'!AC11="","",'Novice 15M - Bracket'!AC11),"")</f>
        <v/>
      </c>
      <c r="C265" s="90" t="str">
        <f>IFERROR(IF('Novice 15M - Bracket'!AD11="","",'Novice 15M - Bracket'!AD11),"")</f>
        <v/>
      </c>
      <c r="D265" s="90" t="str">
        <f>IFERROR(IF('Novice 15M - Bracket'!AE11="","",'Novice 15M - Bracket'!AE11),"")</f>
        <v/>
      </c>
      <c r="E265" s="90" t="str">
        <f>IFERROR(IF('Novice 15M - Bracket'!AF11="","",'Novice 15M - Bracket'!AF11),"")</f>
        <v/>
      </c>
      <c r="F265" s="90" t="str">
        <f>IFERROR(IF('Novice 15M - Bracket'!AG11="","",'Novice 15M - Bracket'!AG11),"")</f>
        <v/>
      </c>
      <c r="G265" s="90" t="str">
        <f>IFERROR(IF('Novice 15M - Bracket'!AH11="","",'Novice 15M - Bracket'!AH11),"")</f>
        <v/>
      </c>
      <c r="H265" s="32">
        <f>IFERROR(IF(ISNUMBER('Novice 15M - Bracket'!AI11),'Novice 15M - Bracket'!AI11,0),0)</f>
        <v>0</v>
      </c>
      <c r="I265" s="91" t="str">
        <f>IF(AND(ISNUMBER('Novice 15M - Bracket'!AI11),ISNUMBER('Novice 15M - Bracket'!AI13)),IF('Novice 15M - Bracket'!AI11&gt;'Novice 15M - Bracket'!AI13,"2-0",IF('Novice 15M - Bracket'!AI11='Novice 15M - Bracket'!AI13,"1-1","0-2")),"—")</f>
        <v>—</v>
      </c>
      <c r="J265" s="32">
        <f>IFERROR(IF(ISNUMBER('Novice 15M - Bracket'!AI13),'Novice 15M - Bracket'!AI13,0),0)</f>
        <v>0</v>
      </c>
      <c r="K265" s="90" t="str">
        <f>IFERROR(IF('Novice 15M - Bracket'!AH13="","",'Novice 15M - Bracket'!AH13),"")</f>
        <v/>
      </c>
      <c r="L265" s="90" t="str">
        <f>IFERROR(IF('Novice 15M - Bracket'!AG13="","",'Novice 15M - Bracket'!AG13),"")</f>
        <v/>
      </c>
      <c r="M265" s="90" t="str">
        <f>IFERROR(IF('Novice 15M - Bracket'!AF13="","",'Novice 15M - Bracket'!AF13),"")</f>
        <v/>
      </c>
      <c r="N265" s="90" t="str">
        <f>IFERROR(IF('Novice 15M - Bracket'!AE13="","",'Novice 15M - Bracket'!AE13),"")</f>
        <v/>
      </c>
      <c r="O265" s="90" t="str">
        <f>IFERROR(IF('Novice 15M - Bracket'!AD13="","",'Novice 15M - Bracket'!AD13),"")</f>
        <v/>
      </c>
      <c r="P265" s="90" t="str">
        <f>IFERROR(IF('Novice 15M - Bracket'!AC13="","",'Novice 15M - Bracket'!AC13),"")</f>
        <v/>
      </c>
      <c r="Q265" s="84" t="s">
        <v>227</v>
      </c>
    </row>
    <row r="266" spans="1:17" ht="21.75" customHeight="1" x14ac:dyDescent="0.35">
      <c r="A266" s="84" t="s">
        <v>228</v>
      </c>
      <c r="B266" s="90" t="str">
        <f>IFERROR(IF('Novice 15M - Bracket'!AJ11="","",'Novice 15M - Bracket'!AJ11),"")</f>
        <v/>
      </c>
      <c r="C266" s="90" t="str">
        <f>IFERROR(IF('Novice 15M - Bracket'!AK11="","",'Novice 15M - Bracket'!AK11),"")</f>
        <v/>
      </c>
      <c r="D266" s="90" t="str">
        <f>IFERROR(IF('Novice 15M - Bracket'!AL11="","",'Novice 15M - Bracket'!AL11),"")</f>
        <v/>
      </c>
      <c r="E266" s="90" t="str">
        <f>IFERROR(IF('Novice 15M - Bracket'!AM11="","",'Novice 15M - Bracket'!AM11),"")</f>
        <v/>
      </c>
      <c r="F266" s="90" t="str">
        <f>IFERROR(IF('Novice 15M - Bracket'!AN11="","",'Novice 15M - Bracket'!AN11),"")</f>
        <v/>
      </c>
      <c r="G266" s="90" t="str">
        <f>IFERROR(IF('Novice 15M - Bracket'!AO11="","",'Novice 15M - Bracket'!AO11),"")</f>
        <v/>
      </c>
      <c r="H266" s="32">
        <f>IFERROR(IF(ISNUMBER('Novice 15M - Bracket'!AP11),'Novice 15M - Bracket'!AP11,0),0)</f>
        <v>0</v>
      </c>
      <c r="I266" s="91" t="str">
        <f>IF(AND(ISNUMBER('Novice 15M - Bracket'!AP11),ISNUMBER('Novice 15M - Bracket'!AP13)),IF('Novice 15M - Bracket'!AP11&gt;'Novice 15M - Bracket'!AP13,"2-0",IF('Novice 15M - Bracket'!AP11='Novice 15M - Bracket'!AP13,"1-1","0-2")),"—")</f>
        <v>—</v>
      </c>
      <c r="J266" s="32">
        <f>IFERROR(IF(ISNUMBER('Novice 15M - Bracket'!AP13),'Novice 15M - Bracket'!AP13,0),0)</f>
        <v>0</v>
      </c>
      <c r="K266" s="90" t="str">
        <f>IFERROR(IF('Novice 15M - Bracket'!AO13="","",'Novice 15M - Bracket'!AO13),"")</f>
        <v/>
      </c>
      <c r="L266" s="90" t="str">
        <f>IFERROR(IF('Novice 15M - Bracket'!AN13="","",'Novice 15M - Bracket'!AN13),"")</f>
        <v/>
      </c>
      <c r="M266" s="90" t="str">
        <f>IFERROR(IF('Novice 15M - Bracket'!AM13="","",'Novice 15M - Bracket'!AM13),"")</f>
        <v/>
      </c>
      <c r="N266" s="90" t="str">
        <f>IFERROR(IF('Novice 15M - Bracket'!AL13="","",'Novice 15M - Bracket'!AL13),"")</f>
        <v/>
      </c>
      <c r="O266" s="90" t="str">
        <f>IFERROR(IF('Novice 15M - Bracket'!AK13="","",'Novice 15M - Bracket'!AK13),"")</f>
        <v/>
      </c>
      <c r="P266" s="90" t="str">
        <f>IFERROR(IF('Novice 15M - Bracket'!AJ13="","",'Novice 15M - Bracket'!AJ13),"")</f>
        <v/>
      </c>
      <c r="Q266" s="84" t="s">
        <v>228</v>
      </c>
    </row>
    <row r="267" spans="1:17" ht="21.75" customHeight="1" x14ac:dyDescent="0.35">
      <c r="A267" s="92" t="s">
        <v>237</v>
      </c>
      <c r="B267" s="93" t="str">
        <f>IFERROR(IF('Novice 15M - Bracket'!AQ11="","",'Novice 15M - Bracket'!AQ11),"")</f>
        <v/>
      </c>
      <c r="C267" s="93" t="str">
        <f>IFERROR(IF('Novice 15M - Bracket'!AR11="","",'Novice 15M - Bracket'!AR11),"")</f>
        <v/>
      </c>
      <c r="D267" s="93" t="str">
        <f>IFERROR(IF('Novice 15M - Bracket'!AS11="","",'Novice 15M - Bracket'!AS11),"")</f>
        <v/>
      </c>
      <c r="E267" s="93" t="str">
        <f>IFERROR(IF('Novice 15M - Bracket'!AT11="","",'Novice 15M - Bracket'!AT11),"")</f>
        <v/>
      </c>
      <c r="F267" s="93" t="str">
        <f>IFERROR(IF('Novice 15M - Bracket'!AU11="","",'Novice 15M - Bracket'!AU11),"")</f>
        <v/>
      </c>
      <c r="G267" s="93" t="str">
        <f>IFERROR(IF('Novice 15M - Bracket'!AV11="","",'Novice 15M - Bracket'!AV11),"")</f>
        <v/>
      </c>
      <c r="H267" s="32">
        <f>IFERROR(IF(ISNUMBER('Novice 15M - Bracket'!AW11),'Novice 15M - Bracket'!AW11,0),0)</f>
        <v>0</v>
      </c>
      <c r="I267" s="91" t="str">
        <f>IF(AND(ISNUMBER('Novice 15M - Bracket'!AW11),ISNUMBER('Novice 15M - Bracket'!AW13)),IF('Novice 15M - Bracket'!AW11&gt;'Novice 15M - Bracket'!AW13,"2-0",IF('Novice 15M - Bracket'!AW11='Novice 15M - Bracket'!AW13,"1-1","0-2")),"—")</f>
        <v>—</v>
      </c>
      <c r="J267" s="32">
        <f>IFERROR(IF(ISNUMBER('Novice 15M - Bracket'!AW13),'Novice 15M - Bracket'!AW13,0),0)</f>
        <v>0</v>
      </c>
      <c r="K267" s="93" t="str">
        <f>IFERROR(IF('Novice 15M - Bracket'!AV13="","",'Novice 15M - Bracket'!AV13),"")</f>
        <v/>
      </c>
      <c r="L267" s="93" t="str">
        <f>IFERROR(IF('Novice 15M - Bracket'!AU13="","",'Novice 15M - Bracket'!AU13),"")</f>
        <v/>
      </c>
      <c r="M267" s="93" t="str">
        <f>IFERROR(IF('Novice 15M - Bracket'!AT13="","",'Novice 15M - Bracket'!AT13),"")</f>
        <v/>
      </c>
      <c r="N267" s="93" t="str">
        <f>IFERROR(IF('Novice 15M - Bracket'!AS13="","",'Novice 15M - Bracket'!AS13),"")</f>
        <v/>
      </c>
      <c r="O267" s="93" t="str">
        <f>IFERROR(IF('Novice 15M - Bracket'!AR13="","",'Novice 15M - Bracket'!AR13),"")</f>
        <v/>
      </c>
      <c r="P267" s="93" t="str">
        <f>IFERROR(IF('Novice 15M - Bracket'!AQ13="","",'Novice 15M - Bracket'!AQ13),"")</f>
        <v/>
      </c>
      <c r="Q267" s="92" t="s">
        <v>237</v>
      </c>
    </row>
    <row r="268" spans="1:17" ht="4.5" customHeight="1" x14ac:dyDescent="0.35"/>
    <row r="269" spans="1:17" ht="31.5" customHeight="1" x14ac:dyDescent="0.35">
      <c r="A269" s="130">
        <f>IFERROR(IF(ISNUMBER('Novice 15M - Bracket'!AX11),'Novice 15M - Bracket'!AX11,0),0)</f>
        <v>0</v>
      </c>
      <c r="B269" s="130"/>
      <c r="C269" s="130"/>
      <c r="D269" s="130"/>
      <c r="E269" s="130"/>
      <c r="F269" s="130"/>
      <c r="G269" s="130"/>
      <c r="H269" s="94" t="str">
        <f>IFERROR('Novice 15M - Bracket'!BA11,"")</f>
        <v>&gt;&gt; Advance</v>
      </c>
      <c r="I269" s="86"/>
      <c r="J269" s="94" t="str">
        <f>IFERROR('Novice 15M - Bracket'!BA13,"")</f>
        <v>&gt;&gt; Advance</v>
      </c>
      <c r="K269" s="130">
        <f>IFERROR(IF(ISNUMBER('Novice 15M - Bracket'!AX13),'Novice 15M - Bracket'!AX13,0),0)</f>
        <v>0</v>
      </c>
      <c r="L269" s="130"/>
      <c r="M269" s="130"/>
      <c r="N269" s="130"/>
      <c r="O269" s="130"/>
      <c r="P269" s="130"/>
      <c r="Q269" s="130"/>
    </row>
    <row r="270" spans="1:17" ht="21.75" customHeight="1" x14ac:dyDescent="0.35">
      <c r="A270" s="130"/>
      <c r="B270" s="130"/>
      <c r="C270" s="130"/>
      <c r="D270" s="130"/>
      <c r="E270" s="130"/>
      <c r="F270" s="130"/>
      <c r="G270" s="130"/>
      <c r="K270" s="130"/>
      <c r="L270" s="130"/>
      <c r="M270" s="130"/>
      <c r="N270" s="130"/>
      <c r="O270" s="130"/>
      <c r="P270" s="130"/>
      <c r="Q270" s="130"/>
    </row>
    <row r="271" spans="1:17" ht="4.5" customHeight="1" x14ac:dyDescent="0.35"/>
    <row r="272" spans="1:17" ht="12" customHeight="1" x14ac:dyDescent="0.35">
      <c r="A272" s="126"/>
      <c r="B272" s="126"/>
      <c r="C272" s="126"/>
      <c r="D272" s="126"/>
      <c r="E272" s="126"/>
      <c r="F272" s="126"/>
      <c r="G272" s="126"/>
      <c r="H272" s="126"/>
      <c r="I272" s="126"/>
      <c r="J272" s="126"/>
      <c r="K272" s="126"/>
      <c r="L272" s="126"/>
      <c r="M272" s="126"/>
      <c r="N272" s="126"/>
      <c r="O272" s="126"/>
      <c r="P272" s="126"/>
      <c r="Q272" s="126"/>
    </row>
  </sheetData>
  <mergeCells count="128">
    <mergeCell ref="A269:G270"/>
    <mergeCell ref="K269:Q270"/>
    <mergeCell ref="A272:Q272"/>
    <mergeCell ref="B243:H243"/>
    <mergeCell ref="J243:P243"/>
    <mergeCell ref="A252:G253"/>
    <mergeCell ref="K252:Q253"/>
    <mergeCell ref="A255:Q255"/>
    <mergeCell ref="A257:Q257"/>
    <mergeCell ref="B259:H259"/>
    <mergeCell ref="J259:P259"/>
    <mergeCell ref="B260:H260"/>
    <mergeCell ref="J260:P260"/>
    <mergeCell ref="B225:H225"/>
    <mergeCell ref="J225:P225"/>
    <mergeCell ref="B226:H226"/>
    <mergeCell ref="J226:P226"/>
    <mergeCell ref="A235:G236"/>
    <mergeCell ref="K235:Q236"/>
    <mergeCell ref="A238:Q238"/>
    <mergeCell ref="A240:Q240"/>
    <mergeCell ref="B242:H242"/>
    <mergeCell ref="J242:P242"/>
    <mergeCell ref="A206:Q206"/>
    <mergeCell ref="B208:H208"/>
    <mergeCell ref="J208:P208"/>
    <mergeCell ref="B209:H209"/>
    <mergeCell ref="J209:P209"/>
    <mergeCell ref="A218:G219"/>
    <mergeCell ref="K218:Q219"/>
    <mergeCell ref="A221:Q221"/>
    <mergeCell ref="A223:Q223"/>
    <mergeCell ref="A187:Q187"/>
    <mergeCell ref="A189:Q189"/>
    <mergeCell ref="B191:H191"/>
    <mergeCell ref="J191:P191"/>
    <mergeCell ref="B192:H192"/>
    <mergeCell ref="J192:P192"/>
    <mergeCell ref="A201:G202"/>
    <mergeCell ref="K201:Q202"/>
    <mergeCell ref="A204:Q204"/>
    <mergeCell ref="A167:G168"/>
    <mergeCell ref="K167:Q168"/>
    <mergeCell ref="A170:Q170"/>
    <mergeCell ref="A172:Q172"/>
    <mergeCell ref="B174:H174"/>
    <mergeCell ref="J174:P174"/>
    <mergeCell ref="B175:H175"/>
    <mergeCell ref="J175:P175"/>
    <mergeCell ref="A184:G185"/>
    <mergeCell ref="K184:Q185"/>
    <mergeCell ref="B141:H141"/>
    <mergeCell ref="J141:P141"/>
    <mergeCell ref="A150:G151"/>
    <mergeCell ref="K150:Q151"/>
    <mergeCell ref="A153:Q153"/>
    <mergeCell ref="A155:Q155"/>
    <mergeCell ref="B157:H157"/>
    <mergeCell ref="J157:P157"/>
    <mergeCell ref="B158:H158"/>
    <mergeCell ref="J158:P158"/>
    <mergeCell ref="B123:H123"/>
    <mergeCell ref="J123:P123"/>
    <mergeCell ref="B124:H124"/>
    <mergeCell ref="J124:P124"/>
    <mergeCell ref="A133:G134"/>
    <mergeCell ref="K133:Q134"/>
    <mergeCell ref="A136:Q136"/>
    <mergeCell ref="A138:Q138"/>
    <mergeCell ref="B140:H140"/>
    <mergeCell ref="J140:P140"/>
    <mergeCell ref="A104:Q104"/>
    <mergeCell ref="B106:H106"/>
    <mergeCell ref="J106:P106"/>
    <mergeCell ref="B107:H107"/>
    <mergeCell ref="J107:P107"/>
    <mergeCell ref="A116:G117"/>
    <mergeCell ref="K116:Q117"/>
    <mergeCell ref="A119:Q119"/>
    <mergeCell ref="A121:Q121"/>
    <mergeCell ref="A85:Q85"/>
    <mergeCell ref="A87:Q87"/>
    <mergeCell ref="B89:H89"/>
    <mergeCell ref="J89:P89"/>
    <mergeCell ref="B90:H90"/>
    <mergeCell ref="J90:P90"/>
    <mergeCell ref="A99:G100"/>
    <mergeCell ref="K99:Q100"/>
    <mergeCell ref="A102:Q102"/>
    <mergeCell ref="A65:G66"/>
    <mergeCell ref="K65:Q66"/>
    <mergeCell ref="A68:Q68"/>
    <mergeCell ref="A70:Q70"/>
    <mergeCell ref="B72:H72"/>
    <mergeCell ref="J72:P72"/>
    <mergeCell ref="B73:H73"/>
    <mergeCell ref="J73:P73"/>
    <mergeCell ref="A82:G83"/>
    <mergeCell ref="K82:Q83"/>
    <mergeCell ref="B39:H39"/>
    <mergeCell ref="J39:P39"/>
    <mergeCell ref="A48:G49"/>
    <mergeCell ref="K48:Q49"/>
    <mergeCell ref="A51:Q51"/>
    <mergeCell ref="A53:Q53"/>
    <mergeCell ref="B55:H55"/>
    <mergeCell ref="J55:P55"/>
    <mergeCell ref="B56:H56"/>
    <mergeCell ref="J56:P56"/>
    <mergeCell ref="B21:H21"/>
    <mergeCell ref="J21:P21"/>
    <mergeCell ref="B22:H22"/>
    <mergeCell ref="J22:P22"/>
    <mergeCell ref="A31:G32"/>
    <mergeCell ref="K31:Q32"/>
    <mergeCell ref="A34:Q34"/>
    <mergeCell ref="A36:Q36"/>
    <mergeCell ref="B38:H38"/>
    <mergeCell ref="J38:P38"/>
    <mergeCell ref="A2:Q2"/>
    <mergeCell ref="B4:H4"/>
    <mergeCell ref="J4:P4"/>
    <mergeCell ref="B5:H5"/>
    <mergeCell ref="J5:P5"/>
    <mergeCell ref="A14:G15"/>
    <mergeCell ref="K14:Q15"/>
    <mergeCell ref="A17:Q17"/>
    <mergeCell ref="A19:Q19"/>
  </mergeCells>
  <printOptions horizontalCentered="1"/>
  <pageMargins left="0.75" right="0.75" top="1" bottom="1" header="0.511811023622047" footer="0.511811023622047"/>
  <pageSetup paperSize="9" fitToHeight="0" orientation="portrait" horizontalDpi="300" verticalDpi="300"/>
  <rowBreaks count="15" manualBreakCount="15">
    <brk id="1" max="16383" man="1"/>
    <brk id="2" max="16383" man="1"/>
    <brk id="3" max="16383" man="1"/>
    <brk id="4" max="16383" man="1"/>
    <brk id="5" max="16383" man="1"/>
    <brk id="6" max="16383" man="1"/>
    <brk id="7" max="16383" man="1"/>
    <brk id="8" max="16383" man="1"/>
    <brk id="9" max="16383" man="1"/>
    <brk id="10" max="16383" man="1"/>
    <brk id="11" max="16383" man="1"/>
    <brk id="12" max="16383" man="1"/>
    <brk id="13" max="16383" man="1"/>
    <brk id="14" max="16383" man="1"/>
    <brk id="15" max="16383" man="1"/>
  </rowBreak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Participants</vt:lpstr>
      <vt:lpstr>Settings</vt:lpstr>
      <vt:lpstr>Open 30M - Scoring</vt:lpstr>
      <vt:lpstr>Open 30M - Teams</vt:lpstr>
      <vt:lpstr>Open 30M - Bracket</vt:lpstr>
      <vt:lpstr>Open 30M - Scoresheet</vt:lpstr>
      <vt:lpstr>Open 30M - Olympic Card</vt:lpstr>
      <vt:lpstr>Beginner Adv 15M - Scoring</vt:lpstr>
      <vt:lpstr>Beginner Adv 15M - Teams</vt:lpstr>
      <vt:lpstr>Beginner Adv 15M - Bracket</vt:lpstr>
      <vt:lpstr>Beginner Adv 15M - Scoresheet</vt:lpstr>
      <vt:lpstr>Beginner Adv 15M - Olympic Card</vt:lpstr>
      <vt:lpstr>Novice 15M - Scoring</vt:lpstr>
      <vt:lpstr>Novice 15M - Teams</vt:lpstr>
      <vt:lpstr>Novice 15M - Bracket</vt:lpstr>
      <vt:lpstr>Novice 15M - Scoresheet</vt:lpstr>
      <vt:lpstr>Novice 15M - Olympic Card</vt:lpstr>
      <vt:lpstr>'Beginner Adv 15M - Olympic Card'!Print_Area</vt:lpstr>
      <vt:lpstr>'Beginner Adv 15M - Scoresheet'!Print_Area</vt:lpstr>
      <vt:lpstr>'Novice 15M - Olympic Card'!Print_Area</vt:lpstr>
      <vt:lpstr>'Novice 15M - Scoresheet'!Print_Area</vt:lpstr>
      <vt:lpstr>'Open 30M - Olympic Card'!Print_Area</vt:lpstr>
      <vt:lpstr>'Open 30M - Scoresheet'!Print_Area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Vincent Cabral</cp:lastModifiedBy>
  <cp:revision>0</cp:revision>
  <dcterms:created xsi:type="dcterms:W3CDTF">2026-06-16T11:45:46Z</dcterms:created>
  <dcterms:modified xsi:type="dcterms:W3CDTF">2026-06-21T01:12:12Z</dcterms:modified>
  <dc:language>en-US</dc:language>
</cp:coreProperties>
</file>